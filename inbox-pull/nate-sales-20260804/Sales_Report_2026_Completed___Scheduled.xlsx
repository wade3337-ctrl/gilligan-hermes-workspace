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stsinc-my.sharepoint.com/personal/nperkins_gstsinc_com/Documents/Desktop/Thursday meeting folder/"/>
    </mc:Choice>
  </mc:AlternateContent>
  <xr:revisionPtr revIDLastSave="177" documentId="13_ncr:1_{2AA2439F-A88B-456F-986F-5A84DC9BC463}" xr6:coauthVersionLast="47" xr6:coauthVersionMax="47" xr10:uidLastSave="{5676A86A-D376-487E-9A57-484B5D05E344}"/>
  <bookViews>
    <workbookView xWindow="14303" yWindow="-4253" windowWidth="21795" windowHeight="13875" firstSheet="35" activeTab="35" xr2:uid="{1C1917BC-A0E9-429E-B139-96965C7FAE9D}"/>
  </bookViews>
  <sheets>
    <sheet name="Completed+Sold (07-18-2024)" sheetId="202" state="hidden" r:id="rId1"/>
    <sheet name="Completed+Sold (07-25-2024)" sheetId="206" state="hidden" r:id="rId2"/>
    <sheet name="Completed+Sold (08-01-2024)" sheetId="207" state="hidden" r:id="rId3"/>
    <sheet name="Completed+Sold (08-08-2024)" sheetId="209" state="hidden" r:id="rId4"/>
    <sheet name="Completed+Sold (08-15-2024)" sheetId="212" state="hidden" r:id="rId5"/>
    <sheet name="Completed+Sold (08-22-2024)" sheetId="215" state="hidden" r:id="rId6"/>
    <sheet name="Completed+Sold (08-29-2024)" sheetId="217" state="hidden" r:id="rId7"/>
    <sheet name="Completed+Sold (09-05-2024)" sheetId="219" state="hidden" r:id="rId8"/>
    <sheet name="Completed+Sold (09-19-2024)" sheetId="223" state="hidden" r:id="rId9"/>
    <sheet name="Completed+Sold (09-26-2024)" sheetId="227" state="hidden" r:id="rId10"/>
    <sheet name="Completed+Sold (01.09.2026)" sheetId="253" r:id="rId11"/>
    <sheet name="Completed+Sold (04.10.2025) 2" sheetId="286" state="hidden" r:id="rId12"/>
    <sheet name="Completed+Sold (01.15.2026)" sheetId="358" r:id="rId13"/>
    <sheet name="Completed+Sold (02.12.2026)" sheetId="363" r:id="rId14"/>
    <sheet name="Completed+Sold (02.19.2026)" sheetId="365" r:id="rId15"/>
    <sheet name="Completed+Sold (02.26.2026)" sheetId="367" r:id="rId16"/>
    <sheet name="Completed+Sold (03.12.2026)" sheetId="370" r:id="rId17"/>
    <sheet name="Completed+Sold (03.19.2026)" sheetId="372" r:id="rId18"/>
    <sheet name="Completed+Sold (03.26.2026)" sheetId="374" r:id="rId19"/>
    <sheet name="Completed+Sold (04.02.2026)" sheetId="376" r:id="rId20"/>
    <sheet name="Completed+Sold (04.15.2026)" sheetId="378" r:id="rId21"/>
    <sheet name="Completed+Sold (04.23.2026) " sheetId="384" r:id="rId22"/>
    <sheet name="Completed+Sold (04.30.2026)" sheetId="394" r:id="rId23"/>
    <sheet name="Completed+Sold (05.06.2026)" sheetId="396" r:id="rId24"/>
    <sheet name="Completed+Sold (05.13.2026)" sheetId="400" r:id="rId25"/>
    <sheet name="Completed+Sold (05.20.2026)" sheetId="405" r:id="rId26"/>
    <sheet name="Completed+Sold (05.27.2026)" sheetId="409" r:id="rId27"/>
    <sheet name="Completed+Sold (06.03.2026)" sheetId="412" r:id="rId28"/>
    <sheet name="Completed+Sold (06.10.2026)" sheetId="414" r:id="rId29"/>
    <sheet name="Completed+Sold (06.17.2026)" sheetId="420" r:id="rId30"/>
    <sheet name="Completed+Sold (06.24.2026)" sheetId="423" r:id="rId31"/>
    <sheet name="Completed+Sold (07.1.2026)" sheetId="424" r:id="rId32"/>
    <sheet name="Completed+Sold (07.8.2026)" sheetId="427" r:id="rId33"/>
    <sheet name="Completed+Sold (07.15.2026)" sheetId="430" r:id="rId34"/>
    <sheet name="Completed+Sold (07.22.2026)" sheetId="435" r:id="rId35"/>
    <sheet name="Completed+Sold (07.29.2026)" sheetId="438" r:id="rId36"/>
    <sheet name="Pivot" sheetId="436" r:id="rId37"/>
    <sheet name="Schedule Board" sheetId="437" r:id="rId38"/>
    <sheet name="Pivot Table" sheetId="210" state="hidden" r:id="rId39"/>
    <sheet name="Data" sheetId="204" state="hidden" r:id="rId40"/>
  </sheets>
  <definedNames>
    <definedName name="_xlnm._FilterDatabase" localSheetId="37" hidden="1">'Schedule Board'!$A$1:$L$1</definedName>
    <definedName name="_xlnm.Print_Area" localSheetId="10">'Completed+Sold (01.09.2026)'!$A$1:$N$21</definedName>
    <definedName name="_xlnm.Print_Area" localSheetId="12">'Completed+Sold (01.15.2026)'!$A$1:$N$21</definedName>
    <definedName name="_xlnm.Print_Area" localSheetId="13">'Completed+Sold (02.12.2026)'!$A$1:$N$21</definedName>
    <definedName name="_xlnm.Print_Area" localSheetId="14">'Completed+Sold (02.19.2026)'!$A$1:$N$21</definedName>
    <definedName name="_xlnm.Print_Area" localSheetId="15">'Completed+Sold (02.26.2026)'!$A$1:$N$21</definedName>
    <definedName name="_xlnm.Print_Area" localSheetId="16">'Completed+Sold (03.12.2026)'!$A$1:$N$21</definedName>
    <definedName name="_xlnm.Print_Area" localSheetId="17">'Completed+Sold (03.19.2026)'!$A$1:$N$21</definedName>
    <definedName name="_xlnm.Print_Area" localSheetId="18">'Completed+Sold (03.26.2026)'!$A$1:$N$21</definedName>
    <definedName name="_xlnm.Print_Area" localSheetId="19">'Completed+Sold (04.02.2026)'!$A$1:$N$21</definedName>
    <definedName name="_xlnm.Print_Area" localSheetId="11">'Completed+Sold (04.10.2025) 2'!$A$1:$S$21</definedName>
    <definedName name="_xlnm.Print_Area" localSheetId="20">'Completed+Sold (04.15.2026)'!$A$1:$N$21</definedName>
    <definedName name="_xlnm.Print_Area" localSheetId="21">'Completed+Sold (04.23.2026) '!$A$1:$N$21</definedName>
    <definedName name="_xlnm.Print_Area" localSheetId="22">'Completed+Sold (04.30.2026)'!$A$1:$N$21</definedName>
    <definedName name="_xlnm.Print_Area" localSheetId="23">'Completed+Sold (05.06.2026)'!$A$1:$N$21</definedName>
    <definedName name="_xlnm.Print_Area" localSheetId="24">'Completed+Sold (05.13.2026)'!$A$1:$N$21</definedName>
    <definedName name="_xlnm.Print_Area" localSheetId="25">'Completed+Sold (05.20.2026)'!$A$1:$N$21</definedName>
    <definedName name="_xlnm.Print_Area" localSheetId="26">'Completed+Sold (05.27.2026)'!$A$1:$N$21</definedName>
    <definedName name="_xlnm.Print_Area" localSheetId="27">'Completed+Sold (06.03.2026)'!$A$1:$N$21</definedName>
    <definedName name="_xlnm.Print_Area" localSheetId="28">'Completed+Sold (06.10.2026)'!$A$1:$N$21</definedName>
    <definedName name="_xlnm.Print_Area" localSheetId="29">'Completed+Sold (06.17.2026)'!$A$1:$N$21</definedName>
    <definedName name="_xlnm.Print_Area" localSheetId="30">'Completed+Sold (06.24.2026)'!$A$1:$N$21</definedName>
    <definedName name="_xlnm.Print_Area" localSheetId="31">'Completed+Sold (07.1.2026)'!$A$1:$N$21</definedName>
    <definedName name="_xlnm.Print_Area" localSheetId="33">'Completed+Sold (07.15.2026)'!$A$1:$N$21</definedName>
    <definedName name="_xlnm.Print_Area" localSheetId="34">'Completed+Sold (07.22.2026)'!$A$1:$N$21</definedName>
    <definedName name="_xlnm.Print_Area" localSheetId="35">'Completed+Sold (07.29.2026)'!$A$1:$R$21</definedName>
    <definedName name="_xlnm.Print_Area" localSheetId="32">'Completed+Sold (07.8.2026)'!$A$1:$N$21</definedName>
    <definedName name="_xlnm.Print_Area" localSheetId="0">'Completed+Sold (07-18-2024)'!$A$1:$L$21</definedName>
    <definedName name="_xlnm.Print_Area" localSheetId="1">'Completed+Sold (07-25-2024)'!$A$1:$L$21</definedName>
    <definedName name="_xlnm.Print_Area" localSheetId="2">'Completed+Sold (08-01-2024)'!$A$1:$L$21</definedName>
    <definedName name="_xlnm.Print_Area" localSheetId="3">'Completed+Sold (08-08-2024)'!$A$1:$N$21</definedName>
    <definedName name="_xlnm.Print_Area" localSheetId="4">'Completed+Sold (08-15-2024)'!$A$1:$N$21</definedName>
    <definedName name="_xlnm.Print_Area" localSheetId="5">'Completed+Sold (08-22-2024)'!$A$1:$N$21</definedName>
    <definedName name="_xlnm.Print_Area" localSheetId="6">'Completed+Sold (08-29-2024)'!$A$1:$N$21</definedName>
    <definedName name="_xlnm.Print_Area" localSheetId="7">'Completed+Sold (09-05-2024)'!$A$1:$N$21</definedName>
    <definedName name="_xlnm.Print_Area" localSheetId="8">'Completed+Sold (09-19-2024)'!$A$1:$N$21</definedName>
    <definedName name="_xlnm.Print_Area" localSheetId="9">'Completed+Sold (09-26-2024)'!$A$1:$N$21</definedName>
  </definedNames>
  <calcPr calcId="191029"/>
  <pivotCaches>
    <pivotCache cacheId="0" r:id="rId41"/>
    <pivotCache cacheId="9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438" l="1"/>
  <c r="M10" i="438"/>
  <c r="I20" i="438"/>
  <c r="F20" i="438"/>
  <c r="E20" i="438"/>
  <c r="D20" i="438"/>
  <c r="C20" i="438"/>
  <c r="B20" i="438"/>
  <c r="I19" i="438"/>
  <c r="I21" i="438" s="1"/>
  <c r="F19" i="438"/>
  <c r="F21" i="438" s="1"/>
  <c r="E19" i="438"/>
  <c r="E21" i="438" s="1"/>
  <c r="D19" i="438"/>
  <c r="D21" i="438" s="1"/>
  <c r="C19" i="438"/>
  <c r="C21" i="438" s="1"/>
  <c r="B19" i="438"/>
  <c r="B21" i="438" s="1"/>
  <c r="H18" i="438"/>
  <c r="J18" i="438" s="1"/>
  <c r="H17" i="438"/>
  <c r="J17" i="438" s="1"/>
  <c r="H16" i="438"/>
  <c r="I15" i="438"/>
  <c r="H15" i="438"/>
  <c r="F15" i="438"/>
  <c r="E15" i="438"/>
  <c r="D15" i="438"/>
  <c r="C15" i="438"/>
  <c r="B15" i="438"/>
  <c r="H14" i="438"/>
  <c r="J14" i="438" s="1"/>
  <c r="H13" i="438"/>
  <c r="J13" i="438" s="1"/>
  <c r="H12" i="438"/>
  <c r="J12" i="438" s="1"/>
  <c r="H11" i="438"/>
  <c r="I10" i="438"/>
  <c r="F10" i="438"/>
  <c r="E10" i="438"/>
  <c r="D10" i="438"/>
  <c r="C10" i="438"/>
  <c r="B10" i="438"/>
  <c r="H9" i="438"/>
  <c r="J9" i="438" s="1"/>
  <c r="H8" i="438"/>
  <c r="J8" i="438" s="1"/>
  <c r="H7" i="438"/>
  <c r="J7" i="438" s="1"/>
  <c r="J6" i="438" s="1"/>
  <c r="I6" i="438"/>
  <c r="H6" i="438"/>
  <c r="F6" i="438"/>
  <c r="E6" i="438"/>
  <c r="D6" i="438"/>
  <c r="C6" i="438"/>
  <c r="B6" i="438"/>
  <c r="H5" i="438"/>
  <c r="J5" i="438" s="1"/>
  <c r="H4" i="438"/>
  <c r="J4" i="438" s="1"/>
  <c r="H3" i="438"/>
  <c r="I2" i="438"/>
  <c r="H2" i="438"/>
  <c r="F2" i="438"/>
  <c r="E2" i="438"/>
  <c r="D2" i="438"/>
  <c r="C2" i="438"/>
  <c r="B2" i="438"/>
  <c r="M10" i="435"/>
  <c r="M15" i="435"/>
  <c r="Q20" i="435"/>
  <c r="P20" i="435"/>
  <c r="Q19" i="435"/>
  <c r="Q21" i="435" s="1"/>
  <c r="P19" i="435"/>
  <c r="P21" i="435" s="1"/>
  <c r="R18" i="435"/>
  <c r="R17" i="435"/>
  <c r="R16" i="435"/>
  <c r="R15" i="435"/>
  <c r="Q15" i="435"/>
  <c r="P15" i="435"/>
  <c r="R14" i="435"/>
  <c r="R13" i="435"/>
  <c r="R12" i="435"/>
  <c r="R11" i="435"/>
  <c r="R10" i="435"/>
  <c r="Q10" i="435"/>
  <c r="P10" i="435"/>
  <c r="R9" i="435"/>
  <c r="R8" i="435"/>
  <c r="R7" i="435"/>
  <c r="R6" i="435"/>
  <c r="Q6" i="435"/>
  <c r="P6" i="435"/>
  <c r="R5" i="435"/>
  <c r="R4" i="435"/>
  <c r="R3" i="435"/>
  <c r="R2" i="435"/>
  <c r="Q2" i="435"/>
  <c r="P2" i="435"/>
  <c r="I20" i="435"/>
  <c r="F20" i="435"/>
  <c r="E20" i="435"/>
  <c r="D20" i="435"/>
  <c r="C20" i="435"/>
  <c r="B20" i="435"/>
  <c r="I19" i="435"/>
  <c r="I21" i="435" s="1"/>
  <c r="F19" i="435"/>
  <c r="F21" i="435" s="1"/>
  <c r="E19" i="435"/>
  <c r="E21" i="435" s="1"/>
  <c r="D19" i="435"/>
  <c r="D21" i="435" s="1"/>
  <c r="C19" i="435"/>
  <c r="C21" i="435" s="1"/>
  <c r="B19" i="435"/>
  <c r="B21" i="435" s="1"/>
  <c r="H18" i="435"/>
  <c r="H17" i="435"/>
  <c r="H16" i="435"/>
  <c r="I15" i="435"/>
  <c r="F15" i="435"/>
  <c r="E15" i="435"/>
  <c r="D15" i="435"/>
  <c r="C15" i="435"/>
  <c r="B15" i="435"/>
  <c r="H14" i="435"/>
  <c r="H13" i="435"/>
  <c r="H12" i="435"/>
  <c r="H11" i="435"/>
  <c r="I10" i="435"/>
  <c r="F10" i="435"/>
  <c r="E10" i="435"/>
  <c r="D10" i="435"/>
  <c r="C10" i="435"/>
  <c r="B10" i="435"/>
  <c r="H9" i="435"/>
  <c r="H8" i="435"/>
  <c r="H7" i="435"/>
  <c r="I6" i="435"/>
  <c r="H6" i="435"/>
  <c r="F6" i="435"/>
  <c r="E6" i="435"/>
  <c r="D6" i="435"/>
  <c r="C6" i="435"/>
  <c r="B6" i="435"/>
  <c r="H5" i="435"/>
  <c r="H4" i="435"/>
  <c r="J4" i="435" s="1"/>
  <c r="H3" i="435"/>
  <c r="J3" i="435" s="1"/>
  <c r="I2" i="435"/>
  <c r="F2" i="435"/>
  <c r="E2" i="435"/>
  <c r="D2" i="435"/>
  <c r="C2" i="435"/>
  <c r="B2" i="435"/>
  <c r="B20" i="430"/>
  <c r="I20" i="430"/>
  <c r="F20" i="430"/>
  <c r="E20" i="430"/>
  <c r="D20" i="430"/>
  <c r="C20" i="430"/>
  <c r="I19" i="430"/>
  <c r="I21" i="430" s="1"/>
  <c r="F19" i="430"/>
  <c r="F21" i="430" s="1"/>
  <c r="E19" i="430"/>
  <c r="D19" i="430"/>
  <c r="C19" i="430"/>
  <c r="B19" i="430"/>
  <c r="H18" i="430"/>
  <c r="H17" i="430"/>
  <c r="J17" i="430" s="1"/>
  <c r="H16" i="430"/>
  <c r="M15" i="430"/>
  <c r="I15" i="430"/>
  <c r="F15" i="430"/>
  <c r="E15" i="430"/>
  <c r="D15" i="430"/>
  <c r="C15" i="430"/>
  <c r="B15" i="430"/>
  <c r="H14" i="430"/>
  <c r="J14" i="430" s="1"/>
  <c r="H13" i="430"/>
  <c r="J13" i="430" s="1"/>
  <c r="H12" i="430"/>
  <c r="J12" i="430" s="1"/>
  <c r="H11" i="430"/>
  <c r="M10" i="430"/>
  <c r="I10" i="430"/>
  <c r="F10" i="430"/>
  <c r="E10" i="430"/>
  <c r="D10" i="430"/>
  <c r="C10" i="430"/>
  <c r="B10" i="430"/>
  <c r="H9" i="430"/>
  <c r="J9" i="430" s="1"/>
  <c r="H8" i="430"/>
  <c r="J8" i="430" s="1"/>
  <c r="H7" i="430"/>
  <c r="J7" i="430" s="1"/>
  <c r="J6" i="430" s="1"/>
  <c r="I6" i="430"/>
  <c r="H6" i="430"/>
  <c r="F6" i="430"/>
  <c r="E6" i="430"/>
  <c r="D6" i="430"/>
  <c r="C6" i="430"/>
  <c r="B6" i="430"/>
  <c r="H5" i="430"/>
  <c r="J5" i="430" s="1"/>
  <c r="H4" i="430"/>
  <c r="J4" i="430" s="1"/>
  <c r="H3" i="430"/>
  <c r="I2" i="430"/>
  <c r="H2" i="430"/>
  <c r="F2" i="430"/>
  <c r="E2" i="430"/>
  <c r="D2" i="430"/>
  <c r="C2" i="430"/>
  <c r="B2" i="430"/>
  <c r="M15" i="427"/>
  <c r="M10" i="427"/>
  <c r="I20" i="427"/>
  <c r="F20" i="427"/>
  <c r="E20" i="427"/>
  <c r="D20" i="427"/>
  <c r="C20" i="427"/>
  <c r="B20" i="427"/>
  <c r="I19" i="427"/>
  <c r="I21" i="427" s="1"/>
  <c r="F19" i="427"/>
  <c r="F21" i="427" s="1"/>
  <c r="E19" i="427"/>
  <c r="D19" i="427"/>
  <c r="C19" i="427"/>
  <c r="B19" i="427"/>
  <c r="H18" i="427"/>
  <c r="J18" i="427" s="1"/>
  <c r="H17" i="427"/>
  <c r="J17" i="427" s="1"/>
  <c r="H16" i="427"/>
  <c r="I15" i="427"/>
  <c r="H15" i="427"/>
  <c r="F15" i="427"/>
  <c r="E15" i="427"/>
  <c r="D15" i="427"/>
  <c r="C15" i="427"/>
  <c r="B15" i="427"/>
  <c r="H14" i="427"/>
  <c r="J14" i="427" s="1"/>
  <c r="H13" i="427"/>
  <c r="J13" i="427" s="1"/>
  <c r="H12" i="427"/>
  <c r="J12" i="427" s="1"/>
  <c r="H11" i="427"/>
  <c r="I10" i="427"/>
  <c r="F10" i="427"/>
  <c r="E10" i="427"/>
  <c r="D10" i="427"/>
  <c r="C10" i="427"/>
  <c r="B10" i="427"/>
  <c r="H9" i="427"/>
  <c r="J9" i="427" s="1"/>
  <c r="H8" i="427"/>
  <c r="J8" i="427" s="1"/>
  <c r="H7" i="427"/>
  <c r="I6" i="427"/>
  <c r="F6" i="427"/>
  <c r="E6" i="427"/>
  <c r="D6" i="427"/>
  <c r="C6" i="427"/>
  <c r="B6" i="427"/>
  <c r="H5" i="427"/>
  <c r="J5" i="427" s="1"/>
  <c r="H4" i="427"/>
  <c r="J4" i="427" s="1"/>
  <c r="H3" i="427"/>
  <c r="I2" i="427"/>
  <c r="H2" i="427"/>
  <c r="F2" i="427"/>
  <c r="E2" i="427"/>
  <c r="D2" i="427"/>
  <c r="C2" i="427"/>
  <c r="B2" i="427"/>
  <c r="M15" i="424"/>
  <c r="M11" i="424"/>
  <c r="I19" i="424"/>
  <c r="C19" i="424"/>
  <c r="D19" i="424"/>
  <c r="E19" i="424"/>
  <c r="F19" i="424"/>
  <c r="I20" i="424"/>
  <c r="C20" i="424"/>
  <c r="D20" i="424"/>
  <c r="E20" i="424"/>
  <c r="F20" i="424"/>
  <c r="B20" i="424"/>
  <c r="B19" i="424"/>
  <c r="B21" i="424" s="1"/>
  <c r="B2" i="424"/>
  <c r="C2" i="424"/>
  <c r="D2" i="424"/>
  <c r="E2" i="424"/>
  <c r="F2" i="424"/>
  <c r="I2" i="424"/>
  <c r="H3" i="424"/>
  <c r="J3" i="424"/>
  <c r="H4" i="424"/>
  <c r="J4" i="424" s="1"/>
  <c r="H5" i="424"/>
  <c r="J5" i="424" s="1"/>
  <c r="B6" i="424"/>
  <c r="C6" i="424"/>
  <c r="D6" i="424"/>
  <c r="E6" i="424"/>
  <c r="F6" i="424"/>
  <c r="I6" i="424"/>
  <c r="H7" i="424"/>
  <c r="J7" i="424"/>
  <c r="H8" i="424"/>
  <c r="J8" i="424"/>
  <c r="H9" i="424"/>
  <c r="J9" i="424"/>
  <c r="B10" i="424"/>
  <c r="C10" i="424"/>
  <c r="D10" i="424"/>
  <c r="E10" i="424"/>
  <c r="F10" i="424"/>
  <c r="I10" i="424"/>
  <c r="H11" i="424"/>
  <c r="J11" i="424"/>
  <c r="H12" i="424"/>
  <c r="J12" i="424" s="1"/>
  <c r="H13" i="424"/>
  <c r="J13" i="424" s="1"/>
  <c r="H14" i="424"/>
  <c r="J14" i="424" s="1"/>
  <c r="B15" i="424"/>
  <c r="C15" i="424"/>
  <c r="D15" i="424"/>
  <c r="E15" i="424"/>
  <c r="F15" i="424"/>
  <c r="I15" i="424"/>
  <c r="H16" i="424"/>
  <c r="H17" i="424"/>
  <c r="J17" i="424"/>
  <c r="H18" i="424"/>
  <c r="J18" i="424" s="1"/>
  <c r="C21" i="424"/>
  <c r="E21" i="424"/>
  <c r="F21" i="424"/>
  <c r="I21" i="424"/>
  <c r="N20" i="423"/>
  <c r="M20" i="423"/>
  <c r="L20" i="423"/>
  <c r="N19" i="423"/>
  <c r="M19" i="423"/>
  <c r="L19" i="423"/>
  <c r="I20" i="423"/>
  <c r="I19" i="423"/>
  <c r="F20" i="423"/>
  <c r="E20" i="423"/>
  <c r="D20" i="423"/>
  <c r="C20" i="423"/>
  <c r="F19" i="423"/>
  <c r="E19" i="423"/>
  <c r="D19" i="423"/>
  <c r="C19" i="423"/>
  <c r="B20" i="423"/>
  <c r="B19" i="423"/>
  <c r="M15" i="423"/>
  <c r="M11" i="423"/>
  <c r="H18" i="423"/>
  <c r="H17" i="423"/>
  <c r="H16" i="423"/>
  <c r="I15" i="423"/>
  <c r="H15" i="423"/>
  <c r="F15" i="423"/>
  <c r="E15" i="423"/>
  <c r="D15" i="423"/>
  <c r="C15" i="423"/>
  <c r="B15" i="423"/>
  <c r="H14" i="423"/>
  <c r="H13" i="423"/>
  <c r="H12" i="423"/>
  <c r="I11" i="423"/>
  <c r="H11" i="423"/>
  <c r="F11" i="423"/>
  <c r="E11" i="423"/>
  <c r="D11" i="423"/>
  <c r="C11" i="423"/>
  <c r="B11" i="423"/>
  <c r="H10" i="423"/>
  <c r="H20" i="423" s="1"/>
  <c r="H9" i="423"/>
  <c r="H8" i="423"/>
  <c r="H7" i="423"/>
  <c r="I6" i="423"/>
  <c r="H6" i="423"/>
  <c r="F6" i="423"/>
  <c r="E6" i="423"/>
  <c r="D6" i="423"/>
  <c r="C6" i="423"/>
  <c r="B6" i="423"/>
  <c r="H5" i="423"/>
  <c r="H4" i="423"/>
  <c r="H3" i="423"/>
  <c r="H19" i="423" s="1"/>
  <c r="I2" i="423"/>
  <c r="H2" i="423"/>
  <c r="F2" i="423"/>
  <c r="E2" i="423"/>
  <c r="D2" i="423"/>
  <c r="C2" i="423"/>
  <c r="B2" i="423"/>
  <c r="I20" i="420"/>
  <c r="F20" i="420"/>
  <c r="E20" i="420"/>
  <c r="D20" i="420"/>
  <c r="C20" i="420"/>
  <c r="B20" i="420"/>
  <c r="I19" i="420"/>
  <c r="F19" i="420"/>
  <c r="E19" i="420"/>
  <c r="D19" i="420"/>
  <c r="C19" i="420"/>
  <c r="B19" i="420"/>
  <c r="H18" i="420"/>
  <c r="H17" i="420"/>
  <c r="H16" i="420"/>
  <c r="I15" i="420"/>
  <c r="H15" i="420"/>
  <c r="F15" i="420"/>
  <c r="E15" i="420"/>
  <c r="D15" i="420"/>
  <c r="C15" i="420"/>
  <c r="B15" i="420"/>
  <c r="H14" i="420"/>
  <c r="H13" i="420"/>
  <c r="H12" i="420"/>
  <c r="I11" i="420"/>
  <c r="H11" i="420"/>
  <c r="F11" i="420"/>
  <c r="E11" i="420"/>
  <c r="D11" i="420"/>
  <c r="C11" i="420"/>
  <c r="B11" i="420"/>
  <c r="H10" i="420"/>
  <c r="H9" i="420"/>
  <c r="H8" i="420"/>
  <c r="H7" i="420"/>
  <c r="I6" i="420"/>
  <c r="F6" i="420"/>
  <c r="E6" i="420"/>
  <c r="D6" i="420"/>
  <c r="C6" i="420"/>
  <c r="B6" i="420"/>
  <c r="H5" i="420"/>
  <c r="H4" i="420"/>
  <c r="H3" i="420"/>
  <c r="I2" i="420"/>
  <c r="H2" i="420"/>
  <c r="F2" i="420"/>
  <c r="E2" i="420"/>
  <c r="D2" i="420"/>
  <c r="C2" i="420"/>
  <c r="B2" i="420"/>
  <c r="I20" i="414"/>
  <c r="F20" i="414"/>
  <c r="E20" i="414"/>
  <c r="D20" i="414"/>
  <c r="C20" i="414"/>
  <c r="B20" i="414"/>
  <c r="I19" i="414"/>
  <c r="F19" i="414"/>
  <c r="E19" i="414"/>
  <c r="D19" i="414"/>
  <c r="C19" i="414"/>
  <c r="B19" i="414"/>
  <c r="H18" i="414"/>
  <c r="H17" i="414"/>
  <c r="H16" i="414"/>
  <c r="I15" i="414"/>
  <c r="F15" i="414"/>
  <c r="E15" i="414"/>
  <c r="D15" i="414"/>
  <c r="C15" i="414"/>
  <c r="B15" i="414"/>
  <c r="H14" i="414"/>
  <c r="H13" i="414"/>
  <c r="H12" i="414"/>
  <c r="I11" i="414"/>
  <c r="H11" i="414"/>
  <c r="F11" i="414"/>
  <c r="E11" i="414"/>
  <c r="D11" i="414"/>
  <c r="C11" i="414"/>
  <c r="B11" i="414"/>
  <c r="H10" i="414"/>
  <c r="H9" i="414"/>
  <c r="H8" i="414"/>
  <c r="H7" i="414"/>
  <c r="I6" i="414"/>
  <c r="F6" i="414"/>
  <c r="E6" i="414"/>
  <c r="D6" i="414"/>
  <c r="C6" i="414"/>
  <c r="B6" i="414"/>
  <c r="H5" i="414"/>
  <c r="H4" i="414"/>
  <c r="H3" i="414"/>
  <c r="I2" i="414"/>
  <c r="H2" i="414"/>
  <c r="F2" i="414"/>
  <c r="E2" i="414"/>
  <c r="D2" i="414"/>
  <c r="C2" i="414"/>
  <c r="B2" i="414"/>
  <c r="I20" i="412"/>
  <c r="F20" i="412"/>
  <c r="E20" i="412"/>
  <c r="D20" i="412"/>
  <c r="C20" i="412"/>
  <c r="B20" i="412"/>
  <c r="I19" i="412"/>
  <c r="F19" i="412"/>
  <c r="E19" i="412"/>
  <c r="D19" i="412"/>
  <c r="C19" i="412"/>
  <c r="B19" i="412"/>
  <c r="H18" i="412"/>
  <c r="H17" i="412"/>
  <c r="H16" i="412"/>
  <c r="I15" i="412"/>
  <c r="F15" i="412"/>
  <c r="E15" i="412"/>
  <c r="D15" i="412"/>
  <c r="C15" i="412"/>
  <c r="B15" i="412"/>
  <c r="H14" i="412"/>
  <c r="H13" i="412"/>
  <c r="H12" i="412"/>
  <c r="I11" i="412"/>
  <c r="F11" i="412"/>
  <c r="E11" i="412"/>
  <c r="D11" i="412"/>
  <c r="C11" i="412"/>
  <c r="B11" i="412"/>
  <c r="H10" i="412"/>
  <c r="H9" i="412"/>
  <c r="H8" i="412"/>
  <c r="H7" i="412"/>
  <c r="I6" i="412"/>
  <c r="F6" i="412"/>
  <c r="E6" i="412"/>
  <c r="D6" i="412"/>
  <c r="C6" i="412"/>
  <c r="B6" i="412"/>
  <c r="H5" i="412"/>
  <c r="H4" i="412"/>
  <c r="H3" i="412"/>
  <c r="I2" i="412"/>
  <c r="H2" i="412"/>
  <c r="F2" i="412"/>
  <c r="E2" i="412"/>
  <c r="D2" i="412"/>
  <c r="C2" i="412"/>
  <c r="B2" i="412"/>
  <c r="I20" i="409"/>
  <c r="F20" i="409"/>
  <c r="E20" i="409"/>
  <c r="D20" i="409"/>
  <c r="C20" i="409"/>
  <c r="B20" i="409"/>
  <c r="I19" i="409"/>
  <c r="I21" i="409" s="1"/>
  <c r="F19" i="409"/>
  <c r="E19" i="409"/>
  <c r="D19" i="409"/>
  <c r="C19" i="409"/>
  <c r="C21" i="409" s="1"/>
  <c r="B19" i="409"/>
  <c r="H18" i="409"/>
  <c r="J18" i="409" s="1"/>
  <c r="H17" i="409"/>
  <c r="J17" i="409" s="1"/>
  <c r="H16" i="409"/>
  <c r="J16" i="409" s="1"/>
  <c r="I15" i="409"/>
  <c r="F15" i="409"/>
  <c r="E15" i="409"/>
  <c r="D15" i="409"/>
  <c r="C15" i="409"/>
  <c r="B15" i="409"/>
  <c r="H14" i="409"/>
  <c r="J14" i="409" s="1"/>
  <c r="H13" i="409"/>
  <c r="J13" i="409" s="1"/>
  <c r="H12" i="409"/>
  <c r="I11" i="409"/>
  <c r="F11" i="409"/>
  <c r="E11" i="409"/>
  <c r="D11" i="409"/>
  <c r="C11" i="409"/>
  <c r="B11" i="409"/>
  <c r="H10" i="409"/>
  <c r="J10" i="409" s="1"/>
  <c r="H9" i="409"/>
  <c r="J9" i="409" s="1"/>
  <c r="H8" i="409"/>
  <c r="H7" i="409"/>
  <c r="J7" i="409" s="1"/>
  <c r="I6" i="409"/>
  <c r="F6" i="409"/>
  <c r="E6" i="409"/>
  <c r="D6" i="409"/>
  <c r="C6" i="409"/>
  <c r="B6" i="409"/>
  <c r="H5" i="409"/>
  <c r="J5" i="409" s="1"/>
  <c r="H4" i="409"/>
  <c r="J4" i="409" s="1"/>
  <c r="H3" i="409"/>
  <c r="I2" i="409"/>
  <c r="H2" i="409"/>
  <c r="F2" i="409"/>
  <c r="E2" i="409"/>
  <c r="D2" i="409"/>
  <c r="C2" i="409"/>
  <c r="B2" i="409"/>
  <c r="I20" i="405"/>
  <c r="F20" i="405"/>
  <c r="E20" i="405"/>
  <c r="D20" i="405"/>
  <c r="C20" i="405"/>
  <c r="B20" i="405"/>
  <c r="I19" i="405"/>
  <c r="I21" i="405" s="1"/>
  <c r="F19" i="405"/>
  <c r="E19" i="405"/>
  <c r="E21" i="405" s="1"/>
  <c r="D19" i="405"/>
  <c r="C19" i="405"/>
  <c r="B19" i="405"/>
  <c r="B21" i="405" s="1"/>
  <c r="H18" i="405"/>
  <c r="J18" i="405" s="1"/>
  <c r="H17" i="405"/>
  <c r="J17" i="405" s="1"/>
  <c r="H16" i="405"/>
  <c r="I15" i="405"/>
  <c r="F15" i="405"/>
  <c r="E15" i="405"/>
  <c r="D15" i="405"/>
  <c r="C15" i="405"/>
  <c r="B15" i="405"/>
  <c r="H14" i="405"/>
  <c r="J14" i="405" s="1"/>
  <c r="H13" i="405"/>
  <c r="H12" i="405"/>
  <c r="J12" i="405" s="1"/>
  <c r="I11" i="405"/>
  <c r="F11" i="405"/>
  <c r="E11" i="405"/>
  <c r="D11" i="405"/>
  <c r="C11" i="405"/>
  <c r="B11" i="405"/>
  <c r="H10" i="405"/>
  <c r="H9" i="405"/>
  <c r="J9" i="405" s="1"/>
  <c r="H8" i="405"/>
  <c r="H7" i="405"/>
  <c r="I6" i="405"/>
  <c r="F6" i="405"/>
  <c r="E6" i="405"/>
  <c r="D6" i="405"/>
  <c r="C6" i="405"/>
  <c r="B6" i="405"/>
  <c r="H5" i="405"/>
  <c r="J5" i="405" s="1"/>
  <c r="H4" i="405"/>
  <c r="J4" i="405" s="1"/>
  <c r="H3" i="405"/>
  <c r="J3" i="405" s="1"/>
  <c r="I2" i="405"/>
  <c r="H2" i="405"/>
  <c r="F2" i="405"/>
  <c r="E2" i="405"/>
  <c r="D2" i="405"/>
  <c r="C2" i="405"/>
  <c r="B2" i="405"/>
  <c r="I20" i="400"/>
  <c r="F20" i="400"/>
  <c r="E20" i="400"/>
  <c r="D20" i="400"/>
  <c r="C20" i="400"/>
  <c r="I19" i="400"/>
  <c r="I21" i="400" s="1"/>
  <c r="F19" i="400"/>
  <c r="F21" i="400" s="1"/>
  <c r="E19" i="400"/>
  <c r="D19" i="400"/>
  <c r="D21" i="400" s="1"/>
  <c r="C19" i="400"/>
  <c r="B19" i="400"/>
  <c r="H18" i="400"/>
  <c r="J18" i="400" s="1"/>
  <c r="H17" i="400"/>
  <c r="J17" i="400" s="1"/>
  <c r="H16" i="400"/>
  <c r="J16" i="400" s="1"/>
  <c r="I15" i="400"/>
  <c r="H15" i="400"/>
  <c r="F15" i="400"/>
  <c r="E15" i="400"/>
  <c r="D15" i="400"/>
  <c r="C15" i="400"/>
  <c r="B15" i="400"/>
  <c r="H14" i="400"/>
  <c r="J14" i="400" s="1"/>
  <c r="H13" i="400"/>
  <c r="J13" i="400" s="1"/>
  <c r="H12" i="400"/>
  <c r="J12" i="400" s="1"/>
  <c r="J11" i="400" s="1"/>
  <c r="I11" i="400"/>
  <c r="H11" i="400"/>
  <c r="F11" i="400"/>
  <c r="E11" i="400"/>
  <c r="D11" i="400"/>
  <c r="C11" i="400"/>
  <c r="B11" i="400"/>
  <c r="H10" i="400"/>
  <c r="J10" i="400" s="1"/>
  <c r="H9" i="400"/>
  <c r="J9" i="400" s="1"/>
  <c r="H7" i="400"/>
  <c r="J7" i="400" s="1"/>
  <c r="I6" i="400"/>
  <c r="F6" i="400"/>
  <c r="E6" i="400"/>
  <c r="D6" i="400"/>
  <c r="C6" i="400"/>
  <c r="H5" i="400"/>
  <c r="H4" i="400"/>
  <c r="J4" i="400" s="1"/>
  <c r="H3" i="400"/>
  <c r="I2" i="400"/>
  <c r="F2" i="400"/>
  <c r="E2" i="400"/>
  <c r="D2" i="400"/>
  <c r="C2" i="400"/>
  <c r="B2" i="400"/>
  <c r="I20" i="396"/>
  <c r="F20" i="396"/>
  <c r="E20" i="396"/>
  <c r="D20" i="396"/>
  <c r="C20" i="396"/>
  <c r="I19" i="396"/>
  <c r="I21" i="396" s="1"/>
  <c r="F19" i="396"/>
  <c r="F21" i="396" s="1"/>
  <c r="E19" i="396"/>
  <c r="D19" i="396"/>
  <c r="D21" i="396" s="1"/>
  <c r="C19" i="396"/>
  <c r="B19" i="396"/>
  <c r="N18" i="396"/>
  <c r="H18" i="396"/>
  <c r="N17" i="396"/>
  <c r="H17" i="396"/>
  <c r="J17" i="396" s="1"/>
  <c r="N16" i="396"/>
  <c r="H16" i="396"/>
  <c r="J16" i="396" s="1"/>
  <c r="I15" i="396"/>
  <c r="F15" i="396"/>
  <c r="E15" i="396"/>
  <c r="D15" i="396"/>
  <c r="C15" i="396"/>
  <c r="B15" i="396"/>
  <c r="N14" i="396"/>
  <c r="H14" i="396"/>
  <c r="J14" i="396" s="1"/>
  <c r="N13" i="396"/>
  <c r="H13" i="396"/>
  <c r="J13" i="396" s="1"/>
  <c r="N12" i="396"/>
  <c r="H12" i="396"/>
  <c r="J12" i="396" s="1"/>
  <c r="J11" i="396" s="1"/>
  <c r="N11" i="396"/>
  <c r="I11" i="396"/>
  <c r="H11" i="396"/>
  <c r="F11" i="396"/>
  <c r="E11" i="396"/>
  <c r="D11" i="396"/>
  <c r="C11" i="396"/>
  <c r="B11" i="396"/>
  <c r="N10" i="396"/>
  <c r="H10" i="396"/>
  <c r="J10" i="396" s="1"/>
  <c r="N9" i="396"/>
  <c r="H9" i="396"/>
  <c r="J9" i="396" s="1"/>
  <c r="N8" i="396"/>
  <c r="N7" i="396"/>
  <c r="H7" i="396"/>
  <c r="J7" i="396" s="1"/>
  <c r="I6" i="396"/>
  <c r="F6" i="396"/>
  <c r="E6" i="396"/>
  <c r="D6" i="396"/>
  <c r="C6" i="396"/>
  <c r="N5" i="396"/>
  <c r="H5" i="396"/>
  <c r="J5" i="396" s="1"/>
  <c r="N4" i="396"/>
  <c r="H4" i="396"/>
  <c r="J4" i="396" s="1"/>
  <c r="N3" i="396"/>
  <c r="N19" i="396" s="1"/>
  <c r="H3" i="396"/>
  <c r="N2" i="396"/>
  <c r="I2" i="396"/>
  <c r="H2" i="396"/>
  <c r="F2" i="396"/>
  <c r="E2" i="396"/>
  <c r="D2" i="396"/>
  <c r="C2" i="396"/>
  <c r="B2" i="396"/>
  <c r="N18" i="394"/>
  <c r="N10" i="394"/>
  <c r="N9" i="394"/>
  <c r="N7" i="394"/>
  <c r="I20" i="394"/>
  <c r="F20" i="394"/>
  <c r="E20" i="394"/>
  <c r="D20" i="394"/>
  <c r="C20" i="394"/>
  <c r="B20" i="394"/>
  <c r="I19" i="394"/>
  <c r="E19" i="394"/>
  <c r="D19" i="394"/>
  <c r="C19" i="394"/>
  <c r="H18" i="394"/>
  <c r="J18" i="394" s="1"/>
  <c r="H17" i="394"/>
  <c r="J17" i="394" s="1"/>
  <c r="N16" i="394"/>
  <c r="H16" i="394"/>
  <c r="I15" i="394"/>
  <c r="F15" i="394"/>
  <c r="E15" i="394"/>
  <c r="D15" i="394"/>
  <c r="C15" i="394"/>
  <c r="B15" i="394"/>
  <c r="N14" i="394"/>
  <c r="H14" i="394"/>
  <c r="N13" i="394"/>
  <c r="H13" i="394"/>
  <c r="J13" i="394" s="1"/>
  <c r="N12" i="394"/>
  <c r="H12" i="394"/>
  <c r="J12" i="394" s="1"/>
  <c r="I11" i="394"/>
  <c r="F11" i="394"/>
  <c r="E11" i="394"/>
  <c r="D11" i="394"/>
  <c r="C11" i="394"/>
  <c r="B11" i="394"/>
  <c r="H10" i="394"/>
  <c r="J10" i="394" s="1"/>
  <c r="H9" i="394"/>
  <c r="J9" i="394" s="1"/>
  <c r="N8" i="394"/>
  <c r="H8" i="394"/>
  <c r="I6" i="394"/>
  <c r="E6" i="394"/>
  <c r="D6" i="394"/>
  <c r="C6" i="394"/>
  <c r="N5" i="394"/>
  <c r="H5" i="394"/>
  <c r="J5" i="394" s="1"/>
  <c r="N4" i="394"/>
  <c r="H4" i="394"/>
  <c r="J4" i="394" s="1"/>
  <c r="N3" i="394"/>
  <c r="H3" i="394"/>
  <c r="I2" i="394"/>
  <c r="F2" i="394"/>
  <c r="E2" i="394"/>
  <c r="D2" i="394"/>
  <c r="C2" i="394"/>
  <c r="B2" i="394"/>
  <c r="J11" i="438" l="1"/>
  <c r="J10" i="438" s="1"/>
  <c r="H10" i="438"/>
  <c r="H20" i="438"/>
  <c r="J16" i="438"/>
  <c r="H19" i="438"/>
  <c r="J3" i="438"/>
  <c r="D21" i="427"/>
  <c r="B21" i="427"/>
  <c r="H19" i="424"/>
  <c r="E21" i="396"/>
  <c r="J5" i="435"/>
  <c r="H2" i="435"/>
  <c r="R20" i="435"/>
  <c r="R19" i="435"/>
  <c r="R21" i="435" s="1"/>
  <c r="J18" i="435"/>
  <c r="J16" i="435"/>
  <c r="J14" i="435"/>
  <c r="J13" i="435"/>
  <c r="J12" i="435"/>
  <c r="J9" i="435"/>
  <c r="J8" i="435"/>
  <c r="J7" i="435"/>
  <c r="J6" i="435" s="1"/>
  <c r="J17" i="435"/>
  <c r="H15" i="435"/>
  <c r="H20" i="435"/>
  <c r="J11" i="435"/>
  <c r="H19" i="435"/>
  <c r="H10" i="435"/>
  <c r="J19" i="435"/>
  <c r="J2" i="435"/>
  <c r="J20" i="435"/>
  <c r="H6" i="424"/>
  <c r="H2" i="424"/>
  <c r="J6" i="424"/>
  <c r="J16" i="424"/>
  <c r="H20" i="424"/>
  <c r="J19" i="424"/>
  <c r="J2" i="424"/>
  <c r="E21" i="430"/>
  <c r="J18" i="430"/>
  <c r="H15" i="430"/>
  <c r="B21" i="430"/>
  <c r="C21" i="430"/>
  <c r="D21" i="430"/>
  <c r="J11" i="430"/>
  <c r="J10" i="430" s="1"/>
  <c r="H10" i="430"/>
  <c r="J16" i="430"/>
  <c r="H20" i="430"/>
  <c r="H19" i="430"/>
  <c r="J3" i="430"/>
  <c r="E21" i="427"/>
  <c r="C21" i="427"/>
  <c r="J11" i="427"/>
  <c r="J10" i="427" s="1"/>
  <c r="H10" i="427"/>
  <c r="H20" i="427"/>
  <c r="J16" i="427"/>
  <c r="J7" i="427"/>
  <c r="J6" i="427" s="1"/>
  <c r="H6" i="427"/>
  <c r="H19" i="427"/>
  <c r="H21" i="427" s="1"/>
  <c r="J3" i="427"/>
  <c r="H15" i="424"/>
  <c r="H10" i="424"/>
  <c r="D21" i="424"/>
  <c r="J10" i="424"/>
  <c r="I21" i="423"/>
  <c r="J17" i="423"/>
  <c r="F21" i="423"/>
  <c r="D21" i="423"/>
  <c r="C21" i="423"/>
  <c r="B21" i="423"/>
  <c r="E21" i="423"/>
  <c r="J18" i="423"/>
  <c r="J16" i="423"/>
  <c r="J13" i="423"/>
  <c r="J12" i="423"/>
  <c r="J10" i="423"/>
  <c r="J7" i="423"/>
  <c r="J3" i="423"/>
  <c r="J9" i="423"/>
  <c r="J4" i="423"/>
  <c r="J8" i="423"/>
  <c r="J14" i="423"/>
  <c r="J5" i="423"/>
  <c r="J14" i="420"/>
  <c r="H6" i="420"/>
  <c r="D21" i="420"/>
  <c r="C21" i="420"/>
  <c r="J13" i="420"/>
  <c r="J10" i="420"/>
  <c r="J8" i="420"/>
  <c r="J12" i="420"/>
  <c r="J11" i="420" s="1"/>
  <c r="I21" i="420"/>
  <c r="B21" i="420"/>
  <c r="J9" i="420"/>
  <c r="J7" i="420"/>
  <c r="E21" i="420"/>
  <c r="H19" i="420"/>
  <c r="J18" i="420"/>
  <c r="J17" i="420"/>
  <c r="J16" i="420"/>
  <c r="J15" i="420" s="1"/>
  <c r="J5" i="420"/>
  <c r="J4" i="420"/>
  <c r="F21" i="420"/>
  <c r="H20" i="420"/>
  <c r="J3" i="420"/>
  <c r="J17" i="414"/>
  <c r="J5" i="414"/>
  <c r="J3" i="414"/>
  <c r="J15" i="409"/>
  <c r="H6" i="414"/>
  <c r="H15" i="414"/>
  <c r="F21" i="414"/>
  <c r="E21" i="414"/>
  <c r="D21" i="414"/>
  <c r="C21" i="414"/>
  <c r="B21" i="414"/>
  <c r="H20" i="414"/>
  <c r="J18" i="414"/>
  <c r="I21" i="414"/>
  <c r="H19" i="414"/>
  <c r="J16" i="414"/>
  <c r="J15" i="414" s="1"/>
  <c r="J14" i="414"/>
  <c r="J13" i="414"/>
  <c r="J12" i="414"/>
  <c r="J11" i="414" s="1"/>
  <c r="J10" i="414"/>
  <c r="J9" i="414"/>
  <c r="J8" i="414"/>
  <c r="J7" i="414"/>
  <c r="J4" i="414"/>
  <c r="J2" i="414"/>
  <c r="J8" i="412"/>
  <c r="J4" i="412"/>
  <c r="H15" i="409"/>
  <c r="J17" i="412"/>
  <c r="J10" i="412"/>
  <c r="J9" i="412"/>
  <c r="H6" i="412"/>
  <c r="J18" i="412"/>
  <c r="J16" i="412"/>
  <c r="H15" i="412"/>
  <c r="J14" i="412"/>
  <c r="J13" i="412"/>
  <c r="J12" i="412"/>
  <c r="J11" i="412" s="1"/>
  <c r="J7" i="412"/>
  <c r="J6" i="412" s="1"/>
  <c r="J5" i="412"/>
  <c r="C21" i="412"/>
  <c r="B21" i="412"/>
  <c r="H11" i="412"/>
  <c r="I21" i="412"/>
  <c r="F21" i="412"/>
  <c r="H20" i="412"/>
  <c r="H19" i="412"/>
  <c r="J3" i="412"/>
  <c r="D21" i="412"/>
  <c r="E21" i="412"/>
  <c r="H6" i="409"/>
  <c r="F21" i="405"/>
  <c r="N6" i="396"/>
  <c r="J7" i="405"/>
  <c r="H19" i="405"/>
  <c r="J5" i="400"/>
  <c r="H2" i="400"/>
  <c r="F21" i="409"/>
  <c r="E21" i="409"/>
  <c r="B21" i="409"/>
  <c r="D21" i="409"/>
  <c r="J12" i="409"/>
  <c r="J11" i="409" s="1"/>
  <c r="H11" i="409"/>
  <c r="H20" i="409"/>
  <c r="J8" i="409"/>
  <c r="H19" i="409"/>
  <c r="J3" i="409"/>
  <c r="D21" i="405"/>
  <c r="J13" i="405"/>
  <c r="H11" i="405"/>
  <c r="J16" i="405"/>
  <c r="J15" i="405" s="1"/>
  <c r="H15" i="405"/>
  <c r="C21" i="405"/>
  <c r="J10" i="405"/>
  <c r="H6" i="405"/>
  <c r="J8" i="405"/>
  <c r="H20" i="405"/>
  <c r="H21" i="405" s="1"/>
  <c r="J19" i="405"/>
  <c r="J2" i="405"/>
  <c r="J11" i="405"/>
  <c r="J15" i="400"/>
  <c r="E21" i="400"/>
  <c r="C21" i="400"/>
  <c r="H19" i="400"/>
  <c r="J3" i="400"/>
  <c r="J3" i="396"/>
  <c r="H19" i="396"/>
  <c r="C21" i="396"/>
  <c r="H15" i="396"/>
  <c r="J18" i="396"/>
  <c r="N15" i="396"/>
  <c r="N20" i="396"/>
  <c r="N21" i="396" s="1"/>
  <c r="J19" i="396"/>
  <c r="J2" i="396"/>
  <c r="H20" i="394"/>
  <c r="N2" i="394"/>
  <c r="I21" i="394"/>
  <c r="N11" i="394"/>
  <c r="H2" i="394"/>
  <c r="N6" i="394"/>
  <c r="N19" i="394"/>
  <c r="N17" i="394"/>
  <c r="N15" i="394" s="1"/>
  <c r="D21" i="394"/>
  <c r="H15" i="394"/>
  <c r="C21" i="394"/>
  <c r="H11" i="394"/>
  <c r="E21" i="394"/>
  <c r="J14" i="394"/>
  <c r="J11" i="394" s="1"/>
  <c r="J8" i="394"/>
  <c r="J16" i="394"/>
  <c r="J15" i="394" s="1"/>
  <c r="J3" i="394"/>
  <c r="H21" i="438" l="1"/>
  <c r="J20" i="438"/>
  <c r="J15" i="438"/>
  <c r="J2" i="438"/>
  <c r="J19" i="438"/>
  <c r="J21" i="438" s="1"/>
  <c r="H21" i="424"/>
  <c r="J20" i="423"/>
  <c r="J19" i="423"/>
  <c r="J20" i="424"/>
  <c r="J15" i="424"/>
  <c r="J15" i="435"/>
  <c r="J10" i="435"/>
  <c r="H21" i="435"/>
  <c r="J21" i="435"/>
  <c r="J21" i="424"/>
  <c r="H21" i="430"/>
  <c r="J20" i="430"/>
  <c r="J15" i="430"/>
  <c r="J19" i="430"/>
  <c r="J2" i="430"/>
  <c r="J20" i="427"/>
  <c r="J15" i="427"/>
  <c r="J19" i="427"/>
  <c r="J2" i="427"/>
  <c r="J6" i="423"/>
  <c r="H21" i="423"/>
  <c r="J15" i="423"/>
  <c r="J2" i="423"/>
  <c r="J11" i="423"/>
  <c r="J6" i="420"/>
  <c r="J2" i="420"/>
  <c r="J19" i="420"/>
  <c r="J20" i="420"/>
  <c r="H21" i="420"/>
  <c r="J6" i="414"/>
  <c r="J20" i="414"/>
  <c r="H21" i="414"/>
  <c r="J19" i="414"/>
  <c r="J21" i="414" s="1"/>
  <c r="J15" i="412"/>
  <c r="J20" i="412"/>
  <c r="J2" i="412"/>
  <c r="J19" i="412"/>
  <c r="H21" i="412"/>
  <c r="H21" i="409"/>
  <c r="J6" i="409"/>
  <c r="J20" i="409"/>
  <c r="J19" i="409"/>
  <c r="J21" i="409" s="1"/>
  <c r="J2" i="409"/>
  <c r="J20" i="405"/>
  <c r="J21" i="405" s="1"/>
  <c r="J6" i="405"/>
  <c r="J19" i="400"/>
  <c r="J2" i="400"/>
  <c r="J15" i="396"/>
  <c r="N20" i="394"/>
  <c r="N21" i="394" s="1"/>
  <c r="J20" i="394"/>
  <c r="J2" i="394"/>
  <c r="J21" i="430" l="1"/>
  <c r="J21" i="427"/>
  <c r="J21" i="423"/>
  <c r="J21" i="420"/>
  <c r="J21" i="412"/>
  <c r="I20" i="384"/>
  <c r="F20" i="384"/>
  <c r="E20" i="384"/>
  <c r="D20" i="384"/>
  <c r="C20" i="384"/>
  <c r="B20" i="384"/>
  <c r="I19" i="384"/>
  <c r="F19" i="384"/>
  <c r="E19" i="384"/>
  <c r="D19" i="384"/>
  <c r="C19" i="384"/>
  <c r="N18" i="384"/>
  <c r="H18" i="384"/>
  <c r="N17" i="384"/>
  <c r="H17" i="384"/>
  <c r="J17" i="384" s="1"/>
  <c r="N16" i="384"/>
  <c r="H16" i="384"/>
  <c r="J16" i="384" s="1"/>
  <c r="I15" i="384"/>
  <c r="F15" i="384"/>
  <c r="E15" i="384"/>
  <c r="D15" i="384"/>
  <c r="C15" i="384"/>
  <c r="B15" i="384"/>
  <c r="N14" i="384"/>
  <c r="H14" i="384"/>
  <c r="J14" i="384" s="1"/>
  <c r="N13" i="384"/>
  <c r="H13" i="384"/>
  <c r="J13" i="384" s="1"/>
  <c r="N12" i="384"/>
  <c r="H12" i="384"/>
  <c r="I11" i="384"/>
  <c r="F11" i="384"/>
  <c r="E11" i="384"/>
  <c r="D11" i="384"/>
  <c r="C11" i="384"/>
  <c r="B11" i="384"/>
  <c r="N10" i="384"/>
  <c r="H10" i="384"/>
  <c r="J10" i="384" s="1"/>
  <c r="N9" i="384"/>
  <c r="H9" i="384"/>
  <c r="J9" i="384" s="1"/>
  <c r="N8" i="384"/>
  <c r="H8" i="384"/>
  <c r="N7" i="384"/>
  <c r="I6" i="384"/>
  <c r="F6" i="384"/>
  <c r="E6" i="384"/>
  <c r="D6" i="384"/>
  <c r="C6" i="384"/>
  <c r="N5" i="384"/>
  <c r="H5" i="384"/>
  <c r="J5" i="384" s="1"/>
  <c r="N4" i="384"/>
  <c r="H4" i="384"/>
  <c r="N3" i="384"/>
  <c r="H3" i="384"/>
  <c r="J3" i="384" s="1"/>
  <c r="I2" i="384"/>
  <c r="F2" i="384"/>
  <c r="E2" i="384"/>
  <c r="D2" i="384"/>
  <c r="C2" i="384"/>
  <c r="B2" i="384"/>
  <c r="I21" i="384" l="1"/>
  <c r="N6" i="384"/>
  <c r="N19" i="384"/>
  <c r="H11" i="384"/>
  <c r="N11" i="384"/>
  <c r="N20" i="384"/>
  <c r="N2" i="384"/>
  <c r="N15" i="384"/>
  <c r="H15" i="384"/>
  <c r="F21" i="384"/>
  <c r="C21" i="384"/>
  <c r="D21" i="384"/>
  <c r="E21" i="384"/>
  <c r="H20" i="384"/>
  <c r="J8" i="384"/>
  <c r="J4" i="384"/>
  <c r="J2" i="384" s="1"/>
  <c r="J12" i="384"/>
  <c r="J11" i="384" s="1"/>
  <c r="H2" i="384"/>
  <c r="J18" i="384"/>
  <c r="J15" i="384" s="1"/>
  <c r="N21" i="384" l="1"/>
  <c r="J20" i="384"/>
  <c r="M20" i="378" l="1"/>
  <c r="L20" i="378"/>
  <c r="I20" i="378"/>
  <c r="F20" i="378"/>
  <c r="E20" i="378"/>
  <c r="D20" i="378"/>
  <c r="C20" i="378"/>
  <c r="B20" i="378"/>
  <c r="M19" i="378"/>
  <c r="M21" i="378" s="1"/>
  <c r="L19" i="378"/>
  <c r="L21" i="378" s="1"/>
  <c r="I19" i="378"/>
  <c r="I21" i="378" s="1"/>
  <c r="F19" i="378"/>
  <c r="E19" i="378"/>
  <c r="D19" i="378"/>
  <c r="C19" i="378"/>
  <c r="B19" i="378"/>
  <c r="N18" i="378"/>
  <c r="H18" i="378"/>
  <c r="J18" i="378" s="1"/>
  <c r="N17" i="378"/>
  <c r="H17" i="378"/>
  <c r="J17" i="378" s="1"/>
  <c r="N16" i="378"/>
  <c r="H16" i="378"/>
  <c r="J16" i="378" s="1"/>
  <c r="I15" i="378"/>
  <c r="F15" i="378"/>
  <c r="E15" i="378"/>
  <c r="D15" i="378"/>
  <c r="C15" i="378"/>
  <c r="B15" i="378"/>
  <c r="N14" i="378"/>
  <c r="H14" i="378"/>
  <c r="J14" i="378" s="1"/>
  <c r="N13" i="378"/>
  <c r="H13" i="378"/>
  <c r="J13" i="378" s="1"/>
  <c r="N12" i="378"/>
  <c r="N11" i="378" s="1"/>
  <c r="H12" i="378"/>
  <c r="J12" i="378" s="1"/>
  <c r="I11" i="378"/>
  <c r="F11" i="378"/>
  <c r="E11" i="378"/>
  <c r="D11" i="378"/>
  <c r="C11" i="378"/>
  <c r="B11" i="378"/>
  <c r="N10" i="378"/>
  <c r="H10" i="378"/>
  <c r="J10" i="378" s="1"/>
  <c r="N9" i="378"/>
  <c r="H9" i="378"/>
  <c r="J9" i="378" s="1"/>
  <c r="N8" i="378"/>
  <c r="H8" i="378"/>
  <c r="N7" i="378"/>
  <c r="H7" i="378"/>
  <c r="I6" i="378"/>
  <c r="F6" i="378"/>
  <c r="E6" i="378"/>
  <c r="D6" i="378"/>
  <c r="C6" i="378"/>
  <c r="B6" i="378"/>
  <c r="N5" i="378"/>
  <c r="H5" i="378"/>
  <c r="J5" i="378" s="1"/>
  <c r="N4" i="378"/>
  <c r="H4" i="378"/>
  <c r="J4" i="378" s="1"/>
  <c r="N3" i="378"/>
  <c r="H3" i="378"/>
  <c r="J3" i="378" s="1"/>
  <c r="I2" i="378"/>
  <c r="F2" i="378"/>
  <c r="E2" i="378"/>
  <c r="D2" i="378"/>
  <c r="C2" i="378"/>
  <c r="B2" i="378"/>
  <c r="M20" i="376"/>
  <c r="L20" i="376"/>
  <c r="M19" i="376"/>
  <c r="L19" i="376"/>
  <c r="I20" i="376"/>
  <c r="I19" i="376"/>
  <c r="F20" i="376"/>
  <c r="E20" i="376"/>
  <c r="D20" i="376"/>
  <c r="C20" i="376"/>
  <c r="F19" i="376"/>
  <c r="E19" i="376"/>
  <c r="D19" i="376"/>
  <c r="D21" i="376" s="1"/>
  <c r="C19" i="376"/>
  <c r="C21" i="376" s="1"/>
  <c r="B20" i="376"/>
  <c r="B19" i="376"/>
  <c r="N8" i="376"/>
  <c r="H8" i="376"/>
  <c r="J8" i="376" s="1"/>
  <c r="N18" i="376"/>
  <c r="H18" i="376"/>
  <c r="J18" i="376" s="1"/>
  <c r="N17" i="376"/>
  <c r="H17" i="376"/>
  <c r="J17" i="376" s="1"/>
  <c r="N16" i="376"/>
  <c r="H16" i="376"/>
  <c r="J16" i="376" s="1"/>
  <c r="M15" i="376"/>
  <c r="L15" i="376"/>
  <c r="I15" i="376"/>
  <c r="F15" i="376"/>
  <c r="E15" i="376"/>
  <c r="D15" i="376"/>
  <c r="C15" i="376"/>
  <c r="B15" i="376"/>
  <c r="N14" i="376"/>
  <c r="H14" i="376"/>
  <c r="J14" i="376" s="1"/>
  <c r="N13" i="376"/>
  <c r="H13" i="376"/>
  <c r="N12" i="376"/>
  <c r="H12" i="376"/>
  <c r="J12" i="376" s="1"/>
  <c r="M11" i="376"/>
  <c r="L11" i="376"/>
  <c r="I11" i="376"/>
  <c r="F11" i="376"/>
  <c r="E11" i="376"/>
  <c r="D11" i="376"/>
  <c r="C11" i="376"/>
  <c r="B11" i="376"/>
  <c r="N10" i="376"/>
  <c r="H10" i="376"/>
  <c r="J10" i="376" s="1"/>
  <c r="N9" i="376"/>
  <c r="H9" i="376"/>
  <c r="J9" i="376" s="1"/>
  <c r="N7" i="376"/>
  <c r="H7" i="376"/>
  <c r="J7" i="376" s="1"/>
  <c r="M6" i="376"/>
  <c r="L6" i="376"/>
  <c r="I6" i="376"/>
  <c r="F6" i="376"/>
  <c r="E6" i="376"/>
  <c r="D6" i="376"/>
  <c r="C6" i="376"/>
  <c r="B6" i="376"/>
  <c r="N5" i="376"/>
  <c r="H5" i="376"/>
  <c r="J5" i="376" s="1"/>
  <c r="N4" i="376"/>
  <c r="H4" i="376"/>
  <c r="J4" i="376" s="1"/>
  <c r="N3" i="376"/>
  <c r="H3" i="376"/>
  <c r="M2" i="376"/>
  <c r="L2" i="376"/>
  <c r="I2" i="376"/>
  <c r="F2" i="376"/>
  <c r="E2" i="376"/>
  <c r="D2" i="376"/>
  <c r="C2" i="376"/>
  <c r="B2" i="376"/>
  <c r="M20" i="374"/>
  <c r="L20" i="374"/>
  <c r="I20" i="374"/>
  <c r="F20" i="374"/>
  <c r="E20" i="374"/>
  <c r="D20" i="374"/>
  <c r="C20" i="374"/>
  <c r="B20" i="374"/>
  <c r="M19" i="374"/>
  <c r="L19" i="374"/>
  <c r="I19" i="374"/>
  <c r="I21" i="374" s="1"/>
  <c r="F19" i="374"/>
  <c r="E19" i="374"/>
  <c r="D19" i="374"/>
  <c r="C19" i="374"/>
  <c r="B19" i="374"/>
  <c r="N18" i="374"/>
  <c r="H18" i="374"/>
  <c r="J18" i="374" s="1"/>
  <c r="N17" i="374"/>
  <c r="H17" i="374"/>
  <c r="N16" i="374"/>
  <c r="H16" i="374"/>
  <c r="J16" i="374" s="1"/>
  <c r="M15" i="374"/>
  <c r="L15" i="374"/>
  <c r="I15" i="374"/>
  <c r="F15" i="374"/>
  <c r="E15" i="374"/>
  <c r="D15" i="374"/>
  <c r="C15" i="374"/>
  <c r="B15" i="374"/>
  <c r="N14" i="374"/>
  <c r="H14" i="374"/>
  <c r="J14" i="374" s="1"/>
  <c r="N13" i="374"/>
  <c r="H13" i="374"/>
  <c r="J13" i="374" s="1"/>
  <c r="N12" i="374"/>
  <c r="H12" i="374"/>
  <c r="J12" i="374" s="1"/>
  <c r="J11" i="374" s="1"/>
  <c r="M11" i="374"/>
  <c r="L11" i="374"/>
  <c r="I11" i="374"/>
  <c r="F11" i="374"/>
  <c r="E11" i="374"/>
  <c r="D11" i="374"/>
  <c r="C11" i="374"/>
  <c r="B11" i="374"/>
  <c r="N10" i="374"/>
  <c r="H10" i="374"/>
  <c r="J10" i="374" s="1"/>
  <c r="N9" i="374"/>
  <c r="H9" i="374"/>
  <c r="J9" i="374" s="1"/>
  <c r="N8" i="374"/>
  <c r="H8" i="374"/>
  <c r="J8" i="374" s="1"/>
  <c r="M7" i="374"/>
  <c r="L7" i="374"/>
  <c r="I7" i="374"/>
  <c r="F7" i="374"/>
  <c r="E7" i="374"/>
  <c r="D7" i="374"/>
  <c r="C7" i="374"/>
  <c r="B7" i="374"/>
  <c r="N6" i="374"/>
  <c r="H6" i="374"/>
  <c r="J6" i="374" s="1"/>
  <c r="N5" i="374"/>
  <c r="H5" i="374"/>
  <c r="N4" i="374"/>
  <c r="H4" i="374"/>
  <c r="J4" i="374" s="1"/>
  <c r="N3" i="374"/>
  <c r="H3" i="374"/>
  <c r="M2" i="374"/>
  <c r="L2" i="374"/>
  <c r="I2" i="374"/>
  <c r="F2" i="374"/>
  <c r="E2" i="374"/>
  <c r="D2" i="374"/>
  <c r="C2" i="374"/>
  <c r="B2" i="374"/>
  <c r="M20" i="372"/>
  <c r="L20" i="372"/>
  <c r="I20" i="372"/>
  <c r="F20" i="372"/>
  <c r="E20" i="372"/>
  <c r="D20" i="372"/>
  <c r="C20" i="372"/>
  <c r="B20" i="372"/>
  <c r="M19" i="372"/>
  <c r="M21" i="372" s="1"/>
  <c r="L19" i="372"/>
  <c r="I19" i="372"/>
  <c r="F19" i="372"/>
  <c r="E19" i="372"/>
  <c r="D19" i="372"/>
  <c r="C19" i="372"/>
  <c r="B19" i="372"/>
  <c r="N18" i="372"/>
  <c r="H18" i="372"/>
  <c r="J18" i="372" s="1"/>
  <c r="N17" i="372"/>
  <c r="H17" i="372"/>
  <c r="J17" i="372" s="1"/>
  <c r="N16" i="372"/>
  <c r="H16" i="372"/>
  <c r="J16" i="372" s="1"/>
  <c r="M15" i="372"/>
  <c r="L15" i="372"/>
  <c r="I15" i="372"/>
  <c r="F15" i="372"/>
  <c r="E15" i="372"/>
  <c r="D15" i="372"/>
  <c r="C15" i="372"/>
  <c r="B15" i="372"/>
  <c r="N14" i="372"/>
  <c r="H14" i="372"/>
  <c r="J14" i="372" s="1"/>
  <c r="N13" i="372"/>
  <c r="H13" i="372"/>
  <c r="J13" i="372" s="1"/>
  <c r="N12" i="372"/>
  <c r="H12" i="372"/>
  <c r="M11" i="372"/>
  <c r="L11" i="372"/>
  <c r="I11" i="372"/>
  <c r="F11" i="372"/>
  <c r="E11" i="372"/>
  <c r="D11" i="372"/>
  <c r="C11" i="372"/>
  <c r="B11" i="372"/>
  <c r="N10" i="372"/>
  <c r="H10" i="372"/>
  <c r="J10" i="372" s="1"/>
  <c r="N9" i="372"/>
  <c r="H9" i="372"/>
  <c r="J9" i="372" s="1"/>
  <c r="N8" i="372"/>
  <c r="H8" i="372"/>
  <c r="M7" i="372"/>
  <c r="L7" i="372"/>
  <c r="I7" i="372"/>
  <c r="F7" i="372"/>
  <c r="E7" i="372"/>
  <c r="D7" i="372"/>
  <c r="C7" i="372"/>
  <c r="B7" i="372"/>
  <c r="N6" i="372"/>
  <c r="H6" i="372"/>
  <c r="N5" i="372"/>
  <c r="H5" i="372"/>
  <c r="J5" i="372" s="1"/>
  <c r="N4" i="372"/>
  <c r="H4" i="372"/>
  <c r="J4" i="372" s="1"/>
  <c r="N3" i="372"/>
  <c r="H3" i="372"/>
  <c r="J3" i="372" s="1"/>
  <c r="M2" i="372"/>
  <c r="L2" i="372"/>
  <c r="I2" i="372"/>
  <c r="F2" i="372"/>
  <c r="E2" i="372"/>
  <c r="D2" i="372"/>
  <c r="C2" i="372"/>
  <c r="B2" i="372"/>
  <c r="M20" i="370"/>
  <c r="L20" i="370"/>
  <c r="I20" i="370"/>
  <c r="F20" i="370"/>
  <c r="E20" i="370"/>
  <c r="D20" i="370"/>
  <c r="C20" i="370"/>
  <c r="B20" i="370"/>
  <c r="M19" i="370"/>
  <c r="L19" i="370"/>
  <c r="I19" i="370"/>
  <c r="F19" i="370"/>
  <c r="E19" i="370"/>
  <c r="D19" i="370"/>
  <c r="C19" i="370"/>
  <c r="B19" i="370"/>
  <c r="N18" i="370"/>
  <c r="H18" i="370"/>
  <c r="J18" i="370" s="1"/>
  <c r="N17" i="370"/>
  <c r="H17" i="370"/>
  <c r="J17" i="370" s="1"/>
  <c r="N16" i="370"/>
  <c r="H16" i="370"/>
  <c r="J16" i="370" s="1"/>
  <c r="M15" i="370"/>
  <c r="L15" i="370"/>
  <c r="I15" i="370"/>
  <c r="F15" i="370"/>
  <c r="E15" i="370"/>
  <c r="D15" i="370"/>
  <c r="C15" i="370"/>
  <c r="B15" i="370"/>
  <c r="N14" i="370"/>
  <c r="H14" i="370"/>
  <c r="J14" i="370" s="1"/>
  <c r="N13" i="370"/>
  <c r="H13" i="370"/>
  <c r="N12" i="370"/>
  <c r="H12" i="370"/>
  <c r="J12" i="370" s="1"/>
  <c r="M11" i="370"/>
  <c r="L11" i="370"/>
  <c r="I11" i="370"/>
  <c r="F11" i="370"/>
  <c r="E11" i="370"/>
  <c r="D11" i="370"/>
  <c r="C11" i="370"/>
  <c r="B11" i="370"/>
  <c r="N10" i="370"/>
  <c r="H10" i="370"/>
  <c r="J10" i="370" s="1"/>
  <c r="N9" i="370"/>
  <c r="H9" i="370"/>
  <c r="N8" i="370"/>
  <c r="H8" i="370"/>
  <c r="J8" i="370" s="1"/>
  <c r="M7" i="370"/>
  <c r="L7" i="370"/>
  <c r="I7" i="370"/>
  <c r="F7" i="370"/>
  <c r="E7" i="370"/>
  <c r="D7" i="370"/>
  <c r="C7" i="370"/>
  <c r="B7" i="370"/>
  <c r="N6" i="370"/>
  <c r="H6" i="370"/>
  <c r="J6" i="370" s="1"/>
  <c r="N5" i="370"/>
  <c r="H5" i="370"/>
  <c r="N4" i="370"/>
  <c r="H4" i="370"/>
  <c r="J4" i="370" s="1"/>
  <c r="N3" i="370"/>
  <c r="N19" i="370" s="1"/>
  <c r="H3" i="370"/>
  <c r="M2" i="370"/>
  <c r="L2" i="370"/>
  <c r="I2" i="370"/>
  <c r="F2" i="370"/>
  <c r="E2" i="370"/>
  <c r="D2" i="370"/>
  <c r="C2" i="370"/>
  <c r="B2" i="370"/>
  <c r="M20" i="367"/>
  <c r="L20" i="367"/>
  <c r="I20" i="367"/>
  <c r="M19" i="367"/>
  <c r="L19" i="367"/>
  <c r="I19" i="367"/>
  <c r="N2" i="378" l="1"/>
  <c r="D21" i="372"/>
  <c r="D21" i="370"/>
  <c r="H15" i="378"/>
  <c r="M21" i="374"/>
  <c r="N19" i="374"/>
  <c r="B21" i="378"/>
  <c r="N19" i="376"/>
  <c r="C21" i="378"/>
  <c r="H19" i="370"/>
  <c r="H2" i="378"/>
  <c r="H2" i="376"/>
  <c r="N11" i="370"/>
  <c r="I21" i="370"/>
  <c r="H11" i="372"/>
  <c r="H19" i="374"/>
  <c r="M21" i="370"/>
  <c r="N11" i="372"/>
  <c r="I21" i="372"/>
  <c r="N6" i="378"/>
  <c r="H11" i="378"/>
  <c r="N15" i="378"/>
  <c r="N20" i="378"/>
  <c r="N19" i="378"/>
  <c r="E21" i="378"/>
  <c r="J15" i="378"/>
  <c r="J11" i="378"/>
  <c r="F21" i="378"/>
  <c r="D21" i="378"/>
  <c r="J8" i="378"/>
  <c r="J20" i="378" s="1"/>
  <c r="H20" i="378"/>
  <c r="H6" i="378"/>
  <c r="H19" i="378"/>
  <c r="J7" i="378"/>
  <c r="J19" i="378" s="1"/>
  <c r="J2" i="378"/>
  <c r="H20" i="376"/>
  <c r="N20" i="376"/>
  <c r="N11" i="376"/>
  <c r="H19" i="376"/>
  <c r="L21" i="376"/>
  <c r="M21" i="376"/>
  <c r="H11" i="376"/>
  <c r="N15" i="376"/>
  <c r="I21" i="376"/>
  <c r="N2" i="376"/>
  <c r="N6" i="376"/>
  <c r="B21" i="376"/>
  <c r="E21" i="376"/>
  <c r="F21" i="376"/>
  <c r="J15" i="376"/>
  <c r="J6" i="376"/>
  <c r="H6" i="376"/>
  <c r="J13" i="376"/>
  <c r="J3" i="376"/>
  <c r="J19" i="376" s="1"/>
  <c r="H15" i="376"/>
  <c r="L21" i="374"/>
  <c r="H2" i="374"/>
  <c r="N15" i="374"/>
  <c r="N11" i="374"/>
  <c r="N20" i="374"/>
  <c r="N7" i="374"/>
  <c r="N2" i="374"/>
  <c r="H15" i="374"/>
  <c r="C21" i="374"/>
  <c r="D21" i="374"/>
  <c r="E21" i="374"/>
  <c r="F21" i="374"/>
  <c r="B21" i="374"/>
  <c r="J7" i="374"/>
  <c r="J5" i="374"/>
  <c r="H11" i="374"/>
  <c r="J17" i="374"/>
  <c r="J20" i="374" s="1"/>
  <c r="J3" i="374"/>
  <c r="H7" i="374"/>
  <c r="H20" i="374"/>
  <c r="L21" i="372"/>
  <c r="N15" i="372"/>
  <c r="N7" i="372"/>
  <c r="N20" i="372"/>
  <c r="N19" i="372"/>
  <c r="N2" i="372"/>
  <c r="J15" i="372"/>
  <c r="H20" i="372"/>
  <c r="H7" i="372"/>
  <c r="F21" i="372"/>
  <c r="J6" i="372"/>
  <c r="J2" i="372" s="1"/>
  <c r="B21" i="372"/>
  <c r="C21" i="372"/>
  <c r="E21" i="372"/>
  <c r="J19" i="372"/>
  <c r="J8" i="372"/>
  <c r="J7" i="372" s="1"/>
  <c r="J12" i="372"/>
  <c r="J11" i="372" s="1"/>
  <c r="H2" i="372"/>
  <c r="H15" i="372"/>
  <c r="H19" i="372"/>
  <c r="N15" i="370"/>
  <c r="N2" i="370"/>
  <c r="N20" i="370"/>
  <c r="N21" i="370" s="1"/>
  <c r="N7" i="370"/>
  <c r="L21" i="370"/>
  <c r="H11" i="370"/>
  <c r="C21" i="370"/>
  <c r="H20" i="370"/>
  <c r="H2" i="370"/>
  <c r="B21" i="370"/>
  <c r="E21" i="370"/>
  <c r="F21" i="370"/>
  <c r="J15" i="370"/>
  <c r="H7" i="370"/>
  <c r="J9" i="370"/>
  <c r="H15" i="370"/>
  <c r="J5" i="370"/>
  <c r="J13" i="370"/>
  <c r="J11" i="370" s="1"/>
  <c r="J3" i="370"/>
  <c r="F20" i="367"/>
  <c r="E20" i="367"/>
  <c r="D20" i="367"/>
  <c r="C20" i="367"/>
  <c r="B20" i="367"/>
  <c r="F19" i="367"/>
  <c r="E19" i="367"/>
  <c r="D19" i="367"/>
  <c r="C19" i="367"/>
  <c r="B19" i="367"/>
  <c r="L21" i="367"/>
  <c r="M21" i="367"/>
  <c r="I21" i="367"/>
  <c r="N18" i="367"/>
  <c r="H18" i="367"/>
  <c r="J18" i="367" s="1"/>
  <c r="N17" i="367"/>
  <c r="H17" i="367"/>
  <c r="J17" i="367" s="1"/>
  <c r="N16" i="367"/>
  <c r="H16" i="367"/>
  <c r="J16" i="367" s="1"/>
  <c r="M15" i="367"/>
  <c r="L15" i="367"/>
  <c r="I15" i="367"/>
  <c r="F15" i="367"/>
  <c r="E15" i="367"/>
  <c r="D15" i="367"/>
  <c r="C15" i="367"/>
  <c r="B15" i="367"/>
  <c r="N14" i="367"/>
  <c r="H14" i="367"/>
  <c r="J14" i="367" s="1"/>
  <c r="N13" i="367"/>
  <c r="H13" i="367"/>
  <c r="N12" i="367"/>
  <c r="H12" i="367"/>
  <c r="J12" i="367" s="1"/>
  <c r="M11" i="367"/>
  <c r="L11" i="367"/>
  <c r="I11" i="367"/>
  <c r="F11" i="367"/>
  <c r="E11" i="367"/>
  <c r="D11" i="367"/>
  <c r="C11" i="367"/>
  <c r="B11" i="367"/>
  <c r="N10" i="367"/>
  <c r="H10" i="367"/>
  <c r="J10" i="367" s="1"/>
  <c r="N9" i="367"/>
  <c r="H9" i="367"/>
  <c r="N8" i="367"/>
  <c r="H8" i="367"/>
  <c r="J8" i="367" s="1"/>
  <c r="M7" i="367"/>
  <c r="L7" i="367"/>
  <c r="I7" i="367"/>
  <c r="F7" i="367"/>
  <c r="E7" i="367"/>
  <c r="D7" i="367"/>
  <c r="C7" i="367"/>
  <c r="B7" i="367"/>
  <c r="N6" i="367"/>
  <c r="H6" i="367"/>
  <c r="N5" i="367"/>
  <c r="H5" i="367"/>
  <c r="N4" i="367"/>
  <c r="H4" i="367"/>
  <c r="J4" i="367" s="1"/>
  <c r="N3" i="367"/>
  <c r="H3" i="367"/>
  <c r="M2" i="367"/>
  <c r="L2" i="367"/>
  <c r="I2" i="367"/>
  <c r="F2" i="367"/>
  <c r="E2" i="367"/>
  <c r="D2" i="367"/>
  <c r="C2" i="367"/>
  <c r="B2" i="367"/>
  <c r="M20" i="365"/>
  <c r="L20" i="365"/>
  <c r="I20" i="365"/>
  <c r="F20" i="365"/>
  <c r="E20" i="365"/>
  <c r="D20" i="365"/>
  <c r="C20" i="365"/>
  <c r="B20" i="365"/>
  <c r="M19" i="365"/>
  <c r="L19" i="365"/>
  <c r="I19" i="365"/>
  <c r="F19" i="365"/>
  <c r="E19" i="365"/>
  <c r="D19" i="365"/>
  <c r="C19" i="365"/>
  <c r="B19" i="365"/>
  <c r="N18" i="365"/>
  <c r="H18" i="365"/>
  <c r="J18" i="365" s="1"/>
  <c r="N17" i="365"/>
  <c r="H17" i="365"/>
  <c r="N16" i="365"/>
  <c r="H16" i="365"/>
  <c r="J16" i="365" s="1"/>
  <c r="M15" i="365"/>
  <c r="L15" i="365"/>
  <c r="I15" i="365"/>
  <c r="F15" i="365"/>
  <c r="E15" i="365"/>
  <c r="D15" i="365"/>
  <c r="C15" i="365"/>
  <c r="B15" i="365"/>
  <c r="N14" i="365"/>
  <c r="H14" i="365"/>
  <c r="J14" i="365" s="1"/>
  <c r="N13" i="365"/>
  <c r="H13" i="365"/>
  <c r="J13" i="365" s="1"/>
  <c r="N12" i="365"/>
  <c r="H12" i="365"/>
  <c r="J12" i="365" s="1"/>
  <c r="M11" i="365"/>
  <c r="L11" i="365"/>
  <c r="I11" i="365"/>
  <c r="F11" i="365"/>
  <c r="E11" i="365"/>
  <c r="D11" i="365"/>
  <c r="C11" i="365"/>
  <c r="B11" i="365"/>
  <c r="N10" i="365"/>
  <c r="H10" i="365"/>
  <c r="J10" i="365" s="1"/>
  <c r="N9" i="365"/>
  <c r="H9" i="365"/>
  <c r="J9" i="365" s="1"/>
  <c r="N8" i="365"/>
  <c r="H8" i="365"/>
  <c r="J8" i="365" s="1"/>
  <c r="M7" i="365"/>
  <c r="L7" i="365"/>
  <c r="I7" i="365"/>
  <c r="F7" i="365"/>
  <c r="E7" i="365"/>
  <c r="D7" i="365"/>
  <c r="C7" i="365"/>
  <c r="B7" i="365"/>
  <c r="N6" i="365"/>
  <c r="H6" i="365"/>
  <c r="J6" i="365" s="1"/>
  <c r="N5" i="365"/>
  <c r="H5" i="365"/>
  <c r="J5" i="365" s="1"/>
  <c r="N4" i="365"/>
  <c r="H4" i="365"/>
  <c r="J4" i="365" s="1"/>
  <c r="N3" i="365"/>
  <c r="N19" i="365" s="1"/>
  <c r="H3" i="365"/>
  <c r="H2" i="365" s="1"/>
  <c r="M2" i="365"/>
  <c r="L2" i="365"/>
  <c r="I2" i="365"/>
  <c r="F2" i="365"/>
  <c r="E2" i="365"/>
  <c r="D2" i="365"/>
  <c r="C2" i="365"/>
  <c r="B2" i="365"/>
  <c r="M20" i="363"/>
  <c r="L20" i="363"/>
  <c r="I20" i="363"/>
  <c r="F20" i="363"/>
  <c r="E20" i="363"/>
  <c r="D20" i="363"/>
  <c r="C20" i="363"/>
  <c r="B20" i="363"/>
  <c r="M19" i="363"/>
  <c r="L19" i="363"/>
  <c r="I19" i="363"/>
  <c r="F19" i="363"/>
  <c r="E19" i="363"/>
  <c r="D19" i="363"/>
  <c r="C19" i="363"/>
  <c r="B19" i="363"/>
  <c r="N18" i="363"/>
  <c r="H18" i="363"/>
  <c r="J18" i="363" s="1"/>
  <c r="N17" i="363"/>
  <c r="H17" i="363"/>
  <c r="J17" i="363" s="1"/>
  <c r="N16" i="363"/>
  <c r="H16" i="363"/>
  <c r="J16" i="363" s="1"/>
  <c r="M15" i="363"/>
  <c r="L15" i="363"/>
  <c r="I15" i="363"/>
  <c r="F15" i="363"/>
  <c r="E15" i="363"/>
  <c r="D15" i="363"/>
  <c r="C15" i="363"/>
  <c r="B15" i="363"/>
  <c r="N14" i="363"/>
  <c r="H14" i="363"/>
  <c r="J14" i="363" s="1"/>
  <c r="N13" i="363"/>
  <c r="H13" i="363"/>
  <c r="J13" i="363" s="1"/>
  <c r="N12" i="363"/>
  <c r="H12" i="363"/>
  <c r="J12" i="363" s="1"/>
  <c r="M11" i="363"/>
  <c r="L11" i="363"/>
  <c r="I11" i="363"/>
  <c r="F11" i="363"/>
  <c r="E11" i="363"/>
  <c r="D11" i="363"/>
  <c r="C11" i="363"/>
  <c r="B11" i="363"/>
  <c r="N10" i="363"/>
  <c r="H10" i="363"/>
  <c r="J10" i="363" s="1"/>
  <c r="N9" i="363"/>
  <c r="H9" i="363"/>
  <c r="N8" i="363"/>
  <c r="H8" i="363"/>
  <c r="J8" i="363" s="1"/>
  <c r="M7" i="363"/>
  <c r="L7" i="363"/>
  <c r="I7" i="363"/>
  <c r="F7" i="363"/>
  <c r="E7" i="363"/>
  <c r="D7" i="363"/>
  <c r="C7" i="363"/>
  <c r="B7" i="363"/>
  <c r="N6" i="363"/>
  <c r="H6" i="363"/>
  <c r="J6" i="363" s="1"/>
  <c r="N5" i="363"/>
  <c r="H5" i="363"/>
  <c r="N4" i="363"/>
  <c r="H4" i="363"/>
  <c r="J4" i="363" s="1"/>
  <c r="N3" i="363"/>
  <c r="N19" i="363" s="1"/>
  <c r="H3" i="363"/>
  <c r="H19" i="363" s="1"/>
  <c r="M2" i="363"/>
  <c r="L2" i="363"/>
  <c r="I2" i="363"/>
  <c r="F2" i="363"/>
  <c r="E2" i="363"/>
  <c r="D2" i="363"/>
  <c r="C2" i="363"/>
  <c r="B2" i="363"/>
  <c r="L7" i="358"/>
  <c r="L11" i="358"/>
  <c r="L15" i="358"/>
  <c r="N21" i="374" l="1"/>
  <c r="H21" i="374"/>
  <c r="N21" i="376"/>
  <c r="D21" i="365"/>
  <c r="C21" i="365"/>
  <c r="D21" i="363"/>
  <c r="I21" i="365"/>
  <c r="C21" i="363"/>
  <c r="M21" i="365"/>
  <c r="N11" i="367"/>
  <c r="H19" i="367"/>
  <c r="J3" i="367"/>
  <c r="N19" i="367"/>
  <c r="J6" i="378"/>
  <c r="J6" i="367"/>
  <c r="H20" i="367"/>
  <c r="N20" i="367"/>
  <c r="J21" i="378"/>
  <c r="I21" i="363"/>
  <c r="J11" i="365"/>
  <c r="H21" i="370"/>
  <c r="H21" i="378"/>
  <c r="M21" i="363"/>
  <c r="N11" i="365"/>
  <c r="H19" i="365"/>
  <c r="N21" i="378"/>
  <c r="J11" i="376"/>
  <c r="J20" i="376"/>
  <c r="J2" i="376"/>
  <c r="H21" i="376"/>
  <c r="J15" i="374"/>
  <c r="J2" i="374"/>
  <c r="J19" i="374"/>
  <c r="J21" i="374" s="1"/>
  <c r="N21" i="372"/>
  <c r="H21" i="372"/>
  <c r="J20" i="372"/>
  <c r="J21" i="372" s="1"/>
  <c r="J20" i="370"/>
  <c r="J7" i="370"/>
  <c r="J19" i="370"/>
  <c r="J2" i="370"/>
  <c r="D21" i="367"/>
  <c r="C21" i="367"/>
  <c r="N15" i="367"/>
  <c r="N7" i="367"/>
  <c r="H11" i="367"/>
  <c r="B21" i="367"/>
  <c r="F21" i="367"/>
  <c r="H7" i="367"/>
  <c r="E21" i="367"/>
  <c r="J15" i="367"/>
  <c r="J5" i="367"/>
  <c r="J9" i="367"/>
  <c r="J7" i="367" s="1"/>
  <c r="J13" i="367"/>
  <c r="J11" i="367" s="1"/>
  <c r="N2" i="367"/>
  <c r="H15" i="367"/>
  <c r="H2" i="367"/>
  <c r="N7" i="365"/>
  <c r="L21" i="365"/>
  <c r="N15" i="365"/>
  <c r="N20" i="365"/>
  <c r="N21" i="365" s="1"/>
  <c r="H15" i="365"/>
  <c r="B21" i="365"/>
  <c r="E21" i="365"/>
  <c r="F21" i="365"/>
  <c r="J7" i="365"/>
  <c r="H11" i="365"/>
  <c r="H20" i="365"/>
  <c r="J3" i="365"/>
  <c r="H7" i="365"/>
  <c r="J17" i="365"/>
  <c r="J20" i="365" s="1"/>
  <c r="N2" i="365"/>
  <c r="N11" i="363"/>
  <c r="L21" i="363"/>
  <c r="N15" i="363"/>
  <c r="N7" i="363"/>
  <c r="N20" i="363"/>
  <c r="N21" i="363" s="1"/>
  <c r="J11" i="363"/>
  <c r="H7" i="363"/>
  <c r="B21" i="363"/>
  <c r="H20" i="363"/>
  <c r="H21" i="363" s="1"/>
  <c r="E21" i="363"/>
  <c r="F21" i="363"/>
  <c r="H2" i="363"/>
  <c r="J15" i="363"/>
  <c r="J9" i="363"/>
  <c r="J7" i="363" s="1"/>
  <c r="H15" i="363"/>
  <c r="N2" i="363"/>
  <c r="J5" i="363"/>
  <c r="H11" i="363"/>
  <c r="J3" i="363"/>
  <c r="B2" i="358"/>
  <c r="C2" i="358"/>
  <c r="D2" i="358"/>
  <c r="E2" i="358"/>
  <c r="F2" i="358"/>
  <c r="I2" i="358"/>
  <c r="L2" i="358"/>
  <c r="M2" i="358"/>
  <c r="H3" i="358"/>
  <c r="J3" i="358" s="1"/>
  <c r="N3" i="358"/>
  <c r="N19" i="358" s="1"/>
  <c r="H4" i="358"/>
  <c r="J4" i="358" s="1"/>
  <c r="N4" i="358"/>
  <c r="H5" i="358"/>
  <c r="J5" i="358" s="1"/>
  <c r="N5" i="358"/>
  <c r="H6" i="358"/>
  <c r="J6" i="358" s="1"/>
  <c r="N6" i="358"/>
  <c r="B7" i="358"/>
  <c r="C7" i="358"/>
  <c r="D7" i="358"/>
  <c r="E7" i="358"/>
  <c r="F7" i="358"/>
  <c r="I7" i="358"/>
  <c r="M7" i="358"/>
  <c r="H8" i="358"/>
  <c r="J8" i="358" s="1"/>
  <c r="N8" i="358"/>
  <c r="H9" i="358"/>
  <c r="J9" i="358" s="1"/>
  <c r="N9" i="358"/>
  <c r="H10" i="358"/>
  <c r="J10" i="358" s="1"/>
  <c r="N10" i="358"/>
  <c r="B11" i="358"/>
  <c r="C11" i="358"/>
  <c r="D11" i="358"/>
  <c r="E11" i="358"/>
  <c r="F11" i="358"/>
  <c r="I11" i="358"/>
  <c r="M11" i="358"/>
  <c r="H12" i="358"/>
  <c r="N12" i="358"/>
  <c r="H13" i="358"/>
  <c r="J13" i="358" s="1"/>
  <c r="N13" i="358"/>
  <c r="H14" i="358"/>
  <c r="J14" i="358" s="1"/>
  <c r="N14" i="358"/>
  <c r="B15" i="358"/>
  <c r="C15" i="358"/>
  <c r="D15" i="358"/>
  <c r="E15" i="358"/>
  <c r="F15" i="358"/>
  <c r="I15" i="358"/>
  <c r="M15" i="358"/>
  <c r="H16" i="358"/>
  <c r="N16" i="358"/>
  <c r="H17" i="358"/>
  <c r="J17" i="358" s="1"/>
  <c r="N17" i="358"/>
  <c r="H18" i="358"/>
  <c r="J18" i="358" s="1"/>
  <c r="N18" i="358"/>
  <c r="B19" i="358"/>
  <c r="C19" i="358"/>
  <c r="D19" i="358"/>
  <c r="E19" i="358"/>
  <c r="F19" i="358"/>
  <c r="I19" i="358"/>
  <c r="L19" i="358"/>
  <c r="M19" i="358"/>
  <c r="B20" i="358"/>
  <c r="C20" i="358"/>
  <c r="D20" i="358"/>
  <c r="E20" i="358"/>
  <c r="F20" i="358"/>
  <c r="I20" i="358"/>
  <c r="L20" i="358"/>
  <c r="M20" i="358"/>
  <c r="O9" i="286"/>
  <c r="R20" i="286"/>
  <c r="Q20" i="286"/>
  <c r="M20" i="286"/>
  <c r="J20" i="286"/>
  <c r="G20" i="286"/>
  <c r="F20" i="286"/>
  <c r="E20" i="286"/>
  <c r="D20" i="286"/>
  <c r="C20" i="286"/>
  <c r="B20" i="286"/>
  <c r="R19" i="286"/>
  <c r="Q19" i="286"/>
  <c r="N19" i="286"/>
  <c r="M19" i="286"/>
  <c r="J19" i="286"/>
  <c r="G19" i="286"/>
  <c r="F19" i="286"/>
  <c r="E19" i="286"/>
  <c r="D19" i="286"/>
  <c r="C19" i="286"/>
  <c r="B19" i="286"/>
  <c r="S18" i="286"/>
  <c r="O18" i="286"/>
  <c r="I18" i="286"/>
  <c r="K18" i="286" s="1"/>
  <c r="S17" i="286"/>
  <c r="O17" i="286"/>
  <c r="I17" i="286"/>
  <c r="K17" i="286" s="1"/>
  <c r="S16" i="286"/>
  <c r="O16" i="286"/>
  <c r="I16" i="286"/>
  <c r="R15" i="286"/>
  <c r="Q15" i="286"/>
  <c r="N15" i="286"/>
  <c r="M15" i="286"/>
  <c r="J15" i="286"/>
  <c r="G15" i="286"/>
  <c r="F15" i="286"/>
  <c r="E15" i="286"/>
  <c r="D15" i="286"/>
  <c r="C15" i="286"/>
  <c r="B15" i="286"/>
  <c r="S14" i="286"/>
  <c r="O14" i="286"/>
  <c r="I14" i="286"/>
  <c r="K14" i="286" s="1"/>
  <c r="S13" i="286"/>
  <c r="O13" i="286"/>
  <c r="I13" i="286"/>
  <c r="K13" i="286" s="1"/>
  <c r="S12" i="286"/>
  <c r="O12" i="286"/>
  <c r="I12" i="286"/>
  <c r="K12" i="286" s="1"/>
  <c r="R11" i="286"/>
  <c r="Q11" i="286"/>
  <c r="N11" i="286"/>
  <c r="M11" i="286"/>
  <c r="J11" i="286"/>
  <c r="G11" i="286"/>
  <c r="F11" i="286"/>
  <c r="E11" i="286"/>
  <c r="D11" i="286"/>
  <c r="C11" i="286"/>
  <c r="B11" i="286"/>
  <c r="S10" i="286"/>
  <c r="O10" i="286"/>
  <c r="I10" i="286"/>
  <c r="K10" i="286" s="1"/>
  <c r="S9" i="286"/>
  <c r="I9" i="286"/>
  <c r="K9" i="286" s="1"/>
  <c r="S8" i="286"/>
  <c r="O8" i="286"/>
  <c r="I8" i="286"/>
  <c r="K8" i="286" s="1"/>
  <c r="S7" i="286"/>
  <c r="O7" i="286"/>
  <c r="I7" i="286"/>
  <c r="K7" i="286" s="1"/>
  <c r="R6" i="286"/>
  <c r="Q6" i="286"/>
  <c r="N6" i="286"/>
  <c r="M6" i="286"/>
  <c r="J6" i="286"/>
  <c r="G6" i="286"/>
  <c r="F6" i="286"/>
  <c r="E6" i="286"/>
  <c r="D6" i="286"/>
  <c r="C6" i="286"/>
  <c r="B6" i="286"/>
  <c r="S5" i="286"/>
  <c r="O5" i="286"/>
  <c r="I5" i="286"/>
  <c r="K5" i="286" s="1"/>
  <c r="S4" i="286"/>
  <c r="O4" i="286"/>
  <c r="I4" i="286"/>
  <c r="K4" i="286" s="1"/>
  <c r="S3" i="286"/>
  <c r="O3" i="286"/>
  <c r="I3" i="286"/>
  <c r="R2" i="286"/>
  <c r="Q2" i="286"/>
  <c r="N2" i="286"/>
  <c r="M2" i="286"/>
  <c r="J2" i="286"/>
  <c r="G2" i="286"/>
  <c r="F2" i="286"/>
  <c r="E2" i="286"/>
  <c r="D2" i="286"/>
  <c r="C2" i="286"/>
  <c r="B2" i="286"/>
  <c r="J21" i="370" l="1"/>
  <c r="H21" i="365"/>
  <c r="N21" i="367"/>
  <c r="H21" i="367"/>
  <c r="S15" i="286"/>
  <c r="J20" i="367"/>
  <c r="J19" i="367"/>
  <c r="J21" i="376"/>
  <c r="J2" i="367"/>
  <c r="J2" i="365"/>
  <c r="J19" i="365"/>
  <c r="J21" i="365" s="1"/>
  <c r="J15" i="365"/>
  <c r="J20" i="363"/>
  <c r="J2" i="363"/>
  <c r="J19" i="363"/>
  <c r="H11" i="358"/>
  <c r="I2" i="286"/>
  <c r="O19" i="286"/>
  <c r="C21" i="358"/>
  <c r="S19" i="286"/>
  <c r="I15" i="286"/>
  <c r="D21" i="358"/>
  <c r="O11" i="286"/>
  <c r="O2" i="286"/>
  <c r="S11" i="286"/>
  <c r="L21" i="358"/>
  <c r="F21" i="358"/>
  <c r="H15" i="358"/>
  <c r="N15" i="358"/>
  <c r="M21" i="358"/>
  <c r="N20" i="358"/>
  <c r="N21" i="358" s="1"/>
  <c r="N7" i="358"/>
  <c r="N2" i="358"/>
  <c r="B21" i="358"/>
  <c r="J7" i="358"/>
  <c r="H7" i="358"/>
  <c r="H2" i="358"/>
  <c r="E21" i="358"/>
  <c r="I21" i="358"/>
  <c r="J19" i="358"/>
  <c r="J2" i="358"/>
  <c r="H19" i="358"/>
  <c r="H20" i="358"/>
  <c r="J16" i="358"/>
  <c r="J15" i="358" s="1"/>
  <c r="J12" i="358"/>
  <c r="J11" i="358" s="1"/>
  <c r="N11" i="358"/>
  <c r="G21" i="286"/>
  <c r="B21" i="286"/>
  <c r="D21" i="286"/>
  <c r="E21" i="286"/>
  <c r="J21" i="286"/>
  <c r="N20" i="286"/>
  <c r="N21" i="286" s="1"/>
  <c r="O15" i="286"/>
  <c r="Q21" i="286"/>
  <c r="M21" i="286"/>
  <c r="S20" i="286"/>
  <c r="S6" i="286"/>
  <c r="R21" i="286"/>
  <c r="O20" i="286"/>
  <c r="C21" i="286"/>
  <c r="F21" i="286"/>
  <c r="I6" i="286"/>
  <c r="K6" i="286"/>
  <c r="K11" i="286"/>
  <c r="K3" i="286"/>
  <c r="I11" i="286"/>
  <c r="I19" i="286"/>
  <c r="K16" i="286"/>
  <c r="K15" i="286" s="1"/>
  <c r="I20" i="286"/>
  <c r="S2" i="286"/>
  <c r="O6" i="286"/>
  <c r="M20" i="253"/>
  <c r="L20" i="253"/>
  <c r="M19" i="253"/>
  <c r="L19" i="253"/>
  <c r="I20" i="253"/>
  <c r="I19" i="253"/>
  <c r="F20" i="253"/>
  <c r="E20" i="253"/>
  <c r="D20" i="253"/>
  <c r="C20" i="253"/>
  <c r="F19" i="253"/>
  <c r="E19" i="253"/>
  <c r="D19" i="253"/>
  <c r="C19" i="253"/>
  <c r="B20" i="253"/>
  <c r="B19" i="253"/>
  <c r="N4" i="253"/>
  <c r="H4" i="253"/>
  <c r="J4" i="253" s="1"/>
  <c r="N18" i="253"/>
  <c r="H18" i="253"/>
  <c r="J18" i="253" s="1"/>
  <c r="N17" i="253"/>
  <c r="H17" i="253"/>
  <c r="J17" i="253" s="1"/>
  <c r="N16" i="253"/>
  <c r="H16" i="253"/>
  <c r="J16" i="253" s="1"/>
  <c r="M15" i="253"/>
  <c r="L15" i="253"/>
  <c r="I15" i="253"/>
  <c r="F15" i="253"/>
  <c r="E15" i="253"/>
  <c r="D15" i="253"/>
  <c r="C15" i="253"/>
  <c r="B15" i="253"/>
  <c r="N14" i="253"/>
  <c r="H14" i="253"/>
  <c r="J14" i="253" s="1"/>
  <c r="N13" i="253"/>
  <c r="H13" i="253"/>
  <c r="N12" i="253"/>
  <c r="H12" i="253"/>
  <c r="J12" i="253" s="1"/>
  <c r="M11" i="253"/>
  <c r="L11" i="253"/>
  <c r="I11" i="253"/>
  <c r="F11" i="253"/>
  <c r="E11" i="253"/>
  <c r="D11" i="253"/>
  <c r="C11" i="253"/>
  <c r="B11" i="253"/>
  <c r="N10" i="253"/>
  <c r="H10" i="253"/>
  <c r="J10" i="253" s="1"/>
  <c r="N9" i="253"/>
  <c r="H9" i="253"/>
  <c r="J9" i="253" s="1"/>
  <c r="N8" i="253"/>
  <c r="H8" i="253"/>
  <c r="J8" i="253" s="1"/>
  <c r="M7" i="253"/>
  <c r="L7" i="253"/>
  <c r="I7" i="253"/>
  <c r="F7" i="253"/>
  <c r="E7" i="253"/>
  <c r="D7" i="253"/>
  <c r="C7" i="253"/>
  <c r="B7" i="253"/>
  <c r="N6" i="253"/>
  <c r="H6" i="253"/>
  <c r="J6" i="253" s="1"/>
  <c r="N5" i="253"/>
  <c r="H5" i="253"/>
  <c r="J5" i="253" s="1"/>
  <c r="N3" i="253"/>
  <c r="N19" i="253" s="1"/>
  <c r="H3" i="253"/>
  <c r="J3" i="253" s="1"/>
  <c r="J19" i="253" s="1"/>
  <c r="M2" i="253"/>
  <c r="L2" i="253"/>
  <c r="I2" i="253"/>
  <c r="F2" i="253"/>
  <c r="E2" i="253"/>
  <c r="D2" i="253"/>
  <c r="C2" i="253"/>
  <c r="B2" i="253"/>
  <c r="O21" i="286" l="1"/>
  <c r="J21" i="367"/>
  <c r="J21" i="363"/>
  <c r="S21" i="286"/>
  <c r="J20" i="358"/>
  <c r="J21" i="358" s="1"/>
  <c r="H21" i="358"/>
  <c r="K19" i="286"/>
  <c r="K2" i="286"/>
  <c r="K20" i="286"/>
  <c r="I21" i="286"/>
  <c r="M21" i="253"/>
  <c r="N20" i="253"/>
  <c r="N21" i="253" s="1"/>
  <c r="L21" i="253"/>
  <c r="I21" i="253"/>
  <c r="F21" i="253"/>
  <c r="H20" i="253"/>
  <c r="C21" i="253"/>
  <c r="E21" i="253"/>
  <c r="D21" i="253"/>
  <c r="H19" i="253"/>
  <c r="N7" i="253"/>
  <c r="H11" i="253"/>
  <c r="J13" i="253"/>
  <c r="J11" i="253" s="1"/>
  <c r="J2" i="253"/>
  <c r="H2" i="253"/>
  <c r="N2" i="253"/>
  <c r="N11" i="253"/>
  <c r="N15" i="253"/>
  <c r="H15" i="253"/>
  <c r="B21" i="253"/>
  <c r="J7" i="253"/>
  <c r="H7" i="253"/>
  <c r="K21" i="286" l="1"/>
  <c r="J20" i="253"/>
  <c r="J21" i="253" s="1"/>
  <c r="H21" i="253"/>
  <c r="J15" i="253"/>
  <c r="M20" i="227" l="1"/>
  <c r="L20" i="227"/>
  <c r="I20" i="227"/>
  <c r="G20" i="227"/>
  <c r="F20" i="227"/>
  <c r="E20" i="227"/>
  <c r="D20" i="227"/>
  <c r="C20" i="227"/>
  <c r="M19" i="227"/>
  <c r="L19" i="227"/>
  <c r="I19" i="227"/>
  <c r="I21" i="227" s="1"/>
  <c r="G19" i="227"/>
  <c r="F19" i="227"/>
  <c r="E19" i="227"/>
  <c r="D19" i="227"/>
  <c r="C19" i="227"/>
  <c r="N18" i="227"/>
  <c r="H18" i="227"/>
  <c r="J18" i="227" s="1"/>
  <c r="N17" i="227"/>
  <c r="H17" i="227"/>
  <c r="J17" i="227" s="1"/>
  <c r="N16" i="227"/>
  <c r="H16" i="227"/>
  <c r="M15" i="227"/>
  <c r="L15" i="227"/>
  <c r="I15" i="227"/>
  <c r="G15" i="227"/>
  <c r="F15" i="227"/>
  <c r="D15" i="227"/>
  <c r="C15" i="227"/>
  <c r="N14" i="227"/>
  <c r="H14" i="227"/>
  <c r="J14" i="227" s="1"/>
  <c r="N13" i="227"/>
  <c r="H13" i="227"/>
  <c r="J13" i="227" s="1"/>
  <c r="N12" i="227"/>
  <c r="H12" i="227"/>
  <c r="J12" i="227" s="1"/>
  <c r="N11" i="227"/>
  <c r="H11" i="227"/>
  <c r="J11" i="227" s="1"/>
  <c r="M10" i="227"/>
  <c r="L10" i="227"/>
  <c r="I10" i="227"/>
  <c r="G10" i="227"/>
  <c r="F10" i="227"/>
  <c r="E10" i="227"/>
  <c r="D10" i="227"/>
  <c r="C10" i="227"/>
  <c r="N9" i="227"/>
  <c r="H9" i="227"/>
  <c r="J9" i="227" s="1"/>
  <c r="N8" i="227"/>
  <c r="H8" i="227"/>
  <c r="J8" i="227" s="1"/>
  <c r="N7" i="227"/>
  <c r="H7" i="227"/>
  <c r="J7" i="227" s="1"/>
  <c r="M6" i="227"/>
  <c r="L6" i="227"/>
  <c r="I6" i="227"/>
  <c r="G6" i="227"/>
  <c r="F6" i="227"/>
  <c r="E6" i="227"/>
  <c r="D6" i="227"/>
  <c r="C6" i="227"/>
  <c r="N5" i="227"/>
  <c r="H5" i="227"/>
  <c r="J5" i="227" s="1"/>
  <c r="N4" i="227"/>
  <c r="H4" i="227"/>
  <c r="N3" i="227"/>
  <c r="H3" i="227"/>
  <c r="J3" i="227" s="1"/>
  <c r="M2" i="227"/>
  <c r="L2" i="227"/>
  <c r="I2" i="227"/>
  <c r="G2" i="227"/>
  <c r="F2" i="227"/>
  <c r="E2" i="227"/>
  <c r="D2" i="227"/>
  <c r="C2" i="227"/>
  <c r="M20" i="223"/>
  <c r="L20" i="223"/>
  <c r="I20" i="223"/>
  <c r="G20" i="223"/>
  <c r="F20" i="223"/>
  <c r="E20" i="223"/>
  <c r="D20" i="223"/>
  <c r="C20" i="223"/>
  <c r="M19" i="223"/>
  <c r="L19" i="223"/>
  <c r="I19" i="223"/>
  <c r="G19" i="223"/>
  <c r="F19" i="223"/>
  <c r="E19" i="223"/>
  <c r="D19" i="223"/>
  <c r="C19" i="223"/>
  <c r="N18" i="223"/>
  <c r="H18" i="223"/>
  <c r="J18" i="223" s="1"/>
  <c r="N17" i="223"/>
  <c r="H17" i="223"/>
  <c r="J17" i="223" s="1"/>
  <c r="N16" i="223"/>
  <c r="H16" i="223"/>
  <c r="M15" i="223"/>
  <c r="L15" i="223"/>
  <c r="I15" i="223"/>
  <c r="G15" i="223"/>
  <c r="F15" i="223"/>
  <c r="D15" i="223"/>
  <c r="C15" i="223"/>
  <c r="N14" i="223"/>
  <c r="H14" i="223"/>
  <c r="J14" i="223" s="1"/>
  <c r="N13" i="223"/>
  <c r="H13" i="223"/>
  <c r="J13" i="223" s="1"/>
  <c r="N12" i="223"/>
  <c r="H12" i="223"/>
  <c r="J12" i="223" s="1"/>
  <c r="N11" i="223"/>
  <c r="H11" i="223"/>
  <c r="J11" i="223" s="1"/>
  <c r="M10" i="223"/>
  <c r="L10" i="223"/>
  <c r="I10" i="223"/>
  <c r="G10" i="223"/>
  <c r="F10" i="223"/>
  <c r="E10" i="223"/>
  <c r="D10" i="223"/>
  <c r="C10" i="223"/>
  <c r="N9" i="223"/>
  <c r="H9" i="223"/>
  <c r="J9" i="223" s="1"/>
  <c r="N8" i="223"/>
  <c r="H8" i="223"/>
  <c r="J8" i="223" s="1"/>
  <c r="N7" i="223"/>
  <c r="H7" i="223"/>
  <c r="J7" i="223" s="1"/>
  <c r="M6" i="223"/>
  <c r="L6" i="223"/>
  <c r="I6" i="223"/>
  <c r="G6" i="223"/>
  <c r="F6" i="223"/>
  <c r="E6" i="223"/>
  <c r="D6" i="223"/>
  <c r="C6" i="223"/>
  <c r="N5" i="223"/>
  <c r="H5" i="223"/>
  <c r="J5" i="223" s="1"/>
  <c r="N4" i="223"/>
  <c r="H4" i="223"/>
  <c r="J4" i="223" s="1"/>
  <c r="N3" i="223"/>
  <c r="H3" i="223"/>
  <c r="M2" i="223"/>
  <c r="L2" i="223"/>
  <c r="I2" i="223"/>
  <c r="G2" i="223"/>
  <c r="F2" i="223"/>
  <c r="E2" i="223"/>
  <c r="D2" i="223"/>
  <c r="C2" i="223"/>
  <c r="M20" i="219"/>
  <c r="L20" i="219"/>
  <c r="I20" i="219"/>
  <c r="G20" i="219"/>
  <c r="F20" i="219"/>
  <c r="E20" i="219"/>
  <c r="D20" i="219"/>
  <c r="C20" i="219"/>
  <c r="M19" i="219"/>
  <c r="L19" i="219"/>
  <c r="I19" i="219"/>
  <c r="G19" i="219"/>
  <c r="F19" i="219"/>
  <c r="E19" i="219"/>
  <c r="D19" i="219"/>
  <c r="C19" i="219"/>
  <c r="N18" i="219"/>
  <c r="H18" i="219"/>
  <c r="J18" i="219" s="1"/>
  <c r="N17" i="219"/>
  <c r="H17" i="219"/>
  <c r="J17" i="219" s="1"/>
  <c r="N16" i="219"/>
  <c r="H16" i="219"/>
  <c r="M15" i="219"/>
  <c r="L15" i="219"/>
  <c r="I15" i="219"/>
  <c r="G15" i="219"/>
  <c r="F15" i="219"/>
  <c r="D15" i="219"/>
  <c r="C15" i="219"/>
  <c r="N14" i="219"/>
  <c r="H14" i="219"/>
  <c r="N13" i="219"/>
  <c r="H13" i="219"/>
  <c r="J13" i="219" s="1"/>
  <c r="N12" i="219"/>
  <c r="H12" i="219"/>
  <c r="J12" i="219" s="1"/>
  <c r="N11" i="219"/>
  <c r="H11" i="219"/>
  <c r="J11" i="219" s="1"/>
  <c r="M10" i="219"/>
  <c r="L10" i="219"/>
  <c r="I10" i="219"/>
  <c r="G10" i="219"/>
  <c r="F10" i="219"/>
  <c r="E10" i="219"/>
  <c r="D10" i="219"/>
  <c r="C10" i="219"/>
  <c r="N9" i="219"/>
  <c r="H9" i="219"/>
  <c r="J9" i="219" s="1"/>
  <c r="N8" i="219"/>
  <c r="H8" i="219"/>
  <c r="J8" i="219" s="1"/>
  <c r="N7" i="219"/>
  <c r="H7" i="219"/>
  <c r="J7" i="219" s="1"/>
  <c r="M6" i="219"/>
  <c r="L6" i="219"/>
  <c r="I6" i="219"/>
  <c r="G6" i="219"/>
  <c r="F6" i="219"/>
  <c r="E6" i="219"/>
  <c r="D6" i="219"/>
  <c r="C6" i="219"/>
  <c r="N5" i="219"/>
  <c r="H5" i="219"/>
  <c r="J5" i="219" s="1"/>
  <c r="N4" i="219"/>
  <c r="H4" i="219"/>
  <c r="J4" i="219" s="1"/>
  <c r="N3" i="219"/>
  <c r="H3" i="219"/>
  <c r="J3" i="219" s="1"/>
  <c r="M2" i="219"/>
  <c r="L2" i="219"/>
  <c r="I2" i="219"/>
  <c r="G2" i="219"/>
  <c r="F2" i="219"/>
  <c r="E2" i="219"/>
  <c r="D2" i="219"/>
  <c r="C2" i="219"/>
  <c r="H13" i="217"/>
  <c r="J13" i="217" s="1"/>
  <c r="H14" i="217"/>
  <c r="J14" i="217" s="1"/>
  <c r="M20" i="217"/>
  <c r="L20" i="217"/>
  <c r="I20" i="217"/>
  <c r="G20" i="217"/>
  <c r="F20" i="217"/>
  <c r="E20" i="217"/>
  <c r="D20" i="217"/>
  <c r="C20" i="217"/>
  <c r="M19" i="217"/>
  <c r="L19" i="217"/>
  <c r="I19" i="217"/>
  <c r="G19" i="217"/>
  <c r="F19" i="217"/>
  <c r="E19" i="217"/>
  <c r="D19" i="217"/>
  <c r="C19" i="217"/>
  <c r="N18" i="217"/>
  <c r="H18" i="217"/>
  <c r="J18" i="217" s="1"/>
  <c r="N17" i="217"/>
  <c r="H17" i="217"/>
  <c r="J17" i="217" s="1"/>
  <c r="N16" i="217"/>
  <c r="H16" i="217"/>
  <c r="M15" i="217"/>
  <c r="L15" i="217"/>
  <c r="I15" i="217"/>
  <c r="G15" i="217"/>
  <c r="F15" i="217"/>
  <c r="D15" i="217"/>
  <c r="C15" i="217"/>
  <c r="N14" i="217"/>
  <c r="N13" i="217"/>
  <c r="N12" i="217"/>
  <c r="H12" i="217"/>
  <c r="J12" i="217" s="1"/>
  <c r="N11" i="217"/>
  <c r="H11" i="217"/>
  <c r="J11" i="217" s="1"/>
  <c r="M10" i="217"/>
  <c r="L10" i="217"/>
  <c r="I10" i="217"/>
  <c r="G10" i="217"/>
  <c r="F10" i="217"/>
  <c r="E10" i="217"/>
  <c r="D10" i="217"/>
  <c r="C10" i="217"/>
  <c r="N9" i="217"/>
  <c r="H9" i="217"/>
  <c r="J9" i="217" s="1"/>
  <c r="N8" i="217"/>
  <c r="H8" i="217"/>
  <c r="J8" i="217" s="1"/>
  <c r="N7" i="217"/>
  <c r="H7" i="217"/>
  <c r="J7" i="217" s="1"/>
  <c r="M6" i="217"/>
  <c r="L6" i="217"/>
  <c r="I6" i="217"/>
  <c r="G6" i="217"/>
  <c r="F6" i="217"/>
  <c r="E6" i="217"/>
  <c r="D6" i="217"/>
  <c r="C6" i="217"/>
  <c r="N5" i="217"/>
  <c r="H5" i="217"/>
  <c r="J5" i="217" s="1"/>
  <c r="N4" i="217"/>
  <c r="H4" i="217"/>
  <c r="N3" i="217"/>
  <c r="H3" i="217"/>
  <c r="J3" i="217" s="1"/>
  <c r="M2" i="217"/>
  <c r="L2" i="217"/>
  <c r="I2" i="217"/>
  <c r="G2" i="217"/>
  <c r="F2" i="217"/>
  <c r="E2" i="217"/>
  <c r="D2" i="217"/>
  <c r="C2" i="217"/>
  <c r="M20" i="215"/>
  <c r="L20" i="215"/>
  <c r="I20" i="215"/>
  <c r="G20" i="215"/>
  <c r="F20" i="215"/>
  <c r="E20" i="215"/>
  <c r="D20" i="215"/>
  <c r="C20" i="215"/>
  <c r="M19" i="215"/>
  <c r="L19" i="215"/>
  <c r="I19" i="215"/>
  <c r="G19" i="215"/>
  <c r="F19" i="215"/>
  <c r="E19" i="215"/>
  <c r="D19" i="215"/>
  <c r="C19" i="215"/>
  <c r="N18" i="215"/>
  <c r="H18" i="215"/>
  <c r="J18" i="215" s="1"/>
  <c r="N17" i="215"/>
  <c r="H17" i="215"/>
  <c r="J17" i="215" s="1"/>
  <c r="N16" i="215"/>
  <c r="H16" i="215"/>
  <c r="M15" i="215"/>
  <c r="L15" i="215"/>
  <c r="I15" i="215"/>
  <c r="G15" i="215"/>
  <c r="F15" i="215"/>
  <c r="D15" i="215"/>
  <c r="C15" i="215"/>
  <c r="N14" i="215"/>
  <c r="H14" i="215"/>
  <c r="J14" i="215" s="1"/>
  <c r="N13" i="215"/>
  <c r="H13" i="215"/>
  <c r="J13" i="215" s="1"/>
  <c r="N12" i="215"/>
  <c r="H12" i="215"/>
  <c r="J12" i="215" s="1"/>
  <c r="N11" i="215"/>
  <c r="H11" i="215"/>
  <c r="J11" i="215" s="1"/>
  <c r="M10" i="215"/>
  <c r="L10" i="215"/>
  <c r="I10" i="215"/>
  <c r="G10" i="215"/>
  <c r="F10" i="215"/>
  <c r="E10" i="215"/>
  <c r="D10" i="215"/>
  <c r="C10" i="215"/>
  <c r="N9" i="215"/>
  <c r="H9" i="215"/>
  <c r="J9" i="215" s="1"/>
  <c r="N8" i="215"/>
  <c r="H8" i="215"/>
  <c r="J8" i="215" s="1"/>
  <c r="N7" i="215"/>
  <c r="H7" i="215"/>
  <c r="J7" i="215" s="1"/>
  <c r="M6" i="215"/>
  <c r="L6" i="215"/>
  <c r="I6" i="215"/>
  <c r="G6" i="215"/>
  <c r="F6" i="215"/>
  <c r="E6" i="215"/>
  <c r="D6" i="215"/>
  <c r="C6" i="215"/>
  <c r="N5" i="215"/>
  <c r="H5" i="215"/>
  <c r="J5" i="215" s="1"/>
  <c r="N4" i="215"/>
  <c r="H4" i="215"/>
  <c r="N3" i="215"/>
  <c r="H3" i="215"/>
  <c r="M2" i="215"/>
  <c r="L2" i="215"/>
  <c r="I2" i="215"/>
  <c r="G2" i="215"/>
  <c r="F2" i="215"/>
  <c r="E2" i="215"/>
  <c r="D2" i="215"/>
  <c r="C2" i="215"/>
  <c r="M20" i="212"/>
  <c r="L20" i="212"/>
  <c r="I20" i="212"/>
  <c r="G20" i="212"/>
  <c r="F20" i="212"/>
  <c r="E20" i="212"/>
  <c r="D20" i="212"/>
  <c r="C20" i="212"/>
  <c r="M19" i="212"/>
  <c r="L19" i="212"/>
  <c r="I19" i="212"/>
  <c r="G19" i="212"/>
  <c r="F19" i="212"/>
  <c r="E19" i="212"/>
  <c r="D19" i="212"/>
  <c r="C19" i="212"/>
  <c r="N18" i="212"/>
  <c r="H18" i="212"/>
  <c r="J18" i="212" s="1"/>
  <c r="N17" i="212"/>
  <c r="H17" i="212"/>
  <c r="J17" i="212" s="1"/>
  <c r="N16" i="212"/>
  <c r="H16" i="212"/>
  <c r="M15" i="212"/>
  <c r="L15" i="212"/>
  <c r="I15" i="212"/>
  <c r="G15" i="212"/>
  <c r="F15" i="212"/>
  <c r="D15" i="212"/>
  <c r="C15" i="212"/>
  <c r="N14" i="212"/>
  <c r="H14" i="212"/>
  <c r="J14" i="212" s="1"/>
  <c r="N13" i="212"/>
  <c r="H13" i="212"/>
  <c r="J13" i="212" s="1"/>
  <c r="N12" i="212"/>
  <c r="H12" i="212"/>
  <c r="J12" i="212" s="1"/>
  <c r="N11" i="212"/>
  <c r="H11" i="212"/>
  <c r="J11" i="212" s="1"/>
  <c r="M10" i="212"/>
  <c r="L10" i="212"/>
  <c r="I10" i="212"/>
  <c r="G10" i="212"/>
  <c r="F10" i="212"/>
  <c r="E10" i="212"/>
  <c r="D10" i="212"/>
  <c r="C10" i="212"/>
  <c r="N9" i="212"/>
  <c r="H9" i="212"/>
  <c r="J9" i="212" s="1"/>
  <c r="N8" i="212"/>
  <c r="H8" i="212"/>
  <c r="J8" i="212" s="1"/>
  <c r="N7" i="212"/>
  <c r="H7" i="212"/>
  <c r="J7" i="212" s="1"/>
  <c r="M6" i="212"/>
  <c r="L6" i="212"/>
  <c r="I6" i="212"/>
  <c r="G6" i="212"/>
  <c r="F6" i="212"/>
  <c r="E6" i="212"/>
  <c r="D6" i="212"/>
  <c r="C6" i="212"/>
  <c r="N5" i="212"/>
  <c r="H5" i="212"/>
  <c r="J5" i="212" s="1"/>
  <c r="N4" i="212"/>
  <c r="H4" i="212"/>
  <c r="N3" i="212"/>
  <c r="H3" i="212"/>
  <c r="J3" i="212" s="1"/>
  <c r="M2" i="212"/>
  <c r="L2" i="212"/>
  <c r="I2" i="212"/>
  <c r="G2" i="212"/>
  <c r="F2" i="212"/>
  <c r="E2" i="212"/>
  <c r="D2" i="212"/>
  <c r="C2" i="212"/>
  <c r="N18" i="209"/>
  <c r="N17" i="209"/>
  <c r="N16" i="209"/>
  <c r="N14" i="209"/>
  <c r="N13" i="209"/>
  <c r="N12" i="209"/>
  <c r="N11" i="209"/>
  <c r="N9" i="209"/>
  <c r="N8" i="209"/>
  <c r="N7" i="209"/>
  <c r="N6" i="209" s="1"/>
  <c r="N5" i="209"/>
  <c r="N4" i="209"/>
  <c r="N3" i="209"/>
  <c r="N2" i="209" s="1"/>
  <c r="M20" i="209"/>
  <c r="M19" i="209"/>
  <c r="M21" i="209" s="1"/>
  <c r="M15" i="209"/>
  <c r="M10" i="209"/>
  <c r="M6" i="209"/>
  <c r="M2" i="209"/>
  <c r="L20" i="209"/>
  <c r="G20" i="209"/>
  <c r="F20" i="209"/>
  <c r="E20" i="209"/>
  <c r="D20" i="209"/>
  <c r="C20" i="209"/>
  <c r="L19" i="209"/>
  <c r="G19" i="209"/>
  <c r="F19" i="209"/>
  <c r="E19" i="209"/>
  <c r="D19" i="209"/>
  <c r="C19" i="209"/>
  <c r="I20" i="209"/>
  <c r="I19" i="209"/>
  <c r="I21" i="209" s="1"/>
  <c r="H18" i="209"/>
  <c r="J18" i="209" s="1"/>
  <c r="H17" i="209"/>
  <c r="J17" i="209" s="1"/>
  <c r="H16" i="209"/>
  <c r="L15" i="209"/>
  <c r="I15" i="209"/>
  <c r="G15" i="209"/>
  <c r="F15" i="209"/>
  <c r="D15" i="209"/>
  <c r="C15" i="209"/>
  <c r="H14" i="209"/>
  <c r="J14" i="209" s="1"/>
  <c r="H13" i="209"/>
  <c r="J13" i="209" s="1"/>
  <c r="H12" i="209"/>
  <c r="J12" i="209" s="1"/>
  <c r="H11" i="209"/>
  <c r="J11" i="209" s="1"/>
  <c r="L10" i="209"/>
  <c r="I10" i="209"/>
  <c r="G10" i="209"/>
  <c r="F10" i="209"/>
  <c r="E10" i="209"/>
  <c r="D10" i="209"/>
  <c r="C10" i="209"/>
  <c r="H9" i="209"/>
  <c r="H8" i="209"/>
  <c r="J8" i="209" s="1"/>
  <c r="H7" i="209"/>
  <c r="J7" i="209" s="1"/>
  <c r="L6" i="209"/>
  <c r="I6" i="209"/>
  <c r="G6" i="209"/>
  <c r="F6" i="209"/>
  <c r="E6" i="209"/>
  <c r="D6" i="209"/>
  <c r="C6" i="209"/>
  <c r="H5" i="209"/>
  <c r="J5" i="209" s="1"/>
  <c r="H4" i="209"/>
  <c r="J4" i="209" s="1"/>
  <c r="H3" i="209"/>
  <c r="J3" i="209" s="1"/>
  <c r="L2" i="209"/>
  <c r="I2" i="209"/>
  <c r="G2" i="209"/>
  <c r="F2" i="209"/>
  <c r="E2" i="209"/>
  <c r="D2" i="209"/>
  <c r="C2" i="209"/>
  <c r="L20" i="207"/>
  <c r="I20" i="207"/>
  <c r="G20" i="207"/>
  <c r="F20" i="207"/>
  <c r="E20" i="207"/>
  <c r="D20" i="207"/>
  <c r="C20" i="207"/>
  <c r="L19" i="207"/>
  <c r="I19" i="207"/>
  <c r="G19" i="207"/>
  <c r="F19" i="207"/>
  <c r="E19" i="207"/>
  <c r="E21" i="207" s="1"/>
  <c r="D19" i="207"/>
  <c r="C19" i="207"/>
  <c r="H18" i="207"/>
  <c r="H17" i="207"/>
  <c r="J17" i="207" s="1"/>
  <c r="H16" i="207"/>
  <c r="L15" i="207"/>
  <c r="I15" i="207"/>
  <c r="G15" i="207"/>
  <c r="F15" i="207"/>
  <c r="D15" i="207"/>
  <c r="C15" i="207"/>
  <c r="H14" i="207"/>
  <c r="J14" i="207" s="1"/>
  <c r="H13" i="207"/>
  <c r="J13" i="207" s="1"/>
  <c r="H12" i="207"/>
  <c r="J12" i="207" s="1"/>
  <c r="H11" i="207"/>
  <c r="J11" i="207" s="1"/>
  <c r="L10" i="207"/>
  <c r="I10" i="207"/>
  <c r="G10" i="207"/>
  <c r="F10" i="207"/>
  <c r="E10" i="207"/>
  <c r="D10" i="207"/>
  <c r="C10" i="207"/>
  <c r="H9" i="207"/>
  <c r="J9" i="207" s="1"/>
  <c r="H8" i="207"/>
  <c r="J8" i="207" s="1"/>
  <c r="H7" i="207"/>
  <c r="L6" i="207"/>
  <c r="I6" i="207"/>
  <c r="G6" i="207"/>
  <c r="F6" i="207"/>
  <c r="E6" i="207"/>
  <c r="D6" i="207"/>
  <c r="C6" i="207"/>
  <c r="H5" i="207"/>
  <c r="J5" i="207" s="1"/>
  <c r="H4" i="207"/>
  <c r="H3" i="207"/>
  <c r="J3" i="207" s="1"/>
  <c r="L2" i="207"/>
  <c r="I2" i="207"/>
  <c r="G2" i="207"/>
  <c r="F2" i="207"/>
  <c r="E2" i="207"/>
  <c r="D2" i="207"/>
  <c r="C2" i="207"/>
  <c r="H12" i="206"/>
  <c r="H13" i="206"/>
  <c r="H14" i="206"/>
  <c r="E21" i="227" l="1"/>
  <c r="I21" i="223"/>
  <c r="H6" i="207"/>
  <c r="N15" i="209"/>
  <c r="I21" i="217"/>
  <c r="N6" i="212"/>
  <c r="N6" i="215"/>
  <c r="I21" i="207"/>
  <c r="H15" i="212"/>
  <c r="H10" i="215"/>
  <c r="M21" i="227"/>
  <c r="I21" i="212"/>
  <c r="N15" i="212"/>
  <c r="I21" i="215"/>
  <c r="N6" i="219"/>
  <c r="N2" i="223"/>
  <c r="N10" i="209"/>
  <c r="H15" i="217"/>
  <c r="L21" i="219"/>
  <c r="N2" i="227"/>
  <c r="M21" i="217"/>
  <c r="N6" i="223"/>
  <c r="M21" i="223"/>
  <c r="J6" i="212"/>
  <c r="H19" i="223"/>
  <c r="H2" i="227"/>
  <c r="H6" i="227"/>
  <c r="H2" i="219"/>
  <c r="H2" i="215"/>
  <c r="H6" i="215"/>
  <c r="N15" i="217"/>
  <c r="H6" i="223"/>
  <c r="N10" i="223"/>
  <c r="N19" i="217"/>
  <c r="N19" i="215"/>
  <c r="E21" i="209"/>
  <c r="N2" i="212"/>
  <c r="M21" i="219"/>
  <c r="H19" i="215"/>
  <c r="H6" i="217"/>
  <c r="J3" i="215"/>
  <c r="M21" i="215"/>
  <c r="N10" i="217"/>
  <c r="M21" i="212"/>
  <c r="C21" i="207"/>
  <c r="H2" i="212"/>
  <c r="N6" i="217"/>
  <c r="F21" i="227"/>
  <c r="N19" i="209"/>
  <c r="I21" i="219"/>
  <c r="N6" i="227"/>
  <c r="L21" i="227"/>
  <c r="H2" i="207"/>
  <c r="N2" i="219"/>
  <c r="E21" i="219"/>
  <c r="N15" i="227"/>
  <c r="N10" i="227"/>
  <c r="N20" i="227"/>
  <c r="H15" i="227"/>
  <c r="C21" i="227"/>
  <c r="G21" i="227"/>
  <c r="D21" i="227"/>
  <c r="H10" i="227"/>
  <c r="J10" i="227"/>
  <c r="J6" i="227"/>
  <c r="J16" i="227"/>
  <c r="N19" i="227"/>
  <c r="H20" i="227"/>
  <c r="J4" i="227"/>
  <c r="J19" i="227" s="1"/>
  <c r="H19" i="227"/>
  <c r="N20" i="223"/>
  <c r="L21" i="223"/>
  <c r="H10" i="223"/>
  <c r="F21" i="223"/>
  <c r="H15" i="223"/>
  <c r="D21" i="223"/>
  <c r="E21" i="223"/>
  <c r="G21" i="223"/>
  <c r="H20" i="223"/>
  <c r="C21" i="223"/>
  <c r="J10" i="223"/>
  <c r="J6" i="223"/>
  <c r="J3" i="223"/>
  <c r="N15" i="223"/>
  <c r="J16" i="223"/>
  <c r="N19" i="223"/>
  <c r="H2" i="223"/>
  <c r="N15" i="219"/>
  <c r="N10" i="219"/>
  <c r="H15" i="219"/>
  <c r="C21" i="219"/>
  <c r="N20" i="219"/>
  <c r="H10" i="219"/>
  <c r="D21" i="219"/>
  <c r="F21" i="219"/>
  <c r="H20" i="219"/>
  <c r="J14" i="219"/>
  <c r="J10" i="219" s="1"/>
  <c r="G21" i="219"/>
  <c r="J19" i="219"/>
  <c r="J2" i="219"/>
  <c r="J6" i="219"/>
  <c r="H6" i="219"/>
  <c r="J16" i="219"/>
  <c r="N19" i="219"/>
  <c r="H19" i="219"/>
  <c r="L21" i="217"/>
  <c r="N20" i="217"/>
  <c r="D21" i="217"/>
  <c r="C21" i="217"/>
  <c r="H19" i="217"/>
  <c r="H10" i="217"/>
  <c r="E21" i="217"/>
  <c r="F21" i="217"/>
  <c r="G21" i="217"/>
  <c r="H20" i="217"/>
  <c r="J6" i="217"/>
  <c r="J10" i="217"/>
  <c r="N2" i="217"/>
  <c r="H2" i="217"/>
  <c r="J16" i="217"/>
  <c r="J4" i="217"/>
  <c r="J2" i="217" s="1"/>
  <c r="N20" i="215"/>
  <c r="N10" i="215"/>
  <c r="H20" i="215"/>
  <c r="C21" i="215"/>
  <c r="F21" i="215"/>
  <c r="L21" i="215"/>
  <c r="N15" i="215"/>
  <c r="H15" i="215"/>
  <c r="D21" i="215"/>
  <c r="E21" i="215"/>
  <c r="G21" i="215"/>
  <c r="J10" i="215"/>
  <c r="J6" i="215"/>
  <c r="J4" i="215"/>
  <c r="N2" i="215"/>
  <c r="J16" i="215"/>
  <c r="N10" i="212"/>
  <c r="C21" i="212"/>
  <c r="G21" i="212"/>
  <c r="F21" i="212"/>
  <c r="N20" i="212"/>
  <c r="L21" i="212"/>
  <c r="H10" i="212"/>
  <c r="D21" i="212"/>
  <c r="E21" i="212"/>
  <c r="H20" i="212"/>
  <c r="J10" i="212"/>
  <c r="J16" i="212"/>
  <c r="N19" i="212"/>
  <c r="J4" i="212"/>
  <c r="J19" i="212" s="1"/>
  <c r="H19" i="212"/>
  <c r="H6" i="212"/>
  <c r="N20" i="209"/>
  <c r="J2" i="209"/>
  <c r="H6" i="209"/>
  <c r="L21" i="209"/>
  <c r="D21" i="209"/>
  <c r="F21" i="209"/>
  <c r="C21" i="209"/>
  <c r="H19" i="209"/>
  <c r="G21" i="209"/>
  <c r="H20" i="209"/>
  <c r="J10" i="209"/>
  <c r="H2" i="209"/>
  <c r="J9" i="209"/>
  <c r="J19" i="209" s="1"/>
  <c r="H10" i="209"/>
  <c r="J16" i="209"/>
  <c r="H15" i="209"/>
  <c r="L21" i="207"/>
  <c r="H19" i="207"/>
  <c r="G21" i="207"/>
  <c r="H15" i="207"/>
  <c r="D21" i="207"/>
  <c r="J10" i="207"/>
  <c r="H20" i="207"/>
  <c r="F21" i="207"/>
  <c r="H10" i="207"/>
  <c r="J4" i="207"/>
  <c r="J2" i="207" s="1"/>
  <c r="J18" i="207"/>
  <c r="J7" i="207"/>
  <c r="J6" i="207" s="1"/>
  <c r="J16" i="207"/>
  <c r="L20" i="206"/>
  <c r="I20" i="206"/>
  <c r="G20" i="206"/>
  <c r="F20" i="206"/>
  <c r="E20" i="206"/>
  <c r="D20" i="206"/>
  <c r="C20" i="206"/>
  <c r="L19" i="206"/>
  <c r="I19" i="206"/>
  <c r="G19" i="206"/>
  <c r="F19" i="206"/>
  <c r="E19" i="206"/>
  <c r="D19" i="206"/>
  <c r="C19" i="206"/>
  <c r="H18" i="206"/>
  <c r="H17" i="206"/>
  <c r="J17" i="206" s="1"/>
  <c r="H16" i="206"/>
  <c r="L15" i="206"/>
  <c r="I15" i="206"/>
  <c r="G15" i="206"/>
  <c r="F15" i="206"/>
  <c r="D15" i="206"/>
  <c r="C15" i="206"/>
  <c r="J14" i="206"/>
  <c r="J13" i="206"/>
  <c r="J12" i="206"/>
  <c r="H11" i="206"/>
  <c r="H10" i="206" s="1"/>
  <c r="L10" i="206"/>
  <c r="I10" i="206"/>
  <c r="G10" i="206"/>
  <c r="F10" i="206"/>
  <c r="E10" i="206"/>
  <c r="D10" i="206"/>
  <c r="C10" i="206"/>
  <c r="H9" i="206"/>
  <c r="J9" i="206" s="1"/>
  <c r="H8" i="206"/>
  <c r="J8" i="206" s="1"/>
  <c r="H7" i="206"/>
  <c r="J7" i="206" s="1"/>
  <c r="L6" i="206"/>
  <c r="I6" i="206"/>
  <c r="G6" i="206"/>
  <c r="F6" i="206"/>
  <c r="E6" i="206"/>
  <c r="D6" i="206"/>
  <c r="C6" i="206"/>
  <c r="H5" i="206"/>
  <c r="J5" i="206" s="1"/>
  <c r="H4" i="206"/>
  <c r="H3" i="206"/>
  <c r="J3" i="206" s="1"/>
  <c r="L2" i="206"/>
  <c r="I2" i="206"/>
  <c r="G2" i="206"/>
  <c r="F2" i="206"/>
  <c r="E2" i="206"/>
  <c r="D2" i="206"/>
  <c r="C2" i="206"/>
  <c r="L20" i="202"/>
  <c r="I20" i="202"/>
  <c r="G20" i="202"/>
  <c r="F20" i="202"/>
  <c r="E20" i="202"/>
  <c r="D20" i="202"/>
  <c r="C20" i="202"/>
  <c r="L19" i="202"/>
  <c r="L21" i="202" s="1"/>
  <c r="I19" i="202"/>
  <c r="G19" i="202"/>
  <c r="F19" i="202"/>
  <c r="E19" i="202"/>
  <c r="D19" i="202"/>
  <c r="C19" i="202"/>
  <c r="H18" i="202"/>
  <c r="J18" i="202" s="1"/>
  <c r="H17" i="202"/>
  <c r="J17" i="202" s="1"/>
  <c r="H16" i="202"/>
  <c r="L15" i="202"/>
  <c r="I15" i="202"/>
  <c r="G15" i="202"/>
  <c r="F15" i="202"/>
  <c r="D15" i="202"/>
  <c r="C15" i="202"/>
  <c r="H14" i="202"/>
  <c r="J14" i="202" s="1"/>
  <c r="H13" i="202"/>
  <c r="J13" i="202" s="1"/>
  <c r="H12" i="202"/>
  <c r="J12" i="202" s="1"/>
  <c r="H11" i="202"/>
  <c r="L10" i="202"/>
  <c r="I10" i="202"/>
  <c r="G10" i="202"/>
  <c r="F10" i="202"/>
  <c r="E10" i="202"/>
  <c r="D10" i="202"/>
  <c r="C10" i="202"/>
  <c r="H9" i="202"/>
  <c r="H8" i="202"/>
  <c r="J8" i="202" s="1"/>
  <c r="H7" i="202"/>
  <c r="J7" i="202" s="1"/>
  <c r="L6" i="202"/>
  <c r="I6" i="202"/>
  <c r="G6" i="202"/>
  <c r="F6" i="202"/>
  <c r="E6" i="202"/>
  <c r="D6" i="202"/>
  <c r="C6" i="202"/>
  <c r="H5" i="202"/>
  <c r="J5" i="202" s="1"/>
  <c r="H4" i="202"/>
  <c r="J4" i="202" s="1"/>
  <c r="H3" i="202"/>
  <c r="J3" i="202" s="1"/>
  <c r="L2" i="202"/>
  <c r="I2" i="202"/>
  <c r="G2" i="202"/>
  <c r="F2" i="202"/>
  <c r="E2" i="202"/>
  <c r="D2" i="202"/>
  <c r="C2" i="202"/>
  <c r="N21" i="215" l="1"/>
  <c r="N21" i="217"/>
  <c r="J2" i="215"/>
  <c r="J19" i="215"/>
  <c r="H21" i="215"/>
  <c r="H21" i="223"/>
  <c r="D21" i="202"/>
  <c r="N21" i="209"/>
  <c r="C21" i="202"/>
  <c r="H6" i="202"/>
  <c r="J2" i="202"/>
  <c r="H2" i="206"/>
  <c r="L21" i="206"/>
  <c r="E21" i="202"/>
  <c r="I21" i="206"/>
  <c r="N21" i="212"/>
  <c r="J2" i="227"/>
  <c r="J6" i="206"/>
  <c r="J19" i="217"/>
  <c r="I21" i="202"/>
  <c r="J19" i="207"/>
  <c r="N21" i="227"/>
  <c r="J20" i="227"/>
  <c r="J21" i="227" s="1"/>
  <c r="J15" i="227"/>
  <c r="H21" i="227"/>
  <c r="N21" i="223"/>
  <c r="J20" i="223"/>
  <c r="J15" i="223"/>
  <c r="J19" i="223"/>
  <c r="J2" i="223"/>
  <c r="N21" i="219"/>
  <c r="H21" i="219"/>
  <c r="J20" i="219"/>
  <c r="J21" i="219" s="1"/>
  <c r="J15" i="219"/>
  <c r="H21" i="217"/>
  <c r="J15" i="217"/>
  <c r="J20" i="217"/>
  <c r="J20" i="215"/>
  <c r="J15" i="215"/>
  <c r="H21" i="212"/>
  <c r="J20" i="212"/>
  <c r="J21" i="212" s="1"/>
  <c r="J15" i="212"/>
  <c r="J2" i="212"/>
  <c r="J6" i="209"/>
  <c r="H21" i="209"/>
  <c r="J20" i="209"/>
  <c r="J21" i="209" s="1"/>
  <c r="J15" i="209"/>
  <c r="H21" i="207"/>
  <c r="J20" i="207"/>
  <c r="J15" i="207"/>
  <c r="E21" i="206"/>
  <c r="G21" i="206"/>
  <c r="C21" i="206"/>
  <c r="H19" i="206"/>
  <c r="H15" i="206"/>
  <c r="H20" i="206"/>
  <c r="J11" i="206"/>
  <c r="J10" i="206" s="1"/>
  <c r="F21" i="206"/>
  <c r="D21" i="206"/>
  <c r="J4" i="206"/>
  <c r="J2" i="206" s="1"/>
  <c r="J18" i="206"/>
  <c r="H6" i="206"/>
  <c r="J16" i="206"/>
  <c r="G21" i="202"/>
  <c r="H10" i="202"/>
  <c r="H20" i="202"/>
  <c r="H19" i="202"/>
  <c r="J11" i="202"/>
  <c r="J10" i="202" s="1"/>
  <c r="F21" i="202"/>
  <c r="H2" i="202"/>
  <c r="J9" i="202"/>
  <c r="J16" i="202"/>
  <c r="H15" i="202"/>
  <c r="J21" i="215" l="1"/>
  <c r="J21" i="207"/>
  <c r="J21" i="217"/>
  <c r="J21" i="223"/>
  <c r="H21" i="206"/>
  <c r="J19" i="206"/>
  <c r="J15" i="206"/>
  <c r="J20" i="206"/>
  <c r="H21" i="202"/>
  <c r="J19" i="202"/>
  <c r="J20" i="202"/>
  <c r="J15" i="202"/>
  <c r="J6" i="202"/>
  <c r="J21" i="206" l="1"/>
  <c r="J21" i="202"/>
  <c r="H7" i="384" l="1"/>
  <c r="B6" i="384"/>
  <c r="B19" i="384"/>
  <c r="B21" i="384" s="1"/>
  <c r="H19" i="384" l="1"/>
  <c r="H21" i="384" s="1"/>
  <c r="H6" i="384"/>
  <c r="J7" i="384"/>
  <c r="J6" i="384" l="1"/>
  <c r="J19" i="384"/>
  <c r="J21" i="384" s="1"/>
  <c r="B19" i="394"/>
  <c r="B21" i="394" s="1"/>
  <c r="B6" i="394"/>
  <c r="H7" i="394"/>
  <c r="H19" i="394" s="1"/>
  <c r="H21" i="394" s="1"/>
  <c r="F6" i="394"/>
  <c r="F19" i="394"/>
  <c r="F21" i="394" s="1"/>
  <c r="H6" i="394" l="1"/>
  <c r="J7" i="394"/>
  <c r="J19" i="394" l="1"/>
  <c r="J21" i="394" s="1"/>
  <c r="J6" i="394"/>
  <c r="B6" i="396" l="1"/>
  <c r="B20" i="396"/>
  <c r="B21" i="396" s="1"/>
  <c r="H8" i="396"/>
  <c r="H20" i="396" l="1"/>
  <c r="H21" i="396" s="1"/>
  <c r="J8" i="396"/>
  <c r="H6" i="396"/>
  <c r="J6" i="396" l="1"/>
  <c r="J20" i="396"/>
  <c r="J21" i="396" s="1"/>
  <c r="B6" i="400" l="1"/>
  <c r="B20" i="400"/>
  <c r="B21" i="400" s="1"/>
  <c r="H8" i="400"/>
  <c r="H20" i="400" l="1"/>
  <c r="H21" i="400" s="1"/>
  <c r="J8" i="400"/>
  <c r="H6" i="400"/>
  <c r="J20" i="400" l="1"/>
  <c r="J21" i="400" s="1"/>
  <c r="J6" i="400"/>
</calcChain>
</file>

<file path=xl/sharedStrings.xml><?xml version="1.0" encoding="utf-8"?>
<sst xmlns="http://schemas.openxmlformats.org/spreadsheetml/2006/main" count="6631" uniqueCount="1470">
  <si>
    <t>Company</t>
  </si>
  <si>
    <t>EstValue</t>
  </si>
  <si>
    <t>ACTION PROPERTY MGMT</t>
  </si>
  <si>
    <t>Optimum</t>
  </si>
  <si>
    <t>The Management Trust</t>
  </si>
  <si>
    <t>TOTAL PROPERTY MGMT</t>
  </si>
  <si>
    <t>Start</t>
  </si>
  <si>
    <t>End</t>
  </si>
  <si>
    <t>Project</t>
  </si>
  <si>
    <t>City</t>
  </si>
  <si>
    <t>GoAhead</t>
  </si>
  <si>
    <t>Notified</t>
  </si>
  <si>
    <t>TPH</t>
  </si>
  <si>
    <t>Rep</t>
  </si>
  <si>
    <t>Irvine</t>
  </si>
  <si>
    <t>FirstService Residential</t>
  </si>
  <si>
    <t>SG</t>
  </si>
  <si>
    <t>Anaheim</t>
  </si>
  <si>
    <t>Lake Forest</t>
  </si>
  <si>
    <t>Amber Property Management</t>
  </si>
  <si>
    <t>Newport Beach</t>
  </si>
  <si>
    <t>Fullerton</t>
  </si>
  <si>
    <t>Moulton Niguel Water District</t>
  </si>
  <si>
    <t>Aliso Viejo</t>
  </si>
  <si>
    <t>Laguna Niguel</t>
  </si>
  <si>
    <t>Mission Viejo</t>
  </si>
  <si>
    <t>Laguna Hills</t>
  </si>
  <si>
    <t>Lordon Management</t>
  </si>
  <si>
    <t>Cerritos</t>
  </si>
  <si>
    <t>Crummack Huseby, Inc.</t>
  </si>
  <si>
    <t>Casta Del Sol</t>
  </si>
  <si>
    <t>Long Beach</t>
  </si>
  <si>
    <t>Huntington Beach</t>
  </si>
  <si>
    <t>Keystone Pacific Property Management, LL</t>
  </si>
  <si>
    <t>Tustin</t>
  </si>
  <si>
    <t>Rancho Santa Margarita</t>
  </si>
  <si>
    <t>Bentley Community Management, Inc.</t>
  </si>
  <si>
    <t>Brea</t>
  </si>
  <si>
    <t>Dana Point</t>
  </si>
  <si>
    <t>BHE Management</t>
  </si>
  <si>
    <t>GC</t>
  </si>
  <si>
    <t>Chino Hills</t>
  </si>
  <si>
    <t>Costa Mesa</t>
  </si>
  <si>
    <t>Tritz Professional Management Service, I</t>
  </si>
  <si>
    <t>Otis HOA Management</t>
  </si>
  <si>
    <t>Garden Grove</t>
  </si>
  <si>
    <t>Orange</t>
  </si>
  <si>
    <t>Vestar</t>
  </si>
  <si>
    <t>San Juan Capistrano</t>
  </si>
  <si>
    <t>Yorba Linda</t>
  </si>
  <si>
    <t>Qtr1</t>
  </si>
  <si>
    <t>Qtr2</t>
  </si>
  <si>
    <t>Qtr3</t>
  </si>
  <si>
    <t>Qtr4</t>
  </si>
  <si>
    <t>TOTAL</t>
  </si>
  <si>
    <t>Santa Ana</t>
  </si>
  <si>
    <t>Property Management Professionals, LLC</t>
  </si>
  <si>
    <t>Sum of EstValue</t>
  </si>
  <si>
    <t>Column Labels</t>
  </si>
  <si>
    <t>APPROVALS</t>
  </si>
  <si>
    <t>GARRETT</t>
  </si>
  <si>
    <t>Brown and Company Mgmt. Services</t>
  </si>
  <si>
    <t>Stanton</t>
  </si>
  <si>
    <t>Ammcor</t>
  </si>
  <si>
    <t>San Clemente</t>
  </si>
  <si>
    <t>Associa (AKA PCM)</t>
  </si>
  <si>
    <t>Ladera Ranch</t>
  </si>
  <si>
    <t>Western Property Management Services</t>
  </si>
  <si>
    <t>Millennium Community Management</t>
  </si>
  <si>
    <t>Cardinal Property Management</t>
  </si>
  <si>
    <t>Great Scott Tree Care</t>
  </si>
  <si>
    <t>TRANSWESTERN</t>
  </si>
  <si>
    <t>Torrance</t>
  </si>
  <si>
    <t>Aug</t>
  </si>
  <si>
    <t>Oct</t>
  </si>
  <si>
    <t>Nov</t>
  </si>
  <si>
    <t>MUNICIPAL</t>
  </si>
  <si>
    <t>Jan - Completed</t>
  </si>
  <si>
    <t>Apr - Sold</t>
  </si>
  <si>
    <t>May - Sold</t>
  </si>
  <si>
    <t>Jul - Sold</t>
  </si>
  <si>
    <t>Aug - Sold</t>
  </si>
  <si>
    <t>Sep - Sold</t>
  </si>
  <si>
    <t>Oct - Sold</t>
  </si>
  <si>
    <t>Nov - Sold</t>
  </si>
  <si>
    <t>Dec - Sold</t>
  </si>
  <si>
    <t>OCTA</t>
  </si>
  <si>
    <t>Laguna Woods Village</t>
  </si>
  <si>
    <t>Powerstone Property Management</t>
  </si>
  <si>
    <t>CM</t>
  </si>
  <si>
    <t>2022 - Canada Yard- (Exterior Clean-up).</t>
  </si>
  <si>
    <t>CHRIS</t>
  </si>
  <si>
    <t>Seabreeze Management Company</t>
  </si>
  <si>
    <t>Irvine School District</t>
  </si>
  <si>
    <t xml:space="preserve">SCOTT </t>
  </si>
  <si>
    <t>Feb - Completed</t>
  </si>
  <si>
    <t>Mar - Completed</t>
  </si>
  <si>
    <t>Placentia</t>
  </si>
  <si>
    <t>Corona</t>
  </si>
  <si>
    <t>Buena Park</t>
  </si>
  <si>
    <t>2024 - (Oct/Dec) Oak Park Maintenance Association - (3 Year Plan)</t>
  </si>
  <si>
    <t>2024 - (Oct/Dec) Seven Oaks HOA - (3 Year Plan)</t>
  </si>
  <si>
    <t>2025 - (Apr/Jun) Oak Park Maintenance Association - (3 Year Plan)</t>
  </si>
  <si>
    <t>Sep</t>
  </si>
  <si>
    <t>CB Richard Ellis</t>
  </si>
  <si>
    <t>Apr - Completed</t>
  </si>
  <si>
    <t>Tarantino Landscape</t>
  </si>
  <si>
    <t>Carson Companies</t>
  </si>
  <si>
    <t>Chino</t>
  </si>
  <si>
    <t>Cushman &amp; Wakefield</t>
  </si>
  <si>
    <t>La Perla Property Management</t>
  </si>
  <si>
    <t>Irvine Company - Retail (GPS)</t>
  </si>
  <si>
    <t>2024 - (Aug/Sep) Walden Community - (3 Year Plan)</t>
  </si>
  <si>
    <t>2025 - (Aug/Sep) Walden Community - (3 Year Plan)</t>
  </si>
  <si>
    <t>Seal Beach</t>
  </si>
  <si>
    <t>2023 (Aug/Sep) (N) - St. Albans - (Trees missed due to parked cars)</t>
  </si>
  <si>
    <t>Pacific Development Group</t>
  </si>
  <si>
    <t>2024 (Aug/Sept) Villavante Community Association - (3 Year Plan)CO 21590</t>
  </si>
  <si>
    <t>2024 - (Aug/Sep) St. Albans - (3 Year Plan)</t>
  </si>
  <si>
    <t>2024 - (Oct/Dec) St. Albans - (3 Year Plan)</t>
  </si>
  <si>
    <t>2025 (N) - (Aug/Sep) St. Albans - (3 Year Plan)</t>
  </si>
  <si>
    <t>2025 -(Oct/Dec) St. Albans - (3 Year Plan)</t>
  </si>
  <si>
    <t>Not Full day 2024 (Oct/Dec) Meadowcreek Community Assoc - (Revised 3 Year Plan) CO 21533</t>
  </si>
  <si>
    <t>Dec</t>
  </si>
  <si>
    <t>Calabria Court Association</t>
  </si>
  <si>
    <t>2024 - (Jul/Sep) Windflower Community Association - (C/O 21651)</t>
  </si>
  <si>
    <t>5%? 2025 (Apr/Jun) Lantern Bay Estates-(Revised 3 Year Plan)</t>
  </si>
  <si>
    <t>5%? 2026 (Apr/Jun) Lantern Bay Estates-(Revised 3 Year Plan)</t>
  </si>
  <si>
    <t>June - Sold</t>
  </si>
  <si>
    <t>JEREMY</t>
  </si>
  <si>
    <t>COMMERCIAL</t>
  </si>
  <si>
    <t>COMPLETED SUBTOTAL</t>
  </si>
  <si>
    <t>SOLD SUBTOTAL</t>
  </si>
  <si>
    <t>GRANT TOTAL</t>
  </si>
  <si>
    <t>2024 (Oct/Dec) Terra Linda Estates HOA - (3 Year Plan) CO 21959</t>
  </si>
  <si>
    <t>2025 - (Oct/Dec) Riverbeach HOA - (3 Year Plan) CO 21849</t>
  </si>
  <si>
    <t>5%?2025 - (Jan/Mar) Casitas in Buena Park - (3 Year Plan)CO 21868</t>
  </si>
  <si>
    <t>(Before Thanksgiving) 2024 - (Oct/Nov) Long Beach Town Center (2024 Tree Maintenance)</t>
  </si>
  <si>
    <t>(BIRD NEST) 2024 - Danawoods Community-(Removal ID 51; Active Bird Nest)</t>
  </si>
  <si>
    <t>(Birds Nest)2024 -(Jan/Mar) Northpark Maintenance HOA-(Wind Row Trees) - (D 5-72; Missed Tree due to birds nest)</t>
  </si>
  <si>
    <t>JI</t>
  </si>
  <si>
    <t>Compass Property Management</t>
  </si>
  <si>
    <t>Sares Regis</t>
  </si>
  <si>
    <t>Redlands</t>
  </si>
  <si>
    <t>2024 (Aug/Sep) Briar Rose Community Association-(3 Year Plan)</t>
  </si>
  <si>
    <t>2024 (Aug/Sep) Casafina HOA-(4 Year Plan)CO 21800</t>
  </si>
  <si>
    <t>2024 (Jul/Aug) PLACEHOLDER: Foothill Collection (Summer 24/25)</t>
  </si>
  <si>
    <t>2024 (Jul/Aug) PLACEHOLDER: Spectrum Collection (Summer 24/25)</t>
  </si>
  <si>
    <t>2024 (Jul/Aug) PLACEHOLDER: University Collection (Summer 24/25)</t>
  </si>
  <si>
    <t>2024 (Jul/Sep) Chandon HOA-(2024 Snapshot)</t>
  </si>
  <si>
    <t>TSG Independent Property Management</t>
  </si>
  <si>
    <t>2024 (Jul/Sept) Aliso Villas - (Revised 3 Year Plan)CO 219181</t>
  </si>
  <si>
    <t>2024 (Oct/Dec) Harvard Square Maintenance - (3 Year Plan)</t>
  </si>
  <si>
    <t>2024 (Oct/Dec) Pacific Hills HOA- Revised 3yr</t>
  </si>
  <si>
    <t>2024 (Oct/Dec) Seacliff Court Homeowners Association-(3 Year Plan)</t>
  </si>
  <si>
    <t>2024 (Oct/Dec) Serrano Park (Community) - (3 Year Plan)CO21965</t>
  </si>
  <si>
    <t>2024 (Oct/Dec) The Oaks at Lake Forest HOA-(2024 Trimming Snapshot)CO 21957</t>
  </si>
  <si>
    <t>2024 (Oct/Dec) Willow Glen Serrano HOA-(3 Year Plan)</t>
  </si>
  <si>
    <t>2024 (Sep/Nov) PLACEHOLDER: Foothill Collection (Fall 24/25)</t>
  </si>
  <si>
    <t>2024 (Sep/Nov) PLACEHOLDER: Spectrum Collection (Fall 24/25)</t>
  </si>
  <si>
    <t>2024 (Sep/Nov) PLACEHOLDER: University Collection (Fall 24/25)</t>
  </si>
  <si>
    <t>2024 (Sep/Oct) The Village Cottages (3 Year Plan)CO 21806</t>
  </si>
  <si>
    <t>The Muller Company</t>
  </si>
  <si>
    <t>Diamond Bar</t>
  </si>
  <si>
    <t>Nexagen Corporation</t>
  </si>
  <si>
    <t>Peatco Properties</t>
  </si>
  <si>
    <t>The Bilak Companies Dolmar, Inc.</t>
  </si>
  <si>
    <t>2024 - (Aug/Sep) Casitas in Buena Park - (3 Year Plan)</t>
  </si>
  <si>
    <t>2024 - (Aug/Sep) Laguna Altura-(Revised 2024 Competitive Bid)</t>
  </si>
  <si>
    <t>2024 - (Aug/Sep) Lakeview Homeowners Association - (Revised 3 Year Plan) CO 21905</t>
  </si>
  <si>
    <t>2024 - (Aug/Sep) Woodfield Community Assoc. - (2024 Recommendations)</t>
  </si>
  <si>
    <t>2024 - (Jul/Sep) PLACEHOLDER: Coastal Collection (Summer 24/25)</t>
  </si>
  <si>
    <t>2024 - (Oct/Dec) Bay Island - (Common Area 3 Year Plan)</t>
  </si>
  <si>
    <t>2024 - (Oct/Dec) Bayview Terrace - (24/25 Recommendations)</t>
  </si>
  <si>
    <t>2024 - (Oct/Dec) Heritage Place Community HOA - (3 Year Plan)</t>
  </si>
  <si>
    <t>2024 - (Oct/Dec) Koll Diamond Bar Association (2-Year Plan)</t>
  </si>
  <si>
    <t>2024 - (Oct/Dec) Linda Isle - (24-25 Additional Palm Recs)</t>
  </si>
  <si>
    <t>2024 - (Oct/Dec)Cabo Del Mar - (2024 Recommendations)</t>
  </si>
  <si>
    <t>2024 - (Sep/Nov) PLACEHOLDER: Coastal Collection (Fall 24/25)</t>
  </si>
  <si>
    <t>2024 - Newport Crest HOA - (Go-Back; ID's 164, 583)CO 21991</t>
  </si>
  <si>
    <t>2024 - South County Yard (20795 Linear) - (ID 195 &amp; 69)</t>
  </si>
  <si>
    <t>2025 (Apr/Jun) Agave - (Revised 3 Year Plan)CO 21853</t>
  </si>
  <si>
    <t>2025 (Apr/Jun) Casafina HOA-(4 Year Plan)CO 21802</t>
  </si>
  <si>
    <t>2025 (Apr/Jun) PLACEHOLDER: Foothill Collection (Spring 24/25)</t>
  </si>
  <si>
    <t>2025 (Apr/Jun) PLACEHOLDER: Spectrum Collection (Spring 24/25)</t>
  </si>
  <si>
    <t>2025 (Apr/Jun) PLACEHOLDER: University Collection (Spring 24/25)</t>
  </si>
  <si>
    <t>2025 (Apr/Jun) Vista de Oro Homeowners Association-(Revised Approved 3 Year Plan)CO 21896</t>
  </si>
  <si>
    <t>2025 (Aug/Sep) Casafina HOA-(4 Year Plan)CO 21803</t>
  </si>
  <si>
    <t>2025 (Aug/Sep) Parkside Property Owners Association-(Revised Lexington Cost Center; 3 Year Plan)CO 22003</t>
  </si>
  <si>
    <t>2025 (Aug/Sep) Parkside Property Owners Association-(Revised Master; 3 Year Plan)CO 34911</t>
  </si>
  <si>
    <t>2025 (Aug/Sep) Vista de Oro Homeowners Association-(Revised Approved 3 Year Plan)CO 21897</t>
  </si>
  <si>
    <t>2025 (Jan/Feb) Marinita Townhomes Association-(2024/25 Approved Snapshot)</t>
  </si>
  <si>
    <t>2025 (Jan/Mar) Casafina HOA-(4 Year Plan)CO 21801</t>
  </si>
  <si>
    <t>2025 (Jan/Mar) Laguna Audubon 1-(3 Year Plan)</t>
  </si>
  <si>
    <t>2025 (Jan/Mar) Parkside Property Owners Association-(Revised Master; 3 Year Plan)CO 22002</t>
  </si>
  <si>
    <t>2025 (Jan/Mar) PLACEHOLDER: Foothill Collection (Winter 24/25)</t>
  </si>
  <si>
    <t>2025 (Jan/Mar) PLACEHOLDER: Spectrum Collection (Winter 24/25)</t>
  </si>
  <si>
    <t>2025 (Jan/Mar) PLACEHOLDER: University Collection (Winter 24/25)</t>
  </si>
  <si>
    <t>2025 (Jul/Sep) Silverleaf Neighborhood Association - (3 Year Plan)CO 21948</t>
  </si>
  <si>
    <t>2025 (Removals) Cypress North Community Association-(3 Year Removal Bid)</t>
  </si>
  <si>
    <t>2025 (Removals) Danawoods Community - (3 Year Phased Removal Plan)</t>
  </si>
  <si>
    <t>2025 (Removals) The Cottages Community Association-(3 Year Removal Plan)</t>
  </si>
  <si>
    <t>2025 - (Apr/Jun) Montilla at Oak Creek-(3 Year Plan) CO 22011</t>
  </si>
  <si>
    <t>2025 - (Jan/Mar) Oxford Court HOA - (3 Year Plan)</t>
  </si>
  <si>
    <t>2025 - (Jan/Mar)PLACEHOLDER: Coastal Collection (Winter 24/25)</t>
  </si>
  <si>
    <t>2025 - (Oct/Dec) Linda Isle - (24-25 Additional Palm Recs)</t>
  </si>
  <si>
    <t>2025 - (Oct/Dec) Montilla at Oak Creek-(3 Year Plan)</t>
  </si>
  <si>
    <t>2025 - (Oct/Dec) Woodbridge Shore Maintenance Association - (3 Year Plan)</t>
  </si>
  <si>
    <t>2025 - Cortile Maintenance Association-(3 Year Pine Removals Plan)CO 21987</t>
  </si>
  <si>
    <t>2025 -(Jan/Mar) Amalfi Hills Community Association - (3 Year Plan)</t>
  </si>
  <si>
    <t>LAREM</t>
  </si>
  <si>
    <t>La Verne</t>
  </si>
  <si>
    <t>2025 PLACEHOLDER- Northpark Maintenance HOA (Street Trees)</t>
  </si>
  <si>
    <t>2026 (Removals) Cypress North Community Association-(3 Year Removal Bid)</t>
  </si>
  <si>
    <t>2026 (Removals) Danawoods Community - (3 Year Phased Removal Plan)</t>
  </si>
  <si>
    <t>2026 (Removals) The Cottages Community Association-(3 Year Removal Plan)</t>
  </si>
  <si>
    <t>2026 - (Apr/Jun) Montilla at Oak Creek-(3 Year Plan)</t>
  </si>
  <si>
    <t>2026 - (Jan/Mar) Woodbridge Shore Maintenance Association - (3 Year Plan)</t>
  </si>
  <si>
    <t>2026 - (Oct/Dec) Woodbridge Shore Maintenance Association - (3 Year Plan)</t>
  </si>
  <si>
    <t>2026 - Cortile Maintenance Association-(3 Year Pine Removals Plan)</t>
  </si>
  <si>
    <t>2026 PLACEHOLDER-Northpark Maintenance HOA (Street Trees)</t>
  </si>
  <si>
    <t>3 AM START 2024 (Aug) Santa Margarita Town Center - (2024 Recommenadations)</t>
  </si>
  <si>
    <t>3 AM START 2024 (Nov) Santa Margarita Town Center - (2024 Recommenadations)</t>
  </si>
  <si>
    <t>5% 2025 - (Apr/Jun) Amalfi Hills Community Association - (3 Year Plan)</t>
  </si>
  <si>
    <t>5% 2025 - (Apr/Jun) Campobello HOA-(4 Year Plan)</t>
  </si>
  <si>
    <t>5% 2025 - (Apr/Jun) Promenade at Seagate - (Transportation Corridor; 3 Year Plan)</t>
  </si>
  <si>
    <t>5% 2025 - (Apr/Jun) YoYorba Linda Knolls Community Assoc. - (3 Year Plan) Revised</t>
  </si>
  <si>
    <t>5% 2025 - (Jan/Mar) WoodLake Santa Ana HOA - (Revised 3 Year Plan)</t>
  </si>
  <si>
    <t>5% 2025 - (Jul/Sep) Amalfi Hills Community Association - (3 Year Plan)</t>
  </si>
  <si>
    <t>5% 2025 - (Oct/Dec) WoodLake Santa Ana HOA - (Revised 3 Year Plan)</t>
  </si>
  <si>
    <t>5% 2025 -(Jul/Sep) Promenade at Seagate - (Transport. Corridor; 3 Year Plan)</t>
  </si>
  <si>
    <t>5% 2025 -(Oct/Dec) Monterey Neighborhood Association - (3 Year Plan)</t>
  </si>
  <si>
    <t>5% 2026 - (Apr/Jun) Amalfi Hills Community Association - (3 Year Plan)</t>
  </si>
  <si>
    <t>5% 2026 - (Apr/Jun) Campobello HOA-(4 Year Plan)</t>
  </si>
  <si>
    <t>5% 2026 - (Apr/Jun) YoYorba Linda Knolls Community Assoc. - (3 Year Plan) Revised</t>
  </si>
  <si>
    <t>5% 2026 - (Jan/Mar) Amalfi Hills Community Association - (3 Year Plan)</t>
  </si>
  <si>
    <t>5% 2026 - (Oct/Dec) Campobello HOA-(4 Year Plan)</t>
  </si>
  <si>
    <t>5% 2026 - (Oct/Dec) Yorba Linda Knolls Community Assoc. - (3 Year Plan) Revised</t>
  </si>
  <si>
    <t>5%? 2025 (Apr/Jun) Autumn Glen Community Association-(3 Year Plan)</t>
  </si>
  <si>
    <t>5%? 2025 (Apr/Jun) Casitas in Buena Park - (3 Year Plan)CO 21940</t>
  </si>
  <si>
    <t>5%? 2025 (Apr/Jun) Cypress North Community Association-(3 Year Plan)</t>
  </si>
  <si>
    <t>5%? 2025 (Apr/Jun) Danawoods Community-(Revised 4 Year Plan)</t>
  </si>
  <si>
    <t>5%? 2025 (Apr/Jun) Flores Los Alisos-(3 Year Plan)</t>
  </si>
  <si>
    <t>5%? 2025 (Apr/Jun) La Vista At Laguna Niguel - (Revised 3 Year)</t>
  </si>
  <si>
    <t>5%? 2025 (Apr/Jun) Palm Gardens Community Association-(4 Year Plan)</t>
  </si>
  <si>
    <t>5%? 2025 (Apr/Jun) Rancho San Juan Community Association-(3 Year Plan)</t>
  </si>
  <si>
    <t>5%? 2025 (Apr/Jun) Stoney Pointe at Bear Brand -(Revised 3 Year Plan)</t>
  </si>
  <si>
    <t>5%? 2025 (Jan/Mar) Canyons Edge Community Association-(4 Year Plan)</t>
  </si>
  <si>
    <t>5%? 2025 (Jan/Mar) Danawoods Community-(Revised 4 Year Plan)</t>
  </si>
  <si>
    <t>5%? 2025 (Jan/Mar) Garden Homes Maintenance Association - (3 Year Plan)</t>
  </si>
  <si>
    <t>Elite Property Services</t>
  </si>
  <si>
    <t>5%? 2025 (Jan/Mar) Lake Forest (Woods) - (One line item bid)</t>
  </si>
  <si>
    <t>5%? 2025 (Jan/Mar) Pacific Hills HOA-(3 Year Plan)</t>
  </si>
  <si>
    <t>5%? 2025 (Jan/Mar) Ridgemont Community Association-(Revised 3 Year Plan)</t>
  </si>
  <si>
    <t>5%? 2025 (Jan/Mar) The Cottages Community Association-(Revised 3 Year Plan)</t>
  </si>
  <si>
    <t>5%? 2025 (Jul/Sep) Palm Gardens Community Association-(4 Year Plan)</t>
  </si>
  <si>
    <t>5%? 2025 (Jul/Sep) The Grand Monarch-(Revised 3 Year Plan)</t>
  </si>
  <si>
    <t>5%? 2025 (June) Willow Glen Serrano HOA-(3 Year Plan)</t>
  </si>
  <si>
    <t>5%? 2025 (Oct/Dec) Garden Homes Maintenance Association - (3 Year Plan)</t>
  </si>
  <si>
    <t>5%? 2025 (Oct/Dec) Glenwood Terrace-(3 Year Plan)</t>
  </si>
  <si>
    <t>5%? 2025 (Oct/Dec) Pacific Hills HOA-(3 Year Plan)</t>
  </si>
  <si>
    <t>5%? 2025 (Oct/Dec) Ridgemont Community Association-(Revised 3 Year Plan)</t>
  </si>
  <si>
    <t>5%? 2025 (Oct/Dec) Stoney Pointe at Bear Brand -(Revised 3 Year Plan)</t>
  </si>
  <si>
    <t>5%? 2025 (Oct/Nov) The Grand Monarch-(Revised 3 Year Plan)</t>
  </si>
  <si>
    <t>5%? 2025 - (Oct/Dec) Harbour Vista HOA - (3 Year plan)</t>
  </si>
  <si>
    <t>5%? 2026 (Apr/Jun) Autumn Glen Community Association-(3 Year Plan)</t>
  </si>
  <si>
    <t>5%? 2026 (Apr/Jun) Canyons Edge Community Association-(4 Year Plan)</t>
  </si>
  <si>
    <t>5%? 2026 (Apr/Jun) Cypress North Community Association-(3 Year Plan)</t>
  </si>
  <si>
    <t>5%? 2026 (Apr/Jun) Danawoods Community-(Revised 4 Year Plan)</t>
  </si>
  <si>
    <t>5%? 2026 (Apr/Jun) Flores Los Alisos-(3 Year Plan)</t>
  </si>
  <si>
    <t>5%? 2026 (Apr/Jun) La Vista At Laguna Niguel - (Revised 3 Year)</t>
  </si>
  <si>
    <t>5%? 2026 (Apr/Jun) Northpark Monterey Community Assoc. - (3 Year Plan)</t>
  </si>
  <si>
    <t>5%? 2026 (Apr/Jun) Pacific Hills HOA-(3 Year Plan)</t>
  </si>
  <si>
    <t>5%? 2026 (Apr/Jun) Palm Gardens Community Association-(4 Year Plan)</t>
  </si>
  <si>
    <t>5%? 2026 (Apr/Jun) Rancho San Juan Community Association-(3 Year Plan)</t>
  </si>
  <si>
    <t>5%? 2026 (Jan/Mar) Danawoods Community-(Revised 4 Year Plan)</t>
  </si>
  <si>
    <t>5%? 2026 (Jan/Mar) Garden Homes Maintenance Association - (3 Year Plan)</t>
  </si>
  <si>
    <t>5%? 2026 (Jan/Mar) Laguna Audubon 1-(3 Year Plan)</t>
  </si>
  <si>
    <t>5%? 2026 (Jan/Mar) Lake Forest (Woods) - (One line item bid)</t>
  </si>
  <si>
    <t>5%? 2026 (Jan/Mar) Pacific Hills HOA-(3 Year Plan)</t>
  </si>
  <si>
    <t>5%? 2026 (Jan/Mar) Palm Gardens Community Association-(4 Year Plan)</t>
  </si>
  <si>
    <t>5%? 2026 (Jan/Mar) The Cottages Community Association-(Revised 3 Year Plan)</t>
  </si>
  <si>
    <t>5%? 2026 (Jul/Sep) Palm Gardens Community Association-(4 Year Plan)</t>
  </si>
  <si>
    <t>5%? 2026 (Jul/Sep) The Grand Monarch-(Revised 3 Year Plan)</t>
  </si>
  <si>
    <t>5%? 2026 (Oct/Dec) Garden Homes Maintenance Association - (3 Year Plan)</t>
  </si>
  <si>
    <t>5%? 2026 (Oct/Dec) Glenwood Terrace-(3 Year Plan)</t>
  </si>
  <si>
    <t>5%? 2026 (Oct/Dec) Pacific Hills HOA- Revised 3yr</t>
  </si>
  <si>
    <t>5%? 2026 (Oct/Nov) The Grand Monarch-(Revised 3 Year Plan)</t>
  </si>
  <si>
    <t>5%?/PERMIT? 2026 (Jul/Sep) Danawoods Community-(Revised 4 Year Plan)</t>
  </si>
  <si>
    <t>5%?2025 - (Apr/Jun) Nexagen Corporation - (3 Year Plan)</t>
  </si>
  <si>
    <t>5%?2025 - (Aug/Sep) Casitas in Buena Park - (3 Year Plan)</t>
  </si>
  <si>
    <t>5%?2026 - (Apr/Jun) Casitas in Buena Park - (3 Year Plan)</t>
  </si>
  <si>
    <t>5%?2026 - (Apr/Jun) Nexagen Corporation - (3 Year Plan)</t>
  </si>
  <si>
    <t>5%?2026 - (Aug/Sep) Casitas in Buena Park - (3 Year Plan)</t>
  </si>
  <si>
    <t>5%?2026 - (Jan/Mar) Casitas in Buena Park - (3 Year Plan)</t>
  </si>
  <si>
    <t>HOLD 2024 - Lower Boundary Oak (Podocarpus Planting)</t>
  </si>
  <si>
    <t>NEED PERMIT 2024 (Oct/Dec)Tennis Villas at Monarch Beach-(Palm 2nd Trim)</t>
  </si>
  <si>
    <t>NEED PERMIT 2025 (Oct/Dec) Tennis Villas at Monarch Beach-(Palm 2nd Trim)</t>
  </si>
  <si>
    <t>NOT A FULL DAY 2024 (Jul/Sep) Chandon HOA-(Crown Reduction Unit 213)</t>
  </si>
  <si>
    <t>NOT FULL DAY 2024 - (Oct/Dec) The Summit at Newport Ridge CO 21679</t>
  </si>
  <si>
    <t>PERMIT 2024 (Jul/Sep) Palm Gardens Community Association-(4 Year Plan)</t>
  </si>
  <si>
    <t>PERMIT 5%? 2025 (June) Tennis Villas at Monarch Beach</t>
  </si>
  <si>
    <t>PERMIT? 2024 (Jul/Sep) Danawoods Community-(Revised 4 Year Plan)</t>
  </si>
  <si>
    <t>PERMIT? 5%? 2025 (Mar/Jun) Mesa Vista South-(4 Year Plan)</t>
  </si>
  <si>
    <t>RESCHEDULE 2024 - (Jan/Mar) Goldenwest Trans. Center (2024 Trimming)</t>
  </si>
  <si>
    <t>2024</t>
  </si>
  <si>
    <t>2024 (Oct/Dec) Irvine USD (FY 24/25 Placeholder)</t>
  </si>
  <si>
    <t>2024 (Oct/Dec) Westpark Village One - Culverdale - (3 Year Plan)</t>
  </si>
  <si>
    <t>2024 - (Oct/Dec) Huntington Bay - (3 Year Plan)</t>
  </si>
  <si>
    <t>2024 - (Oct/Dec) Linda Isle - (Approved 2024-2025 Treatment)</t>
  </si>
  <si>
    <t>2024 - (Oct/Dec) Linda Isle - (Approved 2024-2025 Trimming)</t>
  </si>
  <si>
    <t>2024 - (Oct/Dec) Pacific Development - Santa Ana - (2 Year Plan)</t>
  </si>
  <si>
    <t>2025 (Jan/Mar) Irvine USD (FY 24/25 Placeholder)</t>
  </si>
  <si>
    <t>2025 - (Apr/Jun) Linda Isle - (Approved 2024-2025 Treatment)</t>
  </si>
  <si>
    <t>2025 - (Apr/Jun) Linda Isle - (Approved 2024-2025 Trimming)</t>
  </si>
  <si>
    <t>2025 - (Apr/Jun) Oxford Court HOA - (3 Year Plan)CO 22023</t>
  </si>
  <si>
    <t>2025 - (Apr/Jun) Pacific Development - Santa Ana - (2 Year Plan)</t>
  </si>
  <si>
    <t>2025 - (Jan/Mar) Linda Isle - (Approved 2024-2025 Treatment)</t>
  </si>
  <si>
    <t>2025 - (Jul/Sep) Linda Isle - (Approved 2024-2025 Treatment)</t>
  </si>
  <si>
    <t>2025 - (Oct/Dec) Linda Isle - (Approved 2024-2025 Treatment)</t>
  </si>
  <si>
    <t>2025 - (Oct/Dec) Linda Isle - (Approved 2024-2025 Trimming)</t>
  </si>
  <si>
    <t>2025 - (Oct/Dec) Pacific Development - Santa Ana - (2 Year Plan)</t>
  </si>
  <si>
    <t>2026 - (Apr/Jun) Linda Isle - (Approved 2024-2025 Treatment)</t>
  </si>
  <si>
    <t>2026 - (Jan/Mar) Linda Isle - (Approved 2024-2025 Treatment)</t>
  </si>
  <si>
    <t>2026 - (Jan/Mar) Pacific Ranch HOA - (3 Year Plan)</t>
  </si>
  <si>
    <t>2026 - (Jul/Sep) Linda Isle - (Approved 2024-2025 Treatment)</t>
  </si>
  <si>
    <t>2026 - (Oct/Dec) Linda Isle - (Approved 2024-2025 Treatment)</t>
  </si>
  <si>
    <t>5%? 2025 (Oct/Dec) Westpark Village One - Culverdale - (3 Year Plan)</t>
  </si>
  <si>
    <t>5%? 2026 (Oct/Dec) Westpark Village One - Culverdale - (3 Year Plan)</t>
  </si>
  <si>
    <t>PERMIT==2024 - (Removals) Northpark Maintenance HOA-(Wind Row Trees) - (2024 Recs)</t>
  </si>
  <si>
    <t>POST==2024 - (Apr/Jun) Pacific Shores HOA - (24 Approved Recs)</t>
  </si>
  <si>
    <t>2024 (Oct/Nov) Tustin Ranch Community Association I (Master)CO 22055</t>
  </si>
  <si>
    <t>2024 - (Oct/Dec) Granada Park Cerritos HOA - (3 Year Plan)</t>
  </si>
  <si>
    <t>2024 - (Oct/Jan) Rancho Dominguez Townhome Assoc - (3 Year Plan)</t>
  </si>
  <si>
    <t>2024 - Woodbridge Shore Maintenance Association - (Removal ID 74)</t>
  </si>
  <si>
    <t>2025 (Apr/Jun) Belterazza HOA-(Revised 3 Year Plan)CO 22044</t>
  </si>
  <si>
    <t>2025 - (Apr/Jun) Valencia Maintenance Association - (3 Year Plan)</t>
  </si>
  <si>
    <t>2025 - (Jan/Mar) Valencia Maintenance Association - (3 Year Plan)</t>
  </si>
  <si>
    <t>2026 - (Apr/Jun) Valencia Maintenance Association - (3 Year Plan)</t>
  </si>
  <si>
    <t>2026 - (Jan/Mar) Valencia Maintenance Association - (3 Year Plan)</t>
  </si>
  <si>
    <t>5%==2025 - (Apr/Jun) Granada Park Cerritos HOA - (3 Year Plan)</t>
  </si>
  <si>
    <t>5%==2025 - (Oct/Dec) Granada Park Cerritos HOA - (3 Year Plan)</t>
  </si>
  <si>
    <t>5%==2026 - (Apr/Jun) Granada Park Cerritos HOA - (3 Year Plan)</t>
  </si>
  <si>
    <t>5%==2026 - (Oct/Dec) Granada Park Cerritos HOA - (3 Year Plan)</t>
  </si>
  <si>
    <t>5%? 2025 (Jan/Mar) Palm Gardens Community Association-(4 Year Plan)CO 22053</t>
  </si>
  <si>
    <t>NOT A FULL DAY 2024 (Jan/Mar) Villavante Community Association-(WO XN3123187 Landscaper Trees)</t>
  </si>
  <si>
    <t>PERMIT==2025 - Granada Park Cerritos HOA - (Revised 3 Year Removal Plan)</t>
  </si>
  <si>
    <t>PERMIT==2026 - Granada Park Cerritos HOA - (Revised 3 Year Removal Plan)</t>
  </si>
  <si>
    <t>May - Completed</t>
  </si>
  <si>
    <t>2024 (Aug/Sep) Seacliff Court Homeowners Association-(3 Year Plan)CO 22056</t>
  </si>
  <si>
    <t>2024 (Aug/Sep) The Terrace Community Association - (24 Recommendations) CO 22017</t>
  </si>
  <si>
    <t>2024 (Dec/Feb) Oak Creek Village Maintenance Master - (3 Year Plan)</t>
  </si>
  <si>
    <t>2024 (Dec/Feb) Oak Creek Village Maintenance Master - (Eagle Creek Cost Center 3 Yr)</t>
  </si>
  <si>
    <t>2024 (Dec/Feb) Oak Creek Village Maintenance Master - (Hawk Creek Cost Center 3 Yr)</t>
  </si>
  <si>
    <t>2024 (Oct/Dec) Ivyhill Maintenance - (3 Year Plan)</t>
  </si>
  <si>
    <t>2024 (Oct/Dec) Marbella Maintenance Corp. (MAR)-(Approved Revised 3 Year Plan)CO 22089</t>
  </si>
  <si>
    <t>2024 (Oct/Dec) Sycamore Plaza - (4 Yea Plan)CO 22095</t>
  </si>
  <si>
    <t>2024 (Sep/Nov) Oak Creek Village Maintenance Master - (3 Year Plan)</t>
  </si>
  <si>
    <t>2024 (Sep/Nov) Oak Creek Village Maintenance Master - (Eagle Creek Cost Center 3 Yr)</t>
  </si>
  <si>
    <t>2024 (Sep/Nov) Oak Creek Village Maintenance Master - (Hawk Creek Cost Center 3 Yr)</t>
  </si>
  <si>
    <t>2024 - (Aug/Sep) North Bluff Bayview (2024 Tree Maintenance)</t>
  </si>
  <si>
    <t>2024 - (Oct/Dec) CO 22091 Campobello HOA-(4 Year Plan)</t>
  </si>
  <si>
    <t>2024 - (Oct/Dec) Main &amp; Dyer Business Park - (2024 Recommendations)</t>
  </si>
  <si>
    <t>2024 - (Oct/Dec) North Bluff Bayview (2024 Tree Maintenance)</t>
  </si>
  <si>
    <t>2024 - AREA 5 (2024)</t>
  </si>
  <si>
    <t>2024 - Rancho Veracruz Condominium Assoc. - (WO XN3660475)</t>
  </si>
  <si>
    <t>2025 (Apr/Jun) Marbella Maintenance Corp. (MAR)-(Approved Revised 3 Year Plan)CO 22090</t>
  </si>
  <si>
    <t>2025 (Jan/Feb) Ivyhill Maintenance - (3 Year Plan)</t>
  </si>
  <si>
    <t>2025 (Jun/Aug) Oak Creek Village Maintenance Master - (3 Year Plan)</t>
  </si>
  <si>
    <t>2025 (Jun/Aug) Oak Creek Village Maintenance Master - (Eagle Creek Cost Center 3 Yr)</t>
  </si>
  <si>
    <t>2025 (Jun/Aug) Oak Creek Village Maintenance Master - (Hawk Creek Cost Center 3 Yr)</t>
  </si>
  <si>
    <t>2025 (Mar/May) Oak Creek Village Maintenance Master - (3 Year Plan)</t>
  </si>
  <si>
    <t>2025 (Mar/May) Oak Creek Village Maintenance Master - (Hawk Creek Cost Center 3 Yr)</t>
  </si>
  <si>
    <t>2025 (Sep/Nov) Oak Creek Village Maintenance Master - (3 Year Plan)</t>
  </si>
  <si>
    <t>2025 (Sep/Nov) Oak Creek Village Maintenance Master - (Eagle Creek Cost Center 3 Yr)</t>
  </si>
  <si>
    <t>2025 (Sep/Nov) Oak Creek Village Maintenance Master - (Hawk Creek Cost Center 3 Yr)</t>
  </si>
  <si>
    <t>2026 (Mar/May) Oak Creek Village Maintenance Master - (3 Year Plan)</t>
  </si>
  <si>
    <t>2026 (Mar/May) Oak Creek Village Maintenance Master - (Eagle Creek Cost Center 3 Yr)</t>
  </si>
  <si>
    <t>2026 (Mar/May) Oak Creek Village Maintenance Master - (Hawk Creek Cost Center 3 Yr)</t>
  </si>
  <si>
    <t>5%? 2025 (Jan/Mar) Mission Sunrise Ridge-(3 Year Plan)</t>
  </si>
  <si>
    <t>NOT A FULL DAY 2024 (Oct/Dec) Windsong Community Association - (3 Year Plan)</t>
  </si>
  <si>
    <t>PERMIT 2024 (Oct/Dec) Ville Cerise CO 22077</t>
  </si>
  <si>
    <t>(AUG) 2024 - (Aug/Sep) Cortile Maintenance Association CO 21746</t>
  </si>
  <si>
    <t>(AUG) 2024 - Cortile Maintenance Association-(3 Year Pine Removals Plan)CO 21986</t>
  </si>
  <si>
    <t>2024 (Aug/Sept) The Vine at Portola Springs - (3 Year Plan)CO 22093</t>
  </si>
  <si>
    <t>2024 (Oct/Dec) Indigo at Portola Springs (3 Year Plan _Revised)CO 22094</t>
  </si>
  <si>
    <t>2024 (Oct/Dec) Northwood Villas Maintenance Corporation-(3 Year Plan)</t>
  </si>
  <si>
    <t>LBA Realty</t>
  </si>
  <si>
    <t>5%? PERMIT? 2025 (Jul/Sep) Mission Sunrise Ridge-(3 Year Plan)</t>
  </si>
  <si>
    <t>5%? PERMIT? 2026 (Jul/Sep) Mission Sunrise Ridge-(3 Year Plan)</t>
  </si>
  <si>
    <t>5%?PERMIT? 2026 (Jan/Mar) Mission Sunrise Ridge-(3 Year Plan)</t>
  </si>
  <si>
    <t>NOT A FULL DAY 2024 - Marinita Townhomes Association-(Tree Removal IDs 48-49)</t>
  </si>
  <si>
    <t>PERMIT? 2024 (Jul/Sep) Mission Sunrise Ridge-(3 Year Plan)</t>
  </si>
  <si>
    <t>Row Labels</t>
  </si>
  <si>
    <t>Grand Total</t>
  </si>
  <si>
    <t>2024 HOLD (Aug/Sep) The Springs Condominium - (3 Year Plan) CO 21609</t>
  </si>
  <si>
    <t>2024 (Oct/Dec &amp; Removal) Willows Maintenance HOA-(3 Year Plan)</t>
  </si>
  <si>
    <t>2024 (Oct/Dec) Fawn Glen HOA-(3 Year Plan)</t>
  </si>
  <si>
    <t>Sona Property Management</t>
  </si>
  <si>
    <t>2024 - (Apr/Jun) California Palms Industrial - (Missed Palms due to Birds nest) CO 23121</t>
  </si>
  <si>
    <t>Whittier</t>
  </si>
  <si>
    <t>2024 - (Aug/Sep &amp; Removal) Village Grove HOA - (3 Year Plan)</t>
  </si>
  <si>
    <t>2024 - (Jan/Mar) Saddleback Reservoir Pump - (2024 Tree Trimming)</t>
  </si>
  <si>
    <t>2024 - (Oct/Dec) Artisan Community - (3 Year Plan)</t>
  </si>
  <si>
    <t>2024 - (Oct/Dec) Cambridge Lane Maintenance Assoc. - (3 Year Plan)</t>
  </si>
  <si>
    <t>2024 - Oak Park Maintenance Assoc. - (Missed Carrotwoods due to parked cars)</t>
  </si>
  <si>
    <t>2024 Spec.Billing (Oct/Dec) - Torrance Crossroads - (2024 Recommendations)</t>
  </si>
  <si>
    <t>2025 (Apr/Jun) Celadon Neighborhood Association - (Revised 3 Year Plan)CO 23129</t>
  </si>
  <si>
    <t>2025 - (Oct/Dec) Huntington Bay - (3 Year Plan)</t>
  </si>
  <si>
    <t>2026 - (Apr/Jun) Huntington Bay - (3 Year Plan)</t>
  </si>
  <si>
    <t>2026 - (Oct/Dec) Huntington Bay - (3 Year Plan)</t>
  </si>
  <si>
    <t>5%? 2025 (Apr/Jun) Fawn Glen HOA-(3 Year Plan)</t>
  </si>
  <si>
    <t>5%? 2025 (Oct/Dec) Fawn Glen HOA-(3 Year Plan)</t>
  </si>
  <si>
    <t>5%? 2025 (Oct/Dec) Willows Maintenance HOA-(3 Year Plan)</t>
  </si>
  <si>
    <t>5%? 2025 - (Apr/Jun) Harbour Vista HOA - (3 Year plan) CO 23117</t>
  </si>
  <si>
    <t>5%? 2026 (Apr/Jun) Fawn Glen HOA-(3 Year Plan)</t>
  </si>
  <si>
    <t>5%? 2026 (Oct/Dec) Fawn Glen HOA-(3 Year Plan)</t>
  </si>
  <si>
    <t>5%? 2026 (Oct/Dec) Willows Maintenance HOA-(3 Year Plan)</t>
  </si>
  <si>
    <t>2024 (Aug/Sep) California Renaissance-(Revised 3 Year Plan)CO 23136</t>
  </si>
  <si>
    <t>2024 (Aug/Sep) Lantana Neighborhood Association- (3 Year Plan)CO 23137</t>
  </si>
  <si>
    <t>2024 (Aug/Sep) Palo Vista HOA - (3 Year Plan)</t>
  </si>
  <si>
    <t>2024 (Aug/Sep) Vientos Maintenance Association - (3 Year Plan)CO 23148</t>
  </si>
  <si>
    <t>2024 (Jul/Sep) Danawoods Community-(Revised WO 55332 Danabirch Rec;s)</t>
  </si>
  <si>
    <t>2024 (Oct/Dec) Brisbane Community Association - (3 Year Plan)CO 23167</t>
  </si>
  <si>
    <t>2024 (Oct/Dec) C2E Townhomes Community - (3 Year Plan)CO 23145</t>
  </si>
  <si>
    <t>2024 (Oct/Dec) Citrine Neighborhood Association - (3 Year Plan)CO 23152</t>
  </si>
  <si>
    <t>2024 (Oct/Dec) Glenwood Terrace-(3 Year Plan)CO 23163</t>
  </si>
  <si>
    <t>2024 (Oct/Dec) Lux Community Association - (3 Year Plan)CO 23154</t>
  </si>
  <si>
    <t>2024 (Oct/Dec) Montara Neighborhood Association - (3 Year Plan)CO 23156</t>
  </si>
  <si>
    <t>2024 (Oct/Dec) Santa Barbara HOA - (3 Year Plan)</t>
  </si>
  <si>
    <t>2024 (Oct/Dec) Vientos Maintenance Association - (3 Year Plan)CO 23149</t>
  </si>
  <si>
    <t>2024 (Oct/Dec) Vista de Oro Homeowners Association-(Revised Approved 3 Year Plan)CO 355517</t>
  </si>
  <si>
    <t>2024 - (Apr/Jun) Valencia Maintenance Association - (Missed tree due to parked car)</t>
  </si>
  <si>
    <t>2024 - (Aug/Sep) Promenade at Seagate - (24 Recommendations)</t>
  </si>
  <si>
    <t>2024 - (Oct/Dec) Bowen Court Maintenance Association - (3 Year Plan)CO 23140</t>
  </si>
  <si>
    <t>2024 - Northwood Estates - (Missed Tree due to Birds Nest)</t>
  </si>
  <si>
    <t>2025 (Apr/Jun) Santa Barbara HOA - (3 Year Plan)</t>
  </si>
  <si>
    <t>2025 (Aug/Sep) Lantana Neighborhood Association- (3 Year Plan)CO 23138</t>
  </si>
  <si>
    <t>2025 (Jan/Mar) Santa Barbara HOA - (3 Year Plan)</t>
  </si>
  <si>
    <t>2025 (Mar/May) Oak Creek Village Maintenance Master - (Eagle Creek Cost Center 3 Yr) 25 MayJun CO 23162</t>
  </si>
  <si>
    <t>2025 - (Apr/Jun) Bowen Court Maintenance Association - (3 Year Plan)CO 23141</t>
  </si>
  <si>
    <t>2025 - (July) CO 23135 Calabria Court Association-(Revised 3 Year Plan)</t>
  </si>
  <si>
    <t>2025 - (Oct/Dec) Bowen Court Maintenance Association - (3 Year Plan)CO 23142</t>
  </si>
  <si>
    <t>5%==2025 - (Aug/Sep) Lakeview Homeowners Association - (Revised 3 Year Plan) CO 23123</t>
  </si>
  <si>
    <t>5%==2025 - (Jan/Mar) Lakeview Homeowners Association - (Revised 3 Year Plan) CO 23122</t>
  </si>
  <si>
    <t>5%? 2025 (Apr/Jun) Laguna Audubon 1-(3 Year Plan)CO 22108</t>
  </si>
  <si>
    <t>5%? 2025 (Apr/Jun) Northpark Monterey Community Assoc. - (3 Year Plan)CO 23188</t>
  </si>
  <si>
    <t>5%? 2025 (Apr/Jun) Valencia HOA-(Revised 3 Year Plan)CO 23171</t>
  </si>
  <si>
    <t>5%? 2025 (Aug/Sep) C2E Townhomes Community - (3 Year Plan)CO 23146</t>
  </si>
  <si>
    <t>5%? 2025 (Aug/Sep) California Renaissance-(Revised 3 Year Plan)CO 21738</t>
  </si>
  <si>
    <t>5%? 2025 (Aug/Sep) Palo Vista HOA - (3 Year Plan)</t>
  </si>
  <si>
    <t>5%? 2025 (Aug/Sep) Vientos Maintenance Association - (3 Year Plan) CO 23150</t>
  </si>
  <si>
    <t>5%? 2025 (Jan/Mar) Carefree El Toro Owners AssociationCO 23179</t>
  </si>
  <si>
    <t>5%? 2025 (Jan/Mar) Valencia HOA-(Revised 3 Year Plan)CO 23170</t>
  </si>
  <si>
    <t>5%? 2025 (Oct/Dec) Brisbane Community Association - (3 Year Plan)CO 23168</t>
  </si>
  <si>
    <t>5%? 2025 (Oct/Dec) C2E Townhomes Community - (3 Year Plan)CO 23147</t>
  </si>
  <si>
    <t>5%? 2025 (Oct/Dec) Citrine Neighborhood Association - (3 Year Plan)CO 23153</t>
  </si>
  <si>
    <t>5%? 2025 (Oct/Dec) La Verne Business Park (Phase I) - (3 Year Plan) CO 23158</t>
  </si>
  <si>
    <t>5%? 2025 (Oct/Dec) Lux Community Association - (3 Year Plan)CO 23155</t>
  </si>
  <si>
    <t>5%? 2025 (Oct/Dec) Montara Neighborhood Association - (3 Year Plan)CO 23157</t>
  </si>
  <si>
    <t>5%? 2025 (Oct/Dec) Valencia HOA-(Revised 3 Year Plan)CO 23172</t>
  </si>
  <si>
    <t>5%? 2026 (Aug/Sep) Palo Vista HOA - (3 Year Plan)</t>
  </si>
  <si>
    <t>DON'T MOVE 2024 (Oct/Dec) California Renaissance-(Revised 3 Year Plan)CO 23132</t>
  </si>
  <si>
    <t>DON'T MOVE 5%? 2025 (Jan/Mar) California Renaissance-(Revised 3 Year Plan)CO 23124</t>
  </si>
  <si>
    <t>June - Completed</t>
  </si>
  <si>
    <t>2024 (Aug/Sep) Seacliff Court Homeowners Association- (WO 26901; 47 Nightingale)</t>
  </si>
  <si>
    <t>2024 (Jul/Sep) Vista Pointe Ridge-(Approved 3 Year Plan) CO 23222</t>
  </si>
  <si>
    <t>REGENT ASSOCIATION SERVICES</t>
  </si>
  <si>
    <t>Candy Cane Inn</t>
  </si>
  <si>
    <t>2024 - (Aug/Sep) Suburbia HOA - (Revised 3 Year Plan)</t>
  </si>
  <si>
    <t>2024 - (Oct/Dec) Suburbia HOA - (Revised 3 Year Plan)</t>
  </si>
  <si>
    <t>2024 - (Oct/Dec) Yorba Linda Knolls Community Assoc. - (3 Year Plan) Revised CO 23224</t>
  </si>
  <si>
    <t>2024 - Pacific Hills HOA (PACH)-(Olive Behind 9 Regalo; Active Beehive)</t>
  </si>
  <si>
    <t>2024 - Seacliff Court Homeowners Association-(Approved Removal ID 3)</t>
  </si>
  <si>
    <t>2025 - (Apr/Jun) Linda Isle - (25-26 Additional Palm Recs)CO 23219</t>
  </si>
  <si>
    <t>2025 - (Apr/Jun) Suburbia HOA - (Revised 3 Year Plan)</t>
  </si>
  <si>
    <t>2025 - (Aug/Sep) Village Grove HOA - (3 Year Plan)</t>
  </si>
  <si>
    <t>2025 - (Jan/Mar) Suburbia HOA - (Revised 3 Year Plan)</t>
  </si>
  <si>
    <t>2025 - (Oct/Dec) Village Grove HOA - (3 Year Plan)</t>
  </si>
  <si>
    <t>2026 - (Aug/Sep) Village Grove HOA - (3 Year Plan)</t>
  </si>
  <si>
    <t>5%? 2025 (Apr/Jun) Pacific Hills HOA-(3 Year Plan)CO 23206</t>
  </si>
  <si>
    <t>5%? 2025 (Apr/Jun) Pacific Ridge HOA-(3 Year Plan)CO 23198</t>
  </si>
  <si>
    <t>5%? 2025 (Apr/Jun) Woodbridge Parkway Maint. Assoc. -(3 Year Plan)CO 23190</t>
  </si>
  <si>
    <t>5%? 2025 (Aug/Sep) Seacliff Court Homeowners Association-(3 Year Plan)CO 23204</t>
  </si>
  <si>
    <t>5%? 2025 (Jan/Mar) Pacific Ridge HOA-(3 Year Plan)CO 23201</t>
  </si>
  <si>
    <t>5%2025 - (Oct/Dec)Yorba Linda Knolls Community Assoc. - (3 Year Plan) RevisedCO 23225</t>
  </si>
  <si>
    <t>PRE-BILLED --2024 (Apr/Jun) Alton Retail Center (Spring Trimming: Spectrum)</t>
  </si>
  <si>
    <t>PRE-BILLED --2024 (Apr/Jun) Lakeside (Spring Trimming: Spectrum)</t>
  </si>
  <si>
    <t>PRE-BILLED --2024 (Apr/Jun) Orchard Hills Village Center (Foothill)</t>
  </si>
  <si>
    <t>PRE-BILLED --2024 (Apr/Jun) Woodbury Town Center (Spring Trimming: Foothill)</t>
  </si>
  <si>
    <t>PRE-BILLED --2024 - Woodbury Town Center (Dact Palm Pineapple)</t>
  </si>
  <si>
    <t>[PRE-BILLED] 2024 (Apr/Jun) Alton Marketplace (Spring Trimming: Spectrum)</t>
  </si>
  <si>
    <t>[PRE-BILLED] 2024 (Apr/Jun) University Center (Spring Trimming: University)</t>
  </si>
  <si>
    <t>Cypress</t>
  </si>
  <si>
    <t>2024 (Aug/Sep) Canyon View Maintenance - (3 Year Plan)</t>
  </si>
  <si>
    <t>2024 (Aug/Sep) Classics Lake Forest-(3 Year Plan)CO 23216</t>
  </si>
  <si>
    <t>2024 (Aug/Sept) Sage Maintenance Association - (Revised 3 Year Plan)CO 23210</t>
  </si>
  <si>
    <t>2024 (Oct/Dec) Palm Terrace (2024 Oct/Dec Snapshot)CO 23231</t>
  </si>
  <si>
    <t>2024 - (Oct/Dec) MacKay Community Association - (3 Year Plan)</t>
  </si>
  <si>
    <t>Pristine Property Management</t>
  </si>
  <si>
    <t>2024 - (Oct/Dec) Village Green Garden Grove HOA - (3 Year Plan)</t>
  </si>
  <si>
    <t>2025 - (Jan/Mar) Village Green Garden Grove HOA - (3 Year Plan)</t>
  </si>
  <si>
    <t>2025 - (Oct/Dec) MacKay Community Association - (3 Year Plan)</t>
  </si>
  <si>
    <t>2025 - (Oct/Dec) Suburbia HOA - (Revised 3 Year Plan)</t>
  </si>
  <si>
    <t>2025 - (Oct/Dec) Village Green Garden Grove HOA - (3 Year Plan)</t>
  </si>
  <si>
    <t>2025 -(Aug/Sep) Suburbia HOA - (Revised 3 Year Plan)</t>
  </si>
  <si>
    <t>2026 - (Apr/Jun) Suburbia HOA - (Revised 3 Year Plan)</t>
  </si>
  <si>
    <t>2026 - (Aug/Sep) Suburbia HOA - (Revised 3 Year Plan)</t>
  </si>
  <si>
    <t>2026 - (Jan/Mar) Village Green Garden Grove HOA - (3 Year Plan)</t>
  </si>
  <si>
    <t>2026 - (Oct/Dec) Suburbia HOA - (Revised 3 Year Plan)</t>
  </si>
  <si>
    <t>2026 - (Oct/Dec) Village Green Garden Grove HOA - (3 Year Plan)</t>
  </si>
  <si>
    <t>5%? 2025 (Aug/Sep) Classics Lake Forest-(3 Year Plan)CO 23217</t>
  </si>
  <si>
    <t>5%? 2026 (Jan/May) Classics Lake Forest-(3 Year Plan)CO#23218</t>
  </si>
  <si>
    <t>HOLD 2024 (Apr/Jun) San Simeon Maintenance Association CO 23186</t>
  </si>
  <si>
    <t>NOT A FULL DAY 2024 (Apr/Jun) Mission Sunrise Ridge-(25192 Fairgreen Side Trim)</t>
  </si>
  <si>
    <t>2024 (Oct/Dec) Bougainvillea HOA - (3 Year Plan)CO 23250</t>
  </si>
  <si>
    <t>2024 (Oct/Dec) Pacific Development - Torrance - (3 Year Plan)</t>
  </si>
  <si>
    <t>2024 (Oct/Dec) St. Laurent at Newport Ridge - (3 Year Plan)</t>
  </si>
  <si>
    <t>2024 - (Removals &amp; Oct/Dec) Cypress Village Master Association - (Priority 1 &amp; 2)</t>
  </si>
  <si>
    <t>Scott Griffiths (Residence)</t>
  </si>
  <si>
    <t>2024 - Scott Griffith's Residence - ($0 Palm Removal Go-Ahead)</t>
  </si>
  <si>
    <t>5%? 2025 (Jul/Sep) St. Laurent at Newport Ridge - (3 Year Plan)</t>
  </si>
  <si>
    <t>5%? 2025 (Oct/Dec) St. Laurent at Newport Ridge - (3 Year Plan)</t>
  </si>
  <si>
    <t>5%? 2026 (Jul/Sep) St. Laurent at Newport Ridge - (3 Year Plan)</t>
  </si>
  <si>
    <t>5%? 2026 (Oct/Dec) St. Laurent at Newport Ridge - (3 Year Plan)</t>
  </si>
  <si>
    <t>PERMIT 2024 (Oct/Dec) Tustin Field II-(2024 Trimming)</t>
  </si>
  <si>
    <t>R</t>
  </si>
  <si>
    <t>Map</t>
  </si>
  <si>
    <t>Removals</t>
  </si>
  <si>
    <t>2024 (Aug/Sep) Pacific Ranch HOA - (3 Year Plan)</t>
  </si>
  <si>
    <t>2024 (Aug/Sep) Vista San Joaquin HOA-(4 Year Plan)</t>
  </si>
  <si>
    <t>2024 (Oct/Dec) Pacific Ranch HOA - (3 Year Plan)</t>
  </si>
  <si>
    <t>2024 (Oct/Dec) Vista San Joaquin HOA-(4 Year Plan)</t>
  </si>
  <si>
    <t>Huntington Beach City School District</t>
  </si>
  <si>
    <t>Downey Unified School District</t>
  </si>
  <si>
    <t>Downey</t>
  </si>
  <si>
    <t>2024 - Downey Highschool (FY 24/25 Trimming)</t>
  </si>
  <si>
    <t>2024 - Gallatin Elementary (FY 24/25 Removals)</t>
  </si>
  <si>
    <t>2024 - Huntington Seacliff School (FY 24/25 Tree Maintenane)</t>
  </si>
  <si>
    <t>2024 - Imperial Elementary (FY 24/25 Removals)</t>
  </si>
  <si>
    <t>2024 - Joseph R. Perry Elementary (FY 24/25 Tree Maintenance)</t>
  </si>
  <si>
    <t>2024 - Rio Hondo Elementary (FY 24/25 Trimming)</t>
  </si>
  <si>
    <t>2024 - Ward Elementary (FY 24/25 Trimming)</t>
  </si>
  <si>
    <t>2024 - Williams Elemmentary (FY 24/25)</t>
  </si>
  <si>
    <t>2025 (Apr/Jun) Gingerwood HOA - (3 Year Plan)</t>
  </si>
  <si>
    <t>2025 (Dec/Feb) Oak Creek Village Maintenance Master - CO23243</t>
  </si>
  <si>
    <t>2025 (July) Pacific Ranch HOA - (3 Year Plan)</t>
  </si>
  <si>
    <t>2025 (Oct/Dec) Gingerwood HOA - (3 Year Plan)</t>
  </si>
  <si>
    <t>2026 (Apr/Jun) Gingerwood HOA - (3 Year Plan)</t>
  </si>
  <si>
    <t>2026 (Oct/Dec) Gingerwood HOA - (3 Year Plan)</t>
  </si>
  <si>
    <t>5%? 2025 (Aug/Sep) Vista San Joaquin HOA-(4 Year Plan)</t>
  </si>
  <si>
    <t>5%? 2026 (Aug/Sep) Vista San Joaquin HOA-(4 Year Plan)</t>
  </si>
  <si>
    <t>5%? 2026 (Oct/Dec) Vista San Joaquin HOA-(4 Year Plan)</t>
  </si>
  <si>
    <t>5%? NOT A FULL DAY 2025 (Oct/Dec) Vista San Joaquin HOA-(4 Year Plan)</t>
  </si>
  <si>
    <t>NOT A FULL DAY 2024 (Aug/Sep) C2E Townhomes Community - (3 Year Plan)CO 23144</t>
  </si>
  <si>
    <t>NOT A FULL DAY 2024 (Oct/Nov) (Revised 3 Year Plan) CO 23265</t>
  </si>
  <si>
    <t>PERMIT 5%? 2025 (Oct/Dec) Woodbridge Parkway Maint. Assoc. -(3 Year Plan)CO 23251</t>
  </si>
  <si>
    <t>Jul - Completed</t>
  </si>
  <si>
    <t>(N) 2024 - Carpenter Elementary (FY 24/25 Removals)</t>
  </si>
  <si>
    <t>(N) 2024 - Imperial Elementary (FY 24/25 Trimming)</t>
  </si>
  <si>
    <t>(SEPT) 2024 (Apr/Jun) Seacove Place HOA – (2024 Cypress Italian Reduction)</t>
  </si>
  <si>
    <t>(SEPT) 2024 - Seacove Place HOA-(2024 Removals)</t>
  </si>
  <si>
    <t>[TREATMENT] 2025 (Apr/Jun) Park Place - (3 Year Treatment Plan)</t>
  </si>
  <si>
    <t>[TREATMENT] 2026 (Apr/Jun) Park Place - (3 Year Treatment Plan)</t>
  </si>
  <si>
    <t>Green Perspective</t>
  </si>
  <si>
    <t>2024 (Aug/Sep) Green Glen Neighborhood Assoc-(2024/25 Trimming)</t>
  </si>
  <si>
    <t>Platinum Management Group</t>
  </si>
  <si>
    <t>2024 (Aug/Sep) Niguel Villas Association-(3 Year Plan)</t>
  </si>
  <si>
    <t>2024 (Aug/Sep) Seacove Place HOA-(3 Year Plan)</t>
  </si>
  <si>
    <t>2024 (Oct/Dec) Breakers at Bear Brand-(3 Year Plan)</t>
  </si>
  <si>
    <t>2024 (Oct/Dec) Broadmoor Sea View Comm. - (24/25 Recs)</t>
  </si>
  <si>
    <t>2024 (Oct/Dec) Canyon Hills Condominium Association CO 23273</t>
  </si>
  <si>
    <t>2024 (Oct/Dec) Chambray Neighborhood (PRO167-18077) - (3 Year Plan)CO 23289</t>
  </si>
  <si>
    <t>2024 (Oct/Dec) Garden Homes Maintenance Association - (3 Year Plan)CO 23292</t>
  </si>
  <si>
    <t>2024 (Oct/Dec) Gingerwood HOA - (3 Year Plan)CO 23296</t>
  </si>
  <si>
    <t>2024 (Oct/Dec) Glenwood Recreation Center (GRE)-(3 Year Plan)</t>
  </si>
  <si>
    <t>2024 (Oct/Dec) Seacove Place HOA-(3 Year Plan)</t>
  </si>
  <si>
    <t>2024 (Removals) Terrace View Community Assoc-(Removal IDs 85-89)</t>
  </si>
  <si>
    <t>2024 - (Oct/Dec) Townhomes Maintenance Assoc. (Turtle Rock) - (3 Year Plan)CO 23290</t>
  </si>
  <si>
    <t>2024 - Crosspointe Village HOA - (Removal ID 29)</t>
  </si>
  <si>
    <t>2024 - Walnut Village (Spring Trimming: Foothill) - CO #23266</t>
  </si>
  <si>
    <t>2024 - Walnut Village Center (Dact Palm Pineapple) - CO #23267</t>
  </si>
  <si>
    <t>2025 (Jan/Mar) Green Glen Neighborhood Assoc-(2024/25 Trimming)</t>
  </si>
  <si>
    <t>2025 (Oct/Dec) Pacific Ranch HOA - (3 Year Plan) CO 23288</t>
  </si>
  <si>
    <t>5%? 2025 (Apr/Jun) Breakers at Bear Brand-(3 Year Plan)</t>
  </si>
  <si>
    <t>5%? 2025 (Apr/Jun) Glenwood Recreation Center (GRE)-(3 Year Plan)</t>
  </si>
  <si>
    <t>5%? 2025 (Jan/Mar) Glenwood Recreation Center (GRE)-(3 Year Plan)</t>
  </si>
  <si>
    <t>5%? 2025 (Jul/Sep) Vista Pointe Ridge-(Approved 3 Year Plan)CO 23282</t>
  </si>
  <si>
    <t>5%? 2025 (Oct/Dec) Breakers at Bear Brand-(3 Year Plan)</t>
  </si>
  <si>
    <t>5%? 2025 (Oct/Dec) Vista Pointe Ridge-(Approved 3 Year Plan)CO 23286</t>
  </si>
  <si>
    <t>5%? 2026 (Apr/Jun) Breakers at Bear Brand-(3 Year Plan)</t>
  </si>
  <si>
    <t>5%? 2026 (Apr/Jun) Glenwood Recreation Center (GRE)-(3 Year Plan)</t>
  </si>
  <si>
    <t>5%? 2026 (Apr/Jun) Pacific Ridge HOA-(3 Year Plan)CO 23199</t>
  </si>
  <si>
    <t>5%? 2026 (Jan/Mar) Pacific Ridge HOA-(3 Year Plan)CO 23202</t>
  </si>
  <si>
    <t>5%? 2026 (Oct/Dec) Glenwood Recreation Center (GRE)-(3 Year Plan)</t>
  </si>
  <si>
    <t>NOT A FULL DAY 2024 (Apr/Jun) Ridgemont Community Association -(6 Missed Tristanias due to parked cars)</t>
  </si>
  <si>
    <t>NOT A FULL DAY 2024 (Apr/Jun) Santa Barbara HOA - (LRG Rhus – African Sumac, blocked by a car)</t>
  </si>
  <si>
    <t>NOT A FULL DAY 2024 (Oct/Dec) Alcon Irvine-(3 Year Plan)</t>
  </si>
  <si>
    <t>NOT A FULL DAY 2024 (Oct/Dec) Alcon Lake Forest-(3 Year Plan)</t>
  </si>
  <si>
    <t>PERMIT / NOT A FULL DAY 2024 (Removal) Terrace View Community Assoc. (California Terrace)-(H/O Request Rec's)</t>
  </si>
  <si>
    <t>PERMIT? 2024 (Oct/Dec) Niguel Villas Association-(3 Year Plan)</t>
  </si>
  <si>
    <t>PERMIT? 2025 (Jan/Mar) Niguel Villas Association-(3 Year Plan)</t>
  </si>
  <si>
    <t>NATHAN/TOBY</t>
  </si>
  <si>
    <t>(OCT) 2024 (Apr/Jun) Breakers at Bear Brand-(3 Year Plan)</t>
  </si>
  <si>
    <t>(SEPT) 2024 - (Oct/Dec) Riverbeach HOA - (3 Year Plan) CO 21848</t>
  </si>
  <si>
    <t>TH</t>
  </si>
  <si>
    <t>Scott Management Company</t>
  </si>
  <si>
    <t>C&amp;L Refrigeration</t>
  </si>
  <si>
    <t>2024 (Oct/Dec) Crosspointe Village HOA - (3 Year Plan) CO 23317</t>
  </si>
  <si>
    <t>2024 (Oct/Dec) Vista Pointe Ridge (Approved 3 Year Plan)CO 23312</t>
  </si>
  <si>
    <t>2024 - Carpenter Elementary (FY 24/25 Tree Trimming)</t>
  </si>
  <si>
    <t>2024 - District Administration (FY 24/25 Tree Trimming)</t>
  </si>
  <si>
    <t>2024 - Doty Middle School (FY 24/25 Removals)</t>
  </si>
  <si>
    <t>2024 - Lewis Elementary (FY 24/25 Trimming)</t>
  </si>
  <si>
    <t>Bellflower</t>
  </si>
  <si>
    <t>2025 (Aug/Sept) C&amp;L Refrigeration - (3 Year Plan)</t>
  </si>
  <si>
    <t>2026 (Aug/Sept) C&amp;L Refrigeration - (3 Year Plan)</t>
  </si>
  <si>
    <t>5%? 2025 (Oct/Dec) California Renaissance-(Revised 3 Year Plan)CO 23309</t>
  </si>
  <si>
    <t>SPIDER LIFT==2024 - Casitas in Buena Park - (2024-2025 Removals)</t>
  </si>
  <si>
    <t>Mariners Church</t>
  </si>
  <si>
    <t>[TREATMENT] 2024 (Apr/Jun) Mariners Church - (ID 316-318)</t>
  </si>
  <si>
    <t>[TREATMENT] 2024 (Apr/Jun) Terrace View Community Assoc. (California Terrace)-(H/O Request Rec's)</t>
  </si>
  <si>
    <t>[TREATMENT] 2024 - Pacific Hills HOA-(WO 12159 Pepper Treatment)</t>
  </si>
  <si>
    <t>[TREATMENT] 2024 - Serrano Woods HOA-(Eucalyptus Treatment)</t>
  </si>
  <si>
    <t>[TREATMENT] 2024 - Terrace View Community Assoc-(Palo Verde Fertilize Treatment)</t>
  </si>
  <si>
    <t>2024 (Apr/Jun &amp; Rem) Grandview Crest HOA - (ID 170-172; WO 3179 &amp; 3277)</t>
  </si>
  <si>
    <t>2024 (Aug/Sept) Chelsea Place HOA - (Revised 2024 Recs)</t>
  </si>
  <si>
    <t>Westminster</t>
  </si>
  <si>
    <t>2024 (Jul/Sep) Amethyst at Parasol Park CO 23335</t>
  </si>
  <si>
    <t>2024 (Oct/Dec) Mirador at Rancho Niguel Association - (3 Year Plan)</t>
  </si>
  <si>
    <t>2024 (Oct/Jan) Crestline HOA - (3 Year Plan)CO 23333</t>
  </si>
  <si>
    <t>2024 (Oct/Nov) Sirco III Business Park - (2024 Recommendations)</t>
  </si>
  <si>
    <t>2024 (Removal) Grandview Crest Homeowner Association-(WO Request Recommendations)</t>
  </si>
  <si>
    <t>2024 - Chelsea Place HOA - (Revised Eucalyptus Removals)</t>
  </si>
  <si>
    <t>Stonekastle Community Management</t>
  </si>
  <si>
    <t>2024 - Westminster Village HOA-(Removal ID 29)</t>
  </si>
  <si>
    <t>2024 - WR52205 | United Mutual | Buildings 830-913 (3 Year)</t>
  </si>
  <si>
    <t>2024 - WR52212 | United Mutual | Buildings 830-913 (4 Year; Eucalyptus &amp; Ash)</t>
  </si>
  <si>
    <t>2024 - WR52213 | Third Mutual | Gate 11 (4 Year; Deferred)</t>
  </si>
  <si>
    <t>2024 - WR52213 | Third Mutual | Gate 11 (4 Year; Unit Price)</t>
  </si>
  <si>
    <t>2024 - WR52226 | United Mutual | Buildings 830-913 (5 Year)</t>
  </si>
  <si>
    <t>2024 - WR52229 | Third Mutual | Gate 11 (5 Year)</t>
  </si>
  <si>
    <t>2024 - WR52230 | Third Mutual | Buildings 5497-5519 (Deferred)</t>
  </si>
  <si>
    <t>2024 - WR52230 | Third Mutual | Buildings 5497-5519 (Unit Price)</t>
  </si>
  <si>
    <t>2025 (Jan/Mar) Mirador at Rancho Niguel Association - (3 Year Plan)</t>
  </si>
  <si>
    <t>2025 - (Apr/Jun) Huntington Bay - (3 Year Plan) CO 23325</t>
  </si>
  <si>
    <t>2026 - (Oct/Dec) MacKay Community Association - (3 Year Plan)</t>
  </si>
  <si>
    <t>5%? 2024 (Oct/Dec) Stoney Pointe at Bear Brand -(Revised 3 Year Plan)CO 23330</t>
  </si>
  <si>
    <t>5%? 2025 (Apr/Jun) Mirador at Rancho Niguel Association - (3 Year Plan)</t>
  </si>
  <si>
    <t>5%? 2025 (Oct/Dec) Mirador at Rancho Niguel Association - (3 Year Plan)</t>
  </si>
  <si>
    <t>5%? 2026 (Apr/Jun) Mirador at Rancho Niguel Association - (3 Year Plan)</t>
  </si>
  <si>
    <t>5%? 2026 (Oct/Dec) Mirador at Rancho Niguel Association - (3 Year Plan)</t>
  </si>
  <si>
    <t>5%? PERMIT 2025 (Apr/Jun) Pacific Hills East-(Revised 3 Year Plan)</t>
  </si>
  <si>
    <t>5%? PERMIT 2025 (Jan/Mar) Pacific Hills East-(Revised 3 Year Plan)</t>
  </si>
  <si>
    <t>5%? PERMIT 2026 (Apr/Jun) Pacific Hills East-(Revised 3 Year Plan)</t>
  </si>
  <si>
    <t>5%? PERMIT 2026 (Jan/Mar) Pacific Hills East-(Revised 3 Year Plan)</t>
  </si>
  <si>
    <t>DONT MOVE 2024 (Oct/Dec) Trailing Vine Maintenance Association - (Oct/Dec Approved Work)</t>
  </si>
  <si>
    <t>NEEP WF MAP 2024 (Aug/Sep) Candy Cane Inn - (24 Recommendations)</t>
  </si>
  <si>
    <t>NOT A FULL DAY 5%? PERMIT 2026 (Oct/Dec) Pacific Hills East-(Revised 3 Year Plan)</t>
  </si>
  <si>
    <t>NOT A FULL DAY/PERMIT 2024 (Oct/Dec) Pacific Hills East-(Revised 3 Year Plan)</t>
  </si>
  <si>
    <t>TREATMENT 2024 - Pacific Ranch HOA - (Oct/Dec Treatment Recs)</t>
  </si>
  <si>
    <t>Irvine Spectrum</t>
  </si>
  <si>
    <t>Revolve Property Management</t>
  </si>
  <si>
    <t>2024 (Aug/Sept) Pacific Pines - (Eucalyptus Trimming)</t>
  </si>
  <si>
    <t>2024 (Oct/Dec) Woodbury East (2024 Recommendations)CO 23345</t>
  </si>
  <si>
    <t>2024 (Removals) Canyon Hills Condominium Association</t>
  </si>
  <si>
    <t>2024 - Aliso Villas-(Approved Removal ID 48)</t>
  </si>
  <si>
    <t>2024 - Lakeview HOA - (Health Assessment Removals)</t>
  </si>
  <si>
    <t>2024 - Mira Costa Villas-(2024 Removals)</t>
  </si>
  <si>
    <t>Anaheim Union High School District (GPS)</t>
  </si>
  <si>
    <t>2024 - Western High School (Coast Redwood Removal)</t>
  </si>
  <si>
    <t>2024 -(Jul/Sep) Cabo Del Mar - (2024 Recommendations)</t>
  </si>
  <si>
    <t>2025 (June) Pacific Ranch HOA - (3 Year Plan) CO 23341</t>
  </si>
  <si>
    <t>5%? 2025 (Oct/Dec) Vientos Maintenance Association - (3 Year Plan)CO 23349</t>
  </si>
  <si>
    <t>Dont Move 2024 - (Oct/Dec) Evergreen Country Villas - (3 Year Plan) CO 23344</t>
  </si>
  <si>
    <t>Dont move 2024 - (Oct/Dec) Monticello Community Association - (3 Year Plan)</t>
  </si>
  <si>
    <t>HOLD 2024 (Jul/Sep) 16051 El Prado Road (2024 Tree Maintenance)</t>
  </si>
  <si>
    <t>NEED STUMP 2024 - Monticello Community Association - (Removal ID 98 - 100)</t>
  </si>
  <si>
    <t>PERMIT 2024 - Granada Park Cerritos HOA - (Revised 3 Year Removal Plan)</t>
  </si>
  <si>
    <t>POST 2024 (Jun/Aug) Oak Creek Village Maintenance Master - (3 Year Plan)</t>
  </si>
  <si>
    <t>STUMPS? 2024 - Alameda Elementary (FY 24/25 Removals)</t>
  </si>
  <si>
    <t>Aug - Completed</t>
  </si>
  <si>
    <t>(Coffehouse 1st) 2024 (Aug/Sep) Airport Tower (Revised 2024 Recs)CO 23318</t>
  </si>
  <si>
    <t>(FALL) 2024 - Stoney Pointe at Bear Brand (Approved Pine Removals)</t>
  </si>
  <si>
    <t>(N) 2024 - Harvest Gold HOA - (Revised Removal ID's 1-3)</t>
  </si>
  <si>
    <t>(N) 2024 - Stauffer Middle School (FY 24/25 Trimming)</t>
  </si>
  <si>
    <t>(N) 2024 - Sussman Middle (FY 24/25 Trimming) - CO #23356</t>
  </si>
  <si>
    <t>(N) 2024 - Warren High (FY 24/25 Trimming)</t>
  </si>
  <si>
    <t>(NOV) 2024 (Oct/Dec) Pointe Niguel (2024 Snapshot)CO 23361</t>
  </si>
  <si>
    <t>(S) 2024 (Aug/Sep) Parkside Property Owners Association-(Revised Lexington Cost Center; 3 Year Plan)CO 22000</t>
  </si>
  <si>
    <t>2 man 2024 (Aug/Sep) 925-1075 W Lambert - (Revised 3 Year Plan)</t>
  </si>
  <si>
    <t>2024 (Apr/Jun &amp; Removal) The Groves Homeowners Inc.- (Revised 24/25 Recommendations)</t>
  </si>
  <si>
    <t>2024 (Apr/Jun) Northpark Plaza (Spring Trimming: Foothill)</t>
  </si>
  <si>
    <t>2024 (Apr/Jun) Tristania Neighborhood Association - (3 Year Plan)</t>
  </si>
  <si>
    <t>2024 (Aug/Sep &amp; Removals) Seacove Place HOA - (LS Walk 07/15; Deliverables)</t>
  </si>
  <si>
    <t>2024 (Aug/Sep) Seawind Community Association - (Revised 3 Year Plan)</t>
  </si>
  <si>
    <t>2024 (Jul/Aug) Quail Hill Shopping Center (Olive Trimming)</t>
  </si>
  <si>
    <t>2024 (Jul/Sep &amp; Removal) Greenbriar Neighborhood - (Revised 3 Year Plan)</t>
  </si>
  <si>
    <t>2024 (Jul/Sep) Crystal Cove (Olive Trimming)</t>
  </si>
  <si>
    <t>Molina Healthcare, Inc.</t>
  </si>
  <si>
    <t>2024 (Jul/Sept) Molina Healthcare, Inc. - (Revised 2024 Recs)</t>
  </si>
  <si>
    <t>2024 (July &amp; Removals) 1650 N. Kraemer - (24 Recommendations)</t>
  </si>
  <si>
    <t>2024 (July) Windsong Community Association-(LS Walk 07.22; Deliverables)</t>
  </si>
  <si>
    <t>2024 (Oct/Dec &amp; Removal) The Grove at Mesa Del Mar - (Revised 24 Recs)</t>
  </si>
  <si>
    <t>2024 (Oct/Dec) Greenbriar Neighborhood - (Revised 3 Year Plan)</t>
  </si>
  <si>
    <t>2024 (Oct/Dec) Indian Hill-(3 Year Plan)</t>
  </si>
  <si>
    <t>2024 (Oct/Dec) Mira Costa Villas-(Revised 3 Year Plan)</t>
  </si>
  <si>
    <t>2024 (Oct/Dec) Signal Hill Collections HOA - (24 Recs)</t>
  </si>
  <si>
    <t>Signal Hill</t>
  </si>
  <si>
    <t>2024 (Rem &amp; Root Prune) California Renaissance-(WO 12406-8811 Recommendations)</t>
  </si>
  <si>
    <t>2024 (Removal) Garden Homes -(WO XN3848414; ID 176 Only)</t>
  </si>
  <si>
    <t>Orange County Fire Authority</t>
  </si>
  <si>
    <t>2024 - (OCFA) Oak Canyon Nature Center (GSTS Removals)</t>
  </si>
  <si>
    <t>2024 - (OCFA) Oak Canyon Nature Center (RPW Treatments)</t>
  </si>
  <si>
    <t>2024 - === PLACEHOLDER ===</t>
  </si>
  <si>
    <t>2024 - CADENCE PARK SCHOOL (FY 24-25 Trimming)</t>
  </si>
  <si>
    <t>2024 - CANYON VIEW ELEMENTARY (FY 24/25 Removal)</t>
  </si>
  <si>
    <t>2024 - CANYON VIEW ELEMENTARY (FY 24/25 Trimming)</t>
  </si>
  <si>
    <t>2024 - Crosspointe Village HOA - (Removal ID 31)</t>
  </si>
  <si>
    <t>2024 - Culver Plaza (Olive Trimming)</t>
  </si>
  <si>
    <t>2024 - EASTSHORE ELEMENTARY (FY 24/25 Trimming)</t>
  </si>
  <si>
    <t>2024 - EASTWOOD ELEMENTARY (FY 24/25 Removal)</t>
  </si>
  <si>
    <t>2024 - EASTWOOD ELEMENTARY (FY 24/25 Trimming)</t>
  </si>
  <si>
    <t>2024 - Gallatin Elementary (FY 24/25 Trimming) - CO #23324</t>
  </si>
  <si>
    <t>2024 - Griffiths Middle (FY 24/25 Trimming) - CO #23358</t>
  </si>
  <si>
    <t>2024 - IRVINE HIGH SCHOOL (Planting)</t>
  </si>
  <si>
    <t>2024 - IRVINE HIGH SCHOOL - (Removals)</t>
  </si>
  <si>
    <t>2024 - Northpark Plaza (Dact Palm Pineapple)</t>
  </si>
  <si>
    <t>2024 - OAK CREEK ELEMENTARY - (Magnolia Planting)</t>
  </si>
  <si>
    <t>2024 - PORTOLA SPRINGS ELEMENTARY (FY 24/25 Removals)</t>
  </si>
  <si>
    <t>2024 - PORTOLA SPRINGS ELEMENTARY (FY 24/25 Trimming)</t>
  </si>
  <si>
    <t>2024 - Rio San Gabriel Elementary (FY 24/25 Trimming) - CO #23322</t>
  </si>
  <si>
    <t>2024 - Unsworth Elementary (FY 24/25 Removals) - CO #23320</t>
  </si>
  <si>
    <t>2024 - Unsworth Elementary (FY 24/25 Trimming) - CO #23319</t>
  </si>
  <si>
    <t>2024 - VENADO MIDDLE SCHOOL (FY 24/25 Trimming)</t>
  </si>
  <si>
    <t>Cal State Long Beach</t>
  </si>
  <si>
    <t>2024 CSULB PLACEHOLDER - Beachside Winter Trim</t>
  </si>
  <si>
    <t>2024 CSULB PLACEHOLDER - FM Winter Trimming</t>
  </si>
  <si>
    <t>2024 CSULB PLACEHOLDER - Housing Winter Trim</t>
  </si>
  <si>
    <t>2024 CSULB PLACEHOLDER - Japanese Garden Winter Trim</t>
  </si>
  <si>
    <t>2024 CSULB PLACEHOLDER - Parking Winter Trim</t>
  </si>
  <si>
    <t>2025 (Jan/Mar) The Groves HOA- (Revised 24/25 Recommendations)</t>
  </si>
  <si>
    <t>5%? 2025 (Aug/Sep) Mira Costa Villas-(Revised 3 Year Plan)</t>
  </si>
  <si>
    <t>5%? 2025 (Aug/Sep) Seawind Community Association - (Revised 3 Year Plan)</t>
  </si>
  <si>
    <t>5%? 2025 (Oct/Dec) Mira Costa Villas-(Revised 3 Year Plan)</t>
  </si>
  <si>
    <t>5%? 2025 (Oct/Dec) Seawind Community Association - (Revised 3 Year Plan)</t>
  </si>
  <si>
    <t>5%? 2026 (Aug/Sep) Mira Costa Villas-(Revised 3 Year Plan)</t>
  </si>
  <si>
    <t>5%? 2026 (Aug/Sep) Seawind Community Association - (Revised 3 Year Plan)</t>
  </si>
  <si>
    <t>5%? 2026 (Oct/Dec) Mira Costa Villas-(Revised 3 Year Plan)</t>
  </si>
  <si>
    <t>DONT MOVE 2024 - Pacific Ranch HOA - (July Treatment Recs)</t>
  </si>
  <si>
    <t>HOLD 2024 (Aug/Sep) Carefree El Toro Owners AssociationCO 23178</t>
  </si>
  <si>
    <t>NOT A FULL DAY 2024 (July) Woodbury East Comm. - (July Svc Requests)</t>
  </si>
  <si>
    <t>NOT A FULL DAY 2024 - Woodbury East Comm. - (Removal ID 151)</t>
  </si>
  <si>
    <t>NOT DONE 2024 - Downey Adult School (FY 24/25 Trimming)</t>
  </si>
  <si>
    <t>NOT DONE 2024 - PACE Academy (FY 24/25 Trimming)</t>
  </si>
  <si>
    <t>PERMIT? 2024 (Removals) Niguel Villas Association-(2024/25 Removals)</t>
  </si>
  <si>
    <t>Permit? 2024 The Villages at Heritage Springs HOA - (Revised Removal Plan)</t>
  </si>
  <si>
    <t>Santa Fe Springs</t>
  </si>
  <si>
    <t>POST 2024 (Aug/Sep) Mira Costa Villas-(Revised 3 Year Plan)</t>
  </si>
  <si>
    <t>POST 2024 (Aug/Sep) Parkside Property Owners Association-(Revised Master; 3 Year Plan)CO22001</t>
  </si>
  <si>
    <t>POST 2024 - (Jul/Sep) Newport Crest HOA - (2024 Trimming Recommendations)</t>
  </si>
  <si>
    <t>POST 2024 - (Jul/Sep) Pacific Shores HOA - (24 Recommendations) CO 23368</t>
  </si>
  <si>
    <t>POST 2024 - Pacific Shores HOA - (L/S Removal Deliverables)</t>
  </si>
  <si>
    <t>POST 2024 - Pacific Shores HOA - (Removal ID's 141-148)</t>
  </si>
  <si>
    <t>Presite 2024 - Seawind Community Association - (Revised 2024 Removals)</t>
  </si>
  <si>
    <t>STUMP? 2024 - Eastbrook Community HOA-(Removal ID 70)</t>
  </si>
  <si>
    <t>VERIFY NEST 2024 - Rancho Veracruz Condominium Association - (Removal ID 18; Birds Nest Interference)</t>
  </si>
  <si>
    <t>COMMERICAL 08/10/2023</t>
  </si>
  <si>
    <t>MUNICIPAL 08/10/2023</t>
  </si>
  <si>
    <t>TOTAL 08/10/2023</t>
  </si>
  <si>
    <t>COMMERICAL 08/17/2023</t>
  </si>
  <si>
    <t>COMMERCIAL 08/15/2024</t>
  </si>
  <si>
    <t>COMMERCIAL 08/22/2024</t>
  </si>
  <si>
    <t>COMMERICAL 08/24/2023</t>
  </si>
  <si>
    <t>COMMERICAL 08/31/2023</t>
  </si>
  <si>
    <t>COMMERCIAL 08/29/2024</t>
  </si>
  <si>
    <t>Sep - Completed</t>
  </si>
  <si>
    <t>COMMERCIAL 09/05/2024</t>
  </si>
  <si>
    <t>COMMERICAL 09/07/2023</t>
  </si>
  <si>
    <t>MUNICIPAL 09/12/2024</t>
  </si>
  <si>
    <t>MUNICIPAL 09/14/2023</t>
  </si>
  <si>
    <t>TOTAL 09/14/2023</t>
  </si>
  <si>
    <t>TOTAL 09/12/2024</t>
  </si>
  <si>
    <t>COMMERCIAL 09/19/2024</t>
  </si>
  <si>
    <t>COMMERICAL 09/21/2023</t>
  </si>
  <si>
    <t>Interpacific Asset Mgmt</t>
  </si>
  <si>
    <t>COMMERCIAL 09/26/2024</t>
  </si>
  <si>
    <t>COMMERICAL 09/28/2023</t>
  </si>
  <si>
    <t>Beven and Brock</t>
  </si>
  <si>
    <t>Arcadia</t>
  </si>
  <si>
    <t>Jan - Sold</t>
  </si>
  <si>
    <t>Feb - Sold</t>
  </si>
  <si>
    <t>Mar - Sold</t>
  </si>
  <si>
    <t>Gothic Landscape Maintenance</t>
  </si>
  <si>
    <t>GRAND TOTAL</t>
  </si>
  <si>
    <t>MUNICIPAL 01/09/2024</t>
  </si>
  <si>
    <t>TOTAL    01/09/2024</t>
  </si>
  <si>
    <t>CHASE</t>
  </si>
  <si>
    <t>MUNICIPAL 01/11/2024</t>
  </si>
  <si>
    <t>TOTAL   01/11/2024</t>
  </si>
  <si>
    <t>MarWest Commercial</t>
  </si>
  <si>
    <t>Jurupa Valley</t>
  </si>
  <si>
    <t>TOTAL                2023</t>
  </si>
  <si>
    <t>TOTAL                 2024</t>
  </si>
  <si>
    <t>TOTAL                2025</t>
  </si>
  <si>
    <t>KIRK</t>
  </si>
  <si>
    <t>COMMERICAL 04/11/2024</t>
  </si>
  <si>
    <t>MUNICIPAL 04/10/2025</t>
  </si>
  <si>
    <t>COMMERCIAL 04/10/2025</t>
  </si>
  <si>
    <t>COMMERICAL 04/13/2023</t>
  </si>
  <si>
    <t>MUNICIPAL  04/11/2024</t>
  </si>
  <si>
    <t xml:space="preserve">MUNICIPAL 04/13/2023 </t>
  </si>
  <si>
    <t>Nexus Smart Communities</t>
  </si>
  <si>
    <t>Professional Community Management</t>
  </si>
  <si>
    <t>The Groves Senior Community</t>
  </si>
  <si>
    <t>Walnut</t>
  </si>
  <si>
    <t>Warmington Properties, Inc.</t>
  </si>
  <si>
    <t>EC</t>
  </si>
  <si>
    <t>ETHAN</t>
  </si>
  <si>
    <t>JASON</t>
  </si>
  <si>
    <t>Pacific West Asset Management</t>
  </si>
  <si>
    <t>(N) 2026 - (Oct/Dec) MacKay Community Association - (3 Year Plan) (CO 24258)</t>
  </si>
  <si>
    <t>[TREATMENT] (S) 2026 - (AUG/SEP) Carissa Neighorbood Association - (Koelreuteria Treatment Plan)</t>
  </si>
  <si>
    <t>[TREATMENT] (S) 2027 - (AUG/SEP) Carissa Neighorbood Association - (Koelreuteria Treatment Plan)</t>
  </si>
  <si>
    <t>[TREATMENT] (S) 2028 - (AUG/SEP) Carissa Neighorbood Association - (Koelreuteria Treatment Plan)</t>
  </si>
  <si>
    <t>Lincoln Property Company</t>
  </si>
  <si>
    <t>Vintage Group</t>
  </si>
  <si>
    <t>Triad Commercial</t>
  </si>
  <si>
    <t>5% (S) 2028 - (OCT/DEC) Carissa Neighorbood Association - (4 Year Plan)</t>
  </si>
  <si>
    <t>5% ? (S) 2027 - (Jan/Feb) Mesa Vista South - (3 Year Plan)</t>
  </si>
  <si>
    <t>5% ? (S) 2027 - (Mar/Jun) Mesa Vista South - (3 Year Plan)</t>
  </si>
  <si>
    <t>5% ? (S) 2027 - (OCT/DEC) Marbella Maintenance Corp. (MAR) - (3 Year Plan)</t>
  </si>
  <si>
    <t>5% ? (S) 2028 - (APR/JUN) Marbella Maintenance Corp. (MAR) - (3 Year Plan)</t>
  </si>
  <si>
    <t>5% ? (S) 2028 - (Mar/Jun) Mesa Vista South - (3 Year Plan)</t>
  </si>
  <si>
    <t>Sunrise Property Group</t>
  </si>
  <si>
    <t>NEED PERMIT==(N) 2025 - (Removals) Granada Park Cerritos HOA - (Revised 3 Year Removal Plan)</t>
  </si>
  <si>
    <t>5%? (S) 2027 - (APR/JUN) Vista de Oro Homeowners Association - (3 Year Plan)</t>
  </si>
  <si>
    <t>5%? (S) 2028 - (APR/JUN) Vista de Oro Homeowners Association - (3 Year Plan)</t>
  </si>
  <si>
    <t>5%? (S) 2028 - (OCT/JAN) Vista de Oro Homeowners Association - (3 Year Plan)</t>
  </si>
  <si>
    <t>8% (N) 2027 - (AUG/SEP) The Covey - (3 Year Plan)</t>
  </si>
  <si>
    <t>Lakewood</t>
  </si>
  <si>
    <t>(N) 2026 - (NOV/DEC) Pullman Associates - (2026 Tree Maintenance)</t>
  </si>
  <si>
    <t>2027 (Aug/Sept) Walden Community - (3 Year Plan)</t>
  </si>
  <si>
    <t>2028 (Aug/Sept) Walden Community - (3 Year Plan)</t>
  </si>
  <si>
    <t>8% (S) 2027 - (OCT/DEC) Woodbridge Parkway Maint. Assoc. - (3 Year Plan)</t>
  </si>
  <si>
    <t>8% (S) 2028 - (APR/JUN) Woodbridge Parkway Maint. Assoc. - (3 Year Plan)</t>
  </si>
  <si>
    <t>8% (S) 2028 - (JAN/MAR) Woodbridge Parkway Maint. Assoc. - (3 Year Plan)</t>
  </si>
  <si>
    <t>8% (S) 2028 - (OCT/DEC) Montara Neighborhood Association - (3 Year Plan)</t>
  </si>
  <si>
    <t>8% (S) 2028 - (OCT/DEC) Woodbridge Parkway Maint. Assoc. - (3 Year Plan)</t>
  </si>
  <si>
    <t>NEED PERMIT= (N) 2025 - (Removal) Granada Park Cerritos HOA - (Removal ID 40) (CO 24321)</t>
  </si>
  <si>
    <t>Ontario</t>
  </si>
  <si>
    <t>Huntington West Properties, Inc.</t>
  </si>
  <si>
    <t>Fountain Valley</t>
  </si>
  <si>
    <t>(N) 2026 - (OCT/DEC) 5200 Airport Drive - (2026 Recommendations)</t>
  </si>
  <si>
    <t>[TREATMENT] (N) 2026 - (OCT/DEC) Coyote Hills Bluffs HOA - (2026 Eucalyptus Treatment)</t>
  </si>
  <si>
    <t>8% (N) 2027 - (JAN/MAR) Fountain Plaza HOA - (3 Year Plan)</t>
  </si>
  <si>
    <t>8% (N) 2028 - (JAN/MAR) Fountain Plaza HOA - (3 Year Plan)</t>
  </si>
  <si>
    <t>Irwindale</t>
  </si>
  <si>
    <t>Eastvale</t>
  </si>
  <si>
    <t>(N) 2026 - (OCT/DEC) 11640 Harrell - (2026 Recommendations)</t>
  </si>
  <si>
    <t>(N) 2026 - (OCT/DEC) 12300 Riverside - (2026 Recommendations)</t>
  </si>
  <si>
    <t>8% (N) 2028 - (JAN/MAR) Pinehurst Estates - (Revised; 3 Year Plan)</t>
  </si>
  <si>
    <t>REBEKAH</t>
  </si>
  <si>
    <t>(S) 2026 - (OCT/DEC) Casafina HOA - (3 Year Plan)</t>
  </si>
  <si>
    <t>8% (S) 2026 - (AUG/SEP) UCA - (3 Year Plan)</t>
  </si>
  <si>
    <t>8% (S) 2027 - (APR/JUN) Casafina HOA - (3 Year Plan)</t>
  </si>
  <si>
    <t>8% (S) 2027 - (APR/JUN) UCA - (3 Year Plan)</t>
  </si>
  <si>
    <t>8% (S) 2027 - (AUG/SEP) Casafina HOA - (3 Year Plan)</t>
  </si>
  <si>
    <t>8% (S) 2027 - (AUG/SEP) UCA - (3 Year Plan)</t>
  </si>
  <si>
    <t>8% (S) 2027 - (OCT/DEC) Monarch Bay - (4 Year Plan)</t>
  </si>
  <si>
    <t>8% (S) 2027 - (OCT/DEC) UCA - (3 Year Plan)</t>
  </si>
  <si>
    <t>8% (S) 2028 - (OCT/DEC) Monarch Bay - (4 Year Plan)</t>
  </si>
  <si>
    <t>2026</t>
  </si>
  <si>
    <t>Jul</t>
  </si>
  <si>
    <t>COMMERCIAL 01/08/2026</t>
  </si>
  <si>
    <t>COMMERICAL 01/09/2025</t>
  </si>
  <si>
    <t>MUNICIPAL 01/15/2026</t>
  </si>
  <si>
    <t>MUNICIPAL 01/16/2025</t>
  </si>
  <si>
    <t>RB</t>
  </si>
  <si>
    <t>(S) 2026 - (AUG/SEP) Laguna Altura - (Revised 2026 Recommendations)</t>
  </si>
  <si>
    <t>8%? (S) 2027 - (JAN/MAR) Valencia Condominiums Association - (Revised 4 Year Plan)</t>
  </si>
  <si>
    <t>8%? (S) 2028 - (JAN/MAR) Valencia Condominiums Association - (Revised 4 Year Plan)</t>
  </si>
  <si>
    <t>8%? 2028 - (APR/JUN) Valencia Condominiums Association - (Revised 4 Year Plan)</t>
  </si>
  <si>
    <t>% (S) 2027 - (Apr/Jun &amp; Removals) Woodbridge Parkway Maint. Assoc. - (3 Year Plan)24349</t>
  </si>
  <si>
    <t>(N) 2025 -PERMIT (Removal) Wimbledon Village Association - (ID 20)</t>
  </si>
  <si>
    <t>(N) 2025 PERMIT (Removals) Wimbledon Village Association - (Removal ID18-19)</t>
  </si>
  <si>
    <t>Walters Management</t>
  </si>
  <si>
    <t>San Juan Mobile EstatesSan Juan Mobile E</t>
  </si>
  <si>
    <t>(S) 2026 - (Oct/Dec) Presidio Community Association - (Revised 3 Year Plan) (CO 24463)</t>
  </si>
  <si>
    <t>(S) 2026 - (OCT/DEC) San Juan Mobile Estates - (2026 Recommendations)</t>
  </si>
  <si>
    <t>(S) 2026 - (OCT/DEC) Stonetree Manor (PRO455-10877) - (3 Year Plan)</t>
  </si>
  <si>
    <t>(S) 2026 - (OCT/DEC) Woodbridge Parkway Maint. Assoc. - (3 Year Plan) (CO 24456)</t>
  </si>
  <si>
    <t>2026 - (S) 2026 - (AUG/SEP) Seacove Place HOA - CO 24459 (2026 Recommendations)</t>
  </si>
  <si>
    <t>2026 - Wimbledon Village Association - (Removal ID 21 &amp; 22)</t>
  </si>
  <si>
    <t>8% (N) 2027 - (APR/JUN) Pacific Shores HOA - (Revised 3 Year Plan)</t>
  </si>
  <si>
    <t>8% (N) 2027 - (JAN/MAR) Pacific Shores HOA - (Revised 3 Year Plan)</t>
  </si>
  <si>
    <t>8% (N) 2028 - (APR/JUN) Pacific Shores HOA - (Revised 3 Year Plan)</t>
  </si>
  <si>
    <t>8% (N) 2028 - (JAN/MAR) Pacific Shores HOA - (Revised 3 Year Plan)</t>
  </si>
  <si>
    <t>8% (N) 2028 - (JUL/SEP ) Pacific Shores HOA - (Revised 3 Year Plan)</t>
  </si>
  <si>
    <t>8% (S) 2027 - (APR/JUN) Stonetree Manor (PRO455-10877) - (3 Year Plan)</t>
  </si>
  <si>
    <t>8% (S) 2027 - (OCT/DEC) Casafina HOA - (3 Year Plan)</t>
  </si>
  <si>
    <t>8% (S) 2027 - (OCT/DEC) Stonetree Manor (PRO455-10877) - (3 Year Plan)</t>
  </si>
  <si>
    <t>8% (S) 2028 - (APR/JUN) Stonetree Manor (PRO455-10877) - (3 Year Plan)</t>
  </si>
  <si>
    <t>8% (S) 2028 - (OCT/DEC) Sycamore Plaza - (4 Year Plan)</t>
  </si>
  <si>
    <t>COMMERCIAL 02/05/2026</t>
  </si>
  <si>
    <t>COMMERICAL 02/06/2025</t>
  </si>
  <si>
    <t>TOTAL    02/05/2026</t>
  </si>
  <si>
    <t>TOTAL   02/06/2025</t>
  </si>
  <si>
    <t>% (S) 2028 - (JAN/APR) Silverstone HOA - (3 Year Plan)</t>
  </si>
  <si>
    <t>% 2027 - (APR/JUN) The Highlands Maintenance Corporation - (3 Year Plan)</t>
  </si>
  <si>
    <t>% 2027(AugSep) Wilderness HOA - (3 Year Plan)CO 24497</t>
  </si>
  <si>
    <t>% 2028 - (APR/JUN) The Highlands Maintenance Corporation - (3 Year Plan)</t>
  </si>
  <si>
    <t>% 2028 - (JAN/MAR) The Highlands Maintenance Corporation - (3 Year Plan)</t>
  </si>
  <si>
    <t>COMMERCIAL 02/12/2026</t>
  </si>
  <si>
    <t>TOTAL    02/12/2026</t>
  </si>
  <si>
    <t>COMMERICAL 02/13/2025</t>
  </si>
  <si>
    <t>TOTAL   02/13/2025</t>
  </si>
  <si>
    <t>COMMERCIAL 02/19/2026</t>
  </si>
  <si>
    <t>COMMERICAL 02/20/2025</t>
  </si>
  <si>
    <t>TOTAL    02/19/2026</t>
  </si>
  <si>
    <t>TOTAL   02/19/2025</t>
  </si>
  <si>
    <t>% 2028 - (APR/JUN) Laguna Audubon 1 - (3 Year Plan)</t>
  </si>
  <si>
    <t>% 2029 - (JAN/MAR) Laguna Audubon 1 - (3 Year Plan)</t>
  </si>
  <si>
    <t>(N) 2026 - (Oct/Dec) Mirador at Rancho Niguel Association - (3 Year Plan) (CO 24503)</t>
  </si>
  <si>
    <t>2026 - (OctDec) Northpark Maintenance HOA (Street Trees) - (2026 Approved Work)</t>
  </si>
  <si>
    <t>2026 - (OCTJAN) Crestline HOA - (3 Year Plan)</t>
  </si>
  <si>
    <t>2027 - (JAN/MAR) Laguna Audubon 1 - (3 Year Plan)</t>
  </si>
  <si>
    <t>2028 - (Removals) Villavante Community Association - (4 Year Removal Plan)</t>
  </si>
  <si>
    <t>2029 - (Removals) Villavante Community Association - (4 Year Removal Plan)</t>
  </si>
  <si>
    <t>8% (N) 2027 - (JUL/SEP) Pacific Shores HOA - (Revised 3 Year Plan) CO 24508</t>
  </si>
  <si>
    <t>8% 2028 - (AUG/SEP) The Laurel Condominium Association (4 Year Plan)</t>
  </si>
  <si>
    <t>2026 - (OctDec) Huntington Continental Town House Assoc</t>
  </si>
  <si>
    <t>2026 - (AUG/SEP) Airport Tower - (2026 Recommendations)</t>
  </si>
  <si>
    <t>2026 - (OCT/DEC) Tustin Barcelona HOA- (2026 Recommendations)</t>
  </si>
  <si>
    <t>Trabuco Canyon</t>
  </si>
  <si>
    <t>2026 - Wilderness HOA (WHOA) -(Euc missed due to birds nest)</t>
  </si>
  <si>
    <t>COMMERCIAL 03/05/2026</t>
  </si>
  <si>
    <t>TOTAL    03/05/2026</t>
  </si>
  <si>
    <t>COMMERICAL 03/06/2025</t>
  </si>
  <si>
    <t>TOTAL   03/06/2025</t>
  </si>
  <si>
    <t>% 2027 - (JAN/MAR) Del Prado HOA (Tract 8965)-(3 Year Plan)</t>
  </si>
  <si>
    <t>% 2028 - (APR/JUN) St. Tropez Condominium Association - (3 Year Plan)</t>
  </si>
  <si>
    <t>% 2028 - (AUG/SEP) Del Prado HOA (Tract 8965)-(3 Year Plan)</t>
  </si>
  <si>
    <t>% 2028 - (JAN/MAR) St. Tropez Condominium Association - (3 Year Plan)</t>
  </si>
  <si>
    <t>% 2029 - (JAN/MAR) Del Prado HOA (Tract 8965)-(3 Year Plan)</t>
  </si>
  <si>
    <t>2026 (Oct/Dec) Glenwood Recreation Center (GRE)-(3 Year Plan)CO 24568</t>
  </si>
  <si>
    <t>2026 - (Oct/Dec) 23981 Alicia Parkway - (3 Year Plan) - (CO #24581)</t>
  </si>
  <si>
    <t>2026 - (Treatment) (JAN/MAR) Presidio HOA-Discounted (Olive Treatment)</t>
  </si>
  <si>
    <t>2026 - Garden Homes - (Trees missed due to birds nest)</t>
  </si>
  <si>
    <t>2026 - Palm Gardens HOA -(Missed Trees due to birds nest)</t>
  </si>
  <si>
    <t>2027(JanMar)Wilderness HOA - (3 Year Plan)CO 24552</t>
  </si>
  <si>
    <t>NEED PERMIT = (N) 2025 (Removal) Concorde Place - CERRITOS - (Removal ID 75) (CO 24539)</t>
  </si>
  <si>
    <t>PERMIT %? (N) 2027 - (APR/JUN) Concorde Place - (3 Year Plan) (CO 24546)</t>
  </si>
  <si>
    <t>PERMIT %? (N) 2027 - (JAN/MAR) Concorde Place - (3 Year Plan) (CO 24545)</t>
  </si>
  <si>
    <t>PERMIT %? (N) 2027 - (JUL/SEP) Concorde Place - (3 Year Plan) (CO 24547)</t>
  </si>
  <si>
    <t>COMMERCIAL 03/12/2026</t>
  </si>
  <si>
    <t>TOTAL    03/12/2026</t>
  </si>
  <si>
    <t>COMMERICAL 03/13/2025</t>
  </si>
  <si>
    <t>TOTAL   03/13/2025</t>
  </si>
  <si>
    <t>% (N) 2026 - (Oct/Dec) Glenbrook Townhomes - (3 Year Plan) (CO 24598)</t>
  </si>
  <si>
    <t>% (N) 2027 - (OCT/DEC) Diamond Bar Plaza - (Revised 3 Year Plan) (CO 24592)</t>
  </si>
  <si>
    <t>% (S) 2027 - (APR/JUN) Agave - (4 Year Plan)</t>
  </si>
  <si>
    <t>% (S) 2028 - (APR/JUN) Agave - (4 Year Plan)</t>
  </si>
  <si>
    <t>% (S) 2028 - (JAN/MAR) Agave - (4 Year Plan)</t>
  </si>
  <si>
    <t>% 2026 - (Oct/Dec) Breakers at Bear Brand - (3 Year Plan) (CO 24580)</t>
  </si>
  <si>
    <t>% 2027 - (APR/JUN) The Vine at Portola Springs - (3 Year Plan)</t>
  </si>
  <si>
    <t>% 2027 - (JAN/MAR) The Highlands Maintenance Corporation - (3 Year Plan) (CO 24576)</t>
  </si>
  <si>
    <t>% 2027(Apr/Jun)Walnut Drive Business Center - (3 Year Plan) (CO 24606)</t>
  </si>
  <si>
    <t>% 2028 - (APR/JUN) The Vine at Portola Springs - (3 Year Plan)</t>
  </si>
  <si>
    <t>(S) 2026 - (OCT/DEC) Valencia Condominiums Association - (Revised 4 Year Plan) (CO 24594)</t>
  </si>
  <si>
    <t>2026 - (OCT/DEC) Chelsea Place HOA - (2026 Trimming)</t>
  </si>
  <si>
    <t>8% (S) 2026 - (OCT/DEC) Monarch Bay - (4 Year Plan) (CO 24586)</t>
  </si>
  <si>
    <t>8% (S) 2027 - (APR/JUN) Valencia Condominiums Association - (Revised 4 Year Plan) (CO 24595)</t>
  </si>
  <si>
    <t>not full day 2026 - (OCT/DEC) Calabria Court Association - (Revised 2026 Recs)</t>
  </si>
  <si>
    <t>Not full day2026 - (APR/JUN) Calabria Court Association - (Revised 2026 Recs)</t>
  </si>
  <si>
    <t>COMMERCIAL 03/19/2026</t>
  </si>
  <si>
    <t>TOTAL    03/19/2026</t>
  </si>
  <si>
    <t>COMMERICAL 03/20/2025</t>
  </si>
  <si>
    <t>TOTAL   03/20/2025</t>
  </si>
  <si>
    <t>2026 (Oct/Dec) Gingerwood HOA - (3 Year Plan) (CO 24611)</t>
  </si>
  <si>
    <t>% (S) 2026 - (Aug/Sep) Mira Costa Villas - (Revised 3 Year Plan) (CO 24659)</t>
  </si>
  <si>
    <t>% (S) 2026 - (Oct/Dec) Fawn Glen HOA-(3 Year Plan) (CO 24691)</t>
  </si>
  <si>
    <t>% (S) 2026 - (Oct/Dec) Mira Costa Villas - (Revised 3 Year Plan) (CO 24660)</t>
  </si>
  <si>
    <t>% (S) 2026 - (Oct/Dec) Willows Maintenance HOA - (3 Year Plan) (CO 24644)</t>
  </si>
  <si>
    <t>% (S) 2027 - (APR/JUN) Le St. Tropez HOA - (Revised WO XN1407636 3 Year Plan) (CO 24710)</t>
  </si>
  <si>
    <t>% (S) 2027 - (APR/JUN) Northwood Villas Maintenance Corporation - (3 Year Plan) (CO 24618)</t>
  </si>
  <si>
    <t>% (S) 2027 - (Apr/Jun) Tijeras Creek Villas Maintenance Corporation - (3 Year Plan) (CO 24657)</t>
  </si>
  <si>
    <t>% (S) 2027 - (APR/JUN) White Oak HOA - (3 Year Plan) (CO 24654)</t>
  </si>
  <si>
    <t>% (S) 2027 - (AUG/SEP) Carissa Neighborhood Association - (4 Year Plan) (CO 24706)</t>
  </si>
  <si>
    <t>% (S) 2027 - (JAN/APR) Silverstone HOA - (3 Year Plan) (CO 24681)</t>
  </si>
  <si>
    <t>% (S) 2027 - (JAN/MAR) Carefree El Toro Owners Association - (3 Year Plan) (CO 24614)</t>
  </si>
  <si>
    <t>% (S) 2027 - (JAN/MAR) Las Flores II - (3 Year Plan Revised) (CO 24638)</t>
  </si>
  <si>
    <t>% (S) 2027 - (Jan/Mar) Orleans HOA (T152) - (Revised 3 Year Plan) (CO 24635)</t>
  </si>
  <si>
    <t>% (S) 2027 - (Jul/Sep) Whispering Hills Community Association - (3 Year Plan) (CO 24672)</t>
  </si>
  <si>
    <t>% (S) 2027 - (OCT/DEC) Carissa Neighborhood Association - (4 Year Plan) (CO 24707)</t>
  </si>
  <si>
    <t>% (S) 2027 - (Oct/Dec) Indigo at Portola Springs - (4 Year Plan) (CO 24700)</t>
  </si>
  <si>
    <t>% (S) 2027 - (OCT/DEC) Northwood Villas Maintenance Corporation - (3 Year Plan) (CO 24619)</t>
  </si>
  <si>
    <t>% (S) 2027 - (OCT/DEC) Sycamore Plaza - (4 Year Plan) (CO 24702)</t>
  </si>
  <si>
    <t>% - 2027 (Jan/Mar) Bella Ventana Maint Corp. (BVE) - (3 Year Plan) (CO 24621)</t>
  </si>
  <si>
    <t>% 2026 (Oct/Dec) Windflower Community Association-(3 Year Plan) (CO 24697)</t>
  </si>
  <si>
    <t>% 2027 (Apr/Jun) Windflower Community Association-(3 Year Plan) (CO 24698)</t>
  </si>
  <si>
    <t>% 2027 (Aug/Sep) Villavante Community Association-(3 Year Plan) (CO 24665)</t>
  </si>
  <si>
    <t>% 2027 - (APR/JUN) Lantana Neighborhood Association - (3 Year Plan)</t>
  </si>
  <si>
    <t>% 2027 - (JAN/APR) Tierra Linda HOA (TILI) - (4 Year Plan)</t>
  </si>
  <si>
    <t>% 2027 - (Jan/Mar) Bayridge Park HOA - (3 Year Plan) CO 243689</t>
  </si>
  <si>
    <t>% 2027 - (MAY/JUN) Tierra Linda HOA (TILI) - (4 Year Plan)</t>
  </si>
  <si>
    <t>% 2028 - (JAN/APR) Tierra Linda HOA (TILI) - (4 Year Plan)</t>
  </si>
  <si>
    <t>% 2028 - (MAY/JUN) Tierra Linda HOA (TILI) - (4 Year Plan)</t>
  </si>
  <si>
    <t>% 2028 - Lantana Neighborhood Association - (3 Year Plan)</t>
  </si>
  <si>
    <t>% 2029 - (JAN/APR) Tierra Linda HOA (TILI) - (4 Year Plan)</t>
  </si>
  <si>
    <t>% PERMIT? (S) 2027 - (Oct/Dec) (H) Northwood Villas HOA - (3 Year Plan) (CO 24649)</t>
  </si>
  <si>
    <t>%? (S) 2026 - (AUG/SEP) Carefree El Toro Owners Association - (3 Year Plan) (CO 24613)</t>
  </si>
  <si>
    <t>(N) 2026 (Aug/Sep) Seawind Community Association - (Revised 3 Year Plan) (CO 24662)</t>
  </si>
  <si>
    <t>(S) 2026 - (AUG/SEP) Carissa Neighborhood Association - (4 Year Plan) (CO 24704)</t>
  </si>
  <si>
    <t>(S) 2026 - (Aug/Sep) Orleans HOA (T152) - (Revised 3 Year Plan) (CO 24634)</t>
  </si>
  <si>
    <t>(S) 2026 - (OCT/DEC) Northwood Villas Maintenance Corporation - (3 Year Plan) (CO 24617)</t>
  </si>
  <si>
    <t>(S) 2026 - (OCT/DEC) Sycamore Plaza - (4 Year Plan) (CO 24701)</t>
  </si>
  <si>
    <t>(S) 2026 - (OCT/DEC) Willow Glen Serrano HOA - (4 Year Plan) (CO 24716)</t>
  </si>
  <si>
    <t>(S) 2026 - (Oct/Jan) San Simeon (Tract 15167) - (Revised 3 Year Plan) (CO 24661)</t>
  </si>
  <si>
    <t>2026 (Jul/Sep) Palm Gardens Community Association-(4 Year Plan) (CO 24680)</t>
  </si>
  <si>
    <t>2026 - % - 2027 (Apr/Jun) Bella Ventana Maint Corp. (BVE) - (3 Year Plan) (CO 24622)</t>
  </si>
  <si>
    <t>2026 - (Aug/Sep) Vista San Joaquin HOA - (4 Year Plan) (CO 24589)</t>
  </si>
  <si>
    <t>2026 - (OCT/DEC) Carissa Neighborhood Association - (4 Year Plan) (CO 24705)</t>
  </si>
  <si>
    <t>2026 - (Oct/Dec) Indigo at Portola Springs - (4 Year Plan) (CO 24699)</t>
  </si>
  <si>
    <t>2026 - === PLACEHOLDER ===</t>
  </si>
  <si>
    <t>5% (S) 2028 - (AUG/SEP) Carissa Neighorbood Association - (4 Year Plan)</t>
  </si>
  <si>
    <t>PERMIT? (S) 2026 - (Oct/Dec) Northwood Villas HOA - (3 Year Plan) (CO 24648)</t>
  </si>
  <si>
    <t>POST= (N) 2026 - (Oct/Dec) Suburbia HOA - (Revised 3 Year Plan) (CO 24723)</t>
  </si>
  <si>
    <t>POST=NEED PERMIT %? (N) 2027 - (Apr/Jun) Bayridge Park HOA - (3 Year Plan) (CO 24690)</t>
  </si>
  <si>
    <t>COMMERCIAL 03/26/2026</t>
  </si>
  <si>
    <t>TOTAL    03/26/2026</t>
  </si>
  <si>
    <t>COMMERICAL 03/27/2025</t>
  </si>
  <si>
    <t>TOTAL   03/27/2025</t>
  </si>
  <si>
    <t>% (N) 2027 (July) Emerald Pointe Community Association - (3 Year Plan) (CO 24770)</t>
  </si>
  <si>
    <t>% (N) 2027 - (Apr/Jun) Terra Linda Estates HOA - (3 Year Plan) (CO 24735)</t>
  </si>
  <si>
    <t>% (N) 2027 - (Apr/Jun) The Summit at Newport Ridge - (3 Year Plan) (CO 24759)</t>
  </si>
  <si>
    <t>% (N) 2027 - (AUG/SEP) Sage Maintenance Association - (3 Year Plan) (CO 24768)</t>
  </si>
  <si>
    <t>% (N) 2027 - (Jan/Mar) The Groves Homeowners Inc. - (Revised 3 Year Plan)</t>
  </si>
  <si>
    <t>% (N) 2027 - (Oct/Dec) Terra Linda Estates HOA - (3 Year Plan) (CO 24736)</t>
  </si>
  <si>
    <t>% (N) 2027 - (Oct/Dec) The Groves Homeowners Inc. - (Revised 3 Year Plan)</t>
  </si>
  <si>
    <t>% (N) 2027 - (Oct/Dec) The Summit at Newport Ridge - (3 Year Plan) (CO 24762)</t>
  </si>
  <si>
    <t>% 2027(Jul/Sep)Bolsa Mini Mall - (3 Year Plan)</t>
  </si>
  <si>
    <t>%? (S) 2027 - (AUG/SEP) - (3 Year Plan) (CO 24347)</t>
  </si>
  <si>
    <t>(N) 2026 (AugSep) Wilderness HOA - (3 Year Plan) (CO 24771)</t>
  </si>
  <si>
    <t>(N) 2026 - (AUG/SEP) Sage Maintenance Association - (3 Year Plan) (CO 24767)</t>
  </si>
  <si>
    <t>(N) 2026 - (Oct/Dec) Granada Park Cerritos HOA - (3 Year Plan) (CO 24720)</t>
  </si>
  <si>
    <t>(N) 2026 - (Oct/Dec) Huntington Bay - (3 Year Plan) (CO 24728)</t>
  </si>
  <si>
    <t>(N) 2026 - (Oct/Dec) Meadowcreek Community Assoc - (3 Year Plan) (CO 24743)</t>
  </si>
  <si>
    <t>(N) 2026 - (Oct/Dec) Portarosa (CO 24749)</t>
  </si>
  <si>
    <t>(N) 2026 - (Oct/Dec) St. Laurent at Newport Ridge - (3 Year Plan) (CO 24764)</t>
  </si>
  <si>
    <t>(N) 2026 - (Oct/Dec) Tannenwood Village HOA - (3 Year Plan) (CO 24732)</t>
  </si>
  <si>
    <t>(N) 2026 - (Oct/Dec) Terra Linda Estates HOA - (3 Year Plan) (CO 24734)</t>
  </si>
  <si>
    <t>(N) 2026 - (Oct/Dec) Village Green Garden Grove HOA - (3 Year Plan) (CO 24745)</t>
  </si>
  <si>
    <t>(N) 2026 - (Oct/Dec)The Summit at Newport Ridge - (3 Year Plan) (CO 24761)</t>
  </si>
  <si>
    <t>(S) 2026 - (AUG/SEP) Irvine Wildflower HOA - (3 Year Plan) (CO 24731)</t>
  </si>
  <si>
    <t>(S) 2026 - (Oct/Dec) Harvard Square Maintenance - (2 Year Plan) (CO 24757)</t>
  </si>
  <si>
    <t>2026 (Aug/Sept) C&amp;L Refrigeration - (3 Year Plan) (CO 23340)</t>
  </si>
  <si>
    <t>2026 (Aug/Sept) Orange Center Tower - (Revised 3 Year Plan) (CO 24741)</t>
  </si>
  <si>
    <t>2026 (July) Orange Center Tower - (Revised 3 Year Plan) (CO 24740)</t>
  </si>
  <si>
    <t>2026 (Oct/Dec) - Lux Community Association - (3 Year Plan)</t>
  </si>
  <si>
    <t>2026 (Oct/Dec) Westpark Village One - Culverdale - (3 Year Plan) (CO 24753)</t>
  </si>
  <si>
    <t>2026 - (Oct/Dec) Glenwood Terrace - (3 Year Plan) (CO 24639)</t>
  </si>
  <si>
    <t>2027 (Oct/Dec) Lux Community Association - (3 Year Plan)</t>
  </si>
  <si>
    <t>2028 (Oct/Dec) Lux Community Association - (3 Year Plan)</t>
  </si>
  <si>
    <t>8% (N) 2027 - (JAN/MAR) Pinehurst Estates - (Revised; 3 Year Plan)CO 24777</t>
  </si>
  <si>
    <t>Schedule in 2026 (S) 2026 - (AUG/SEP) Serissa Community Association - (3 Year Plan) (CO 24747)</t>
  </si>
  <si>
    <t>% (S) 2027 - (APR/JUN) Marbella Maintenance Corp. (MAR) - (3 Year Plan) (CO 24782)</t>
  </si>
  <si>
    <t>% 2027 (Jan/Mar) Whispering Hills Community Association-(3 Year Plan) (CO 24785)</t>
  </si>
  <si>
    <t>% 2027 - (APR/JUN) Legado HOA - (Revised 3 Year Plan)</t>
  </si>
  <si>
    <t>% 2027 - (APR/JUN) St. Tropez Condominium Association - (3 Year Plan) (CO 24809)</t>
  </si>
  <si>
    <t>% 2027 - (Apr/Jun) Whispering Hills Community Association-(3 Year Plan) (CO 24784)</t>
  </si>
  <si>
    <t>% 2027 - (AUG/SEP) C2E Townhomes Community - (4 Year Plan)</t>
  </si>
  <si>
    <t>% 2027 - (AUG/SEP) Vientos Maintenance Association - (3 Year Plan)</t>
  </si>
  <si>
    <t>% 2027 - (JAN/MAR) Legado HOA (Revised 3 Year Plan)</t>
  </si>
  <si>
    <t>% 2027 - (OCT/DEC) C2E Townhomes Community - (4 Year Plan)</t>
  </si>
  <si>
    <t>% 2027 - (OCT/DEC) Vientos Maintenance Association - (3 Year Plan)</t>
  </si>
  <si>
    <t>% 2028 - (AUG/SEP) C2E Townhomes Community - (4 Year Plan)</t>
  </si>
  <si>
    <t>% 2028 - (OCT/DEC) C2E Townhomes Community - (4 Year Plan)</t>
  </si>
  <si>
    <t>% 2028 - Vientos Maintenance Association - (3 Year Plan)</t>
  </si>
  <si>
    <t>% 2029 - (AUG/SEP) C2E Townhomes Community - (4 Year Plan)</t>
  </si>
  <si>
    <t>% 2029 - (OCT/DEC) C2E Townhomes Community - (4 Year Plan)</t>
  </si>
  <si>
    <t>%? (S) 2027 - (Jan/Mar) Harvard Square Maintenance - (2 Year Plan) (CO 24758)</t>
  </si>
  <si>
    <t>(S) 2026 - (Aug/Sep) Villavante Community Association - (3 Year Plan) (CO 24793)</t>
  </si>
  <si>
    <t>[TREATMENT] (S) 2025 - (JUL/SEP) Serrano Woods HOA (Sycamores PSHB Treatment)</t>
  </si>
  <si>
    <t>City of Irvine (CI Palm Contract)</t>
  </si>
  <si>
    <t>2026 - (AUG/SEP) C2E Townhomes Community - (4 Year Plan)</t>
  </si>
  <si>
    <t>2026 - (AUG/SEP) Vientos Maintenance Association - (3 Year Plan)</t>
  </si>
  <si>
    <t>2026 - (OCT/DEC) C2E Townhomes Community - (4 Year Plan)</t>
  </si>
  <si>
    <t>2026 - (Oct/Dec)Caserta II Neighborhood Association - (3 Year Plan)</t>
  </si>
  <si>
    <t>2027 - (Removals) Villavante Community Association - (4 Year Removal Plan) (CO 24805)</t>
  </si>
  <si>
    <t>JW</t>
  </si>
  <si>
    <t>COMMERCIAL 04/16/2026</t>
  </si>
  <si>
    <t>MUNICIPAL 04/16/2026</t>
  </si>
  <si>
    <t>TOTAL    04/16/2026</t>
  </si>
  <si>
    <t>COMMERCIAL 04/17/2025</t>
  </si>
  <si>
    <t>TOTAL   04/17/2025</t>
  </si>
  <si>
    <t>% 2027 - (APR/JUN) H Bizctr San Clemente OA - (3 Year Plan)</t>
  </si>
  <si>
    <t>% 2028 - (APR/JUN) H Bizctr San Clemente OA - (3 Year Plan)</t>
  </si>
  <si>
    <t>% 2028 - (JAN/MAR) Laguna Audubon 1 - (3 Year Plan) (CO 24814)</t>
  </si>
  <si>
    <t>% 2029 - (APR/JUN) H Bizctr San Clemente OA - (3 Year Plan)</t>
  </si>
  <si>
    <t>[TREATMENT] 2026 - (OCT/DEC) Laguna Altura - (Sycamore and Tristania Treatments)</t>
  </si>
  <si>
    <t>2026 (Removal) - CSULB - Eucalyptus Removals (Active Birds Nest)</t>
  </si>
  <si>
    <t>2026 - (AUG/SEP) The Vineyards at Foothill Ranch - (Palm Trimming)</t>
  </si>
  <si>
    <t>Foothill Ranch</t>
  </si>
  <si>
    <t>2026 - (JUL/SEP) Molina Healthcare, Inc. - (4 Year Plan)</t>
  </si>
  <si>
    <t>2026 - (OCT/DEC) 1710 W Baseline Rd - (2026 Recommendations)</t>
  </si>
  <si>
    <t>Rialto</t>
  </si>
  <si>
    <t>2026 - Molina Healthcare, Inc. - (2026 Nesting Survey)</t>
  </si>
  <si>
    <t>2026 - The Vineyards at Foothill Ranch - (Removal ID 20)</t>
  </si>
  <si>
    <t>HOLD===2026 - (JAN/MAR) Fountain Plaza HOA - (2026 Trimming)</t>
  </si>
  <si>
    <t>NEED PERMIT 2026 - Granada Park - (Phased Removal Plan)Revised</t>
  </si>
  <si>
    <t>NEED PERMIT 2027 - Granada Park - (Phased Removal Plan)Revised</t>
  </si>
  <si>
    <t>NEED PERMIT==2026 - Granada Park Cerritos HOA - (Revised 3 Year Removal Plan)</t>
  </si>
  <si>
    <t>COMMERCIAL 04/24/2025</t>
  </si>
  <si>
    <t>% 2027 - (Apr/Jun) 130 Vantis, LLC - (3 Year Plan)</t>
  </si>
  <si>
    <t>Shea Properties</t>
  </si>
  <si>
    <t>% 2027 - (APR/JUN) Vantis Commercial Owners Association - (3 Year Plan)</t>
  </si>
  <si>
    <t>% 2027 - (APR/JUN) Village Green (4 Year Plan)</t>
  </si>
  <si>
    <t>% 2027 - (Jan/Mar) 122 Vantis Parking, LLC - (3 Year Plan)</t>
  </si>
  <si>
    <t>% 2028 - (Apr/Jun) 130 Vantis, LLC - (3 Year Plan)</t>
  </si>
  <si>
    <t>% 2028 - (APR/JUN) Vantis Commercial Owners Association - (3 Year Plan)</t>
  </si>
  <si>
    <t>% 2028 - (APR/JUN) Village Green (4 Year Plan)</t>
  </si>
  <si>
    <t>% 2028 - (Jan/Mar) 122 Vantis Parking, LLC - (3 Year Plan)</t>
  </si>
  <si>
    <t>(S) 2026 - (AUG/SEP) Casafina HOA - (3 Year Plan) (CO 24827)</t>
  </si>
  <si>
    <t>(S) 2026 - (OCT/JAN) Vista de Oro Homeowners Association - (3 Year Plan)CO 24823</t>
  </si>
  <si>
    <t>2026 (Oct/Dec) Garden Homes Maintenance Association - (3 Year Plan) CO 24832</t>
  </si>
  <si>
    <t>2026 (Oct/Dec) Pacific Hills East-(Revised 3 Year Plan) CO 24584</t>
  </si>
  <si>
    <t>2026 - (Nov/Dec)Tustin Ranch Plaza - (2026 Recommendations)</t>
  </si>
  <si>
    <t>2026 - (OCT/DEC) The Old Trabuco Highlands - (3 Year Plan)</t>
  </si>
  <si>
    <t>2026 - Yorba Linda Knolls - (Trees missed due to birds nest)</t>
  </si>
  <si>
    <t>8% (S) 2026 - (OCT/DEC) UCA - (3 Year Plan) - (CO 24831)</t>
  </si>
  <si>
    <t>8% (S) 2027 - (JAN/MAR) Casafina HOA - (3 Year Plan) (CO 24828)</t>
  </si>
  <si>
    <t>COMMERCIAL 04/30/2026</t>
  </si>
  <si>
    <t>MUNICIPAL 04/30/2026</t>
  </si>
  <si>
    <t>TOTAL    04/30/2026</t>
  </si>
  <si>
    <t>COMMERCIAL 05/01/2025</t>
  </si>
  <si>
    <t>% 2028 - (Oct/Dec)Caserta II Neighborhood Association - (3 Year Plan)</t>
  </si>
  <si>
    <t>% 2027 - (Oct/Dec)Caserta II Neighborhood Association - (3 Year Plan)</t>
  </si>
  <si>
    <t>2026 - Laguna Altura - (Podocarpus Trimming)</t>
  </si>
  <si>
    <t>2026 (Oct/Dec) Campobello HOA-(4 Year Plan) (CO 24846)</t>
  </si>
  <si>
    <t>% 2029 - (Apr/Jun) St. Augustine I - (4 Year Plan)</t>
  </si>
  <si>
    <t>% 2028 - (Apr/Jun) St. Augustine I - (4 Year Plan)</t>
  </si>
  <si>
    <t>% 2028 - (Jan/Mar) St. Augustine I - (4 Year Plan)</t>
  </si>
  <si>
    <t>% 2027 - (Jan/Mar) St. Augustine I - (4 Year Plan)</t>
  </si>
  <si>
    <t>% 2027 - (Apr/Jun) St. Augustine I - (4 Year Plan)</t>
  </si>
  <si>
    <t>COMMERCIAL 05/7/2026</t>
  </si>
  <si>
    <t>MUNICIPAL 05/7/2026</t>
  </si>
  <si>
    <t>TOTAL    05/07/2026</t>
  </si>
  <si>
    <t>COMMERCIAL 05/15/2025</t>
  </si>
  <si>
    <t>MUNICIPAL 05/8/2025</t>
  </si>
  <si>
    <t>TOTAL   05/06/2025</t>
  </si>
  <si>
    <t>(N) 2027 - The Highlands Maintenance Corp - (Revised Removal Plan)CO 24851</t>
  </si>
  <si>
    <t>2026 - White Oak HOA - (Trees missed due to birds nest)</t>
  </si>
  <si>
    <t>2026 - Valencia HOA - (Go Back: Active Bird Nest)</t>
  </si>
  <si>
    <t>2026 - Laguna Altura - (2026 Pine - Eldarica Trimming)</t>
  </si>
  <si>
    <t>% 2027 - (JAN/MAR) St. Tropez Condominium Association - (3 Year Plan) (CO 24852)</t>
  </si>
  <si>
    <t>2026 - Oak Creek (Summer Trimming: Central Irvine)</t>
  </si>
  <si>
    <t>2026 (Jul/Sep) - Orchard Hills Village (Summer Trimming: Foothill)</t>
  </si>
  <si>
    <t>2026 (Jul/Sep) - Cypress Village (Summer Trimming: Foothill)</t>
  </si>
  <si>
    <t>2026 (Jul/Aug) - Woodbridge Village (Summer Trimming: Central)</t>
  </si>
  <si>
    <t>2026 (Jul/Aug) - Walnut Village Center (Summer Trimming: Central Irvine)</t>
  </si>
  <si>
    <t>2026 (Jul/Aug) - Northpark Plaza (Summer Trimming: Foothill)</t>
  </si>
  <si>
    <t>2026 (Jul/Aug) - Los Olivos 2 (Summer Trimming: Spectrum)</t>
  </si>
  <si>
    <t>2026 (Jul/Aug) - Los Olivos 1 (Summer Trimming: Spectrum)</t>
  </si>
  <si>
    <t>2026 (Jul/Aug) - Harvard Place (Summer Trimming: University)</t>
  </si>
  <si>
    <t>2026 - Palm Watering/Monitoring (24)</t>
  </si>
  <si>
    <t>2026 - Palm Watering/Monitoring (23)</t>
  </si>
  <si>
    <t>2026 - Palm Watering/Monitoring (22)</t>
  </si>
  <si>
    <t>2026 - Palm Watering/Monitoring (21)</t>
  </si>
  <si>
    <t>2026 - Palm Watering/Monitoring (20)</t>
  </si>
  <si>
    <t>2026 - Palm Watering/Monitoring (19)</t>
  </si>
  <si>
    <t>2026 - Palm Watering/Monitoring (18)</t>
  </si>
  <si>
    <t>2026 - Palm Watering/Monitoring (17)</t>
  </si>
  <si>
    <t>2026 - Palm Watering/Monitoring (16)</t>
  </si>
  <si>
    <t>2026 - Palm Watering/Monitoring (15)</t>
  </si>
  <si>
    <t>2026 - Palm Watering/Monitoring (14)</t>
  </si>
  <si>
    <t>2026 - CI Palms - Treatment</t>
  </si>
  <si>
    <t>TREATMENT 2026 (APR/JUN) Citrus Lane Community Association - (Treatment Rec)</t>
  </si>
  <si>
    <t>2026 - PLACEHOLDER: University Collection (Fall 26/27)</t>
  </si>
  <si>
    <t>2026 - PLACEHOLDER: Spectrum Collection (Fall 26/27)</t>
  </si>
  <si>
    <t>2026 - PLACEHOLDER: Foothill Collection (Fall 26/27)</t>
  </si>
  <si>
    <t>2026 - PLACEHOLDER: Coastal Collection (Fall 26/27)</t>
  </si>
  <si>
    <t>2026 - PLACEHOLDER: Central Irvine Collection (Fall 26/27)</t>
  </si>
  <si>
    <t>2026 (Jul/Aug) - Newport Hills Center (Summer Trimming: Coastal)</t>
  </si>
  <si>
    <t>2026 (Jul/Aug) - Eastbluff Village Center (Summer Trimming: Coastal)</t>
  </si>
  <si>
    <t>2026 (Apr/Jun) - California Palms Industrial - (2026 Recommendations)</t>
  </si>
  <si>
    <t>% 2028 - (JAN/MAR) Talavera Maintenance Corporation - (3 Year Plan)</t>
  </si>
  <si>
    <t>% 2028 - (APR/JUN) Talavera Maintenance Corporation - (3 Year Plan)</t>
  </si>
  <si>
    <t>% 2027 - (JAN/MAR) Talavera Maintenance Corporation - (3 Year Plan) (CO 24861)</t>
  </si>
  <si>
    <t>% 2027 - (APR/JUN) Talavera Maintenance Corporation - (3 Year Plan) (CO 24860)</t>
  </si>
  <si>
    <t>% 2027 (Apr/Jun) Brookview Condominium OA - (3 Year Plan) (CO 24858)</t>
  </si>
  <si>
    <t>% (S) 2027 - (JAN/MAR) White Oak HOA - (3 Year Plan) (CO 24867)</t>
  </si>
  <si>
    <t>% (S) 2027 - (Aug/Sep) Orleans HOA (T152) - (Revised 3 Year Plan) (CO 24865)</t>
  </si>
  <si>
    <t>2026 - White Oak HOA - (Removal ID 137)</t>
  </si>
  <si>
    <t>2026 - (Nov) Spectrum Crossroads - (2026 Recommendations)CO 24873</t>
  </si>
  <si>
    <t>2026 - (APR/JUN) Los Olivos Marketplace 1 (Spectrum) - (Missed trees due to bird nests)</t>
  </si>
  <si>
    <t>2026 - (APR/JUN) Crossroads (Central Irvine) - (Missed Trees; Bird Nests)</t>
  </si>
  <si>
    <t>2026 (Go Back Trees) - Culver Plaza (Spring Trimming: Bird Nest Trees)</t>
  </si>
  <si>
    <t>2026 (Apr/Jun) - Westpark Plaza (Bird Nest Go Back)</t>
  </si>
  <si>
    <t>2027</t>
  </si>
  <si>
    <t>2028</t>
  </si>
  <si>
    <t>2029</t>
  </si>
  <si>
    <t>COMMERCIAL 05/29/2025</t>
  </si>
  <si>
    <t>2027 - (Jan/Mar) Amalfi Hills Community Association - (3 Year Plan)</t>
  </si>
  <si>
    <t>2029 - (Jan/Apr)Amalfi Hills Community Association - (3 Year Plan)</t>
  </si>
  <si>
    <t>% 2027 - (Apr/Jun)Celadon Neighborhood Association - (3 Year Plan)</t>
  </si>
  <si>
    <t>% 2028 - (Apr/Jun)Celadon Neighborhood Association - (3 Year Plan)</t>
  </si>
  <si>
    <t>2028 - (May/Apr)Amalfi Hills Community Association - (3 Year Plan)</t>
  </si>
  <si>
    <t>2026 - (APR/JUN) CZ Master - Coto De Caza - (Glen Eagles)</t>
  </si>
  <si>
    <t>% (S) 2027 - (Jan/Mar) Tijeras Creek Villas Maintenance Corporation - (3 Year Plan) (CO 24882)</t>
  </si>
  <si>
    <t>2029 - (May/Jun) Amalfi Hills Community Association - (3 Year Plan)</t>
  </si>
  <si>
    <t>2027 - (May/Jun) Amalfi Hills Community Association - (3 Year Plan)</t>
  </si>
  <si>
    <t>POST 2026 - (Oct/Dec) Yorba Linda Knolls Community Assoc. - (3 Year Plan; Revised) (CO 24874)</t>
  </si>
  <si>
    <t>2029 - (Jul/Sep)Amalfi Hills Community Association - (3 Year Plan)</t>
  </si>
  <si>
    <t>2027 - (Jul/Sep) Amalfi Hills Community Association - (3 Year Plan)</t>
  </si>
  <si>
    <t>2028 - (Jan/Apr)Amalfi Hills Community Association - (3 Year Plan)</t>
  </si>
  <si>
    <t>2026 - (OCT/DEC) Muse at Cadence - (3 Year Plan)</t>
  </si>
  <si>
    <t>2026 - Yorba Linda Knolls Community - (Podocarpus Removal ID 9)</t>
  </si>
  <si>
    <t>2026 - (APR/JUN) Alton Marketplace (Spectrum) - (Palms skipped due to bird nest)</t>
  </si>
  <si>
    <t>2026 - (APR/JUN) Los Olivos Marketplace 2 (Spectrum) - (Palms skipped; bird nest)</t>
  </si>
  <si>
    <t>2026 - (APR/JUN) Venture Park (University) - (Skipped tree due to bird nest)</t>
  </si>
  <si>
    <t>COMMERCIAL 06/05/2025</t>
  </si>
  <si>
    <t>MUNICIPAL 06/05/2025</t>
  </si>
  <si>
    <t>TOTAL   06/05/2025</t>
  </si>
  <si>
    <t>2029 - (OCT/DEC) Alicia Center Company (Honali) (98) - (3 Year Plan)</t>
  </si>
  <si>
    <t>2029 - (Oct/Dec) Alicia Business Center (97) (GPS) - (4 Year Plan)</t>
  </si>
  <si>
    <t>2028 - (OCT/DEC) Alicia Center Company (Honali) (98) - (3 Year Plan)</t>
  </si>
  <si>
    <t>2028 - (Oct/Dec) Alicia Business Center (97) (GPS) - (4 Year Plan)</t>
  </si>
  <si>
    <t>2027 - (OCT/DEC) Alicia Center Company (Honali) (98) - (3 Year Plan)</t>
  </si>
  <si>
    <t>2027 - (Oct/Dec) Alicia Business Center (97) (GPS) - (4 Year Plan)</t>
  </si>
  <si>
    <t>2027 - (JAN/MAR) Santa Barbara HOA - (3 Year Plan)</t>
  </si>
  <si>
    <t>2025 - Safety Training/ Meetings Work Order</t>
  </si>
  <si>
    <t>2026 - (OCT/DEC) Alicia Center Company (Honali) (98) - (3 Year Plan)</t>
  </si>
  <si>
    <t>2026 - (Oct/Dec) Alicia Business Center (97) (GPS) - (4 Year Plan)</t>
  </si>
  <si>
    <t>2026 - (Aug/Sep) Alicia Business Center (97) (GPS) - (2026 Treatment Recs)</t>
  </si>
  <si>
    <t>2026 - Cabo del Mar (PRO3-18077) - (Pines missed due to birds nest) (CO 24893)</t>
  </si>
  <si>
    <t>2026 - (Aug/Sep) Yale Estates - (2026 Comp Bid)</t>
  </si>
  <si>
    <t>2026 - Baker Ranch HOA - (Revised Arbors Park Removals)</t>
  </si>
  <si>
    <t>2026 - Baker Ranch HOA - (Revised SBA Removals)</t>
  </si>
  <si>
    <t>2026 - Flores Los Alisos - (Palms Skipped due to Bird Nest)</t>
  </si>
  <si>
    <t>2026 - (Apr/Jun) Alicia Business Center (97) (GPS) - (2026 Treatment Recs)</t>
  </si>
  <si>
    <t>2026 - (APR/MAY) Valencia Maintenance Association (2026 Treatment Recs)</t>
  </si>
  <si>
    <t>2026 (Oct/Dec) - North Bluff Bayview (2026 Tree Trimming)</t>
  </si>
  <si>
    <t>2026 (Aug/Sep) - North Bluff Bayview (2026 Tree Trimming)</t>
  </si>
  <si>
    <t>2026 (Aug/Sep Magnolia Treatment Only) - North Bluff Bayview (2026 Treatment Plan)</t>
  </si>
  <si>
    <t>2026 - (OCT/DEC) The Oaks at Lake Forest HOA - (2026 Recommendations) (CO 24899)</t>
  </si>
  <si>
    <t>2025 - Yard Hours Work Order</t>
  </si>
  <si>
    <t>2025 - Modified Duty Work Order</t>
  </si>
  <si>
    <t>(S) 2026 - (Oct/Dec) Pacific Hills HOA - (CO 24898)</t>
  </si>
  <si>
    <t>COMMERCIAL 06/19/2025</t>
  </si>
  <si>
    <t>MUNICIPAL 06/11/2025</t>
  </si>
  <si>
    <t>2029 - (APR/JUN) Sendero Community Assoc - (WO 12601-3570, 4 Year Plan)</t>
  </si>
  <si>
    <t>% 2028 - (APR/JUN) Sendero Community Assoc - (WO 12601-3570, 4 Year Plan)</t>
  </si>
  <si>
    <t>% 2028 (Apr/Jun) Altamar HOA - (3 Year Plan)</t>
  </si>
  <si>
    <t>% 2027 (Oct/Dec) - Altamar HOA - (3 Year Plan)</t>
  </si>
  <si>
    <t>% 2027 - (APR/JUN) Sendero Community Assoc - (WO 12601-3570, 4 Year Plan)</t>
  </si>
  <si>
    <t>% 2027 (Apr/Jun)- Altamar HOA - (3 Year Plan)</t>
  </si>
  <si>
    <t>% (S) 2026 - (OCT/DEC) Marbella Maintenance Corp. (MAR) - (3 Year Plan) (CO 24906)</t>
  </si>
  <si>
    <t>HOLD 2026 - Providence Park - (3 Year Plan)</t>
  </si>
  <si>
    <t>MUNICIPAL 06/19/2025</t>
  </si>
  <si>
    <t>COMMERCIAL 06/24/2026</t>
  </si>
  <si>
    <t>TOTAL    06/24/2026</t>
  </si>
  <si>
    <t>MUNICIPAL 06/15/2026</t>
  </si>
  <si>
    <t>COMMERCIAL 06/17/2026</t>
  </si>
  <si>
    <t>TOTAL    06/17/2026</t>
  </si>
  <si>
    <t>COMMERCIAL 06/10/2026</t>
  </si>
  <si>
    <t>MUNICIPAL 06/10/2026</t>
  </si>
  <si>
    <t>TOTAL    06/10/2026</t>
  </si>
  <si>
    <t>COMMERCIAL 06/3/2026</t>
  </si>
  <si>
    <t>MUNICIPAL 06/3/2026</t>
  </si>
  <si>
    <t>TOTAL    06/3/2026</t>
  </si>
  <si>
    <t>COMMERCIAL 05/27/2026</t>
  </si>
  <si>
    <t>MUNICIPAL 05/27/2026</t>
  </si>
  <si>
    <t>TOTAL    05/27/2026</t>
  </si>
  <si>
    <t>COMMERCIAL 05/20/2026</t>
  </si>
  <si>
    <t>MUNICIPAL 05/20/2026</t>
  </si>
  <si>
    <t>TOTAL    05/20/2026</t>
  </si>
  <si>
    <t>COMMERCIAL 05/13/2026</t>
  </si>
  <si>
    <t>MUNICIPAL 05/13/2026</t>
  </si>
  <si>
    <t>TOTAL    05/13/2026</t>
  </si>
  <si>
    <t>2027 - (Apr/Jun) The Villas Community Association (RSJ) - (2026-2027 Recs)</t>
  </si>
  <si>
    <t>2027 - (Jan/Mar)The Villas Community Association (RSJ) - (2026-2027 Recs)</t>
  </si>
  <si>
    <t>2026 - (OCT/DEC) Torrance Crossroads - (2026 Trimming &amp; Removals Recs)</t>
  </si>
  <si>
    <t>2026 - (Oct/Dec) Vista San Joaquin HOA - (4 Year Plan) (CO 24915)</t>
  </si>
  <si>
    <t>2026 - Moulton Ranch III - (2026 Treatment Recs)</t>
  </si>
  <si>
    <t>COMMERCIAL 07/1/2026</t>
  </si>
  <si>
    <t>TOTAL    07/01/2026</t>
  </si>
  <si>
    <t>COMMERCIAL
7/2/2025</t>
  </si>
  <si>
    <t>MUNICIPAL
06/11/2025</t>
  </si>
  <si>
    <t>TOTAL
2025</t>
  </si>
  <si>
    <t>% 2027 - (JUN/JUL) Del Prado HOA (Tract 8965) - (3 Year Plan) (CO 24914)</t>
  </si>
  <si>
    <t>2027 - (JAN/MAY) Pacific Ranch HOA - (Revised 3 Year Plan)</t>
  </si>
  <si>
    <t>2026 - (OCT/DEC) Pacific Ranch HOA - (Revised 3 Year Plan)</t>
  </si>
  <si>
    <t>2026 - (AUG/SEP) Pacific Ranch HOA - (Revised 3 Year Plan)</t>
  </si>
  <si>
    <t>ON HOLD 2026 - Breakers at Bear Brand (Slope Removals)</t>
  </si>
  <si>
    <t>ON HOLD (S) 2026 - (Jul/Sep) Windflower Community Association - (3 Year Plan) (CO 24796)</t>
  </si>
  <si>
    <t>Murrieta</t>
  </si>
  <si>
    <t>2026 - Skyview Ridge - (2026 Removals) Revised</t>
  </si>
  <si>
    <t>MUNICIPAL 07/10/2025</t>
  </si>
  <si>
    <t>TOTAL    07/08/2026</t>
  </si>
  <si>
    <t>COMMERCIAL 7/10/2025</t>
  </si>
  <si>
    <t>MUNICIPAL 07/08/2026</t>
  </si>
  <si>
    <t>COMMERCIAL 07/08/2026</t>
  </si>
  <si>
    <t>2028 - (Oct/Dec) Bayport Jeronimo Assoc., LP (52) - (3 Year Plan) Revised</t>
  </si>
  <si>
    <t>Centennial</t>
  </si>
  <si>
    <t>2027 - (Oct/Dec) Bayport Jeronimo Assoc., LP (52) - (3 Year Plan) Revised</t>
  </si>
  <si>
    <t>2027 - (Jan/Mar) Armstrong Ranch (ARA) - (Revised 26/27 Recommendations)</t>
  </si>
  <si>
    <t>Progressive Association Management</t>
  </si>
  <si>
    <t>2026 - (Oct/Dec) Vista Pointe Ridge - (2026 Trimming Recs) (CO 24923)</t>
  </si>
  <si>
    <t>2026 - (OCT/DEC) The Groves Homeowners Inc. - (Area 19, Pine trimming) CO 24921</t>
  </si>
  <si>
    <t>2026 - (Oct/Dec) Bayport Jeronimo Assoc., LP (52) - (3 Year Plan) Revised</t>
  </si>
  <si>
    <t>NEED CO 2026 - Yorba Linda Knolls - (Removals ID 11, 25)</t>
  </si>
  <si>
    <t>2026 - (Aug/Sep) Executive Guild El Toro - (3 Year Treatment Plan)</t>
  </si>
  <si>
    <t>(S) 2026 - (APR/JUN) Le St. Tropez HOA - (Revised WO XN1407636 3 Year Plan) (CO 24925)</t>
  </si>
  <si>
    <t>ON HOLD == 2026 - Beacon Park Elementary (Trimming)</t>
  </si>
  <si>
    <t>2026 (Jul/Aug) - Culver Plaza (Summer Trimming: Central Irvine)</t>
  </si>
  <si>
    <t>(S) 2026 - (Aug) Canyon View Estates Community - (Revised 3 Year Plan) (CO 24917)</t>
  </si>
  <si>
    <t>NOT FULL DAY 2026 (Aug/Sept) Walden Community - (3 Year Plan)</t>
  </si>
  <si>
    <t>2026 - (AUG/SEP) Camden Square - (Palm Trimming)</t>
  </si>
  <si>
    <t>POST 2026 - (JUL/SEP) Pacific Shores HOA - (Revised 3 Year Plan) CO 24507</t>
  </si>
  <si>
    <t>2026 - (Oct/Dec) Executive Guild El Toro - (3 Year Plan)</t>
  </si>
  <si>
    <t>2026 - (Aug/Sep) Parkside Property OA - (3 Year Plan)</t>
  </si>
  <si>
    <t>2026 - (Apr/Jun) Parkside Property OA - (WO XN6818970</t>
  </si>
  <si>
    <t>2026 - (Aug/Sep) Armstrong Ranch (ARA) - (Revised 26/27 Recommendations)</t>
  </si>
  <si>
    <t>2026 - (Apr/Jun) Executive Guild El Toro - (3 Year Treatment Plan)</t>
  </si>
  <si>
    <t>2026 - (Removals) Armstrong Ranch (ARA) - (Revised 26/27 Recommendations)</t>
  </si>
  <si>
    <t>2026 - Bayport Jeronimo Assoc., LP (52) - (2026 Removals) Revised</t>
  </si>
  <si>
    <t>2026 - Silverstone HOA - (Removal ID 43 &amp; 63)</t>
  </si>
  <si>
    <t>COMMERCIAL 07/15/2026</t>
  </si>
  <si>
    <t>MUNICIPAL 07/15/2026</t>
  </si>
  <si>
    <t>TOTAL    07/15/2026</t>
  </si>
  <si>
    <t>COMMERCIAL 7/17/2025</t>
  </si>
  <si>
    <t>(N) 2026 - (OCT/DEC) Lakewood Shores HOA - (3 Year Plan) (CO 24922)</t>
  </si>
  <si>
    <t>5%? (S) 2026/27 - (OCT/JAN) Vista de Oro Homeowners Association - (3 Year Plan)CO 24946</t>
  </si>
  <si>
    <t>% 2027 - (APR/JUN) Laguna Audubon 1 - (3 Year Plan) (CO 24533)</t>
  </si>
  <si>
    <t>2026 - Marinita Townhomes Association - (Removal ID 75)</t>
  </si>
  <si>
    <t>2026 - Marinita Townhomes Assoc - (Rhaphiolepis Trimming, Arborist Recs)</t>
  </si>
  <si>
    <t>2026 - Laguna Woods HOA - (Revised 2026 Removals Recs)</t>
  </si>
  <si>
    <t>2026 - (S) 2026 - (Oct/Dec) Canyon Point Maintenance Corp. - (3 Year Plan) (CO 24948)</t>
  </si>
  <si>
    <t>2026 - (Removal) Montilla at Oak Creek - (WO 12605-2037; ID 16)</t>
  </si>
  <si>
    <t>2026 - (Aug/Sep) Canyon View Maintenance-(3 Year Trimming Plan) CO 24936</t>
  </si>
  <si>
    <t>% 2027 - (Aug/Sep) Canyon View Maintenance-(3 Year Trimming Plan) CO 24937</t>
  </si>
  <si>
    <t>% (S) 2027 - (Oct/Dec) Canyon Point Maintenance Corp. - (3 Year Plan) (CO 24950)</t>
  </si>
  <si>
    <t>% (S) 2027 - (Apr/Jun) Canyon Point Maintenance Corp. - (3 Year Plan) (CO 24949)</t>
  </si>
  <si>
    <t>2026 - Tustin Ranch Community Association II - (2026 Oct/Dec Approved Work)</t>
  </si>
  <si>
    <t>2026 - (AUG/SEP) The Laurel Condominium Association (4 Year Plan) (CO 24737)</t>
  </si>
  <si>
    <t>2026 (Oct/Jan) CO 24591 Lantern Bay Estates-(Revised 3 Year Plan) (CO 24939)</t>
  </si>
  <si>
    <t>%? (S) 2028 - (OCT/DEC) Willow Glen Serrano HOA - (4 Year Plan)</t>
  </si>
  <si>
    <t>%? (S) 2028 - (JUNE) Willow Glen Serrano HOA - (4 Year Plan)</t>
  </si>
  <si>
    <t>% 2027 - (AUG/SEP) The Laurel Condominium Association (4 Year Plan) CO (24738)</t>
  </si>
  <si>
    <t>% (S) 2027 - (JUNE) Willow Glen Serrano HOA - (4 Year Plan) (CO 24717)</t>
  </si>
  <si>
    <t>2026 - (JULY) Irvine Spectrum Center - (Palm Trimming)</t>
  </si>
  <si>
    <t>2026 - Bonita Canyon Elementary (Trimming)</t>
  </si>
  <si>
    <t>2026 - Alderwood Elementary (Trimming)</t>
  </si>
  <si>
    <t>2026 - Marbella Maintenance Corp. (MAR) - (WO 1349069)</t>
  </si>
  <si>
    <t>2026 - (July) Marbella Maintenance Corp. (MAR) - (SLR ID 22)</t>
  </si>
  <si>
    <t>2026 - (Oct/Dec) Ravello Maintenance Corporation - (3 Year Plan) (CO 24938)</t>
  </si>
  <si>
    <t>2026 - Colony Commerce Center - (2026 Removals)</t>
  </si>
  <si>
    <t>Buena Park School District</t>
  </si>
  <si>
    <t>2026 - (July) Buena Park School District Office - (26/27 Recommendations)</t>
  </si>
  <si>
    <t>2026 - (July) Buena Park Junior High School - (Revised 26/27 Trimming Recs)</t>
  </si>
  <si>
    <t>2026 - (JUL/SEP) St. Laurent at Newport Ridge - (Skipped Tree due to Squirrel Nest)</t>
  </si>
  <si>
    <t>2026 - (JAN/MAR) Cortile Maintenance Association - (WO 89957, Trimming)</t>
  </si>
  <si>
    <t>COMMERCIAL 07/22/2026</t>
  </si>
  <si>
    <t>MUNICIPAL 07/22/2026</t>
  </si>
  <si>
    <t>TOTAL    07/22/2026</t>
  </si>
  <si>
    <t>COMMERCIAL 7/24/2025</t>
  </si>
  <si>
    <t>COMMERCIAL 07/25/2024</t>
  </si>
  <si>
    <t>MUNICIPAL  07/11/2024</t>
  </si>
  <si>
    <t>2029 - (Apr/Jun) La Vista At Laguna Niguel - (3 Year Plan)</t>
  </si>
  <si>
    <t>% 2028 - MALL(OCT/DEC) Bella Terra Mall (3 Year Plan)</t>
  </si>
  <si>
    <t>% 2028 - PARK(OCT/DEC) Bella Terra Park (3 Year Plan)</t>
  </si>
  <si>
    <t>% 2028 - PAD(OCT/DEC) Bella Terra Pad (3 Year Plan)</t>
  </si>
  <si>
    <t>2028 - MALL(OCT/DEC) Bella Terra Mall - (3 Year Treatment Plan)Discounted</t>
  </si>
  <si>
    <t>2028 - PAD(OCT/DEC) Bella Terra Pad - (3 Year Treatment Plan)Revised</t>
  </si>
  <si>
    <t>2028 - PARK(OCT/DEC) Bella Terra Park - (3 Year Treatment Plan)</t>
  </si>
  <si>
    <t>% 2028 - MALL(APR/JUN) Bella Terra Mall (3 Year Plan)</t>
  </si>
  <si>
    <t>2028 - (Apr/Jun) La Vista At Laguna Niguel - (3 Year Plan)</t>
  </si>
  <si>
    <t>% 2028 - PARK(APR/JUN) Bella Terra Park (3 Year Plan)</t>
  </si>
  <si>
    <t>% 2028 - PAD(APR/JUN) Bella Terra Pad (3 Year Plan)</t>
  </si>
  <si>
    <t>2028 - PAD(APR/JUN) Bella Terra Pad - (3 Year Treatment Plan) Revised</t>
  </si>
  <si>
    <t>2028 - MALL(APR/JUN) Bella Terra Mall Treatment Bid- Discount</t>
  </si>
  <si>
    <t>2028 - PARK(APR/JUN) Bella Terra Park - (3 Year Treatment Plan)</t>
  </si>
  <si>
    <t>% (N) 2028 - (JAN/APR) Lakewood Shores HOA - (3 Year Plan) (CO 24623)</t>
  </si>
  <si>
    <t>% 2028 - (JAN/MAR) Del Prado HOA (Tract 8965) - (3 Year Plan) (CO 24955)</t>
  </si>
  <si>
    <t>% (S) 2027 - (OCT/DEC) Montara Neighborhood Association - (3 Year Plan) (CO 24958)</t>
  </si>
  <si>
    <t>% (N) 2027 - (OCT/DEC) Lakewood Shores HOA - (3 Year Plan) (CO 24527)</t>
  </si>
  <si>
    <t>2027 - MALL(OCT/DEC) Bella Terra Mall - (3 Year Treatment Plan)Discounted</t>
  </si>
  <si>
    <t>2027 - PAD(OCT/DEC) Bella Terra Pad - (3 Year Treatment Plan)Revised</t>
  </si>
  <si>
    <t>% 2027 - MALL(OCT/DEC) Bella Terra Mall (3 Year Plan)</t>
  </si>
  <si>
    <t>2027 - PARK(OCT/DEC) Bella Terra Park - (3 Year Treatment Plan)</t>
  </si>
  <si>
    <t>% 2027 - PARK(OCT/DEC) Bella Terra Park (3 Year Plan)</t>
  </si>
  <si>
    <t>% 2027 - PAD(OCT/DEC) Bella Terra Pad (3 Year Plan)</t>
  </si>
  <si>
    <t>(N) 2027 - (AUG/SEP) CalMat Business Center - (3 Year Plan) (CO 24953)</t>
  </si>
  <si>
    <t>2027 - (Apr/Jun) La Vista At Laguna Niguel - (3 Year Plan)</t>
  </si>
  <si>
    <t>2027 - Crystal Cove Shopping Center (Coastal) - (Approved 26/27 Olive Trimming)</t>
  </si>
  <si>
    <t>% (N) 2027 - (MAY/JUL) Lakewood Shores HOA - (3 Year Plan) (CO 24528)</t>
  </si>
  <si>
    <t>2027 - Newport Coast Shopping Center (Coastal) -(Approved 26/27 Olive Trimming)</t>
  </si>
  <si>
    <t>2027 - The Bluffs Shopping Center (Coastal) - (Approved 26/27 Olive Trimming)</t>
  </si>
  <si>
    <t>2027 - Corona Del Mar Plaza - (Approved 26/27 Olive Trimming)</t>
  </si>
  <si>
    <t>% 2027 - MALL(APR/JUN) Bella Terra Mall (3 Year Plan)</t>
  </si>
  <si>
    <t>% (N) 2027 - (Apr/Jun) The Groves Homeowners Inc. - (Revised 3 Year Plan) (CO 24960)</t>
  </si>
  <si>
    <t>% 2027 - PARK(APR/JUN) Bella Terra Park (3 Year Plan)</t>
  </si>
  <si>
    <t>% 2027 - PAD(APR/JUN) Bella Terra Pad (3 Year Plan)</t>
  </si>
  <si>
    <t>2027 - PAD(APR/JUN) Bella Terra Pad - (3 Year Treatment Plan)Revised</t>
  </si>
  <si>
    <t>2027 - MALL(APR/JUN) Bella Terra Mall Treatment Bid- Discount</t>
  </si>
  <si>
    <t>2027 - PARK(APR/JUN) Bella Terra Park - (3 Year Treatment Plan)</t>
  </si>
  <si>
    <t>2026 - Quail Hill Shopping Center (Spectrum) - (Approved 26/27 Olive Trimming)</t>
  </si>
  <si>
    <t>Crossroads (Central Irvine) - (Olive Trimming: Central Irvine)</t>
  </si>
  <si>
    <t>% 2027 (JanMar) Evergreen at Rise - (Revised 3 Year Plan)</t>
  </si>
  <si>
    <t>2026 - MALL(OCT/DEC) Bella Terra Mall (3 Year Plan)</t>
  </si>
  <si>
    <t>2026 - PARK(OCT/DEC) Bella Terra Park (3 Year Plan)</t>
  </si>
  <si>
    <t>2026 - PAD(OCT/DEC) Bella Terra Pad (3 Year Plan)</t>
  </si>
  <si>
    <t>2026 - (Nov) Santa Margarita Town Center - (2026 Recommendations)</t>
  </si>
  <si>
    <t>(S) 2026 - (OCT/DEC) Montara Neighborhood Association - (3 Year Plan) (CO 24959)</t>
  </si>
  <si>
    <t>2026 - (Nov/Dec Quarter 4 Treatment $0 Go-Ahead)Pullman Associates (65) - (Approved Olive Treatment Quarter 3 &amp;4)</t>
  </si>
  <si>
    <t>2026 - Pacific Ranch HOA - (Missed Elm due to Birds Nest)</t>
  </si>
  <si>
    <t>2026 - Terra Linda Estates HOA - (2 XLRG Peppers missed by Birds Nest)</t>
  </si>
  <si>
    <t>2026 - (OCT/DEC &amp; Removals) Somerset Cottages I (SCO1) - (Revised 2026 Recs)</t>
  </si>
  <si>
    <t>2026 - MALL(OCT/DEC) Bella Terra Mall - (3 Year Treatment Plan)Discounted</t>
  </si>
  <si>
    <t>2026 - PAD(OCT/DEC) Bella Terra Pad - (3 Year Treatment Plan)Revised</t>
  </si>
  <si>
    <t>2026 - PARK(OCT/DEC) Bella Terra Park - (3 Year Treatment Plan)</t>
  </si>
  <si>
    <t>(S) 2026 - (Oct/Dec) Azelea Neighborhood Association - (3 Year Plan) (CO 24956)</t>
  </si>
  <si>
    <t>2026 - (Aug/Sep Quarter 3 Treatment $0 Go-Ahead) Pullman Associates (65) - (Approved Olive Treatment Quarter 3 &amp;4)</t>
  </si>
  <si>
    <t>2026 - (Aug/Oct)Tustin Ranch Plaza - (2026 Recommendations)</t>
  </si>
  <si>
    <t>2027 (Apr/Jun) Alton Square (Olive Trimming: Central Irvine)</t>
  </si>
  <si>
    <t>2026 (Jul/Aug) - Parkview Center (Olive Trimming: Central Irvine)</t>
  </si>
  <si>
    <t>2026 (Jul/Aug) - Crossroads (CI Palm Trimming: Central Irvine)CO 24941</t>
  </si>
  <si>
    <t>2026 Palms Only (July/Aug) - The Bluffs (Summer Trimming: Coastal)CO 24944</t>
  </si>
  <si>
    <t>2026 (Jul/Aug) - Quail Hill Center (Summer Trimming: Spectrum)CO 24943</t>
  </si>
  <si>
    <t>not full day 2026 Palms Only (Jul/Aug) - Crystal Cove (Summer Trimming: Coastal)CO 24934</t>
  </si>
  <si>
    <t>Newport North (Olive Trimming: Coastal)</t>
  </si>
  <si>
    <t>Bayside Center (Olive Trimming: Coastal)</t>
  </si>
  <si>
    <t>2026 - Santa Barbara HOA - (Removal ID 27)</t>
  </si>
  <si>
    <t>2026 (Jul/Aug) Palms Only - Corona Del Mar Plaza (Summer Trimming: Coastal)CO 24940</t>
  </si>
  <si>
    <t>2026 (Removals) - CSULB (Eucalyptus and Pine Removals)</t>
  </si>
  <si>
    <t>2026 Palms Only (Jul/Aug) - Newport Coast (Summer Trimming: Coastal)CO 24942</t>
  </si>
  <si>
    <t>2026 - (Aug/Sep and Removals) Tijeras Creek Villas Maintenance Corp - ( 2026 Recommendations)</t>
  </si>
  <si>
    <t>2026 - (Aug/Oct) Santa Margarita Town Center - (2026 Recommendations)</t>
  </si>
  <si>
    <t>2026 - Pacific Ridge HOA - (Revised Removal ID 297)</t>
  </si>
  <si>
    <t>Post/3MAN/No parking 2026 - Villa Point Condominium Association - (2026 Recs)</t>
  </si>
  <si>
    <t>2026 - (Jul/Sep and Removals) 11721 Yeager Ave - (2026 Recommendations)</t>
  </si>
  <si>
    <t>SCLM</t>
  </si>
  <si>
    <t>2026 - Harbor Cove HOA - (WO 4700-1, 25/26 Removals)</t>
  </si>
  <si>
    <t>Coastal Management &amp; Consulting</t>
  </si>
  <si>
    <t>2026 - PARK(APR/JUN) Bella Terra Park - (3 Year Treatment Plan)</t>
  </si>
  <si>
    <t>2026 - PAD(APR/JUN) Bella Terra Pad - (3 Year Treatment Plan) Revised</t>
  </si>
  <si>
    <t>2026 - MALL(APR/JUN) Bella Terra Mall Treatment Bid- Discount</t>
  </si>
  <si>
    <t>POST 2026 - (Aug/Sep) Village Grove HOA - (3 Year Plan) (CO 24961)</t>
  </si>
  <si>
    <t>(N) 2026 - (AUG/SEP) CalMat Business Center - (3 Year Plan) (CO 24952)</t>
  </si>
  <si>
    <t>2026 - PARK(APR/JUN) Bella Terra Park - (Sounding Bid) Revised</t>
  </si>
  <si>
    <t>2026 - PARK(APR/JUN) Bella Terra Park - (Pineappling Bid) Revised</t>
  </si>
  <si>
    <t>2026 - PARK(APR/JUN) Bella Terra Park (3 Year Plan)</t>
  </si>
  <si>
    <t>2026 - PAD(APR/JUN) Bella Terra Pad (3 Year Plan)</t>
  </si>
  <si>
    <t>2026 - PAD(APR/JUN) Bella Terra Pad - (Sounding Bid) Revised</t>
  </si>
  <si>
    <t>2026 - PAD(APR/JUN) Bella Terra Pad - (Pineappling Bid) Revised</t>
  </si>
  <si>
    <t>2026 - MALL(APR/JUN) Bella Terra Mall - (Sounding Bid) Revised</t>
  </si>
  <si>
    <t>2026 - MALL(APR/JUN) Bella Terra Mall - (Pineappling Bid) Revised</t>
  </si>
  <si>
    <t>2026 - (Apr/Jun) Bayport Jeronimo Assoc., LP (52) - (Eucalyptus Treatment)</t>
  </si>
  <si>
    <t>2026 - Removal at Bonito Canyon Elementary</t>
  </si>
  <si>
    <t>2026 - MALL(APR/JUN) Bella Terra Mall (3 Year Plan)</t>
  </si>
  <si>
    <t>2025 - Emergency / Crew Rental Work Order</t>
  </si>
  <si>
    <t>NEED CO 2026 - (AugSep) Casitas Californias Townhouses Association - (3 Year Plan) CO 24454</t>
  </si>
  <si>
    <t>Hold Billing 2026 - Whitaker Elementary School -(Additional Trees)</t>
  </si>
  <si>
    <t>2026 - (Jan/Mar) TREATMENT] (S) 2026 - (APR/JUN) Laguna Altura - (Revised 2026 Various Treatments)CO 24912</t>
  </si>
  <si>
    <t>COMMERCIAL 7/31/2025</t>
  </si>
  <si>
    <t>COMMERCIAL 08/01/2024</t>
  </si>
  <si>
    <t>COMMERCIAL 07/30/2026</t>
  </si>
  <si>
    <t>MUNICIPAL 07/30/2026</t>
  </si>
  <si>
    <t>TOTAL    07/30/2026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</si>
</sst>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164" fontId="0" fillId="0" borderId="1" xfId="0" applyNumberFormat="1" applyBorder="1"/>
    <xf numFmtId="164" fontId="1" fillId="3" borderId="1" xfId="0" applyNumberFormat="1" applyFont="1" applyFill="1" applyBorder="1"/>
    <xf numFmtId="164" fontId="0" fillId="4" borderId="1" xfId="0" applyNumberFormat="1" applyFill="1" applyBorder="1"/>
    <xf numFmtId="0" fontId="0" fillId="0" borderId="1" xfId="0" applyBorder="1"/>
    <xf numFmtId="0" fontId="0" fillId="4" borderId="1" xfId="0" applyFill="1" applyBorder="1"/>
    <xf numFmtId="0" fontId="1" fillId="3" borderId="1" xfId="0" applyFont="1" applyFill="1" applyBorder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4" borderId="1" xfId="0" applyNumberFormat="1" applyFont="1" applyFill="1" applyBorder="1"/>
    <xf numFmtId="164" fontId="3" fillId="0" borderId="1" xfId="0" applyNumberFormat="1" applyFont="1" applyBorder="1"/>
    <xf numFmtId="164" fontId="2" fillId="3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64" fontId="4" fillId="4" borderId="1" xfId="0" applyNumberFormat="1" applyFont="1" applyFill="1" applyBorder="1"/>
    <xf numFmtId="164" fontId="4" fillId="0" borderId="1" xfId="0" applyNumberFormat="1" applyFont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4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%20Report_2026%20Completed%20+%20Scheduled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Beller" refreshedDate="45511.668569212961" createdVersion="8" refreshedVersion="8" minRefreshableVersion="3" recordCount="723" xr:uid="{7666AAD9-86B5-4566-AC95-F1E5EFFA0FF9}">
  <cacheSource type="worksheet">
    <worksheetSource ref="A1:L1048576" sheet="Data"/>
  </cacheSource>
  <cacheFields count="15">
    <cacheField name="Company" numFmtId="0">
      <sharedItems containsBlank="1"/>
    </cacheField>
    <cacheField name="Project" numFmtId="0">
      <sharedItems containsBlank="1"/>
    </cacheField>
    <cacheField name="City" numFmtId="0">
      <sharedItems containsBlank="1"/>
    </cacheField>
    <cacheField name="GoAhead" numFmtId="0">
      <sharedItems containsNonDate="0" containsDate="1" containsString="0" containsBlank="1" minDate="2022-06-23T00:00:00" maxDate="2024-08-08T00:00:00"/>
    </cacheField>
    <cacheField name="Notified" numFmtId="0">
      <sharedItems containsNonDate="0" containsDate="1" containsString="0" containsBlank="1" minDate="2023-05-25T00:00:00" maxDate="2024-08-08T00:00:00"/>
    </cacheField>
    <cacheField name="Start" numFmtId="0">
      <sharedItems containsNonDate="0" containsDate="1" containsString="0" containsBlank="1" minDate="2022-06-25T00:00:00" maxDate="2026-11-11T00:00:00"/>
    </cacheField>
    <cacheField name="End" numFmtId="0">
      <sharedItems containsNonDate="0" containsDate="1" containsString="0" containsBlank="1" minDate="2024-07-08T00:00:00" maxDate="2026-11-11T00:00:00" count="267">
        <d v="2024-08-02T00:00:00"/>
        <d v="2024-08-03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7T00:00:00"/>
        <d v="2024-08-19T00:00:00"/>
        <d v="2024-08-20T00:00:00"/>
        <d v="2024-08-21T00:00:00"/>
        <d v="2024-08-22T00:00:00"/>
        <d v="2024-08-23T00:00:00"/>
        <d v="2024-08-24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8T00:00:00"/>
        <d v="2024-09-19T00:00:00"/>
        <d v="2024-09-20T00:00:00"/>
        <d v="2024-09-30T00:00:00"/>
        <d v="2024-10-01T00:00:00"/>
        <d v="2024-10-02T00:00:00"/>
        <d v="2024-10-03T00:00:00"/>
        <d v="2024-10-04T00:00:00"/>
        <d v="2024-10-05T00:00:00"/>
        <d v="2024-10-07T00:00:00"/>
        <d v="2024-10-09T00:00:00"/>
        <d v="2024-10-10T00:00:00"/>
        <d v="2024-10-11T00:00:00"/>
        <d v="2024-10-12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2T00:00:00"/>
        <d v="2024-11-14T00:00:00"/>
        <d v="2024-11-20T00:00:00"/>
        <d v="2024-11-22T00:00:00"/>
        <d v="2024-11-25T00:00:00"/>
        <d v="2024-11-28T00:00:00"/>
        <d v="2024-11-29T00:00:00"/>
        <d v="2024-12-02T00:00:00"/>
        <d v="2024-12-05T00:00:00"/>
        <d v="2024-12-06T00:00:00"/>
        <d v="2024-12-09T00:00:00"/>
        <d v="2024-12-23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5T00:00:00"/>
        <d v="2025-01-16T00:00:00"/>
        <d v="2025-01-17T00:00:00"/>
        <d v="2025-01-21T00:00:00"/>
        <d v="2025-01-22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7T00:00:00"/>
        <d v="2025-02-12T00:00:00"/>
        <d v="2025-02-21T00:00:00"/>
        <d v="2025-02-27T00:00:00"/>
        <d v="2025-03-03T00:00:00"/>
        <d v="2025-03-04T00:00:00"/>
        <d v="2025-03-07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6T00:00:00"/>
        <d v="2025-04-17T00:00:00"/>
        <d v="2025-04-18T00:00:00"/>
        <d v="2025-04-21T00:00:00"/>
        <d v="2025-04-24T00:00:00"/>
        <d v="2025-04-25T00:00:00"/>
        <d v="2025-04-26T00:00:00"/>
        <d v="2025-04-28T00:00:00"/>
        <d v="2025-04-29T00:00:00"/>
        <d v="2025-04-30T00:00:00"/>
        <d v="2025-05-14T00:00:00"/>
        <d v="2025-05-20T00:00:00"/>
        <d v="2025-06-02T00:00:00"/>
        <d v="2025-06-03T00:00:00"/>
        <d v="2025-06-06T00:00:00"/>
        <d v="2025-06-17T00:00:00"/>
        <d v="2025-06-27T00:00:00"/>
        <d v="2025-06-30T00:00:00"/>
        <d v="2025-07-01T00:00:00"/>
        <d v="2025-07-02T00:00:00"/>
        <d v="2025-07-03T00:00:00"/>
        <d v="2025-07-08T00:00:00"/>
        <d v="2025-07-17T00:00:00"/>
        <d v="2025-07-18T00:00:00"/>
        <d v="2025-07-25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25T00:00:00"/>
        <d v="2025-09-02T00:00:00"/>
        <d v="2025-09-04T00:00:00"/>
        <d v="2025-09-09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4T00:00:00"/>
        <d v="2025-10-27T00:00:00"/>
        <d v="2025-10-29T00:00:00"/>
        <d v="2025-10-30T00:00:00"/>
        <d v="2025-10-31T00:00:00"/>
        <d v="2025-11-15T00:00:00"/>
        <d v="2025-11-18T00:00:00"/>
        <d v="2025-12-04T00:00:00"/>
        <d v="2025-12-08T00:00:00"/>
        <d v="2026-01-01T00:00:00"/>
        <d v="2026-01-05T00:00:00"/>
        <d v="2026-01-06T00:00:00"/>
        <d v="2026-01-08T00:00:00"/>
        <d v="2026-01-09T00:00:00"/>
        <d v="2026-01-12T00:00:00"/>
        <d v="2026-01-14T00:00:00"/>
        <d v="2026-01-15T00:00:00"/>
        <d v="2026-01-16T00:00:00"/>
        <d v="2026-01-20T00:00:00"/>
        <d v="2026-01-21T00:00:00"/>
        <d v="2026-01-28T00:00:00"/>
        <d v="2026-01-30T00:00:00"/>
        <d v="2026-02-11T00:00:00"/>
        <d v="2026-03-02T00:00:00"/>
        <d v="2026-03-03T00:00:00"/>
        <d v="2026-03-04T00:00:00"/>
        <d v="2026-03-05T00:00:00"/>
        <d v="2026-04-01T00:00:00"/>
        <d v="2026-04-02T00:00:00"/>
        <d v="2026-04-03T00:00:00"/>
        <d v="2026-04-04T00:00:00"/>
        <d v="2026-04-06T00:00:00"/>
        <d v="2026-04-08T00:00:00"/>
        <d v="2026-04-09T00:00:00"/>
        <d v="2026-04-10T00:00:00"/>
        <d v="2026-04-13T00:00:00"/>
        <d v="2026-04-14T00:00:00"/>
        <d v="2026-04-16T00:00:00"/>
        <d v="2026-04-17T00:00:00"/>
        <d v="2026-04-20T00:00:00"/>
        <d v="2026-04-23T00:00:00"/>
        <d v="2026-04-24T00:00:00"/>
        <d v="2026-04-28T00:00:00"/>
        <d v="2026-04-30T00:00:00"/>
        <d v="2026-06-11T00:00:00"/>
        <d v="2026-07-07T00:00:00"/>
        <d v="2026-07-08T00:00:00"/>
        <d v="2026-07-09T00:00:00"/>
        <d v="2026-07-22T00:00:00"/>
        <d v="2026-07-27T00:00:00"/>
        <d v="2026-08-03T00:00:00"/>
        <d v="2026-08-04T00:00:00"/>
        <d v="2026-08-05T00:00:00"/>
        <d v="2026-08-07T00:00:00"/>
        <d v="2026-08-08T00:00:00"/>
        <d v="2026-08-10T00:00:00"/>
        <d v="2026-08-11T00:00:00"/>
        <d v="2026-08-13T00:00:00"/>
        <d v="2026-10-01T00:00:00"/>
        <d v="2026-10-05T00:00:00"/>
        <d v="2026-10-06T00:00:00"/>
        <d v="2026-10-07T00:00:00"/>
        <d v="2026-10-08T00:00:00"/>
        <d v="2026-10-09T00:00:00"/>
        <d v="2026-10-12T00:00:00"/>
        <d v="2026-10-14T00:00:00"/>
        <d v="2026-10-15T00:00:00"/>
        <d v="2026-10-16T00:00:00"/>
        <d v="2026-10-19T00:00:00"/>
        <d v="2026-10-27T00:00:00"/>
        <d v="2026-11-10T00:00:00"/>
        <m/>
        <d v="2024-07-08T00:00:00" u="1"/>
        <d v="2024-07-10T00:00:00" u="1"/>
        <d v="2024-07-11T00:00:00" u="1"/>
        <d v="2024-07-30T00:00:00" u="1"/>
        <d v="2024-07-24T00:00:00" u="1"/>
        <d v="2024-07-23T00:00:00" u="1"/>
        <d v="2024-07-17T00:00:00" u="1"/>
        <d v="2024-07-15T00:00:00" u="1"/>
      </sharedItems>
      <fieldGroup par="14"/>
    </cacheField>
    <cacheField name="EstValue" numFmtId="0">
      <sharedItems containsString="0" containsBlank="1" containsNumber="1" containsInteger="1" minValue="0" maxValue="214896"/>
    </cacheField>
    <cacheField name="TPH" numFmtId="0">
      <sharedItems containsString="0" containsBlank="1" containsNumber="1" minValue="0" maxValue="812.71"/>
    </cacheField>
    <cacheField name="Rep" numFmtId="0">
      <sharedItems containsBlank="1" count="7">
        <s v="SG"/>
        <s v="CM"/>
        <s v="GC"/>
        <s v="TH"/>
        <s v="JI"/>
        <m/>
        <s v="NN" u="1"/>
      </sharedItems>
    </cacheField>
    <cacheField name="R" numFmtId="0">
      <sharedItems containsBlank="1"/>
    </cacheField>
    <cacheField name="Map" numFmtId="0">
      <sharedItems containsBlank="1"/>
    </cacheField>
    <cacheField name="Months (End)" numFmtId="0" databaseField="0">
      <fieldGroup base="6">
        <rangePr groupBy="months" startDate="2024-08-02T00:00:00" endDate="2026-11-11T00:00:00"/>
        <groupItems count="14">
          <s v="&lt;8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1/2026"/>
        </groupItems>
      </fieldGroup>
    </cacheField>
    <cacheField name="Quarters (End)" numFmtId="0" databaseField="0">
      <fieldGroup base="6">
        <rangePr groupBy="quarters" startDate="2024-08-02T00:00:00" endDate="2026-11-11T00:00:00"/>
        <groupItems count="6">
          <s v="&lt;8/2/2024"/>
          <s v="Qtr1"/>
          <s v="Qtr2"/>
          <s v="Qtr3"/>
          <s v="Qtr4"/>
          <s v="&gt;11/11/2026"/>
        </groupItems>
      </fieldGroup>
    </cacheField>
    <cacheField name="Years (End)" numFmtId="0" databaseField="0">
      <fieldGroup base="6">
        <rangePr groupBy="years" startDate="2024-08-02T00:00:00" endDate="2026-11-11T00:00:00"/>
        <groupItems count="5">
          <s v="&lt;8/2/2024"/>
          <s v="2024"/>
          <s v="2025"/>
          <s v="2026"/>
          <s v="&gt;11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Perkins" refreshedDate="46232.650432407405" createdVersion="8" refreshedVersion="8" minRefreshableVersion="3" recordCount="519" xr:uid="{CA6CEB5A-18A3-40F8-93AF-8CC283E6D82D}">
  <cacheSource type="worksheet">
    <worksheetSource ref="A1:L520" sheet="Schedule Board" r:id="rId2"/>
  </cacheSource>
  <cacheFields count="15">
    <cacheField name="Company" numFmtId="0">
      <sharedItems/>
    </cacheField>
    <cacheField name="Project" numFmtId="0">
      <sharedItems/>
    </cacheField>
    <cacheField name="City" numFmtId="0">
      <sharedItems/>
    </cacheField>
    <cacheField name="GoAhead" numFmtId="14">
      <sharedItems containsSemiMixedTypes="0" containsNonDate="0" containsDate="1" containsString="0" minDate="2024-04-23T00:00:00" maxDate="2026-07-29T00:00:00"/>
    </cacheField>
    <cacheField name="Notified" numFmtId="0">
      <sharedItems containsNonDate="0" containsDate="1" containsString="0" containsBlank="1" minDate="2024-12-20T00:00:00" maxDate="2026-07-30T00:00:00"/>
    </cacheField>
    <cacheField name="Start" numFmtId="14">
      <sharedItems containsSemiMixedTypes="0" containsNonDate="0" containsDate="1" containsString="0" minDate="2025-10-27T00:00:00" maxDate="2029-11-02T00:00:00"/>
    </cacheField>
    <cacheField name="End" numFmtId="14">
      <sharedItems containsSemiMixedTypes="0" containsNonDate="0" containsDate="1" containsString="0" minDate="2026-07-23T00:00:00" maxDate="2029-11-02T00:00:00" count="218">
        <d v="2026-07-23T00:00:00"/>
        <d v="2026-07-24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8T00:00:00"/>
        <d v="2026-09-01T00:00:00"/>
        <d v="2026-09-04T00:00:00"/>
        <d v="2026-09-11T00:00:00"/>
        <d v="2026-09-16T00:00:00"/>
        <d v="2026-09-18T00:00:00"/>
        <d v="2026-09-25T00:00:00"/>
        <d v="2026-09-30T00:00:00"/>
        <d v="2026-10-01T00:00:00"/>
        <d v="2026-10-02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9T00:00:00"/>
        <d v="2026-10-20T00:00:00"/>
        <d v="2026-10-22T00:00:00"/>
        <d v="2026-10-23T00:00:00"/>
        <d v="2026-10-26T00:00:00"/>
        <d v="2026-10-27T00:00:00"/>
        <d v="2026-10-28T00:00:00"/>
        <d v="2026-10-30T00:00:00"/>
        <d v="2026-11-03T00:00:00"/>
        <d v="2026-11-04T00:00:00"/>
        <d v="2026-11-05T00:00:00"/>
        <d v="2026-11-06T00:00:00"/>
        <d v="2026-11-07T00:00:00"/>
        <d v="2026-11-09T00:00:00"/>
        <d v="2026-11-10T00:00:00"/>
        <d v="2026-11-11T00:00:00"/>
        <d v="2026-11-12T00:00:00"/>
        <d v="2026-11-13T00:00:00"/>
        <d v="2026-11-16T00:00:00"/>
        <d v="2026-11-17T00:00:00"/>
        <d v="2026-11-18T00:00:00"/>
        <d v="2026-11-20T00:00:00"/>
        <d v="2026-12-04T00:00:00"/>
        <d v="2026-12-18T00:00:00"/>
        <d v="2027-01-01T00:00:00"/>
        <d v="2027-01-04T00:00:00"/>
        <d v="2027-01-05T00:00:00"/>
        <d v="2027-01-06T00:00:00"/>
        <d v="2027-01-08T00:00:00"/>
        <d v="2027-01-11T00:00:00"/>
        <d v="2027-01-12T00:00:00"/>
        <d v="2027-01-15T00:00:00"/>
        <d v="2027-01-18T00:00:00"/>
        <d v="2027-01-20T00:00:00"/>
        <d v="2027-01-22T00:00:00"/>
        <d v="2027-01-25T00:00:00"/>
        <d v="2027-01-26T00:00:00"/>
        <d v="2027-01-28T00:00:00"/>
        <d v="2027-01-29T00:00:00"/>
        <d v="2027-02-01T00:00:00"/>
        <d v="2027-02-03T00:00:00"/>
        <d v="2027-02-04T00:00:00"/>
        <d v="2027-02-05T00:00:00"/>
        <d v="2027-02-06T00:00:00"/>
        <d v="2027-02-08T00:00:00"/>
        <d v="2027-02-18T00:00:00"/>
        <d v="2027-03-02T00:00:00"/>
        <d v="2027-04-01T00:00:00"/>
        <d v="2027-04-02T00:00:00"/>
        <d v="2027-04-05T00:00:00"/>
        <d v="2027-04-06T00:00:00"/>
        <d v="2027-04-07T00:00:00"/>
        <d v="2027-04-08T00:00:00"/>
        <d v="2027-04-09T00:00:00"/>
        <d v="2027-04-12T00:00:00"/>
        <d v="2027-04-13T00:00:00"/>
        <d v="2027-04-14T00:00:00"/>
        <d v="2027-04-15T00:00:00"/>
        <d v="2027-04-16T00:00:00"/>
        <d v="2027-04-19T00:00:00"/>
        <d v="2027-04-20T00:00:00"/>
        <d v="2027-04-21T00:00:00"/>
        <d v="2027-04-22T00:00:00"/>
        <d v="2027-04-23T00:00:00"/>
        <d v="2027-04-26T00:00:00"/>
        <d v="2027-04-27T00:00:00"/>
        <d v="2027-04-28T00:00:00"/>
        <d v="2027-04-30T00:00:00"/>
        <d v="2027-05-03T00:00:00"/>
        <d v="2027-05-05T00:00:00"/>
        <d v="2027-05-06T00:00:00"/>
        <d v="2027-05-07T00:00:00"/>
        <d v="2027-05-13T00:00:00"/>
        <d v="2027-05-14T00:00:00"/>
        <d v="2027-05-18T00:00:00"/>
        <d v="2027-05-21T00:00:00"/>
        <d v="2027-06-02T00:00:00"/>
        <d v="2027-07-05T00:00:00"/>
        <d v="2027-07-07T00:00:00"/>
        <d v="2027-07-08T00:00:00"/>
        <d v="2027-07-29T00:00:00"/>
        <d v="2027-08-02T00:00:00"/>
        <d v="2027-08-03T00:00:00"/>
        <d v="2027-08-04T00:00:00"/>
        <d v="2027-08-06T00:00:00"/>
        <d v="2027-08-10T00:00:00"/>
        <d v="2027-08-11T00:00:00"/>
        <d v="2027-08-16T00:00:00"/>
        <d v="2027-08-18T00:00:00"/>
        <d v="2027-09-24T00:00:00"/>
        <d v="2027-10-01T00:00:00"/>
        <d v="2027-10-02T00:00:00"/>
        <d v="2027-10-04T00:00:00"/>
        <d v="2027-10-05T00:00:00"/>
        <d v="2027-10-06T00:00:00"/>
        <d v="2027-10-07T00:00:00"/>
        <d v="2027-10-08T00:00:00"/>
        <d v="2027-10-09T00:00:00"/>
        <d v="2027-10-11T00:00:00"/>
        <d v="2027-10-12T00:00:00"/>
        <d v="2027-10-14T00:00:00"/>
        <d v="2027-10-15T00:00:00"/>
        <d v="2027-10-19T00:00:00"/>
        <d v="2027-10-25T00:00:00"/>
        <d v="2027-10-27T00:00:00"/>
        <d v="2027-11-01T00:00:00"/>
        <d v="2027-11-03T00:00:00"/>
        <d v="2027-11-04T00:00:00"/>
        <d v="2028-01-03T00:00:00"/>
        <d v="2028-01-07T00:00:00"/>
        <d v="2028-01-10T00:00:00"/>
        <d v="2028-01-11T00:00:00"/>
        <d v="2028-01-12T00:00:00"/>
        <d v="2028-01-14T00:00:00"/>
        <d v="2028-01-17T00:00:00"/>
        <d v="2028-01-19T00:00:00"/>
        <d v="2028-01-26T00:00:00"/>
        <d v="2028-02-08T00:00:00"/>
        <d v="2028-03-02T00:00:00"/>
        <d v="2028-03-03T00:00:00"/>
        <d v="2028-03-06T00:00:00"/>
        <d v="2028-03-09T00:00:00"/>
        <d v="2028-03-10T00:00:00"/>
        <d v="2028-04-03T00:00:00"/>
        <d v="2028-04-04T00:00:00"/>
        <d v="2028-04-05T00:00:00"/>
        <d v="2028-04-06T00:00:00"/>
        <d v="2028-04-07T00:00:00"/>
        <d v="2028-04-12T00:00:00"/>
        <d v="2028-04-13T00:00:00"/>
        <d v="2028-04-14T00:00:00"/>
        <d v="2028-04-17T00:00:00"/>
        <d v="2028-04-20T00:00:00"/>
        <d v="2028-04-21T00:00:00"/>
        <d v="2028-04-25T00:00:00"/>
        <d v="2028-04-27T00:00:00"/>
        <d v="2028-04-28T00:00:00"/>
        <d v="2028-05-02T00:00:00"/>
        <d v="2028-05-04T00:00:00"/>
        <d v="2028-05-08T00:00:00"/>
        <d v="2028-06-05T00:00:00"/>
        <d v="2028-07-27T00:00:00"/>
        <d v="2028-08-01T00:00:00"/>
        <d v="2028-08-02T00:00:00"/>
        <d v="2028-08-03T00:00:00"/>
        <d v="2028-08-07T00:00:00"/>
        <d v="2028-08-22T00:00:00"/>
        <d v="2028-09-29T00:00:00"/>
        <d v="2028-10-02T00:00:00"/>
        <d v="2028-10-03T00:00:00"/>
        <d v="2028-10-04T00:00:00"/>
        <d v="2028-10-05T00:00:00"/>
        <d v="2028-10-07T00:00:00"/>
        <d v="2028-10-09T00:00:00"/>
        <d v="2028-10-10T00:00:00"/>
        <d v="2028-10-17T00:00:00"/>
        <d v="2028-11-02T00:00:00"/>
        <d v="2029-01-02T00:00:00"/>
        <d v="2029-01-04T00:00:00"/>
        <d v="2029-01-08T00:00:00"/>
        <d v="2029-01-11T00:00:00"/>
        <d v="2029-04-02T00:00:00"/>
        <d v="2029-04-03T00:00:00"/>
        <d v="2029-04-05T00:00:00"/>
        <d v="2029-04-11T00:00:00"/>
        <d v="2029-05-02T00:00:00"/>
        <d v="2029-08-01T00:00:00"/>
        <d v="2029-10-01T00:00:00"/>
        <d v="2029-10-06T00:00:00"/>
        <d v="2029-11-01T00:00:00"/>
      </sharedItems>
      <fieldGroup par="14"/>
    </cacheField>
    <cacheField name="EstValue" numFmtId="0">
      <sharedItems containsSemiMixedTypes="0" containsString="0" containsNumber="1" containsInteger="1" minValue="0" maxValue="148049"/>
    </cacheField>
    <cacheField name="TPH" numFmtId="0">
      <sharedItems containsSemiMixedTypes="0" containsString="0" containsNumber="1" minValue="0" maxValue="2988.33"/>
    </cacheField>
    <cacheField name="Rep" numFmtId="0">
      <sharedItems count="5">
        <s v="GC"/>
        <s v="RB"/>
        <s v="SG"/>
        <s v="JW"/>
        <s v="EC"/>
      </sharedItems>
    </cacheField>
    <cacheField name="R" numFmtId="0">
      <sharedItems containsBlank="1"/>
    </cacheField>
    <cacheField name="Map" numFmtId="0">
      <sharedItems containsBlank="1"/>
    </cacheField>
    <cacheField name="Months (End)" numFmtId="0" databaseField="0">
      <fieldGroup base="6">
        <rangePr groupBy="months" startDate="2026-07-23T00:00:00" endDate="2029-11-02T00:00:00"/>
        <groupItems count="14">
          <s v="&lt;7/2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/2029"/>
        </groupItems>
      </fieldGroup>
    </cacheField>
    <cacheField name="Quarters (End)" numFmtId="0" databaseField="0">
      <fieldGroup base="6">
        <rangePr groupBy="quarters" startDate="2026-07-23T00:00:00" endDate="2029-11-02T00:00:00"/>
        <groupItems count="6">
          <s v="&lt;7/23/2026"/>
          <s v="Qtr1"/>
          <s v="Qtr2"/>
          <s v="Qtr3"/>
          <s v="Qtr4"/>
          <s v="&gt;11/2/2029"/>
        </groupItems>
      </fieldGroup>
    </cacheField>
    <cacheField name="Years (End)" numFmtId="0" databaseField="0">
      <fieldGroup base="6">
        <rangePr groupBy="years" startDate="2026-07-23T00:00:00" endDate="2029-11-02T00:00:00"/>
        <groupItems count="6">
          <s v="&lt;7/23/2026"/>
          <s v="2026"/>
          <s v="2027"/>
          <s v="2028"/>
          <s v="2029"/>
          <s v="&gt;11/2/202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">
  <r>
    <s v="Downey Unified School District"/>
    <s v="(N) 2024 - Carpenter Elementary (FY 24/25 Removals)"/>
    <s v="Downey"/>
    <d v="2024-06-25T00:00:00"/>
    <d v="2024-06-27T00:00:00"/>
    <d v="2024-07-03T00:00:00"/>
    <x v="0"/>
    <n v="7985"/>
    <n v="117.43"/>
    <x v="0"/>
    <s v="Removals"/>
    <m/>
  </r>
  <r>
    <s v="Downey Unified School District"/>
    <s v="(N) 2024 - Imperial Elementary (FY 24/25 Trimming)"/>
    <s v="Downey"/>
    <d v="2024-06-20T00:00:00"/>
    <d v="2024-06-27T00:00:00"/>
    <d v="2024-07-05T00:00:00"/>
    <x v="0"/>
    <n v="4950"/>
    <n v="91.67"/>
    <x v="0"/>
    <m/>
    <m/>
  </r>
  <r>
    <s v="Downey Unified School District"/>
    <s v="2024 - Imperial Elementary (FY 24/25 Removals)"/>
    <s v="Downey"/>
    <d v="2024-06-25T00:00:00"/>
    <d v="2024-06-27T00:00:00"/>
    <d v="2024-07-10T00:00:00"/>
    <x v="0"/>
    <n v="1990"/>
    <n v="110.56"/>
    <x v="0"/>
    <s v="Removals"/>
    <m/>
  </r>
  <r>
    <s v="Downey Unified School District"/>
    <s v="2024 - Carpenter Elementary (FY 24/25 Tree Trimming)"/>
    <s v="Downey"/>
    <d v="2024-06-20T00:00:00"/>
    <d v="2024-06-27T00:00:00"/>
    <d v="2024-07-05T00:00:00"/>
    <x v="0"/>
    <n v="6111"/>
    <n v="57.11"/>
    <x v="0"/>
    <m/>
    <m/>
  </r>
  <r>
    <s v="Downey Unified School District"/>
    <s v="2024 - Williams Elemmentary (FY 24/25)"/>
    <s v="Downey"/>
    <d v="2024-06-20T00:00:00"/>
    <d v="2024-06-27T00:00:00"/>
    <d v="2024-07-11T00:00:00"/>
    <x v="0"/>
    <n v="3963"/>
    <n v="67.180000000000007"/>
    <x v="0"/>
    <m/>
    <m/>
  </r>
  <r>
    <s v="Downey Unified School District"/>
    <s v="2024 - Ward Elementary (FY 24/25 Trimming)"/>
    <s v="Downey"/>
    <d v="2024-06-20T00:00:00"/>
    <d v="2024-06-27T00:00:00"/>
    <d v="2024-07-12T00:00:00"/>
    <x v="0"/>
    <n v="4529"/>
    <n v="52.06"/>
    <x v="0"/>
    <m/>
    <m/>
  </r>
  <r>
    <s v="Downey Unified School District"/>
    <s v="2024 - Rio San Gabriel Elementary (FY 24/25 Trimming) - CO #23322"/>
    <s v="Downey"/>
    <d v="2024-07-19T00:00:00"/>
    <d v="2024-06-27T00:00:00"/>
    <d v="2024-07-16T00:00:00"/>
    <x v="0"/>
    <n v="11871"/>
    <n v="68.78"/>
    <x v="0"/>
    <m/>
    <m/>
  </r>
  <r>
    <s v="Downey Unified School District"/>
    <s v="2024 - Gallatin Elementary (FY 24/25 Removals)"/>
    <s v="Downey"/>
    <d v="2024-06-25T00:00:00"/>
    <d v="2024-06-27T00:00:00"/>
    <d v="2024-07-24T00:00:00"/>
    <x v="0"/>
    <n v="595"/>
    <n v="66.11"/>
    <x v="0"/>
    <s v="Removals"/>
    <m/>
  </r>
  <r>
    <s v="Downey Unified School District"/>
    <s v="2024 - Doty Middle School (FY 24/25 Removals)"/>
    <s v="Downey"/>
    <d v="2024-06-25T00:00:00"/>
    <d v="2024-07-25T00:00:00"/>
    <d v="2024-07-30T00:00:00"/>
    <x v="0"/>
    <n v="1995"/>
    <n v="107.84"/>
    <x v="0"/>
    <s v="Removals"/>
    <m/>
  </r>
  <r>
    <s v="Downey Unified School District"/>
    <s v="2024 - Unsworth Elementary (FY 24/25 Removals) - CO #23320"/>
    <s v="Downey"/>
    <d v="2024-07-19T00:00:00"/>
    <d v="2024-07-22T00:00:00"/>
    <d v="2024-07-24T00:00:00"/>
    <x v="0"/>
    <n v="19790"/>
    <n v="143.41"/>
    <x v="0"/>
    <s v="Removals"/>
    <m/>
  </r>
  <r>
    <s v="Downey Unified School District"/>
    <s v="STUMPS? 2024 - Alameda Elementary (FY 24/25 Removals)"/>
    <s v="Downey"/>
    <d v="2024-06-25T00:00:00"/>
    <d v="2024-07-25T00:00:00"/>
    <d v="2024-07-29T00:00:00"/>
    <x v="0"/>
    <n v="3590"/>
    <n v="112.19"/>
    <x v="0"/>
    <s v="Removals"/>
    <m/>
  </r>
  <r>
    <s v="Downey Unified School District"/>
    <s v="(N) 2024 - Stauffer Middle School (FY 24/25 Trimming)"/>
    <s v="Downey"/>
    <d v="2024-06-20T00:00:00"/>
    <m/>
    <d v="2024-08-01T00:00:00"/>
    <x v="0"/>
    <n v="2805"/>
    <n v="77.91"/>
    <x v="0"/>
    <m/>
    <m/>
  </r>
  <r>
    <s v="Downey Unified School District"/>
    <s v="(N) 2024 - Sussman Middle (FY 24/25 Trimming) - CO #23356"/>
    <s v="Downey"/>
    <d v="2024-08-02T00:00:00"/>
    <d v="2024-07-25T00:00:00"/>
    <d v="2024-07-30T00:00:00"/>
    <x v="0"/>
    <n v="5968"/>
    <n v="55.01"/>
    <x v="0"/>
    <m/>
    <m/>
  </r>
  <r>
    <s v="Downey Unified School District"/>
    <s v="(N) 2024 - Warren High (FY 24/25 Trimming)"/>
    <s v="Downey"/>
    <d v="2024-06-20T00:00:00"/>
    <m/>
    <d v="2024-07-30T00:00:00"/>
    <x v="1"/>
    <n v="15887"/>
    <n v="84.06"/>
    <x v="0"/>
    <m/>
    <m/>
  </r>
  <r>
    <s v="Downey Unified School District"/>
    <s v="2024 - Downey Highschool (FY 24/25 Trimming)"/>
    <s v="Downey"/>
    <d v="2024-06-20T00:00:00"/>
    <d v="2024-06-27T00:00:00"/>
    <d v="2024-07-06T00:00:00"/>
    <x v="1"/>
    <n v="20909"/>
    <n v="71"/>
    <x v="0"/>
    <m/>
    <m/>
  </r>
  <r>
    <s v="Tarantino Landscape"/>
    <s v="3 AM START 2024 (Aug) Santa Margarita Town Center - (2024 Recommenadations)"/>
    <s v="Rancho Santa Margarita"/>
    <d v="2024-03-26T00:00:00"/>
    <d v="2024-07-30T00:00:00"/>
    <d v="2024-08-05T00:00:00"/>
    <x v="2"/>
    <n v="4435"/>
    <n v="123.19"/>
    <x v="0"/>
    <m/>
    <m/>
  </r>
  <r>
    <s v="Stonekastle Community Management"/>
    <s v="(N) 2024 - Harvest Gold HOA - (Revised Removal ID's 1-3)"/>
    <s v="Anaheim"/>
    <d v="2024-07-22T00:00:00"/>
    <d v="2024-07-22T00:00:00"/>
    <d v="2024-08-06T00:00:00"/>
    <x v="3"/>
    <n v="2995"/>
    <n v="110.93"/>
    <x v="1"/>
    <s v="Removals"/>
    <s v="Removals"/>
  </r>
  <r>
    <s v="Crummack Huseby, Inc."/>
    <s v="(S) 2024 (Aug/Sep) Parkside Property Owners Association-(Revised Lexington Cost Center; 3 Year Plan)CO 22000"/>
    <s v="Lake Forest"/>
    <d v="2024-04-05T00:00:00"/>
    <d v="2024-07-30T00:00:00"/>
    <d v="2024-08-06T00:00:00"/>
    <x v="3"/>
    <n v="2137"/>
    <n v="115.5"/>
    <x v="2"/>
    <m/>
    <s v="Removals"/>
  </r>
  <r>
    <s v="Crummack Huseby, Inc."/>
    <s v="STUMP? 2024 - Eastbrook Community HOA-(Removal ID 70)"/>
    <s v="Mission Viejo"/>
    <d v="2024-06-28T00:00:00"/>
    <d v="2024-07-30T00:00:00"/>
    <d v="2024-08-06T00:00:00"/>
    <x v="3"/>
    <n v="495"/>
    <n v="123.75"/>
    <x v="2"/>
    <s v="Removals"/>
    <s v="Removals"/>
  </r>
  <r>
    <s v="Optimum"/>
    <s v="NEED STUMP 2024 - Monticello Community Association - (Removal ID 98 - 100)"/>
    <s v="Costa Mesa"/>
    <d v="2024-07-25T00:00:00"/>
    <d v="2024-07-25T00:00:00"/>
    <d v="2024-07-29T00:00:00"/>
    <x v="4"/>
    <n v="2220"/>
    <n v="113.24"/>
    <x v="1"/>
    <s v="Removals"/>
    <s v="Removals"/>
  </r>
  <r>
    <s v="Downey Unified School District"/>
    <s v="2024 - Rio Hondo Elementary (FY 24/25 Trimming)"/>
    <s v="Downey"/>
    <d v="2024-06-20T00:00:00"/>
    <d v="2024-06-27T00:00:00"/>
    <d v="2024-07-11T00:00:00"/>
    <x v="4"/>
    <n v="2241"/>
    <n v="39.32"/>
    <x v="0"/>
    <m/>
    <m/>
  </r>
  <r>
    <s v="Downey Unified School District"/>
    <s v="2024 - Unsworth Elementary (FY 24/25 Trimming) - CO #23319"/>
    <s v="Downey"/>
    <d v="2024-07-19T00:00:00"/>
    <d v="2024-07-22T00:00:00"/>
    <d v="2024-07-25T00:00:00"/>
    <x v="4"/>
    <n v="30251"/>
    <n v="141.36000000000001"/>
    <x v="0"/>
    <m/>
    <m/>
  </r>
  <r>
    <s v="Downey Unified School District"/>
    <s v="NOT DONE 2024 - Downey Adult School (FY 24/25 Trimming)"/>
    <s v="Downey"/>
    <d v="2024-06-20T00:00:00"/>
    <m/>
    <d v="2024-08-02T00:00:00"/>
    <x v="4"/>
    <n v="969"/>
    <n v="32.31"/>
    <x v="0"/>
    <m/>
    <m/>
  </r>
  <r>
    <s v="Downey Unified School District"/>
    <s v="NOT DONE 2024 - PACE Academy (FY 24/25 Trimming)"/>
    <s v="Bellflower"/>
    <d v="2024-06-20T00:00:00"/>
    <m/>
    <d v="2024-08-03T00:00:00"/>
    <x v="4"/>
    <n v="2190"/>
    <n v="50.93"/>
    <x v="0"/>
    <m/>
    <m/>
  </r>
  <r>
    <s v="Laguna Woods Village"/>
    <s v="2024 - WR52213 | Third Mutual | Gate 11 (4 Year; Unit Price)"/>
    <s v="Laguna Hills"/>
    <d v="2024-07-23T00:00:00"/>
    <d v="2024-08-01T00:00:00"/>
    <d v="2024-07-30T00:00:00"/>
    <x v="4"/>
    <n v="7400"/>
    <n v="43.4"/>
    <x v="0"/>
    <m/>
    <s v="Removals"/>
  </r>
  <r>
    <s v="Optimum"/>
    <s v="2024 - Newport Crest HOA - (Go-Back; ID's 164, 583)CO 21991"/>
    <s v="Newport Beach"/>
    <d v="2024-04-02T00:00:00"/>
    <d v="2024-03-28T00:00:00"/>
    <d v="2024-08-07T00:00:00"/>
    <x v="4"/>
    <n v="1990"/>
    <n v="87.47"/>
    <x v="0"/>
    <s v="Removals"/>
    <s v="Removals"/>
  </r>
  <r>
    <s v="Optimum"/>
    <s v="2024 (Aug/Sep) Palo Vista HOA - (3 Year Plan)"/>
    <s v="Tustin"/>
    <d v="2024-05-17T00:00:00"/>
    <d v="2024-07-22T00:00:00"/>
    <d v="2024-08-02T00:00:00"/>
    <x v="4"/>
    <n v="7465"/>
    <n v="119.92"/>
    <x v="3"/>
    <m/>
    <s v="Removals"/>
  </r>
  <r>
    <s v="Powerstone Property Management"/>
    <s v="DONT MOVE 2024 - Pacific Ranch HOA - (July Treatment Recs)"/>
    <s v="Huntington Beach"/>
    <d v="2024-07-17T00:00:00"/>
    <d v="2024-08-07T00:00:00"/>
    <d v="2024-08-08T00:00:00"/>
    <x v="5"/>
    <n v="390"/>
    <n v="0"/>
    <x v="1"/>
    <m/>
    <m/>
  </r>
  <r>
    <s v="Seabreeze Management Company"/>
    <s v="2024 (Jul/Sep) Vista Pointe Ridge-(Approved 3 Year Plan) CO 23222"/>
    <s v="Aliso Viejo"/>
    <d v="2024-06-04T00:00:00"/>
    <d v="2024-07-30T00:00:00"/>
    <d v="2024-08-05T00:00:00"/>
    <x v="5"/>
    <n v="12426"/>
    <n v="113.48"/>
    <x v="2"/>
    <m/>
    <s v="Removals"/>
  </r>
  <r>
    <s v="TOTAL PROPERTY MGMT"/>
    <s v="2024 - Aliso Villas-(Approved Removal ID 48)"/>
    <s v="Mission Viejo"/>
    <d v="2024-04-23T00:00:00"/>
    <d v="2024-07-30T00:00:00"/>
    <d v="2024-08-08T00:00:00"/>
    <x v="5"/>
    <n v="2500"/>
    <n v="119.05"/>
    <x v="2"/>
    <s v="Removals"/>
    <s v="Removals"/>
  </r>
  <r>
    <s v="Downey Unified School District"/>
    <s v="2024 - Gallatin Elementary (FY 24/25 Trimming) - CO #23324"/>
    <s v="Downey"/>
    <d v="2024-07-19T00:00:00"/>
    <d v="2024-06-27T00:00:00"/>
    <d v="2024-07-18T00:00:00"/>
    <x v="5"/>
    <n v="8496"/>
    <n v="46.55"/>
    <x v="0"/>
    <m/>
    <m/>
  </r>
  <r>
    <s v="Downey Unified School District"/>
    <s v="2024 - Griffiths Middle (FY 24/25 Trimming) - CO #23358"/>
    <s v="Downey"/>
    <d v="2024-08-02T00:00:00"/>
    <m/>
    <d v="2024-08-06T00:00:00"/>
    <x v="5"/>
    <n v="10658"/>
    <n v="131.57"/>
    <x v="0"/>
    <m/>
    <m/>
  </r>
  <r>
    <s v="Irvine Company - Retail (GPS)"/>
    <s v="[PRE-BILLED] 2024 (Apr/Jun) Alton Marketplace (Spring Trimming: Spectrum)"/>
    <s v="Irvine"/>
    <d v="2024-05-20T00:00:00"/>
    <d v="2024-06-28T00:00:00"/>
    <d v="2024-07-30T00:00:00"/>
    <x v="5"/>
    <n v="11850"/>
    <n v="78.48"/>
    <x v="0"/>
    <m/>
    <m/>
  </r>
  <r>
    <s v="Irvine Company - Retail (GPS)"/>
    <s v="PRE-BILLED --2024 (Apr/Jun) Alton Retail Center (Spring Trimming: Spectrum)"/>
    <s v="Irvine"/>
    <d v="2024-05-20T00:00:00"/>
    <d v="2024-07-03T00:00:00"/>
    <d v="2024-08-08T00:00:00"/>
    <x v="5"/>
    <n v="960"/>
    <n v="120"/>
    <x v="0"/>
    <m/>
    <m/>
  </r>
  <r>
    <s v="Laguna Woods Village"/>
    <s v="2024 - WR52213 | Third Mutual | Gate 11 (4 Year; Deferred)"/>
    <s v="Laguna Hills"/>
    <d v="2024-07-23T00:00:00"/>
    <d v="2024-07-30T00:00:00"/>
    <d v="2024-07-30T00:00:00"/>
    <x v="5"/>
    <n v="18400"/>
    <n v="153.97"/>
    <x v="0"/>
    <m/>
    <s v="Removals"/>
  </r>
  <r>
    <s v="Laguna Woods Village"/>
    <s v="2024 - WR52229 | Third Mutual | Gate 11 (5 Year)"/>
    <s v="Laguna Hills"/>
    <d v="2024-07-22T00:00:00"/>
    <d v="2024-08-01T00:00:00"/>
    <d v="2024-07-31T00:00:00"/>
    <x v="5"/>
    <n v="9620"/>
    <n v="73.72"/>
    <x v="0"/>
    <m/>
    <s v="Removals"/>
  </r>
  <r>
    <s v="Optimum"/>
    <s v="2024 - (Aug/Sep) Woodfield Community Assoc. - (2024 Recommendations)"/>
    <s v="Placentia"/>
    <d v="2024-01-29T00:00:00"/>
    <d v="2024-07-22T00:00:00"/>
    <d v="2024-08-09T00:00:00"/>
    <x v="6"/>
    <n v="2280"/>
    <n v="126.67"/>
    <x v="3"/>
    <m/>
    <m/>
  </r>
  <r>
    <s v="Casta Del Sol"/>
    <s v="2024 - AREA 5 (2024)"/>
    <s v="Mission Viejo"/>
    <d v="2024-04-25T00:00:00"/>
    <d v="2024-05-31T00:00:00"/>
    <d v="2024-04-29T00:00:00"/>
    <x v="6"/>
    <n v="214896"/>
    <n v="184.14"/>
    <x v="0"/>
    <m/>
    <s v="Removals"/>
  </r>
  <r>
    <s v="Optimum"/>
    <s v="POST 2024 - (Jul/Sep) Newport Crest HOA - (2024 Trimming Recommendations)"/>
    <s v="Newport Beach"/>
    <d v="2024-02-12T00:00:00"/>
    <d v="2024-08-01T00:00:00"/>
    <d v="2024-08-06T00:00:00"/>
    <x v="6"/>
    <n v="15680"/>
    <n v="115.51"/>
    <x v="0"/>
    <m/>
    <s v="Removals"/>
  </r>
  <r>
    <s v="Huntington Beach City School District"/>
    <s v="2024 - Huntington Seacliff School (FY 24/25 Tree Maintenane)"/>
    <s v="Huntington Beach"/>
    <d v="2024-06-20T00:00:00"/>
    <d v="2024-07-01T00:00:00"/>
    <d v="2024-08-10T00:00:00"/>
    <x v="7"/>
    <n v="5991"/>
    <n v="110.94"/>
    <x v="1"/>
    <m/>
    <m/>
  </r>
  <r>
    <s v="Downey Unified School District"/>
    <s v="2024 - Lewis Elementary (FY 24/25 Trimming)"/>
    <s v="Downey"/>
    <d v="2024-06-20T00:00:00"/>
    <d v="2024-07-25T00:00:00"/>
    <d v="2024-08-09T00:00:00"/>
    <x v="7"/>
    <n v="2760"/>
    <n v="51.11"/>
    <x v="0"/>
    <m/>
    <m/>
  </r>
  <r>
    <s v="Irvine School District"/>
    <s v="2024 - CANYON VIEW ELEMENTARY (FY 24/25 Removal)"/>
    <s v="Irvine"/>
    <d v="2024-07-24T00:00:00"/>
    <m/>
    <d v="2024-08-10T00:00:00"/>
    <x v="7"/>
    <n v="265"/>
    <n v="3.27"/>
    <x v="0"/>
    <s v="Removals"/>
    <s v="Removals"/>
  </r>
  <r>
    <s v="REGENT ASSOCIATION SERVICES"/>
    <s v="2024 - (Aug/Sep) Suburbia HOA - (Revised 3 Year Plan)"/>
    <s v="Anaheim"/>
    <d v="2024-06-05T00:00:00"/>
    <d v="2024-07-22T00:00:00"/>
    <d v="2024-08-07T00:00:00"/>
    <x v="8"/>
    <n v="9581"/>
    <n v="129.47"/>
    <x v="1"/>
    <m/>
    <s v="Removals"/>
  </r>
  <r>
    <s v="Revolve Property Management"/>
    <s v="2024 - Mira Costa Villas-(2024 Removals)"/>
    <s v="San Clemente"/>
    <d v="2024-07-24T00:00:00"/>
    <d v="2024-07-26T00:00:00"/>
    <d v="2024-08-12T00:00:00"/>
    <x v="8"/>
    <n v="1785"/>
    <n v="119"/>
    <x v="2"/>
    <s v="Removals"/>
    <s v="Removals"/>
  </r>
  <r>
    <s v="BHE Management"/>
    <s v="HOLD 2024 (Apr/Jun) San Simeon Maintenance Association CO 23186"/>
    <s v="Irvine"/>
    <d v="2024-05-24T00:00:00"/>
    <d v="2024-06-05T00:00:00"/>
    <d v="2024-08-12T00:00:00"/>
    <x v="8"/>
    <n v="6908"/>
    <n v="812.71"/>
    <x v="3"/>
    <m/>
    <s v="Removals"/>
  </r>
  <r>
    <s v="Irvine Company - Retail (GPS)"/>
    <s v="[PRE-BILLED] 2024 (Apr/Jun) University Center (Spring Trimming: University)"/>
    <s v="Irvine"/>
    <d v="2024-05-20T00:00:00"/>
    <d v="2024-08-06T00:00:00"/>
    <d v="2024-08-09T00:00:00"/>
    <x v="8"/>
    <n v="3120"/>
    <n v="48.75"/>
    <x v="0"/>
    <m/>
    <m/>
  </r>
  <r>
    <s v="Crummack Huseby, Inc."/>
    <s v="POST 2024 (Aug/Sep) Parkside Property Owners Association-(Revised Master; 3 Year Plan)CO22001"/>
    <s v="Lake Forest"/>
    <d v="2024-04-05T00:00:00"/>
    <d v="2024-07-30T00:00:00"/>
    <d v="2024-08-06T00:00:00"/>
    <x v="9"/>
    <n v="15482"/>
    <n v="101.86"/>
    <x v="2"/>
    <m/>
    <s v="Removals"/>
  </r>
  <r>
    <s v="Revolve Property Management"/>
    <s v="POST 2024 (Aug/Sep) Mira Costa Villas-(Revised 3 Year Plan)"/>
    <s v="San Clemente"/>
    <d v="2024-07-24T00:00:00"/>
    <d v="2024-07-26T00:00:00"/>
    <d v="2024-08-12T00:00:00"/>
    <x v="9"/>
    <n v="7835"/>
    <n v="115.22"/>
    <x v="2"/>
    <m/>
    <s v="Removals"/>
  </r>
  <r>
    <s v="Seabreeze Management Company"/>
    <s v="2024 (Apr/Jun &amp; Removal) The Groves Homeowners Inc.- (Revised 24/25 Recommendations)"/>
    <s v="Irvine"/>
    <d v="2024-07-31T00:00:00"/>
    <d v="2024-08-01T00:00:00"/>
    <d v="2024-08-09T00:00:00"/>
    <x v="9"/>
    <n v="9393"/>
    <n v="115.96"/>
    <x v="4"/>
    <s v="Removals"/>
    <s v="Removals"/>
  </r>
  <r>
    <s v="Cardinal Property Management"/>
    <s v="SPIDER LIFT==2024 - Casitas in Buena Park - (2024-2025 Removals)"/>
    <s v="Buena Park"/>
    <d v="2024-03-13T00:00:00"/>
    <d v="2024-07-30T00:00:00"/>
    <d v="2024-08-13T00:00:00"/>
    <x v="9"/>
    <n v="1685"/>
    <n v="120.36"/>
    <x v="3"/>
    <s v="Removals"/>
    <s v="Removals"/>
  </r>
  <r>
    <s v="The Management Trust"/>
    <s v="2024 - (Aug/Sep) Walden Community - (3 Year Plan)"/>
    <s v="Garden Grove"/>
    <d v="2023-05-05T00:00:00"/>
    <d v="2024-07-30T00:00:00"/>
    <d v="2024-08-13T00:00:00"/>
    <x v="9"/>
    <n v="1500"/>
    <n v="93.75"/>
    <x v="3"/>
    <m/>
    <s v="Removals"/>
  </r>
  <r>
    <s v="Irvine Company - Retail (GPS)"/>
    <s v="2024 (Apr/Jun) Northpark Plaza (Spring Trimming: Foothill)"/>
    <s v="Irvine"/>
    <d v="2024-05-20T00:00:00"/>
    <m/>
    <d v="2024-08-05T00:00:00"/>
    <x v="9"/>
    <n v="2025"/>
    <n v="61.36"/>
    <x v="0"/>
    <m/>
    <m/>
  </r>
  <r>
    <s v="Irvine Company - Retail (GPS)"/>
    <s v="2024 - Northpark Plaza (Dact Palm Pineapple)"/>
    <s v="Irvine"/>
    <d v="2024-05-20T00:00:00"/>
    <m/>
    <d v="2024-08-05T00:00:00"/>
    <x v="9"/>
    <n v="7900"/>
    <n v="94.33"/>
    <x v="0"/>
    <m/>
    <m/>
  </r>
  <r>
    <s v="Irvine Company - Retail (GPS)"/>
    <s v="PRE-BILLED --2024 (Apr/Jun) Lakeside (Spring Trimming: Spectrum)"/>
    <s v="Irvine"/>
    <d v="2024-05-20T00:00:00"/>
    <d v="2024-08-06T00:00:00"/>
    <d v="2024-08-13T00:00:00"/>
    <x v="9"/>
    <n v="1850"/>
    <n v="97.37"/>
    <x v="0"/>
    <m/>
    <m/>
  </r>
  <r>
    <s v="Moulton Niguel Water District"/>
    <s v="2024 - (Jan/Mar) Saddleback Reservoir Pump - (2024 Tree Trimming)"/>
    <s v="Mission Viejo"/>
    <d v="2024-02-15T00:00:00"/>
    <m/>
    <d v="2024-08-13T00:00:00"/>
    <x v="9"/>
    <n v="7027"/>
    <n v="106.46"/>
    <x v="0"/>
    <m/>
    <s v="Removals"/>
  </r>
  <r>
    <s v="Powerstone Property Management"/>
    <s v="POST 2024 - Pacific Shores HOA - (Removal ID's 141-148)"/>
    <s v="Huntington Beach"/>
    <d v="2024-08-01T00:00:00"/>
    <d v="2024-08-01T00:00:00"/>
    <d v="2024-08-13T00:00:00"/>
    <x v="10"/>
    <n v="5150"/>
    <n v="114.44"/>
    <x v="1"/>
    <s v="Removals"/>
    <s v="Removals"/>
  </r>
  <r>
    <s v="Optimum"/>
    <s v="2024 (Apr/Jun &amp; Rem) Grandview Crest HOA - (ID 170-172; WO 3179 &amp; 3277)"/>
    <s v="Lake Forest"/>
    <d v="2024-07-22T00:00:00"/>
    <d v="2024-08-06T00:00:00"/>
    <d v="2024-08-14T00:00:00"/>
    <x v="10"/>
    <n v="1245"/>
    <n v="124.5"/>
    <x v="2"/>
    <s v="Removals"/>
    <s v="Removals"/>
  </r>
  <r>
    <s v="Optimum"/>
    <s v="2024 (Removal) Grandview Crest Homeowner Association-(WO Request Recommendations)"/>
    <s v="Lake Forest"/>
    <d v="2024-07-22T00:00:00"/>
    <d v="2024-08-06T00:00:00"/>
    <d v="2024-08-14T00:00:00"/>
    <x v="10"/>
    <n v="2200"/>
    <n v="115.79"/>
    <x v="2"/>
    <s v="Removals"/>
    <s v="Removals"/>
  </r>
  <r>
    <s v="Irvine Company - Retail (GPS)"/>
    <s v="PRE-BILLED --2024 (Apr/Jun) Orchard Hills Village Center (Foothill)"/>
    <s v="Irvine"/>
    <d v="2024-05-20T00:00:00"/>
    <d v="2024-08-06T00:00:00"/>
    <d v="2024-08-14T00:00:00"/>
    <x v="10"/>
    <n v="1140"/>
    <n v="60"/>
    <x v="0"/>
    <m/>
    <m/>
  </r>
  <r>
    <s v="Moulton Niguel Water District"/>
    <s v="HOLD 2024 - Lower Boundary Oak (Podocarpus Planting)"/>
    <s v="Aliso Viejo"/>
    <d v="2024-01-18T00:00:00"/>
    <m/>
    <d v="2024-01-15T00:00:00"/>
    <x v="10"/>
    <n v="5828"/>
    <n v="190.14"/>
    <x v="0"/>
    <m/>
    <s v="Removals"/>
  </r>
  <r>
    <s v="Powerstone Property Management"/>
    <s v="POST 2024 - Pacific Shores HOA - (L/S Removal Deliverables)"/>
    <s v="Huntington Beach"/>
    <d v="2024-08-01T00:00:00"/>
    <d v="2024-08-01T00:00:00"/>
    <d v="2024-08-14T00:00:00"/>
    <x v="11"/>
    <n v="4845"/>
    <n v="134.58000000000001"/>
    <x v="1"/>
    <s v="Removals"/>
    <s v="Removals"/>
  </r>
  <r>
    <s v="Scott Management Company"/>
    <s v="2024 (Aug/Sept) Pacific Pines - (Eucalyptus Trimming)"/>
    <s v="Torrance"/>
    <d v="2024-07-17T00:00:00"/>
    <d v="2024-07-30T00:00:00"/>
    <d v="2024-08-13T00:00:00"/>
    <x v="11"/>
    <n v="12075"/>
    <n v="111.81"/>
    <x v="1"/>
    <m/>
    <s v="Removals"/>
  </r>
  <r>
    <s v="Powerstone Property Management"/>
    <s v="PERMIT 2024 (Jul/Sep) Palm Gardens Community Association-(4 Year Plan)"/>
    <s v="Mission Viejo"/>
    <d v="2024-02-27T00:00:00"/>
    <d v="2024-07-30T00:00:00"/>
    <d v="2024-08-06T00:00:00"/>
    <x v="11"/>
    <n v="30292"/>
    <n v="122.15"/>
    <x v="2"/>
    <m/>
    <s v="Removals"/>
  </r>
  <r>
    <s v="Western Property Management Services"/>
    <s v="HOLD 2024 (Aug/Sep) Carefree El Toro Owners AssociationCO 23178"/>
    <s v="Lake Forest"/>
    <d v="2024-05-22T00:00:00"/>
    <d v="2024-08-06T00:00:00"/>
    <d v="2024-08-15T00:00:00"/>
    <x v="11"/>
    <n v="3376"/>
    <n v="125.03"/>
    <x v="2"/>
    <m/>
    <s v="Removals"/>
  </r>
  <r>
    <s v="Cardinal Property Management"/>
    <s v="2024 - (Aug/Sep) Casitas in Buena Park - (3 Year Plan)"/>
    <s v="Buena Park"/>
    <d v="2023-11-15T00:00:00"/>
    <d v="2024-07-30T00:00:00"/>
    <d v="2024-08-13T00:00:00"/>
    <x v="11"/>
    <n v="5425"/>
    <n v="135.63"/>
    <x v="3"/>
    <m/>
    <s v="Removals"/>
  </r>
  <r>
    <s v="ACTION PROPERTY MGMT"/>
    <s v="(AUG) 2024 - (Aug/Sep) Cortile Maintenance Association CO 21746"/>
    <s v="Irvine"/>
    <d v="2023-10-25T00:00:00"/>
    <d v="2024-08-06T00:00:00"/>
    <d v="2024-08-16T00:00:00"/>
    <x v="12"/>
    <n v="4216"/>
    <n v="117.1"/>
    <x v="2"/>
    <m/>
    <s v="Removals"/>
  </r>
  <r>
    <s v="BHE Management"/>
    <s v="2024 (Apr/Jun) Tristania Neighborhood Association - (3 Year Plan)"/>
    <s v="Irvine"/>
    <d v="2024-08-06T00:00:00"/>
    <d v="2024-08-06T00:00:00"/>
    <d v="2024-08-14T00:00:00"/>
    <x v="12"/>
    <n v="9810"/>
    <n v="115.41"/>
    <x v="4"/>
    <m/>
    <s v="Removals"/>
  </r>
  <r>
    <s v="Keystone Pacific Property Management, LL"/>
    <s v="NOT A FULL DAY 2024 (July) Woodbury East Comm. - (July Svc Requests)"/>
    <s v="Irvine"/>
    <d v="2024-07-31T00:00:00"/>
    <d v="2024-08-07T00:00:00"/>
    <d v="2024-08-16T00:00:00"/>
    <x v="12"/>
    <n v="1015"/>
    <n v="28.19"/>
    <x v="4"/>
    <s v="Removals"/>
    <s v="Removals"/>
  </r>
  <r>
    <s v="Keystone Pacific Property Management, LL"/>
    <s v="NOT A FULL DAY 2024 - Woodbury East Comm. - (Removal ID 151)"/>
    <s v="Irvine"/>
    <d v="2024-07-31T00:00:00"/>
    <d v="2024-08-07T00:00:00"/>
    <d v="2024-08-16T00:00:00"/>
    <x v="12"/>
    <n v="995"/>
    <n v="124.38"/>
    <x v="4"/>
    <s v="Removals"/>
    <s v="Removals"/>
  </r>
  <r>
    <s v="BHE Management"/>
    <s v="2024 - (Jul/Sep) Windflower Community Association - (C/O 21651)"/>
    <s v="Aliso Viejo"/>
    <d v="2023-08-30T00:00:00"/>
    <d v="2024-08-06T00:00:00"/>
    <d v="2024-08-14T00:00:00"/>
    <x v="12"/>
    <n v="12312"/>
    <n v="114"/>
    <x v="0"/>
    <m/>
    <s v="Removals"/>
  </r>
  <r>
    <s v="FirstService Residential"/>
    <s v="POST 2024 (Jun/Aug) Oak Creek Village Maintenance Master - (3 Year Plan)"/>
    <s v="Irvine"/>
    <d v="2024-04-25T00:00:00"/>
    <d v="2024-07-15T00:00:00"/>
    <d v="2024-07-30T00:00:00"/>
    <x v="12"/>
    <n v="49413"/>
    <n v="114.91"/>
    <x v="0"/>
    <m/>
    <s v="Removals"/>
  </r>
  <r>
    <s v="Laguna Woods Village"/>
    <s v="2024 - WR52212 | United Mutual | Buildings 830-913 (4 Year; Eucalyptus &amp; Ash)"/>
    <s v="Laguna Hills"/>
    <d v="2024-07-22T00:00:00"/>
    <m/>
    <d v="2024-08-12T00:00:00"/>
    <x v="12"/>
    <n v="13875"/>
    <n v="61.67"/>
    <x v="0"/>
    <m/>
    <s v="Removals"/>
  </r>
  <r>
    <s v="Huntington Beach City School District"/>
    <s v="2024 - Joseph R. Perry Elementary (FY 24/25 Tree Maintenance)"/>
    <s v="Huntington Beach"/>
    <d v="2024-06-20T00:00:00"/>
    <d v="2024-07-01T00:00:00"/>
    <d v="2024-08-10T00:00:00"/>
    <x v="13"/>
    <n v="4660"/>
    <n v="103.56"/>
    <x v="1"/>
    <m/>
    <m/>
  </r>
  <r>
    <s v="TRANSWESTERN"/>
    <s v="2 man 2024 (Aug/Sep) 925-1075 W Lambert - (Revised 3 Year Plan)"/>
    <s v="Brea"/>
    <d v="2024-03-18T00:00:00"/>
    <d v="2024-08-05T00:00:00"/>
    <d v="2024-08-17T00:00:00"/>
    <x v="13"/>
    <n v="1656"/>
    <n v="103.52"/>
    <x v="1"/>
    <m/>
    <s v="Removals"/>
  </r>
  <r>
    <s v="Anaheim Union High School District (GPS)"/>
    <s v="2024 - Western High School (Coast Redwood Removal)"/>
    <s v="Anaheim"/>
    <d v="2024-07-25T00:00:00"/>
    <d v="2024-07-30T00:00:00"/>
    <d v="2024-08-17T00:00:00"/>
    <x v="13"/>
    <n v="4795"/>
    <n v="133.19"/>
    <x v="0"/>
    <s v="Removals"/>
    <m/>
  </r>
  <r>
    <s v="Downey Unified School District"/>
    <s v="2024 - District Administration (FY 24/25 Tree Trimming)"/>
    <s v="Downey"/>
    <d v="2024-06-20T00:00:00"/>
    <m/>
    <d v="2024-08-10T00:00:00"/>
    <x v="13"/>
    <n v="2354"/>
    <n v="37.36"/>
    <x v="0"/>
    <m/>
    <m/>
  </r>
  <r>
    <s v="Great Scott Tree Care"/>
    <s v="2024 - South County Yard (20795 Linear) - (ID 195 &amp; 69)"/>
    <s v="Lake Forest"/>
    <d v="2024-03-22T00:00:00"/>
    <d v="2024-03-22T00:00:00"/>
    <d v="2024-03-22T00:00:00"/>
    <x v="13"/>
    <n v="0"/>
    <n v="0"/>
    <x v="0"/>
    <s v="Removals"/>
    <m/>
  </r>
  <r>
    <s v="Irvine School District"/>
    <s v="2024 - CADENCE PARK SCHOOL (FY 24-25 Trimming)"/>
    <s v="Irvine"/>
    <d v="2024-07-24T00:00:00"/>
    <m/>
    <d v="2024-08-10T00:00:00"/>
    <x v="13"/>
    <n v="8836"/>
    <n v="98.18"/>
    <x v="0"/>
    <m/>
    <s v="Removals"/>
  </r>
  <r>
    <s v="Irvine School District"/>
    <s v="2024 - CANYON VIEW ELEMENTARY (FY 24/25 Trimming)"/>
    <s v="Irvine"/>
    <d v="2024-07-24T00:00:00"/>
    <m/>
    <d v="2024-08-10T00:00:00"/>
    <x v="13"/>
    <n v="14074"/>
    <n v="86.87"/>
    <x v="0"/>
    <m/>
    <s v="Removals"/>
  </r>
  <r>
    <s v="Irvine School District"/>
    <s v="2024 - OAK CREEK ELEMENTARY - (Magnolia Planting)"/>
    <s v="Irvine"/>
    <d v="2024-07-31T00:00:00"/>
    <m/>
    <d v="2024-08-17T00:00:00"/>
    <x v="13"/>
    <n v="3324"/>
    <n v="123.11"/>
    <x v="0"/>
    <m/>
    <m/>
  </r>
  <r>
    <s v="Irvine School District"/>
    <s v="2024 - PORTOLA SPRINGS ELEMENTARY (FY 24/25 Removals)"/>
    <s v="Irvine"/>
    <d v="2024-07-24T00:00:00"/>
    <m/>
    <d v="2024-08-17T00:00:00"/>
    <x v="13"/>
    <n v="761"/>
    <n v="21.13"/>
    <x v="0"/>
    <s v="Removals"/>
    <s v="Removals"/>
  </r>
  <r>
    <s v="Irvine School District"/>
    <s v="2024 - VENADO MIDDLE SCHOOL (FY 24/25 Trimming)"/>
    <s v="Irvine"/>
    <d v="2024-07-24T00:00:00"/>
    <d v="2024-08-01T00:00:00"/>
    <d v="2024-08-03T00:00:00"/>
    <x v="13"/>
    <n v="21262"/>
    <n v="103.97"/>
    <x v="0"/>
    <m/>
    <s v="Removals"/>
  </r>
  <r>
    <s v="Scott Griffiths (Residence)"/>
    <s v="2024 - Scott Griffith's Residence - ($0 Palm Removal Go-Ahead)"/>
    <s v="Whittier"/>
    <d v="2024-02-07T00:00:00"/>
    <m/>
    <d v="2024-02-10T00:00:00"/>
    <x v="13"/>
    <n v="0"/>
    <n v="0"/>
    <x v="0"/>
    <m/>
    <m/>
  </r>
  <r>
    <s v="The Muller Company"/>
    <s v="(Coffehouse 1st) 2024 (Aug/Sep) Airport Tower (Revised 2024 Recs)CO 23318"/>
    <s v="Irvine"/>
    <d v="2024-07-16T00:00:00"/>
    <d v="2024-07-09T00:00:00"/>
    <d v="2024-08-10T00:00:00"/>
    <x v="13"/>
    <n v="7555"/>
    <n v="114.47"/>
    <x v="3"/>
    <m/>
    <s v="Removals"/>
  </r>
  <r>
    <s v="Optimum"/>
    <s v="NOT A FULL DAY 2024 (Jan/Mar) Villavante Community Association-(WO XN3123187 Landscaper Trees)"/>
    <s v="Rancho Santa Margarita"/>
    <d v="2024-04-23T00:00:00"/>
    <d v="2024-08-06T00:00:00"/>
    <d v="2024-08-19T00:00:00"/>
    <x v="14"/>
    <n v="1045"/>
    <n v="116.11"/>
    <x v="2"/>
    <m/>
    <s v="Removals"/>
  </r>
  <r>
    <s v="Irvine Company - Retail (GPS)"/>
    <s v="2024 - Walnut Village (Spring Trimming: Foothill) - CO #23266"/>
    <s v="Irvine"/>
    <d v="2024-06-26T00:00:00"/>
    <d v="2024-06-20T00:00:00"/>
    <d v="2024-06-27T00:00:00"/>
    <x v="14"/>
    <n v="1575"/>
    <n v="61.76"/>
    <x v="0"/>
    <m/>
    <m/>
  </r>
  <r>
    <s v="Irvine Company - Retail (GPS)"/>
    <s v="2024 - Walnut Village Center (Dact Palm Pineapple) - CO #23267"/>
    <s v="Irvine"/>
    <d v="2024-06-26T00:00:00"/>
    <d v="2024-06-20T00:00:00"/>
    <d v="2024-06-27T00:00:00"/>
    <x v="14"/>
    <n v="4800"/>
    <n v="79.67"/>
    <x v="0"/>
    <m/>
    <m/>
  </r>
  <r>
    <s v="Powerstone Property Management"/>
    <s v="POST==2024 - (Apr/Jun) Pacific Shores HOA - (24 Approved Recs)"/>
    <s v="Huntington Beach"/>
    <d v="2024-02-19T00:00:00"/>
    <d v="2024-08-01T00:00:00"/>
    <d v="2024-08-16T00:00:00"/>
    <x v="15"/>
    <n v="6579"/>
    <n v="121.83"/>
    <x v="1"/>
    <m/>
    <m/>
  </r>
  <r>
    <s v="The Management Trust"/>
    <s v="2024 (Oct/Dec) Signal Hill Collections HOA - (24 Recs)"/>
    <s v="Signal Hill"/>
    <d v="2024-08-05T00:00:00"/>
    <d v="2024-08-05T00:00:00"/>
    <d v="2024-08-19T00:00:00"/>
    <x v="15"/>
    <n v="5095"/>
    <n v="113.22"/>
    <x v="1"/>
    <m/>
    <s v="Removals"/>
  </r>
  <r>
    <s v="Optimum"/>
    <s v="2024 (Aug/Sept) Villavante Community Association - (3 Year Plan)CO 21590"/>
    <s v="Rancho Santa Margarita"/>
    <d v="2023-07-20T00:00:00"/>
    <d v="2024-08-06T00:00:00"/>
    <d v="2024-08-19T00:00:00"/>
    <x v="15"/>
    <n v="7338"/>
    <n v="101.91"/>
    <x v="2"/>
    <m/>
    <s v="Removals"/>
  </r>
  <r>
    <s v="Orange County Fire Authority"/>
    <s v="2024 - (OCFA) Oak Canyon Nature Center (GSTS Removals)"/>
    <s v="Anaheim"/>
    <d v="2024-08-02T00:00:00"/>
    <d v="2024-08-02T00:00:00"/>
    <d v="2024-08-12T00:00:00"/>
    <x v="15"/>
    <n v="27390"/>
    <n v="108.69"/>
    <x v="0"/>
    <s v="Removals"/>
    <s v="Removals"/>
  </r>
  <r>
    <s v="Orange County Fire Authority"/>
    <s v="2024 - (OCFA) Oak Canyon Nature Center (RPW Treatments)"/>
    <s v="Anaheim"/>
    <d v="2024-08-02T00:00:00"/>
    <m/>
    <d v="2024-08-20T00:00:00"/>
    <x v="15"/>
    <n v="32510"/>
    <n v="0"/>
    <x v="0"/>
    <m/>
    <m/>
  </r>
  <r>
    <s v="Lordon Management"/>
    <s v="PERMIT 2024 - Granada Park Cerritos HOA - (Revised 3 Year Removal Plan)"/>
    <s v="Cerritos"/>
    <d v="2024-04-23T00:00:00"/>
    <d v="2024-07-25T00:00:00"/>
    <d v="2024-08-14T00:00:00"/>
    <x v="16"/>
    <n v="14890"/>
    <n v="110.3"/>
    <x v="1"/>
    <s v="Removals"/>
    <s v="Removals"/>
  </r>
  <r>
    <s v="TOTAL PROPERTY MGMT"/>
    <s v="2024 - (Aug/Sep) Lakeview Homeowners Association - (Revised 3 Year Plan) CO 21905"/>
    <s v="Anaheim"/>
    <d v="2024-02-09T00:00:00"/>
    <d v="2024-07-22T00:00:00"/>
    <d v="2024-08-21T00:00:00"/>
    <x v="16"/>
    <n v="2494"/>
    <n v="118.75"/>
    <x v="1"/>
    <m/>
    <s v="Removals"/>
  </r>
  <r>
    <s v="TOTAL PROPERTY MGMT"/>
    <s v="2024 (Jul/Sept) Aliso Villas - (Revised 3 Year Plan)CO 219181"/>
    <s v="Mission Viejo"/>
    <d v="2024-03-28T00:00:00"/>
    <d v="2024-07-30T00:00:00"/>
    <d v="2024-08-05T00:00:00"/>
    <x v="16"/>
    <n v="63422"/>
    <n v="111.27"/>
    <x v="2"/>
    <m/>
    <s v="Removals"/>
  </r>
  <r>
    <s v="Irvine Company - Retail (GPS)"/>
    <s v="2024 (Jul/Aug) Quail Hill Shopping Center (Olive Trimming)"/>
    <s v="Irvine"/>
    <d v="2024-08-07T00:00:00"/>
    <d v="2024-08-07T00:00:00"/>
    <d v="2024-08-09T00:00:00"/>
    <x v="16"/>
    <n v="14670"/>
    <n v="108.67"/>
    <x v="0"/>
    <m/>
    <m/>
  </r>
  <r>
    <s v="Laguna Woods Village"/>
    <s v="2024 - WR52205 | United Mutual | Buildings 830-913 (3 Year)"/>
    <s v="Laguna Hills"/>
    <d v="2024-07-22T00:00:00"/>
    <m/>
    <d v="2024-08-19T00:00:00"/>
    <x v="16"/>
    <n v="7770"/>
    <n v="57.56"/>
    <x v="0"/>
    <m/>
    <s v="Removals"/>
  </r>
  <r>
    <s v="Powerstone Property Management"/>
    <s v="2024 (Aug/Sep) Canyon View Maintenance - (3 Year Plan)"/>
    <s v="Irvine"/>
    <d v="2024-06-07T00:00:00"/>
    <d v="2024-08-07T00:00:00"/>
    <d v="2024-08-16T00:00:00"/>
    <x v="16"/>
    <n v="19380"/>
    <n v="118.17"/>
    <x v="3"/>
    <m/>
    <s v="Removals"/>
  </r>
  <r>
    <s v="Amber Property Management"/>
    <s v="2024 (Removals) Terrace View Community Assoc-(Removal IDs 85-89)"/>
    <s v="Mission Viejo"/>
    <d v="2024-07-03T00:00:00"/>
    <m/>
    <d v="2024-08-22T00:00:00"/>
    <x v="17"/>
    <n v="3875"/>
    <n v="86.11"/>
    <x v="2"/>
    <s v="Removals"/>
    <s v="Removals"/>
  </r>
  <r>
    <s v="Amber Property Management"/>
    <s v="PERMIT / NOT A FULL DAY 2024 (Removal) Terrace View Community Assoc. (California Terrace)-(H/O Request Rec's)"/>
    <s v="Mission Viejo"/>
    <d v="2024-07-03T00:00:00"/>
    <m/>
    <d v="2024-08-22T00:00:00"/>
    <x v="17"/>
    <n v="895"/>
    <n v="19.89"/>
    <x v="2"/>
    <s v="Removals"/>
    <s v="Removals"/>
  </r>
  <r>
    <s v="Seabreeze Management Company"/>
    <s v="2024 (Aug/Sep) Seacliff Court Homeowners Association- (WO 26901; 47 Nightingale)"/>
    <s v="Aliso Viejo"/>
    <d v="2024-05-31T00:00:00"/>
    <m/>
    <d v="2024-08-22T00:00:00"/>
    <x v="17"/>
    <n v="50"/>
    <n v="1.39"/>
    <x v="2"/>
    <m/>
    <s v="Removals"/>
  </r>
  <r>
    <s v="Seabreeze Management Company"/>
    <s v="2024 - Seacliff Court Homeowners Association-(Approved Removal ID 3)"/>
    <s v="Aliso Viejo"/>
    <d v="2024-05-31T00:00:00"/>
    <m/>
    <d v="2024-08-22T00:00:00"/>
    <x v="17"/>
    <n v="495"/>
    <n v="13.75"/>
    <x v="2"/>
    <s v="Removals"/>
    <s v="Removals"/>
  </r>
  <r>
    <s v="BHE Management"/>
    <s v="2024 (Aug/Sep) Lantana Neighborhood Association- (3 Year Plan)CO 23137"/>
    <s v="Irvine"/>
    <d v="2024-05-17T00:00:00"/>
    <d v="2024-08-07T00:00:00"/>
    <d v="2024-08-21T00:00:00"/>
    <x v="17"/>
    <n v="8337"/>
    <n v="115.79"/>
    <x v="3"/>
    <m/>
    <s v="Removals"/>
  </r>
  <r>
    <s v="Optimum"/>
    <s v="2024 (Removals) Canyon Hills Condominium Association"/>
    <s v="Orange"/>
    <d v="2024-07-31T00:00:00"/>
    <d v="2024-08-06T00:00:00"/>
    <d v="2024-08-22T00:00:00"/>
    <x v="18"/>
    <n v="6850"/>
    <n v="126.85"/>
    <x v="1"/>
    <s v="Removals"/>
    <s v="Removals"/>
  </r>
  <r>
    <s v="TOTAL PROPERTY MGMT"/>
    <s v="2024 - Lakeview HOA - (Health Assessment Removals)"/>
    <s v="Anaheim"/>
    <d v="2024-07-30T00:00:00"/>
    <d v="2024-07-30T00:00:00"/>
    <d v="2024-08-21T00:00:00"/>
    <x v="18"/>
    <n v="8070"/>
    <n v="134.5"/>
    <x v="1"/>
    <s v="Removals"/>
    <s v="Removals"/>
  </r>
  <r>
    <s v="Seabreeze Management Company"/>
    <s v="2024 (Aug/Sep) Green Glen Neighborhood Assoc-(2024/25 Trimming)"/>
    <s v="Irvine"/>
    <d v="2024-06-28T00:00:00"/>
    <d v="2024-07-19T00:00:00"/>
    <d v="2024-08-19T00:00:00"/>
    <x v="18"/>
    <n v="20665"/>
    <n v="114.81"/>
    <x v="2"/>
    <m/>
    <s v="Removals"/>
  </r>
  <r>
    <s v="Seabreeze Management Company"/>
    <s v="2024 (Aug/Sep) Seacliff Court Homeowners Association-(3 Year Plan)CO 22056"/>
    <s v="Aliso Viejo"/>
    <d v="2024-04-25T00:00:00"/>
    <m/>
    <d v="2024-08-22T00:00:00"/>
    <x v="18"/>
    <n v="11195"/>
    <n v="165.85"/>
    <x v="2"/>
    <m/>
    <s v="Removals"/>
  </r>
  <r>
    <s v="BHE Management"/>
    <s v="2024 (Aug/Sept) Sage Maintenance Association - (Revised 3 Year Plan)CO 23210"/>
    <s v="Irvine"/>
    <d v="2024-06-10T00:00:00"/>
    <d v="2024-07-22T00:00:00"/>
    <d v="2024-08-07T00:00:00"/>
    <x v="18"/>
    <n v="33740"/>
    <n v="115.15"/>
    <x v="3"/>
    <m/>
    <s v="Removals"/>
  </r>
  <r>
    <s v="Keystone Pacific Property Management, LL"/>
    <s v="2024 (Jul/Sep) Amethyst at Parasol Park CO 23335"/>
    <s v="Irvine"/>
    <d v="2024-07-23T00:00:00"/>
    <m/>
    <d v="2024-08-23T00:00:00"/>
    <x v="18"/>
    <n v="5198"/>
    <n v="115.5"/>
    <x v="3"/>
    <m/>
    <s v="Removals"/>
  </r>
  <r>
    <s v="Carson Companies"/>
    <s v="HOLD 2024 (Jul/Sep) 16051 El Prado Road (2024 Tree Maintenance)"/>
    <s v="Chino"/>
    <d v="2024-04-02T00:00:00"/>
    <d v="2024-07-10T00:00:00"/>
    <d v="2024-08-24T00:00:00"/>
    <x v="19"/>
    <n v="960"/>
    <n v="120"/>
    <x v="1"/>
    <m/>
    <m/>
  </r>
  <r>
    <s v="LBA Realty"/>
    <s v="2024 (July &amp; Removals) 1650 N. Kraemer - (24 Recommendations)"/>
    <s v="Anaheim"/>
    <d v="2024-07-25T00:00:00"/>
    <m/>
    <d v="2024-08-24T00:00:00"/>
    <x v="19"/>
    <n v="2485"/>
    <n v="118.33"/>
    <x v="1"/>
    <s v="Removals"/>
    <s v="Removals"/>
  </r>
  <r>
    <s v="Irvine School District"/>
    <s v="2024 - EASTSHORE ELEMENTARY (FY 24/25 Trimming)"/>
    <s v="Irvine"/>
    <d v="2024-07-24T00:00:00"/>
    <d v="2024-08-07T00:00:00"/>
    <d v="2024-08-10T00:00:00"/>
    <x v="19"/>
    <n v="14459"/>
    <n v="84.56"/>
    <x v="0"/>
    <m/>
    <s v="Removals"/>
  </r>
  <r>
    <s v="Irvine School District"/>
    <s v="2024 - EASTWOOD ELEMENTARY (FY 24/25 Removal)"/>
    <s v="Irvine"/>
    <d v="2024-07-24T00:00:00"/>
    <m/>
    <d v="2024-08-24T00:00:00"/>
    <x v="19"/>
    <n v="176"/>
    <n v="4.9000000000000004"/>
    <x v="0"/>
    <s v="Removals"/>
    <s v="Removals"/>
  </r>
  <r>
    <s v="Irvine School District"/>
    <s v="2024 - EASTWOOD ELEMENTARY (FY 24/25 Trimming)"/>
    <s v="Irvine"/>
    <d v="2024-07-24T00:00:00"/>
    <m/>
    <d v="2024-08-24T00:00:00"/>
    <x v="19"/>
    <n v="8335"/>
    <n v="115.76"/>
    <x v="0"/>
    <m/>
    <s v="Removals"/>
  </r>
  <r>
    <s v="Irvine School District"/>
    <s v="2024 - IRVINE HIGH SCHOOL (Planting)"/>
    <s v="Irvine"/>
    <d v="2024-07-24T00:00:00"/>
    <m/>
    <d v="2024-08-24T00:00:00"/>
    <x v="19"/>
    <n v="1847"/>
    <n v="68.39"/>
    <x v="0"/>
    <m/>
    <s v="Removals"/>
  </r>
  <r>
    <s v="Irvine School District"/>
    <s v="2024 - IRVINE HIGH SCHOOL - (Removals)"/>
    <s v="Irvine"/>
    <d v="2024-07-24T00:00:00"/>
    <m/>
    <d v="2024-08-24T00:00:00"/>
    <x v="19"/>
    <n v="1825"/>
    <n v="67.58"/>
    <x v="0"/>
    <s v="Removals"/>
    <s v="Removals"/>
  </r>
  <r>
    <s v="Irvine School District"/>
    <s v="2024 - PORTOLA SPRINGS ELEMENTARY (FY 24/25 Trimming)"/>
    <s v="Irvine"/>
    <d v="2024-07-24T00:00:00"/>
    <m/>
    <d v="2024-08-17T00:00:00"/>
    <x v="19"/>
    <n v="11609"/>
    <n v="107.49"/>
    <x v="0"/>
    <m/>
    <s v="Removals"/>
  </r>
  <r>
    <s v="OCTA"/>
    <s v="RESCHEDULE 2024 - (Jan/Mar) Goldenwest Trans. Center (2024 Trimming)"/>
    <s v="Huntington Beach"/>
    <d v="2024-01-22T00:00:00"/>
    <d v="2024-02-21T00:00:00"/>
    <d v="2024-08-24T00:00:00"/>
    <x v="19"/>
    <n v="7015"/>
    <n v="154.18"/>
    <x v="0"/>
    <m/>
    <m/>
  </r>
  <r>
    <s v="ACTION PROPERTY MGMT"/>
    <s v="(AUG) 2024 - Cortile Maintenance Association-(3 Year Pine Removals Plan)CO 21986"/>
    <s v="Irvine"/>
    <d v="2024-04-02T00:00:00"/>
    <d v="2024-08-06T00:00:00"/>
    <d v="2024-08-19T00:00:00"/>
    <x v="20"/>
    <n v="16190"/>
    <n v="101.19"/>
    <x v="2"/>
    <s v="Removals"/>
    <s v="Removals"/>
  </r>
  <r>
    <s v="Amber Property Management"/>
    <s v="[TREATMENT] 2024 (Apr/Jun) Terrace View Community Assoc. (California Terrace)-(H/O Request Rec's)"/>
    <s v="Mission Viejo"/>
    <d v="2024-07-03T00:00:00"/>
    <m/>
    <d v="2024-08-26T00:00:00"/>
    <x v="20"/>
    <n v="350"/>
    <n v="0"/>
    <x v="2"/>
    <m/>
    <s v="Removals"/>
  </r>
  <r>
    <s v="Otis HOA Management"/>
    <s v="(BIRD NEST) 2024 - Danawoods Community-(Removal ID 51; Active Bird Nest)"/>
    <s v="Dana Point"/>
    <d v="2024-03-28T00:00:00"/>
    <m/>
    <d v="2024-08-26T00:00:00"/>
    <x v="20"/>
    <n v="3780"/>
    <n v="106.48"/>
    <x v="2"/>
    <s v="Removals"/>
    <s v="Removals"/>
  </r>
  <r>
    <s v="Otis HOA Management"/>
    <s v="2024 (Jul/Sep) Danawoods Community-(Revised WO 55332 Danabirch Rec;s)"/>
    <s v="Dana Point"/>
    <d v="2024-05-23T00:00:00"/>
    <m/>
    <d v="2024-08-26T00:00:00"/>
    <x v="20"/>
    <n v="594"/>
    <n v="118.75"/>
    <x v="2"/>
    <m/>
    <s v="Removals"/>
  </r>
  <r>
    <s v="Powerstone Property Management"/>
    <s v="2024 (Aug/Sep) Casafina HOA-(4 Year Plan)CO 21800"/>
    <s v="Rancho Santa Margarita"/>
    <d v="2023-12-08T00:00:00"/>
    <m/>
    <d v="2024-08-26T00:00:00"/>
    <x v="20"/>
    <n v="4916"/>
    <n v="136.57"/>
    <x v="2"/>
    <m/>
    <s v="Removals"/>
  </r>
  <r>
    <s v="Powerstone Property Management"/>
    <s v="NOT A FULL DAY 2024 - Marinita Townhomes Association-(Tree Removal IDs 48-49)"/>
    <s v="Dana Point"/>
    <d v="2024-05-07T00:00:00"/>
    <m/>
    <d v="2024-08-26T00:00:00"/>
    <x v="20"/>
    <n v="645"/>
    <n v="129"/>
    <x v="2"/>
    <s v="Removals"/>
    <s v="Removals"/>
  </r>
  <r>
    <s v="Laguna Woods Village"/>
    <s v="2024 - WR52226 | United Mutual | Buildings 830-913 (5 Year)"/>
    <s v="Laguna Hills"/>
    <d v="2024-07-22T00:00:00"/>
    <m/>
    <d v="2024-08-22T00:00:00"/>
    <x v="20"/>
    <n v="7400"/>
    <n v="54.81"/>
    <x v="0"/>
    <m/>
    <s v="Removals"/>
  </r>
  <r>
    <s v="Amber Property Management"/>
    <s v="[TREATMENT] 2024 - Terrace View Community Assoc-(Palo Verde Fertilize Treatment)"/>
    <s v="Mission Viejo"/>
    <d v="2024-07-03T00:00:00"/>
    <m/>
    <d v="2024-08-27T00:00:00"/>
    <x v="21"/>
    <n v="175"/>
    <n v="0"/>
    <x v="2"/>
    <m/>
    <s v="Removals"/>
  </r>
  <r>
    <s v="Powerstone Property Management"/>
    <s v="NOT A FULL DAY 2024 (Apr/Jun) Mission Sunrise Ridge-(25192 Fairgreen Side Trim)"/>
    <s v="Mission Viejo"/>
    <d v="2024-06-05T00:00:00"/>
    <m/>
    <d v="2024-08-27T00:00:00"/>
    <x v="21"/>
    <n v="563"/>
    <n v="12.5"/>
    <x v="2"/>
    <m/>
    <s v="Removals"/>
  </r>
  <r>
    <s v="The Management Trust"/>
    <s v="2023 (Aug/Sep) (N) - St. Albans - (Trees missed due to parked cars)"/>
    <s v="Santa Ana"/>
    <d v="2023-08-10T00:00:00"/>
    <d v="2023-10-23T00:00:00"/>
    <d v="2024-08-27T00:00:00"/>
    <x v="21"/>
    <n v="305"/>
    <n v="122"/>
    <x v="3"/>
    <m/>
    <m/>
  </r>
  <r>
    <s v="Candy Cane Inn"/>
    <s v="NEEP WF MAP 2024 (Aug/Sep) Candy Cane Inn - (24 Recommendations)"/>
    <s v="Anaheim"/>
    <d v="2024-06-04T00:00:00"/>
    <d v="2024-07-18T00:00:00"/>
    <d v="2024-08-27T00:00:00"/>
    <x v="22"/>
    <n v="4890"/>
    <n v="116.43"/>
    <x v="1"/>
    <m/>
    <m/>
  </r>
  <r>
    <s v="FirstService Residential"/>
    <s v="[TREATMENT] 2024 - Pacific Hills HOA-(WO 12159 Pepper Treatment)"/>
    <s v="Mission Viejo"/>
    <d v="2024-05-31T00:00:00"/>
    <m/>
    <d v="2024-08-28T00:00:00"/>
    <x v="22"/>
    <n v="740"/>
    <n v="0"/>
    <x v="2"/>
    <m/>
    <s v="Removals"/>
  </r>
  <r>
    <s v="Revolve Property Management"/>
    <s v="2024 (Jul/Sep &amp; Removal) Greenbriar Neighborhood - (Revised 3 Year Plan)"/>
    <s v="Ladera Ranch"/>
    <d v="2024-07-31T00:00:00"/>
    <m/>
    <d v="2024-08-23T00:00:00"/>
    <x v="22"/>
    <n v="14825"/>
    <n v="114.92"/>
    <x v="2"/>
    <s v="Removals"/>
    <s v="Removals"/>
  </r>
  <r>
    <s v="Powerstone Property Management"/>
    <s v="POST 2024 - (Jul/Sep) Pacific Shores HOA - (24 Recommendations) CO 23368"/>
    <s v="Huntington Beach"/>
    <d v="2024-08-07T00:00:00"/>
    <d v="2024-08-01T00:00:00"/>
    <d v="2024-08-21T00:00:00"/>
    <x v="23"/>
    <n v="18931"/>
    <n v="116.86"/>
    <x v="1"/>
    <m/>
    <s v="Removals"/>
  </r>
  <r>
    <s v="Tritz Professional Management Service, I"/>
    <s v="2024 -(Jul/Sep) Cabo Del Mar - (2024 Recommendations)"/>
    <s v="Huntington Beach"/>
    <d v="2023-11-09T00:00:00"/>
    <d v="2024-07-30T00:00:00"/>
    <d v="2024-08-19T00:00:00"/>
    <x v="23"/>
    <n v="18140"/>
    <n v="116.28"/>
    <x v="1"/>
    <m/>
    <s v="Removals"/>
  </r>
  <r>
    <s v="Platinum Management Group"/>
    <s v="PERMIT? 2024 (Removals) Niguel Villas Association-(2024/25 Removals)"/>
    <s v="Laguna Niguel"/>
    <d v="2024-07-31T00:00:00"/>
    <m/>
    <d v="2024-08-26T00:00:00"/>
    <x v="23"/>
    <n v="15475"/>
    <n v="107.47"/>
    <x v="2"/>
    <s v="Removals"/>
    <s v="Removals"/>
  </r>
  <r>
    <s v="Seabreeze Management Company"/>
    <s v="NOT A FULL DAY 2024 (Jul/Sep) Chandon HOA-(Crown Reduction Unit 213)"/>
    <s v="Laguna Niguel"/>
    <d v="2024-03-26T00:00:00"/>
    <m/>
    <d v="2024-08-29T00:00:00"/>
    <x v="23"/>
    <n v="170"/>
    <n v="85"/>
    <x v="2"/>
    <m/>
    <s v="Removals"/>
  </r>
  <r>
    <s v="The Management Trust"/>
    <s v="2024 - (Aug/Sep) St. Albans - (3 Year Plan)"/>
    <s v="Santa Ana"/>
    <d v="2023-07-17T00:00:00"/>
    <m/>
    <d v="2024-08-28T00:00:00"/>
    <x v="23"/>
    <n v="6865"/>
    <n v="95.34"/>
    <x v="3"/>
    <m/>
    <s v="Removals"/>
  </r>
  <r>
    <s v="Amber Property Management"/>
    <s v="2024 - (Aug/Sep) North Bluff Bayview (2024 Tree Maintenance)"/>
    <s v="Newport Beach"/>
    <d v="2024-04-25T00:00:00"/>
    <d v="2024-07-30T00:00:00"/>
    <d v="2024-08-20T00:00:00"/>
    <x v="23"/>
    <n v="29390"/>
    <n v="116.63"/>
    <x v="0"/>
    <m/>
    <s v="Removals"/>
  </r>
  <r>
    <s v="Mariners Church"/>
    <s v="[TREATMENT] 2024 (Apr/Jun) Mariners Church - (ID 316-318)"/>
    <s v="Irvine"/>
    <d v="2024-07-12T00:00:00"/>
    <m/>
    <d v="2024-08-29T00:00:00"/>
    <x v="23"/>
    <n v="350"/>
    <n v="0"/>
    <x v="0"/>
    <m/>
    <s v="Removals"/>
  </r>
  <r>
    <s v="Bentley Community Management, Inc."/>
    <s v="2024 - (Aug/Sep) Promenade at Seagate - (24 Recommendations)"/>
    <s v="Huntington Beach"/>
    <d v="2024-05-16T00:00:00"/>
    <m/>
    <d v="2024-08-29T00:00:00"/>
    <x v="24"/>
    <n v="5052"/>
    <n v="140.33000000000001"/>
    <x v="1"/>
    <m/>
    <s v="Removals"/>
  </r>
  <r>
    <s v="Optimum"/>
    <s v="2024 - (Aug/Sep &amp; Removal) Village Grove HOA - (3 Year Plan)"/>
    <s v="Corona"/>
    <d v="2024-05-13T00:00:00"/>
    <m/>
    <d v="2024-08-30T00:00:00"/>
    <x v="24"/>
    <n v="5601"/>
    <n v="155.59"/>
    <x v="1"/>
    <s v="Removals"/>
    <s v="Removals"/>
  </r>
  <r>
    <s v="Otis HOA Management"/>
    <s v="PERMIT? 2024 (Jul/Sep) Danawoods Community-(Revised 4 Year Plan)"/>
    <s v="Dana Point"/>
    <d v="2024-01-29T00:00:00"/>
    <m/>
    <d v="2024-08-27T00:00:00"/>
    <x v="24"/>
    <n v="20642"/>
    <n v="114.68"/>
    <x v="2"/>
    <m/>
    <s v="Removals"/>
  </r>
  <r>
    <s v="Powerstone Property Management"/>
    <s v="2024 - (Aug/Sep) Laguna Altura-(Revised 2024 Competitive Bid)"/>
    <s v="Irvine"/>
    <d v="2024-03-06T00:00:00"/>
    <d v="2024-04-29T00:00:00"/>
    <d v="2024-08-26T00:00:00"/>
    <x v="24"/>
    <n v="15095"/>
    <n v="111.81"/>
    <x v="2"/>
    <m/>
    <s v="Removals"/>
  </r>
  <r>
    <s v="Powerstone Property Management"/>
    <s v="PERMIT? 2024 (Jul/Sep) Mission Sunrise Ridge-(3 Year Plan)"/>
    <s v="Mission Viejo"/>
    <d v="2024-04-25T00:00:00"/>
    <m/>
    <d v="2024-08-28T00:00:00"/>
    <x v="24"/>
    <n v="12421"/>
    <n v="115"/>
    <x v="2"/>
    <m/>
    <s v="Removals"/>
  </r>
  <r>
    <s v="Tritz Professional Management Service, I"/>
    <s v="[TREATMENT] 2024 - Serrano Woods HOA-(Eucalyptus Treatment)"/>
    <s v="Lake Forest"/>
    <d v="2024-07-22T00:00:00"/>
    <m/>
    <d v="2024-08-30T00:00:00"/>
    <x v="24"/>
    <n v="3570"/>
    <n v="0"/>
    <x v="2"/>
    <m/>
    <s v="Removals"/>
  </r>
  <r>
    <s v="Irvine Company - Retail (GPS)"/>
    <s v="2024 - Culver Plaza (Olive Trimming)"/>
    <s v="Irvine"/>
    <d v="2024-08-07T00:00:00"/>
    <d v="2024-08-07T00:00:00"/>
    <d v="2024-08-12T00:00:00"/>
    <x v="24"/>
    <n v="25740"/>
    <n v="114.4"/>
    <x v="0"/>
    <m/>
    <m/>
  </r>
  <r>
    <s v="Laguna Woods Village"/>
    <s v="2024 - WR52230 | Third Mutual | Buildings 5497-5519 (Deferred)"/>
    <s v="Laguna Hills"/>
    <d v="2024-07-23T00:00:00"/>
    <m/>
    <d v="2024-08-27T00:00:00"/>
    <x v="24"/>
    <n v="10400"/>
    <n v="57.78"/>
    <x v="0"/>
    <m/>
    <s v="Removals"/>
  </r>
  <r>
    <s v="REGENT ASSOCIATION SERVICES"/>
    <s v="2024 - Westminster Village HOA-(Removal ID 29)"/>
    <s v="Westminster"/>
    <d v="2024-07-13T00:00:00"/>
    <m/>
    <d v="2024-09-03T00:00:00"/>
    <x v="25"/>
    <n v="395"/>
    <n v="131.66999999999999"/>
    <x v="1"/>
    <s v="Removals"/>
    <s v="Removals"/>
  </r>
  <r>
    <s v="Property Management Professionals, LLC"/>
    <s v="2024 - Northwood Estates - (Missed Tree due to Birds Nest)"/>
    <s v="Irvine"/>
    <d v="2024-05-16T00:00:00"/>
    <m/>
    <d v="2024-09-03T00:00:00"/>
    <x v="25"/>
    <n v="2695"/>
    <n v="99.81"/>
    <x v="4"/>
    <s v="Removals"/>
    <m/>
  </r>
  <r>
    <s v="Irvine Company - Retail (GPS)"/>
    <s v="PRE-BILLED --2024 (Apr/Jun) Woodbury Town Center (Spring Trimming: Foothill)"/>
    <s v="Irvine"/>
    <d v="2024-05-20T00:00:00"/>
    <d v="2024-08-06T00:00:00"/>
    <d v="2024-08-15T00:00:00"/>
    <x v="25"/>
    <n v="17300"/>
    <n v="115.33"/>
    <x v="0"/>
    <m/>
    <m/>
  </r>
  <r>
    <s v="Irvine Company - Retail (GPS)"/>
    <s v="PRE-BILLED --2024 - Woodbury Town Center (Dact Palm Pineapple)"/>
    <s v="Irvine"/>
    <d v="2024-05-20T00:00:00"/>
    <d v="2024-08-06T00:00:00"/>
    <d v="2024-08-15T00:00:00"/>
    <x v="25"/>
    <n v="17500"/>
    <n v="79.28"/>
    <x v="0"/>
    <m/>
    <s v="Removals"/>
  </r>
  <r>
    <s v="Optimum"/>
    <s v="Dont move 2024 - (Oct/Dec) Monticello Community Association - (3 Year Plan)"/>
    <s v="Costa Mesa"/>
    <d v="2024-03-07T00:00:00"/>
    <m/>
    <d v="2024-09-03T00:00:00"/>
    <x v="26"/>
    <n v="5570"/>
    <n v="103.15"/>
    <x v="1"/>
    <m/>
    <s v="Removals"/>
  </r>
  <r>
    <s v="Powerstone Property Management"/>
    <s v="2024 (Aug/Sep) The Terrace Community Association - (24 Recommendations) CO 22017"/>
    <s v="Irvine"/>
    <d v="2024-04-12T00:00:00"/>
    <m/>
    <d v="2024-08-27T00:00:00"/>
    <x v="26"/>
    <n v="30486"/>
    <n v="112.91"/>
    <x v="1"/>
    <m/>
    <s v="Removals"/>
  </r>
  <r>
    <s v="The Management Trust"/>
    <s v="Dont Move 2024 - (Oct/Dec) Evergreen Country Villas - (3 Year Plan) CO 23344"/>
    <s v="Anaheim"/>
    <d v="2024-07-30T00:00:00"/>
    <m/>
    <d v="2024-09-03T00:00:00"/>
    <x v="26"/>
    <n v="6775"/>
    <n v="125.46"/>
    <x v="1"/>
    <m/>
    <s v="Removals"/>
  </r>
  <r>
    <s v="Seabreeze Management Company"/>
    <s v="2024 (Jul/Sep) Chandon HOA-(2024 Snapshot)"/>
    <s v="Laguna Niguel"/>
    <d v="2023-12-12T00:00:00"/>
    <m/>
    <d v="2024-08-30T00:00:00"/>
    <x v="26"/>
    <n v="15645"/>
    <n v="144.86000000000001"/>
    <x v="2"/>
    <m/>
    <s v="Removals"/>
  </r>
  <r>
    <s v="Crummack Huseby, Inc."/>
    <s v="(Birds Nest)2024 -(Jan/Mar) Northpark Maintenance HOA-(Wind Row Trees) - (D 5-72; Missed Tree due to birds nest)"/>
    <s v="Irvine"/>
    <d v="2024-04-09T00:00:00"/>
    <m/>
    <d v="2024-09-04T00:00:00"/>
    <x v="26"/>
    <n v="295"/>
    <n v="10.93"/>
    <x v="0"/>
    <m/>
    <s v="Removals"/>
  </r>
  <r>
    <s v="Platinum Management Group"/>
    <s v="2024 (Aug/Sep) Niguel Villas Association-(3 Year Plan)"/>
    <s v="Laguna Niguel"/>
    <d v="2024-07-05T00:00:00"/>
    <m/>
    <d v="2024-08-30T00:00:00"/>
    <x v="27"/>
    <n v="17001"/>
    <n v="118.06"/>
    <x v="2"/>
    <m/>
    <s v="Removals"/>
  </r>
  <r>
    <s v="Optimum"/>
    <s v="2024 - Rancho Veracruz Condominium Assoc. - (WO XN3660475)"/>
    <s v="Tustin"/>
    <d v="2024-05-01T00:00:00"/>
    <m/>
    <d v="2024-09-05T00:00:00"/>
    <x v="27"/>
    <n v="230"/>
    <n v="6.39"/>
    <x v="3"/>
    <m/>
    <s v="Removals"/>
  </r>
  <r>
    <s v="Optimum"/>
    <s v="VERIFY NEST 2024 - Rancho Veracruz Condominium Association - (Removal ID 18; Birds Nest Interference)"/>
    <s v="Tustin"/>
    <d v="2024-04-19T00:00:00"/>
    <m/>
    <d v="2024-09-05T00:00:00"/>
    <x v="27"/>
    <n v="2295"/>
    <n v="63.75"/>
    <x v="3"/>
    <s v="Removals"/>
    <s v="Removals"/>
  </r>
  <r>
    <s v="Irvine Company - Retail (GPS)"/>
    <s v="2024 (Jul/Sep) Crystal Cove (Olive Trimming)"/>
    <s v="Newport Beach"/>
    <d v="2024-08-07T00:00:00"/>
    <d v="2024-08-07T00:00:00"/>
    <d v="2024-08-13T00:00:00"/>
    <x v="27"/>
    <n v="19440"/>
    <n v="114.35"/>
    <x v="0"/>
    <m/>
    <m/>
  </r>
  <r>
    <s v="Powerstone Property Management"/>
    <s v="2024 (Sep/Oct) The Village Cottages (3 Year Plan)CO 21806"/>
    <s v="Aliso Viejo"/>
    <d v="2023-12-08T00:00:00"/>
    <m/>
    <d v="2024-09-06T00:00:00"/>
    <x v="28"/>
    <n v="5513"/>
    <n v="122.5"/>
    <x v="2"/>
    <m/>
    <s v="Removals"/>
  </r>
  <r>
    <s v="TOTAL PROPERTY MGMT"/>
    <s v="2024 (Aug/Sep) Briar Rose Community Association-(3 Year Plan)"/>
    <s v="Ladera Ranch"/>
    <d v="2024-03-26T00:00:00"/>
    <m/>
    <d v="2024-09-06T00:00:00"/>
    <x v="28"/>
    <n v="4385"/>
    <n v="121.81"/>
    <x v="2"/>
    <m/>
    <s v="Removals"/>
  </r>
  <r>
    <s v="Great Scott Tree Care"/>
    <s v="2022 - Canada Yard- (Exterior Clean-up)."/>
    <s v="Lake Forest"/>
    <d v="2022-06-23T00:00:00"/>
    <d v="2023-05-25T00:00:00"/>
    <d v="2022-06-25T00:00:00"/>
    <x v="29"/>
    <n v="0"/>
    <n v="0"/>
    <x v="0"/>
    <m/>
    <m/>
  </r>
  <r>
    <s v="BHE Management"/>
    <s v="2024 (Aug/Sept) The Vine at Portola Springs - (3 Year Plan)CO 22093"/>
    <s v="Irvine"/>
    <d v="2024-05-02T00:00:00"/>
    <m/>
    <d v="2024-09-05T00:00:00"/>
    <x v="30"/>
    <n v="11645"/>
    <n v="107.82"/>
    <x v="2"/>
    <m/>
    <s v="Removals"/>
  </r>
  <r>
    <s v="Seabreeze Management Company"/>
    <s v="NOT A FULL DAY 2024 (Apr/Jun) Ridgemont Community Association -(6 Missed Tristanias due to parked cars)"/>
    <s v="Mission Viejo"/>
    <d v="2024-06-06T00:00:00"/>
    <m/>
    <d v="2024-09-09T00:00:00"/>
    <x v="30"/>
    <n v="535"/>
    <n v="14.86"/>
    <x v="2"/>
    <m/>
    <s v="Removals"/>
  </r>
  <r>
    <s v="Laguna Woods Village"/>
    <s v="2024 - WR52230 | Third Mutual | Buildings 5497-5519 (Unit Price)"/>
    <s v="Laguna Hills"/>
    <d v="2024-07-23T00:00:00"/>
    <m/>
    <d v="2024-09-09T00:00:00"/>
    <x v="30"/>
    <n v="3515"/>
    <n v="78.11"/>
    <x v="0"/>
    <m/>
    <s v="Removals"/>
  </r>
  <r>
    <s v="Powerstone Property Management"/>
    <s v="(SEPT) 2024 - (Oct/Dec) Riverbeach HOA - (3 Year Plan) CO 21848"/>
    <s v="Seal Beach"/>
    <d v="2024-01-09T00:00:00"/>
    <d v="2024-07-12T00:00:00"/>
    <d v="2024-09-09T00:00:00"/>
    <x v="31"/>
    <n v="5771"/>
    <n v="113.16"/>
    <x v="1"/>
    <m/>
    <s v="Removals"/>
  </r>
  <r>
    <s v="Tritz Professional Management Service, I"/>
    <s v="2024 - Chelsea Place HOA - (Revised Eucalyptus Removals)"/>
    <s v="Westminster"/>
    <d v="2024-07-22T00:00:00"/>
    <m/>
    <d v="2024-09-03T00:00:00"/>
    <x v="31"/>
    <n v="21500"/>
    <n v="119.44"/>
    <x v="1"/>
    <s v="Removals"/>
    <s v="Removals"/>
  </r>
  <r>
    <s v="Crummack Huseby, Inc."/>
    <s v="PERMIT==2024 - (Removals) Northpark Maintenance HOA-(Wind Row Trees) - (2024 Recs)"/>
    <s v="Irvine"/>
    <d v="2024-03-21T00:00:00"/>
    <m/>
    <d v="2024-09-05T00:00:00"/>
    <x v="31"/>
    <n v="9070"/>
    <n v="111.98"/>
    <x v="0"/>
    <s v="Removals"/>
    <s v="Removals"/>
  </r>
  <r>
    <s v="BHE Management"/>
    <s v="NOT A FULL DAY 2024 (Aug/Sep) C2E Townhomes Community - (3 Year Plan)CO 23144"/>
    <s v="Irvine"/>
    <d v="2024-05-20T00:00:00"/>
    <m/>
    <d v="2024-09-10T00:00:00"/>
    <x v="31"/>
    <n v="2242"/>
    <n v="49.82"/>
    <x v="3"/>
    <m/>
    <s v="Removals"/>
  </r>
  <r>
    <s v="FirstService Residential"/>
    <s v="2024 (Aug/Sep) Classics Lake Forest-(3 Year Plan)CO 23216"/>
    <s v="Lake Forest"/>
    <d v="2024-06-10T00:00:00"/>
    <m/>
    <d v="2024-09-10T00:00:00"/>
    <x v="32"/>
    <n v="8495"/>
    <n v="117.98"/>
    <x v="2"/>
    <m/>
    <s v="Removals"/>
  </r>
  <r>
    <s v="Keystone Pacific Property Management, LL"/>
    <s v="(SEPT) 2024 (Apr/Jun) Seacove Place HOA – (2024 Cypress Italian Reduction)"/>
    <s v="Aliso Viejo"/>
    <d v="2024-07-03T00:00:00"/>
    <d v="2024-07-08T00:00:00"/>
    <d v="2024-09-11T00:00:00"/>
    <x v="32"/>
    <n v="2000"/>
    <n v="55.56"/>
    <x v="2"/>
    <m/>
    <s v="Removals"/>
  </r>
  <r>
    <s v="Keystone Pacific Property Management, LL"/>
    <s v="(SEPT) 2024 - Seacove Place HOA-(2024 Removals)"/>
    <s v="Aliso Viejo"/>
    <d v="2024-07-03T00:00:00"/>
    <d v="2024-07-08T00:00:00"/>
    <d v="2024-09-11T00:00:00"/>
    <x v="32"/>
    <n v="1680"/>
    <n v="46.67"/>
    <x v="2"/>
    <s v="Removals"/>
    <s v="Removals"/>
  </r>
  <r>
    <s v="BHE Management"/>
    <s v="2024 (Aug/Sep) Vientos Maintenance Association - (3 Year Plan)CO 23148"/>
    <s v="Irvine"/>
    <d v="2024-05-17T00:00:00"/>
    <m/>
    <d v="2024-09-09T00:00:00"/>
    <x v="32"/>
    <n v="14700"/>
    <n v="108.89"/>
    <x v="3"/>
    <m/>
    <s v="Removals"/>
  </r>
  <r>
    <s v="Associa (AKA PCM)"/>
    <s v="Presite 2024 - Seawind Community Association - (Revised 2024 Removals)"/>
    <s v="Newport Beach"/>
    <d v="2024-07-26T00:00:00"/>
    <m/>
    <d v="2024-09-11T00:00:00"/>
    <x v="33"/>
    <n v="6141"/>
    <n v="113.72"/>
    <x v="2"/>
    <s v="Removals"/>
    <s v="Removals"/>
  </r>
  <r>
    <s v="Cardinal Property Management"/>
    <s v="2024 (Aug/Sep) Vista San Joaquin HOA-(4 Year Plan)"/>
    <s v="Irvine"/>
    <d v="2024-06-17T00:00:00"/>
    <m/>
    <d v="2024-09-12T00:00:00"/>
    <x v="33"/>
    <n v="4423"/>
    <n v="122.85"/>
    <x v="2"/>
    <m/>
    <s v="Removals"/>
  </r>
  <r>
    <s v="Keystone Pacific Property Management, LL"/>
    <s v="2024 (Aug/Sep &amp; Removals) Seacove Place HOA - (LS Walk 07/15; Deliverables)"/>
    <s v="Aliso Viejo"/>
    <d v="2024-07-31T00:00:00"/>
    <m/>
    <d v="2024-09-12T00:00:00"/>
    <x v="33"/>
    <n v="2610"/>
    <n v="72.5"/>
    <x v="2"/>
    <s v="Removals"/>
    <s v="Removals"/>
  </r>
  <r>
    <s v="Seabreeze Management Company"/>
    <s v="2024 HOLD (Aug/Sep) The Springs Condominium - (3 Year Plan) CO 21609"/>
    <s v="Irvine"/>
    <d v="2023-07-27T00:00:00"/>
    <m/>
    <d v="2024-09-11T00:00:00"/>
    <x v="34"/>
    <n v="11380"/>
    <n v="105.37"/>
    <x v="3"/>
    <m/>
    <s v="Removals"/>
  </r>
  <r>
    <s v="Molina Healthcare, Inc."/>
    <s v="2024 (Jul/Sept) Molina Healthcare, Inc. - (Revised 2024 Recs)"/>
    <s v="Long Beach"/>
    <d v="2024-08-02T00:00:00"/>
    <m/>
    <d v="2024-09-07T00:00:00"/>
    <x v="35"/>
    <n v="10125"/>
    <n v="112.5"/>
    <x v="1"/>
    <m/>
    <m/>
  </r>
  <r>
    <s v="Powerstone Property Management"/>
    <s v="2024 (Aug/Sep) Pacific Ranch HOA - (3 Year Plan)"/>
    <s v="Huntington Beach"/>
    <d v="2024-04-10T00:00:00"/>
    <m/>
    <d v="2024-09-03T00:00:00"/>
    <x v="36"/>
    <n v="29645"/>
    <n v="122"/>
    <x v="1"/>
    <m/>
    <s v="Removals"/>
  </r>
  <r>
    <s v="Tritz Professional Management Service, I"/>
    <s v="2024 (Aug/Sept) Chelsea Place HOA - (Revised 2024 Recs)"/>
    <s v="Westminster"/>
    <d v="2024-07-22T00:00:00"/>
    <m/>
    <d v="2024-09-11T00:00:00"/>
    <x v="36"/>
    <n v="16290"/>
    <n v="113.13"/>
    <x v="1"/>
    <m/>
    <s v="Removals"/>
  </r>
  <r>
    <s v="Associa (AKA PCM)"/>
    <s v="2024 (Aug/Sep) Seawind Community Association - (Revised 3 Year Plan)"/>
    <s v="Newport Beach"/>
    <d v="2024-07-31T00:00:00"/>
    <m/>
    <d v="2024-09-13T00:00:00"/>
    <x v="36"/>
    <n v="7490"/>
    <n v="138.69999999999999"/>
    <x v="2"/>
    <m/>
    <s v="Removals"/>
  </r>
  <r>
    <s v="Keystone Pacific Property Management, LL"/>
    <s v="2024 (Aug/Sep) Seacove Place HOA-(3 Year Plan)"/>
    <s v="Aliso Viejo"/>
    <d v="2024-07-03T00:00:00"/>
    <m/>
    <d v="2024-09-13T00:00:00"/>
    <x v="36"/>
    <n v="10435"/>
    <n v="115.94"/>
    <x v="2"/>
    <m/>
    <s v="Removals"/>
  </r>
  <r>
    <s v="Optimum"/>
    <s v="Permit? 2024 The Villages at Heritage Springs HOA - (Revised Removal Plan)"/>
    <s v="Santa Fe Springs"/>
    <d v="2024-08-07T00:00:00"/>
    <m/>
    <d v="2024-09-17T00:00:00"/>
    <x v="37"/>
    <n v="6285"/>
    <n v="116.39"/>
    <x v="1"/>
    <s v="Removals"/>
    <s v="Removals"/>
  </r>
  <r>
    <s v="Irvine Company - Retail (GPS)"/>
    <s v="2024 - (Jul/Sep) PLACEHOLDER: Coastal Collection (Summer 24/25)"/>
    <s v="Irvine"/>
    <d v="2024-01-10T00:00:00"/>
    <m/>
    <d v="2024-08-22T00:00:00"/>
    <x v="37"/>
    <n v="51210"/>
    <n v="111.57"/>
    <x v="0"/>
    <m/>
    <m/>
  </r>
  <r>
    <s v="Irvine Spectrum"/>
    <s v="2024 - === PLACEHOLDER ==="/>
    <s v="Irvine"/>
    <d v="2024-08-01T00:00:00"/>
    <m/>
    <d v="2024-09-03T00:00:00"/>
    <x v="37"/>
    <n v="100000"/>
    <n v="115.74"/>
    <x v="0"/>
    <m/>
    <m/>
  </r>
  <r>
    <s v="Powerstone Property Management"/>
    <s v="2024 (Rem &amp; Root Prune) California Renaissance-(WO 12406-8811 Recommendations)"/>
    <s v="Aliso Viejo"/>
    <d v="2024-07-11T00:00:00"/>
    <m/>
    <d v="2024-09-19T00:00:00"/>
    <x v="38"/>
    <n v="1145"/>
    <n v="42.41"/>
    <x v="2"/>
    <s v="Removals"/>
    <s v="Removals"/>
  </r>
  <r>
    <s v="Powerstone Property Management"/>
    <s v="2024 (Aug/Sep) California Renaissance-(Revised 3 Year Plan)CO 23136"/>
    <s v="Aliso Viejo"/>
    <d v="2024-05-20T00:00:00"/>
    <m/>
    <d v="2024-09-19T00:00:00"/>
    <x v="39"/>
    <n v="5874"/>
    <n v="82.74"/>
    <x v="2"/>
    <m/>
    <s v="Removals"/>
  </r>
  <r>
    <s v="Powerstone Property Management"/>
    <s v="2024 - (Oct/Dec) Heritage Place Community HOA - (3 Year Plan)"/>
    <s v="Anaheim"/>
    <d v="2023-11-16T00:00:00"/>
    <m/>
    <d v="2024-09-30T00:00:00"/>
    <x v="40"/>
    <n v="3425"/>
    <n v="126.85"/>
    <x v="1"/>
    <m/>
    <m/>
  </r>
  <r>
    <s v="FirstService Residential"/>
    <s v="2024 - Pacific Hills HOA (PACH)-(Olive Behind 9 Regalo; Active Beehive)"/>
    <s v="Mission Viejo"/>
    <d v="2024-06-04T00:00:00"/>
    <d v="2024-06-07T00:00:00"/>
    <d v="2024-09-30T00:00:00"/>
    <x v="40"/>
    <n v="115"/>
    <n v="115"/>
    <x v="2"/>
    <m/>
    <m/>
  </r>
  <r>
    <s v="BHE Management"/>
    <s v="2024 - (Oct/Dec) MacKay Community Association - (3 Year Plan)"/>
    <s v="Cypress"/>
    <d v="2024-06-11T00:00:00"/>
    <m/>
    <d v="2024-10-01T00:00:00"/>
    <x v="41"/>
    <n v="3090"/>
    <n v="171.67"/>
    <x v="1"/>
    <m/>
    <m/>
  </r>
  <r>
    <s v="TOTAL PROPERTY MGMT"/>
    <s v="2024 (Oct/Dec &amp; Removal) The Grove at Mesa Del Mar - (Revised 24 Recs)"/>
    <s v="Costa Mesa"/>
    <d v="2024-08-05T00:00:00"/>
    <m/>
    <d v="2024-10-01T00:00:00"/>
    <x v="41"/>
    <n v="3030"/>
    <n v="112.22"/>
    <x v="1"/>
    <s v="Removals"/>
    <s v="Removals"/>
  </r>
  <r>
    <s v="BHE Management"/>
    <s v="2024 (Oct/Dec) Indigo at Portola Springs (3 Year Plan _Revised)CO 22094"/>
    <s v="Irvine"/>
    <d v="2024-05-02T00:00:00"/>
    <m/>
    <d v="2024-09-30T00:00:00"/>
    <x v="41"/>
    <n v="5943"/>
    <n v="102.47"/>
    <x v="2"/>
    <m/>
    <s v="Removals"/>
  </r>
  <r>
    <s v="Seabreeze Management Company"/>
    <s v="2024 (Oct/Dec) Vista de Oro Homeowners Association-(Revised Approved 3 Year Plan)CO 355517"/>
    <s v="Aliso Viejo"/>
    <d v="2024-05-22T00:00:00"/>
    <m/>
    <d v="2024-10-01T00:00:00"/>
    <x v="41"/>
    <n v="5723"/>
    <n v="158.96"/>
    <x v="2"/>
    <m/>
    <s v="Removals"/>
  </r>
  <r>
    <s v="BHE Management"/>
    <s v="2024 (Oct/Dec) C2E Townhomes Community - (3 Year Plan)CO 23145"/>
    <s v="Irvine"/>
    <d v="2024-05-20T00:00:00"/>
    <m/>
    <d v="2024-10-01T00:00:00"/>
    <x v="41"/>
    <n v="4263"/>
    <n v="0"/>
    <x v="3"/>
    <m/>
    <s v="Removals"/>
  </r>
  <r>
    <s v="FirstService Residential"/>
    <s v="2024 (Oct/Dec) Marbella Maintenance Corp. (MAR)-(Approved Revised 3 Year Plan)CO 22089"/>
    <s v="Rancho Santa Margarita"/>
    <d v="2024-05-01T00:00:00"/>
    <m/>
    <d v="2024-10-01T00:00:00"/>
    <x v="42"/>
    <n v="7156"/>
    <n v="135.01"/>
    <x v="2"/>
    <m/>
    <s v="Removals"/>
  </r>
  <r>
    <s v="Powerstone Property Management"/>
    <s v="PERMIT 2024 (Oct/Dec) Tustin Field II-(2024 Trimming)"/>
    <s v="Tustin"/>
    <d v="2024-06-12T00:00:00"/>
    <m/>
    <d v="2024-10-02T00:00:00"/>
    <x v="42"/>
    <n v="3275"/>
    <n v="90.97"/>
    <x v="2"/>
    <m/>
    <s v="Removals"/>
  </r>
  <r>
    <s v="Irvine Company - Retail (GPS)"/>
    <s v="2024 (Jul/Aug) PLACEHOLDER: Foothill Collection (Summer 24/25)"/>
    <s v="Irvine"/>
    <d v="2024-01-05T00:00:00"/>
    <m/>
    <d v="2024-09-16T00:00:00"/>
    <x v="42"/>
    <n v="77940"/>
    <n v="133.22999999999999"/>
    <x v="0"/>
    <m/>
    <m/>
  </r>
  <r>
    <s v="BHE Management"/>
    <s v="2024 (Oct/Dec) Vientos Maintenance Association - (3 Year Plan)CO 23149"/>
    <s v="Irvine"/>
    <d v="2024-05-17T00:00:00"/>
    <m/>
    <d v="2024-10-01T00:00:00"/>
    <x v="42"/>
    <n v="9272"/>
    <n v="128.77000000000001"/>
    <x v="3"/>
    <m/>
    <s v="Removals"/>
  </r>
  <r>
    <s v="Bentley Community Management, Inc."/>
    <s v="2024 (Oct/Dec) Terra Linda Estates HOA - (3 Year Plan) CO 21959"/>
    <s v="Yorba Linda"/>
    <d v="2024-03-22T00:00:00"/>
    <m/>
    <d v="2024-10-01T00:00:00"/>
    <x v="43"/>
    <n v="10780"/>
    <n v="107.8"/>
    <x v="1"/>
    <m/>
    <s v="Removals"/>
  </r>
  <r>
    <s v="Irvine Company - Retail (GPS)"/>
    <s v="2024 (Jul/Aug) PLACEHOLDER: University Collection (Summer 24/25)"/>
    <s v="Irvine"/>
    <d v="2024-01-05T00:00:00"/>
    <m/>
    <d v="2024-10-03T00:00:00"/>
    <x v="43"/>
    <n v="1170"/>
    <n v="26"/>
    <x v="0"/>
    <m/>
    <m/>
  </r>
  <r>
    <s v="Optimum"/>
    <s v="2024 - (Oct/Dec) Seven Oaks HOA - (3 Year Plan)"/>
    <s v="Corona"/>
    <d v="2023-01-30T00:00:00"/>
    <d v="2024-07-05T00:00:00"/>
    <d v="2024-10-02T00:00:00"/>
    <x v="44"/>
    <n v="10333"/>
    <n v="127.56"/>
    <x v="1"/>
    <m/>
    <s v="Removals"/>
  </r>
  <r>
    <s v="BHE Management"/>
    <s v="2024 (Oct/Dec) Citrine Neighborhood Association - (3 Year Plan)CO 23152"/>
    <s v="Irvine"/>
    <d v="2024-05-22T00:00:00"/>
    <m/>
    <d v="2024-10-03T00:00:00"/>
    <x v="44"/>
    <n v="7985"/>
    <n v="110.91"/>
    <x v="3"/>
    <m/>
    <s v="Removals"/>
  </r>
  <r>
    <s v="Irvine Company - Retail (GPS)"/>
    <s v="2024 (Jul/Aug) PLACEHOLDER: Spectrum Collection (Summer 24/25)"/>
    <s v="Irvine"/>
    <d v="2024-01-05T00:00:00"/>
    <m/>
    <d v="2024-10-04T00:00:00"/>
    <x v="44"/>
    <n v="20610"/>
    <n v="458"/>
    <x v="0"/>
    <m/>
    <m/>
  </r>
  <r>
    <s v="The Bilak Companies Dolmar, Inc."/>
    <s v="2024 Spec.Billing (Oct/Dec) - Torrance Crossroads - (2024 Recommendations)"/>
    <s v="Torrance"/>
    <d v="2023-09-13T00:00:00"/>
    <m/>
    <d v="2024-10-01T00:00:00"/>
    <x v="44"/>
    <n v="9580"/>
    <n v="88.7"/>
    <x v="0"/>
    <m/>
    <s v="Removals"/>
  </r>
  <r>
    <s v="Green Perspective"/>
    <s v="NOT A FULL DAY 2024 (Oct/Dec) Alcon Irvine-(3 Year Plan)"/>
    <s v="Irvine"/>
    <d v="2024-07-03T00:00:00"/>
    <m/>
    <d v="2024-10-05T00:00:00"/>
    <x v="45"/>
    <n v="1940"/>
    <n v="53.89"/>
    <x v="2"/>
    <m/>
    <s v="Removals"/>
  </r>
  <r>
    <s v="Green Perspective"/>
    <s v="NOT A FULL DAY 2024 (Oct/Dec) Alcon Lake Forest-(3 Year Plan)"/>
    <s v="Lake Forest"/>
    <d v="2024-07-03T00:00:00"/>
    <m/>
    <d v="2024-10-05T00:00:00"/>
    <x v="45"/>
    <n v="1950"/>
    <n v="54.17"/>
    <x v="2"/>
    <m/>
    <s v="Removals"/>
  </r>
  <r>
    <s v="Irvine School District"/>
    <s v="2024 (Oct/Dec) Irvine USD (FY 24/25 Placeholder)"/>
    <s v="Irvine"/>
    <d v="2024-04-05T00:00:00"/>
    <m/>
    <d v="2024-10-05T00:00:00"/>
    <x v="45"/>
    <n v="65000"/>
    <n v="722.22"/>
    <x v="0"/>
    <m/>
    <m/>
  </r>
  <r>
    <s v="Crummack Huseby, Inc."/>
    <s v="Not Full day 2024 (Oct/Dec) Meadowcreek Community Assoc - (Revised 3 Year Plan) CO 21533"/>
    <s v="Orange"/>
    <d v="2023-06-23T00:00:00"/>
    <m/>
    <d v="2024-10-07T00:00:00"/>
    <x v="46"/>
    <n v="1270"/>
    <n v="47.04"/>
    <x v="1"/>
    <m/>
    <s v="Removals"/>
  </r>
  <r>
    <s v="BHE Management"/>
    <s v="2024 - Oak Park Maintenance Assoc. - (Missed Carrotwoods due to parked cars)"/>
    <s v="Irvine"/>
    <d v="2024-05-03T00:00:00"/>
    <m/>
    <d v="2024-10-07T00:00:00"/>
    <x v="46"/>
    <n v="638"/>
    <n v="23.62"/>
    <x v="3"/>
    <m/>
    <m/>
  </r>
  <r>
    <s v="BHE Management"/>
    <s v="NOT FULL DAY 2024 - (Oct/Dec) The Summit at Newport Ridge CO 21679"/>
    <s v="Newport Beach"/>
    <d v="2023-09-25T00:00:00"/>
    <m/>
    <d v="2024-10-07T00:00:00"/>
    <x v="46"/>
    <n v="1743"/>
    <n v="48.42"/>
    <x v="3"/>
    <m/>
    <s v="Removals"/>
  </r>
  <r>
    <s v="Keystone Pacific Property Management, LL"/>
    <s v="2024 (Oct/Dec) Woodbury East (2024 Recommendations)CO 23345"/>
    <s v="Irvine"/>
    <d v="2024-07-26T00:00:00"/>
    <m/>
    <d v="2024-09-30T00:00:00"/>
    <x v="47"/>
    <n v="29860"/>
    <n v="113.11"/>
    <x v="4"/>
    <m/>
    <s v="Removals"/>
  </r>
  <r>
    <s v="Optimum"/>
    <s v="2024 - (Oct/Dec) Linda Isle - (24-25 Additional Palm Recs)"/>
    <s v="Newport Beach"/>
    <d v="2024-04-09T00:00:00"/>
    <m/>
    <d v="2024-10-07T00:00:00"/>
    <x v="47"/>
    <n v="8555"/>
    <n v="105.62"/>
    <x v="4"/>
    <m/>
    <s v="Removals"/>
  </r>
  <r>
    <s v="The Management Trust"/>
    <s v="2024 - (Oct/Dec) St. Albans - (3 Year Plan)"/>
    <s v="Santa Ana"/>
    <d v="2023-07-17T00:00:00"/>
    <m/>
    <d v="2024-10-08T00:00:00"/>
    <x v="47"/>
    <n v="5925"/>
    <n v="164.58"/>
    <x v="3"/>
    <m/>
    <s v="Removals"/>
  </r>
  <r>
    <s v="Ammcor"/>
    <s v="PERMIT 2024 (Oct/Dec) Ville Cerise CO 22077"/>
    <s v="Laguna Niguel"/>
    <d v="2024-05-01T00:00:00"/>
    <m/>
    <d v="2024-10-07T00:00:00"/>
    <x v="48"/>
    <n v="16785"/>
    <n v="119.89"/>
    <x v="2"/>
    <m/>
    <s v="Removals"/>
  </r>
  <r>
    <s v="Optimum"/>
    <s v="2024 - (Oct/Dec) Linda Isle - (Approved 2024-2025 Trimming)"/>
    <s v="Newport Beach"/>
    <d v="2024-04-16T00:00:00"/>
    <m/>
    <d v="2024-10-10T00:00:00"/>
    <x v="48"/>
    <n v="3950"/>
    <n v="146.30000000000001"/>
    <x v="4"/>
    <m/>
    <s v="Removals"/>
  </r>
  <r>
    <s v="ACTION PROPERTY MGMT"/>
    <s v="2024 (Oct/Nov) Tustin Ranch Community Association I (Master)CO 22055"/>
    <s v="Tustin"/>
    <d v="2024-04-23T00:00:00"/>
    <m/>
    <d v="2024-10-11T00:00:00"/>
    <x v="49"/>
    <n v="4631"/>
    <n v="132.30000000000001"/>
    <x v="2"/>
    <m/>
    <s v="Removals"/>
  </r>
  <r>
    <s v="Powerstone Property Management"/>
    <s v="2024 - (Oct/Dec) CO 22091 Campobello HOA-(4 Year Plan)"/>
    <s v="Newport Beach"/>
    <d v="2024-04-30T00:00:00"/>
    <m/>
    <d v="2024-10-07T00:00:00"/>
    <x v="49"/>
    <n v="15162"/>
    <n v="112.31"/>
    <x v="2"/>
    <m/>
    <s v="Removals"/>
  </r>
  <r>
    <s v="Seabreeze Management Company"/>
    <s v="2024 (Oct/Dec) Vista Pointe Ridge (Approved 3 Year Plan)CO 23312"/>
    <s v="Aliso Viejo"/>
    <d v="2024-07-11T00:00:00"/>
    <m/>
    <d v="2024-10-07T00:00:00"/>
    <x v="49"/>
    <n v="18434"/>
    <n v="139.13"/>
    <x v="2"/>
    <m/>
    <s v="Removals"/>
  </r>
  <r>
    <s v="BHE Management"/>
    <s v="DONT MOVE 2024 (Oct/Dec) Trailing Vine Maintenance Association - (Oct/Dec Approved Work)"/>
    <s v="Irvine"/>
    <d v="2024-07-12T00:00:00"/>
    <d v="2024-07-19T00:00:00"/>
    <d v="2024-10-07T00:00:00"/>
    <x v="49"/>
    <n v="21175"/>
    <n v="117.64"/>
    <x v="4"/>
    <m/>
    <s v="Removals"/>
  </r>
  <r>
    <s v="Optimum"/>
    <s v="2024 - (Oct/Dec) Bayview Terrace - (24/25 Recommendations)"/>
    <s v="Newport Beach"/>
    <d v="2024-01-29T00:00:00"/>
    <m/>
    <d v="2024-10-11T00:00:00"/>
    <x v="49"/>
    <n v="1620"/>
    <n v="108"/>
    <x v="3"/>
    <m/>
    <s v="Removals"/>
  </r>
  <r>
    <s v="Pacific Development Group"/>
    <s v="2024 - (Oct/Dec) Pacific Development - Santa Ana - (2 Year Plan)"/>
    <s v="Santa Ana"/>
    <d v="2024-04-15T00:00:00"/>
    <m/>
    <d v="2024-10-05T00:00:00"/>
    <x v="50"/>
    <n v="6159"/>
    <n v="85.54"/>
    <x v="1"/>
    <m/>
    <m/>
  </r>
  <r>
    <s v="Powerstone Property Management"/>
    <s v="2024 (Oct/Nov) Sirco III Business Park - (2024 Recommendations)"/>
    <s v="Tustin"/>
    <d v="2024-07-11T00:00:00"/>
    <m/>
    <d v="2024-10-05T00:00:00"/>
    <x v="50"/>
    <n v="10490"/>
    <n v="116.56"/>
    <x v="1"/>
    <m/>
    <s v="Removals"/>
  </r>
  <r>
    <s v="Peatco Properties"/>
    <s v="2024 - (Oct/Dec) Main &amp; Dyer Business Park - (2024 Recommendations)"/>
    <s v="Santa Ana"/>
    <d v="2024-04-25T00:00:00"/>
    <m/>
    <d v="2024-10-05T00:00:00"/>
    <x v="50"/>
    <n v="5100"/>
    <n v="94.44"/>
    <x v="3"/>
    <m/>
    <s v="Removals"/>
  </r>
  <r>
    <s v="ACTION PROPERTY MGMT"/>
    <s v="2024 - (Oct/Dec) Bay Island - (Common Area 3 Year Plan)"/>
    <s v="Newport Beach"/>
    <d v="2024-03-07T00:00:00"/>
    <m/>
    <d v="2024-10-14T00:00:00"/>
    <x v="51"/>
    <n v="3169"/>
    <n v="117.36"/>
    <x v="1"/>
    <m/>
    <s v="Removals"/>
  </r>
  <r>
    <s v="Optimum"/>
    <s v="2024 (Oct/Dec) Canyon Hills Condominium Association CO 23273"/>
    <s v="Orange"/>
    <d v="2024-06-28T00:00:00"/>
    <m/>
    <d v="2024-10-07T00:00:00"/>
    <x v="51"/>
    <n v="25787"/>
    <n v="119.38"/>
    <x v="1"/>
    <m/>
    <s v="Removals"/>
  </r>
  <r>
    <s v="Optimum"/>
    <s v="2024 - (Oct/Dec) Huntington Bay - (3 Year Plan)"/>
    <s v="Huntington Beach"/>
    <d v="2024-04-12T00:00:00"/>
    <m/>
    <d v="2024-10-14T00:00:00"/>
    <x v="51"/>
    <n v="2313"/>
    <n v="128.47"/>
    <x v="1"/>
    <m/>
    <s v="Removals"/>
  </r>
  <r>
    <s v="Powerstone Property Management"/>
    <s v="TREATMENT 2024 - Pacific Ranch HOA - (Oct/Dec Treatment Recs)"/>
    <s v="Huntington Beach"/>
    <d v="2024-07-17T00:00:00"/>
    <m/>
    <d v="2024-10-14T00:00:00"/>
    <x v="51"/>
    <n v="390"/>
    <n v="0"/>
    <x v="1"/>
    <m/>
    <m/>
  </r>
  <r>
    <s v="BHE Management"/>
    <s v="2024 - (Oct/Dec) Oak Park Maintenance Association - (3 Year Plan)"/>
    <s v="Irvine"/>
    <d v="2023-01-13T00:00:00"/>
    <m/>
    <d v="2024-10-08T00:00:00"/>
    <x v="51"/>
    <n v="15615"/>
    <n v="115.67"/>
    <x v="3"/>
    <m/>
    <s v="Removals"/>
  </r>
  <r>
    <s v="Optimum"/>
    <s v="2024 (Removal) Garden Homes -(WO XN3848414; ID 176 Only)"/>
    <s v="Irvine"/>
    <d v="2024-07-05T00:00:00"/>
    <m/>
    <d v="2024-10-14T00:00:00"/>
    <x v="51"/>
    <n v="995"/>
    <n v="22.11"/>
    <x v="3"/>
    <s v="Removals"/>
    <s v="Removals"/>
  </r>
  <r>
    <s v="Seabreeze Management Company"/>
    <s v="(OCT) 2024 (Apr/Jun) Breakers at Bear Brand-(3 Year Plan)"/>
    <s v="Laguna Niguel"/>
    <d v="2024-07-09T00:00:00"/>
    <d v="2024-07-12T00:00:00"/>
    <d v="2024-10-10T00:00:00"/>
    <x v="52"/>
    <n v="16625"/>
    <n v="115.45"/>
    <x v="2"/>
    <m/>
    <s v="Removals"/>
  </r>
  <r>
    <s v="BHE Management"/>
    <s v="2024 (Oct/Dec) St. Laurent at Newport Ridge - (3 Year Plan)"/>
    <s v="Newport Beach"/>
    <d v="2024-06-17T00:00:00"/>
    <m/>
    <d v="2024-10-15T00:00:00"/>
    <x v="52"/>
    <n v="1350"/>
    <n v="112.5"/>
    <x v="4"/>
    <m/>
    <s v="Removals"/>
  </r>
  <r>
    <s v="BHE Management"/>
    <s v="2024 (Oct/Dec) Montara Neighborhood Association - (3 Year Plan)CO 23156"/>
    <s v="Irvine"/>
    <d v="2024-05-20T00:00:00"/>
    <m/>
    <d v="2024-10-14T00:00:00"/>
    <x v="52"/>
    <n v="9555"/>
    <n v="132.71"/>
    <x v="3"/>
    <m/>
    <s v="Removals"/>
  </r>
  <r>
    <s v="BHE Management"/>
    <s v="2024 - (Oct/Dec) Cambridge Lane Maintenance Assoc. - (3 Year Plan)"/>
    <s v="Tustin"/>
    <d v="2024-05-10T00:00:00"/>
    <m/>
    <d v="2024-10-14T00:00:00"/>
    <x v="52"/>
    <n v="6280"/>
    <n v="116.3"/>
    <x v="3"/>
    <m/>
    <s v="Removals"/>
  </r>
  <r>
    <s v="Cardinal Property Management"/>
    <s v="2024 (Oct/Jan) Crestline HOA - (3 Year Plan)CO 23333"/>
    <s v="Laguna Hills"/>
    <d v="2024-07-23T00:00:00"/>
    <m/>
    <d v="2024-10-14T00:00:00"/>
    <x v="53"/>
    <n v="9917"/>
    <n v="91.83"/>
    <x v="2"/>
    <m/>
    <s v="Removals"/>
  </r>
  <r>
    <s v="Seabreeze Management Company"/>
    <s v="2024 (Oct/Dec) Breakers at Bear Brand-(3 Year Plan)"/>
    <s v="Laguna Niguel"/>
    <d v="2024-07-09T00:00:00"/>
    <m/>
    <d v="2024-10-16T00:00:00"/>
    <x v="53"/>
    <n v="3550"/>
    <n v="98.61"/>
    <x v="2"/>
    <m/>
    <s v="Removals"/>
  </r>
  <r>
    <s v="BHE Management"/>
    <s v="2024 (Oct/Dec) Lux Community Association - (3 Year Plan)CO 23154"/>
    <s v="Irvine"/>
    <d v="2024-05-20T00:00:00"/>
    <m/>
    <d v="2024-10-16T00:00:00"/>
    <x v="53"/>
    <n v="4505"/>
    <n v="125.13"/>
    <x v="3"/>
    <m/>
    <s v="Removals"/>
  </r>
  <r>
    <s v="Lordon Management"/>
    <s v="2024 - (Oct/Dec) Granada Park Cerritos HOA - (3 Year Plan)"/>
    <s v="Cerritos"/>
    <d v="2024-04-23T00:00:00"/>
    <m/>
    <d v="2024-10-14T00:00:00"/>
    <x v="54"/>
    <n v="12978"/>
    <n v="120.16"/>
    <x v="1"/>
    <m/>
    <s v="Removals"/>
  </r>
  <r>
    <s v="Platinum Management Group"/>
    <s v="PERMIT? 2024 (Oct/Dec) Niguel Villas Association-(3 Year Plan)"/>
    <s v="Laguna Niguel"/>
    <d v="2024-07-05T00:00:00"/>
    <m/>
    <d v="2024-10-17T00:00:00"/>
    <x v="54"/>
    <n v="3115"/>
    <n v="115.37"/>
    <x v="2"/>
    <m/>
    <s v="Removals"/>
  </r>
  <r>
    <s v="BHE Management"/>
    <s v="2024 - (Oct/Dec) Bowen Court Maintenance Association - (3 Year Plan)CO 23140"/>
    <s v="Irvine"/>
    <d v="2024-05-15T00:00:00"/>
    <m/>
    <d v="2024-10-15T00:00:00"/>
    <x v="54"/>
    <n v="9004"/>
    <n v="111.16"/>
    <x v="3"/>
    <m/>
    <s v="Removals"/>
  </r>
  <r>
    <s v="Brown and Company Mgmt. Services"/>
    <s v="2024 (Oct/Dec) Sycamore Plaza - (4 Yea Plan)CO 22095"/>
    <s v="Lake Forest"/>
    <d v="2024-05-01T00:00:00"/>
    <m/>
    <d v="2024-10-18T00:00:00"/>
    <x v="55"/>
    <n v="6510"/>
    <n v="245.67"/>
    <x v="2"/>
    <m/>
    <s v="Removals"/>
  </r>
  <r>
    <s v="Crummack Huseby, Inc."/>
    <s v="2024 (Oct/Dec) Bougainvillea HOA - (3 Year Plan)CO 23250"/>
    <s v="Irvine"/>
    <d v="2024-06-17T00:00:00"/>
    <m/>
    <d v="2024-10-17T00:00:00"/>
    <x v="55"/>
    <n v="9109"/>
    <n v="132.01"/>
    <x v="2"/>
    <m/>
    <s v="Removals"/>
  </r>
  <r>
    <s v="Seabreeze Management Company"/>
    <s v="2024 - (Removals &amp; Oct/Dec) Cypress Village Master Association - (Priority 1 &amp; 2)"/>
    <s v="Irvine"/>
    <d v="2024-06-12T00:00:00"/>
    <m/>
    <d v="2024-10-07T00:00:00"/>
    <x v="55"/>
    <n v="42185"/>
    <n v="117.18"/>
    <x v="0"/>
    <s v="Removals"/>
    <s v="Removals"/>
  </r>
  <r>
    <s v="CB Richard Ellis"/>
    <s v="2024 (Oct/Dec) Palm Terrace (2024 Oct/Dec Snapshot)CO 23231"/>
    <s v="Lake Forest"/>
    <d v="2024-06-07T00:00:00"/>
    <m/>
    <d v="2024-10-05T00:00:00"/>
    <x v="56"/>
    <n v="11265"/>
    <n v="83.44"/>
    <x v="2"/>
    <m/>
    <s v="Removals"/>
  </r>
  <r>
    <s v="Keystone Pacific Property Management, LL"/>
    <s v="2024 (Oct/Dec) Willow Glen Serrano HOA-(3 Year Plan)"/>
    <s v="Lake Forest"/>
    <d v="2024-02-23T00:00:00"/>
    <m/>
    <d v="2024-10-21T00:00:00"/>
    <x v="57"/>
    <n v="3355"/>
    <n v="104.84"/>
    <x v="2"/>
    <m/>
    <s v="Removals"/>
  </r>
  <r>
    <s v="Optimum"/>
    <s v="2024 (Oct/Dec) Garden Homes Maintenance Association - (3 Year Plan)CO 23292"/>
    <s v="Irvine"/>
    <d v="2024-07-05T00:00:00"/>
    <m/>
    <d v="2024-10-14T00:00:00"/>
    <x v="57"/>
    <n v="25129"/>
    <n v="116.34"/>
    <x v="3"/>
    <m/>
    <s v="Removals"/>
  </r>
  <r>
    <s v="CB Richard Ellis"/>
    <s v="2024 - (Oct/Dec) Koll Diamond Bar Association (2-Year Plan)"/>
    <s v="Diamond Bar"/>
    <d v="2023-12-15T00:00:00"/>
    <m/>
    <d v="2024-10-21T00:00:00"/>
    <x v="58"/>
    <n v="6150"/>
    <n v="113.89"/>
    <x v="1"/>
    <m/>
    <m/>
  </r>
  <r>
    <s v="Pacific Development Group"/>
    <s v="2024 (Oct/Dec) Pacific Development - Torrance - (3 Year Plan)"/>
    <s v="Torrance"/>
    <d v="2024-06-17T00:00:00"/>
    <m/>
    <d v="2024-10-21T00:00:00"/>
    <x v="58"/>
    <n v="7175"/>
    <n v="132.87"/>
    <x v="1"/>
    <m/>
    <m/>
  </r>
  <r>
    <s v="Compass Property Management"/>
    <s v="5%? 2024 (Oct/Dec) Stoney Pointe at Bear Brand -(Revised 3 Year Plan)CO 23330"/>
    <s v="Laguna Niguel"/>
    <d v="2024-07-24T00:00:00"/>
    <m/>
    <d v="2024-10-04T00:00:00"/>
    <x v="58"/>
    <n v="5000"/>
    <n v="69.44"/>
    <x v="2"/>
    <m/>
    <s v="Removals"/>
  </r>
  <r>
    <s v="FirstService Residential"/>
    <s v="2024 (Oct/Dec) Pacific Hills HOA- Revised 3yr"/>
    <s v="Mission Viejo"/>
    <d v="2024-03-20T00:00:00"/>
    <m/>
    <d v="2024-09-30T00:00:00"/>
    <x v="58"/>
    <n v="65665"/>
    <n v="107.3"/>
    <x v="2"/>
    <m/>
    <m/>
  </r>
  <r>
    <s v="Powerstone Property Management"/>
    <s v="2024 (Oct/Dec) Chambray Neighborhood (PRO167-18077) - (3 Year Plan)CO 23289"/>
    <s v="Ladera Ranch"/>
    <d v="2024-07-05T00:00:00"/>
    <m/>
    <d v="2024-10-21T00:00:00"/>
    <x v="58"/>
    <n v="7216"/>
    <n v="101.63"/>
    <x v="2"/>
    <m/>
    <s v="Removals"/>
  </r>
  <r>
    <s v="REGENT ASSOCIATION SERVICES"/>
    <s v="2024 - (Oct/Dec) Suburbia HOA - (Revised 3 Year Plan)"/>
    <s v="Anaheim"/>
    <d v="2024-06-05T00:00:00"/>
    <m/>
    <d v="2024-10-16T00:00:00"/>
    <x v="59"/>
    <n v="17826"/>
    <n v="110.04"/>
    <x v="1"/>
    <m/>
    <s v="Removals"/>
  </r>
  <r>
    <s v="Compass Property Management"/>
    <s v="(FALL) 2024 - Stoney Pointe at Bear Brand (Approved Pine Removals)"/>
    <s v="Laguna Niguel"/>
    <d v="2024-07-24T00:00:00"/>
    <m/>
    <d v="2024-10-23T00:00:00"/>
    <x v="60"/>
    <n v="10800"/>
    <n v="120"/>
    <x v="2"/>
    <s v="Removals"/>
    <s v="Removals"/>
  </r>
  <r>
    <s v="FirstService Residential"/>
    <s v="2024 (Oct/Dec) Glenwood Terrace-(3 Year Plan)CO 23163"/>
    <s v="Aliso Viejo"/>
    <d v="2024-05-20T00:00:00"/>
    <m/>
    <d v="2024-10-25T00:00:00"/>
    <x v="61"/>
    <n v="6740"/>
    <n v="149.78"/>
    <x v="2"/>
    <m/>
    <s v="Removals"/>
  </r>
  <r>
    <s v="ACTION PROPERTY MGMT"/>
    <s v="2024 (Oct/Dec) Ivyhill Maintenance - (3 Year Plan)"/>
    <s v="Irvine"/>
    <d v="2024-04-25T00:00:00"/>
    <m/>
    <d v="2024-10-23T00:00:00"/>
    <x v="61"/>
    <n v="14940"/>
    <n v="110.67"/>
    <x v="3"/>
    <m/>
    <s v="Removals"/>
  </r>
  <r>
    <s v="Property Management Professionals, LLC"/>
    <s v="2024 (Oct/Dec) Brisbane Community Association - (3 Year Plan)CO 23167"/>
    <s v="Irvine"/>
    <d v="2024-05-20T00:00:00"/>
    <m/>
    <d v="2024-10-21T00:00:00"/>
    <x v="61"/>
    <n v="20848"/>
    <n v="115.82"/>
    <x v="3"/>
    <m/>
    <s v="Removals"/>
  </r>
  <r>
    <s v="Cushman &amp; Wakefield"/>
    <s v="2024 - (Apr/Jun) California Palms Industrial - (Missed Palms due to Birds nest) CO 23121"/>
    <s v="Redlands"/>
    <d v="2024-05-09T00:00:00"/>
    <m/>
    <d v="2024-10-26T00:00:00"/>
    <x v="62"/>
    <n v="230"/>
    <n v="5.1100000000000003"/>
    <x v="1"/>
    <m/>
    <m/>
  </r>
  <r>
    <s v="Cardinal Property Management"/>
    <s v="2024 - Crosspointe Village HOA - (Removal ID 29)"/>
    <s v="Stanton"/>
    <d v="2024-07-10T00:00:00"/>
    <m/>
    <d v="2024-10-28T00:00:00"/>
    <x v="63"/>
    <n v="695"/>
    <n v="115.83"/>
    <x v="1"/>
    <s v="Removals"/>
    <s v="Removals"/>
  </r>
  <r>
    <s v="Cardinal Property Management"/>
    <s v="2024 - Crosspointe Village HOA - (Removal ID 31)"/>
    <s v="Stanton"/>
    <d v="2024-08-02T00:00:00"/>
    <m/>
    <d v="2024-10-28T00:00:00"/>
    <x v="63"/>
    <n v="1050"/>
    <n v="105"/>
    <x v="1"/>
    <s v="Removals"/>
    <s v="Removals"/>
  </r>
  <r>
    <s v="TSG Independent Property Management"/>
    <s v="NOT A FULL DAY 2024 (Oct/Nov) (Revised 3 Year Plan) CO 23265"/>
    <s v="Dana Point"/>
    <d v="2024-06-25T00:00:00"/>
    <m/>
    <d v="2024-10-28T00:00:00"/>
    <x v="63"/>
    <n v="2010"/>
    <n v="59.12"/>
    <x v="2"/>
    <m/>
    <s v="Removals"/>
  </r>
  <r>
    <s v="Cardinal Property Management"/>
    <s v="2024 (Oct/Dec) Crosspointe Village HOA - (3 Year Plan) CO 23317"/>
    <s v="Stanton"/>
    <d v="2024-07-15T00:00:00"/>
    <m/>
    <d v="2024-10-28T00:00:00"/>
    <x v="64"/>
    <n v="8320"/>
    <n v="115.56"/>
    <x v="1"/>
    <m/>
    <s v="Removals"/>
  </r>
  <r>
    <s v="Optimum"/>
    <s v="2024 (Oct/Dec) The Oaks at Lake Forest HOA-(2024 Trimming Snapshot)CO 21957"/>
    <s v="Lake Forest"/>
    <d v="2024-03-20T00:00:00"/>
    <m/>
    <d v="2024-10-22T00:00:00"/>
    <x v="64"/>
    <n v="20980"/>
    <n v="97.13"/>
    <x v="2"/>
    <m/>
    <s v="Removals"/>
  </r>
  <r>
    <s v="Pristine Property Management"/>
    <s v="2024 - (Oct/Dec) Village Green Garden Grove HOA - (3 Year Plan)"/>
    <s v="Garden Grove"/>
    <d v="2024-06-11T00:00:00"/>
    <m/>
    <d v="2024-10-28T00:00:00"/>
    <x v="65"/>
    <n v="8563"/>
    <n v="105.71"/>
    <x v="1"/>
    <m/>
    <s v="Removals"/>
  </r>
  <r>
    <s v="Amber Property Management"/>
    <s v="NEED PERMIT 2024 (Oct/Dec)Tennis Villas at Monarch Beach-(Palm 2nd Trim)"/>
    <s v="Dana Point"/>
    <d v="2024-04-08T00:00:00"/>
    <m/>
    <d v="2024-10-28T00:00:00"/>
    <x v="65"/>
    <n v="13490"/>
    <n v="99.93"/>
    <x v="2"/>
    <m/>
    <s v="Removals"/>
  </r>
  <r>
    <s v="The Management Trust"/>
    <s v="2024 (Oct/Dec) Northwood Villas Maintenance Corporation-(3 Year Plan)"/>
    <s v="Irvine"/>
    <d v="2024-05-03T00:00:00"/>
    <m/>
    <d v="2024-10-28T00:00:00"/>
    <x v="65"/>
    <n v="13605"/>
    <n v="100.78"/>
    <x v="2"/>
    <m/>
    <s v="Removals"/>
  </r>
  <r>
    <s v="Keystone Pacific Property Management, LL"/>
    <s v="2024 (Oct/Dec) Serrano Park (Community) - (3 Year Plan)CO21965"/>
    <s v="Lake Forest"/>
    <d v="2024-03-25T00:00:00"/>
    <m/>
    <d v="2024-10-23T00:00:00"/>
    <x v="65"/>
    <n v="21545"/>
    <n v="99.75"/>
    <x v="4"/>
    <m/>
    <s v="Removals"/>
  </r>
  <r>
    <s v="FirstService Residential"/>
    <s v="2024 (Sep/Nov) Oak Creek Village Maintenance Master - (Eagle Creek Cost Center 3 Yr)"/>
    <s v="Irvine"/>
    <d v="2024-04-25T00:00:00"/>
    <m/>
    <d v="2024-10-29T00:00:00"/>
    <x v="65"/>
    <n v="9324"/>
    <n v="129.5"/>
    <x v="0"/>
    <m/>
    <s v="Removals"/>
  </r>
  <r>
    <s v="Associa (AKA PCM)"/>
    <s v="NOT A FULL DAY 2024 (Apr/Jun) Santa Barbara HOA - (LRG Rhus – African Sumac, blocked by a car)"/>
    <s v="Irvine"/>
    <d v="2024-06-17T00:00:00"/>
    <m/>
    <d v="2024-10-30T00:00:00"/>
    <x v="65"/>
    <n v="100"/>
    <n v="2.78"/>
    <x v="3"/>
    <m/>
    <m/>
  </r>
  <r>
    <s v="FirstService Residential"/>
    <s v="NOT A FULL DAY/PERMIT 2024 (Oct/Dec) Pacific Hills East-(Revised 3 Year Plan)"/>
    <s v="Mission Viejo"/>
    <d v="2024-07-11T00:00:00"/>
    <m/>
    <d v="2024-10-31T00:00:00"/>
    <x v="66"/>
    <n v="1430"/>
    <n v="39.72"/>
    <x v="2"/>
    <m/>
    <s v="Removals"/>
  </r>
  <r>
    <s v="La Perla Property Management"/>
    <s v="2024 (July) Windsong Community Association-(LS Walk 07.22; Deliverables)"/>
    <s v="Aliso Viejo"/>
    <d v="2024-07-31T00:00:00"/>
    <m/>
    <d v="2024-10-31T00:00:00"/>
    <x v="66"/>
    <n v="500"/>
    <n v="13.89"/>
    <x v="2"/>
    <m/>
    <s v="Removals"/>
  </r>
  <r>
    <s v="La Perla Property Management"/>
    <s v="NOT A FULL DAY 2024 (Oct/Dec) Windsong Community Association - (3 Year Plan)"/>
    <s v="Aliso Viejo"/>
    <d v="2024-04-19T00:00:00"/>
    <m/>
    <d v="2024-10-31T00:00:00"/>
    <x v="66"/>
    <n v="2023"/>
    <n v="56.18"/>
    <x v="2"/>
    <m/>
    <s v="Removals"/>
  </r>
  <r>
    <s v="Seabreeze Management Company"/>
    <s v="2024 - Woodbridge Shore Maintenance Association - (Removal ID 74)"/>
    <s v="Irvine"/>
    <d v="2024-04-22T00:00:00"/>
    <m/>
    <d v="2024-11-01T00:00:00"/>
    <x v="67"/>
    <n v="2995"/>
    <n v="110.93"/>
    <x v="1"/>
    <s v="Removals"/>
    <s v="Removals"/>
  </r>
  <r>
    <s v="Powerstone Property Management"/>
    <s v="2024 (Oct/Dec) Fawn Glen HOA-(3 Year Plan)"/>
    <s v="Irvine"/>
    <d v="2024-05-14T00:00:00"/>
    <m/>
    <d v="2024-11-01T00:00:00"/>
    <x v="67"/>
    <n v="4240"/>
    <n v="117.78"/>
    <x v="2"/>
    <m/>
    <s v="Removals"/>
  </r>
  <r>
    <s v="Powerstone Property Management"/>
    <s v="2024 (Oct/Dec) Westpark Village One - Culverdale - (3 Year Plan)"/>
    <s v="Irvine"/>
    <d v="2024-04-12T00:00:00"/>
    <m/>
    <d v="2024-11-01T00:00:00"/>
    <x v="67"/>
    <n v="7320"/>
    <n v="162.66999999999999"/>
    <x v="3"/>
    <m/>
    <s v="Removals"/>
  </r>
  <r>
    <s v="Associa (AKA PCM)"/>
    <s v="2024 (Oct/Dec) Santa Barbara HOA - (3 Year Plan)"/>
    <s v="Irvine"/>
    <d v="2024-05-22T00:00:00"/>
    <m/>
    <d v="2024-10-30T00:00:00"/>
    <x v="67"/>
    <n v="10000"/>
    <n v="92.59"/>
    <x v="3"/>
    <m/>
    <s v="Removals"/>
  </r>
  <r>
    <s v="Powerstone Property Management"/>
    <s v="2024 (Oct/Dec) Harvard Square Maintenance - (3 Year Plan)"/>
    <s v="Irvine"/>
    <d v="2024-01-29T00:00:00"/>
    <m/>
    <d v="2024-10-31T00:00:00"/>
    <x v="68"/>
    <n v="12940"/>
    <n v="95.85"/>
    <x v="1"/>
    <m/>
    <s v="Removals"/>
  </r>
  <r>
    <s v="TOTAL PROPERTY MGMT"/>
    <s v="2024 (Oct/Dec &amp; Removal) Willows Maintenance HOA-(3 Year Plan)"/>
    <s v="Irvine"/>
    <d v="2024-05-13T00:00:00"/>
    <m/>
    <d v="2024-11-04T00:00:00"/>
    <x v="68"/>
    <n v="5025"/>
    <n v="111.67"/>
    <x v="2"/>
    <s v="Removals"/>
    <s v="Removals"/>
  </r>
  <r>
    <s v="Optimum"/>
    <s v="2024 (Oct/Dec) Broadmoor Sea View Comm. - (24/25 Recs)"/>
    <s v="Newport Beach"/>
    <d v="2024-07-02T00:00:00"/>
    <m/>
    <d v="2024-10-21T00:00:00"/>
    <x v="68"/>
    <n v="33820"/>
    <n v="113.87"/>
    <x v="4"/>
    <m/>
    <s v="Removals"/>
  </r>
  <r>
    <s v="FirstService Residential"/>
    <s v="2024 (Sep/Nov) Oak Creek Village Maintenance Master - (3 Year Plan)"/>
    <s v="Irvine"/>
    <d v="2024-04-25T00:00:00"/>
    <m/>
    <d v="2024-10-31T00:00:00"/>
    <x v="68"/>
    <n v="11839"/>
    <n v="109.62"/>
    <x v="0"/>
    <m/>
    <s v="Removals"/>
  </r>
  <r>
    <s v="Irvine Company - Retail (GPS)"/>
    <s v="2024 (Sep/Nov) PLACEHOLDER: Foothill Collection (Fall 24/25)"/>
    <s v="Irvine"/>
    <d v="2024-01-05T00:00:00"/>
    <m/>
    <d v="2024-10-07T00:00:00"/>
    <x v="68"/>
    <n v="171340"/>
    <n v="187.56"/>
    <x v="0"/>
    <m/>
    <m/>
  </r>
  <r>
    <s v="FirstService Residential"/>
    <s v="2024 (Oct/Dec) Glenwood Recreation Center (GRE)-(3 Year Plan)"/>
    <s v="Aliso Viejo"/>
    <d v="2024-06-28T00:00:00"/>
    <m/>
    <d v="2024-11-05T00:00:00"/>
    <x v="69"/>
    <n v="5403"/>
    <n v="120.06"/>
    <x v="2"/>
    <m/>
    <s v="Removals"/>
  </r>
  <r>
    <s v="Platinum Management Group"/>
    <s v="2024 (Oct/Dec) Indian Hill-(3 Year Plan)"/>
    <s v="Laguna Hills"/>
    <d v="2024-07-31T00:00:00"/>
    <m/>
    <d v="2024-11-05T00:00:00"/>
    <x v="69"/>
    <n v="4960"/>
    <n v="137.78"/>
    <x v="2"/>
    <m/>
    <s v="Removals"/>
  </r>
  <r>
    <s v="Property Management Professionals, LLC"/>
    <s v="2024 (Oct/Dec) Mirador at Rancho Niguel Association - (3 Year Plan)"/>
    <s v="Laguna Niguel"/>
    <d v="2024-07-16T00:00:00"/>
    <m/>
    <d v="2024-11-04T00:00:00"/>
    <x v="69"/>
    <n v="8708"/>
    <n v="120.94"/>
    <x v="2"/>
    <m/>
    <s v="Removals"/>
  </r>
  <r>
    <s v="Sona Property Management"/>
    <s v="2024 - (Oct/Dec) Artisan Community - (3 Year Plan)"/>
    <s v="Chino Hills"/>
    <d v="2024-05-10T00:00:00"/>
    <m/>
    <d v="2024-11-04T00:00:00"/>
    <x v="69"/>
    <n v="6575"/>
    <n v="121.76"/>
    <x v="3"/>
    <m/>
    <s v="Removals"/>
  </r>
  <r>
    <s v="Vestar"/>
    <s v="(Before Thanksgiving) 2024 - (Oct/Nov) Long Beach Town Center (2024 Tree Maintenance)"/>
    <s v="Long Beach"/>
    <d v="2024-03-07T00:00:00"/>
    <m/>
    <d v="2024-10-16T00:00:00"/>
    <x v="69"/>
    <n v="43110"/>
    <n v="106.44"/>
    <x v="0"/>
    <m/>
    <m/>
  </r>
  <r>
    <s v="Tritz Professional Management Service, I"/>
    <s v="2024 - (Oct/Dec)Cabo Del Mar - (2024 Recommendations)"/>
    <s v="Huntington Beach"/>
    <d v="2023-11-09T00:00:00"/>
    <m/>
    <d v="2024-11-04T00:00:00"/>
    <x v="70"/>
    <n v="8363"/>
    <n v="103.24"/>
    <x v="1"/>
    <m/>
    <s v="Removals"/>
  </r>
  <r>
    <s v="Revolve Property Management"/>
    <s v="2024 (Oct/Dec) Greenbriar Neighborhood - (Revised 3 Year Plan)"/>
    <s v="Ladera Ranch"/>
    <d v="2024-07-31T00:00:00"/>
    <m/>
    <d v="2024-11-06T00:00:00"/>
    <x v="70"/>
    <n v="5669"/>
    <n v="125.98"/>
    <x v="2"/>
    <m/>
    <s v="Removals"/>
  </r>
  <r>
    <s v="Sares Regis"/>
    <s v="(NOV) 2024 (Oct/Dec) Pointe Niguel (2024 Snapshot)CO 23361"/>
    <s v="Laguna Niguel"/>
    <d v="2024-08-07T00:00:00"/>
    <m/>
    <d v="2024-11-06T00:00:00"/>
    <x v="71"/>
    <n v="6896"/>
    <n v="95.78"/>
    <x v="2"/>
    <m/>
    <s v="Removals"/>
  </r>
  <r>
    <s v="FirstService Residential"/>
    <s v="2024 (Sep/Nov) Oak Creek Village Maintenance Master - (Hawk Creek Cost Center 3 Yr)"/>
    <s v="Irvine"/>
    <d v="2024-04-25T00:00:00"/>
    <m/>
    <d v="2024-11-05T00:00:00"/>
    <x v="71"/>
    <n v="12800"/>
    <n v="118.51"/>
    <x v="0"/>
    <m/>
    <s v="Removals"/>
  </r>
  <r>
    <s v="Powerstone Property Management"/>
    <s v="2024 - (Oct/Dec) Yorba Linda Knolls Community Assoc. - (3 Year Plan) Revised CO 23224"/>
    <s v="Yorba Linda"/>
    <d v="2024-06-05T00:00:00"/>
    <m/>
    <d v="2024-11-07T00:00:00"/>
    <x v="72"/>
    <n v="4813"/>
    <n v="89.12"/>
    <x v="1"/>
    <m/>
    <s v="Removals"/>
  </r>
  <r>
    <s v="Tarantino Landscape"/>
    <s v="3 AM START 2024 (Nov) Santa Margarita Town Center - (2024 Recommenadations)"/>
    <s v="Rancho Santa Margarita"/>
    <d v="2024-03-26T00:00:00"/>
    <m/>
    <d v="2024-11-08T00:00:00"/>
    <x v="72"/>
    <n v="4435"/>
    <n v="123.19"/>
    <x v="0"/>
    <m/>
    <m/>
  </r>
  <r>
    <s v="Cardinal Property Management"/>
    <s v="2024 (Oct/Dec) Vista San Joaquin HOA-(4 Year Plan)"/>
    <s v="Irvine"/>
    <d v="2024-06-17T00:00:00"/>
    <m/>
    <d v="2024-11-11T00:00:00"/>
    <x v="73"/>
    <n v="9135"/>
    <n v="126.88"/>
    <x v="2"/>
    <m/>
    <s v="Removals"/>
  </r>
  <r>
    <s v="Optimum"/>
    <s v="2024 - (Oct/Dec) Linda Isle - (Approved 2024-2025 Treatment)"/>
    <s v="Newport Beach"/>
    <d v="2024-04-16T00:00:00"/>
    <m/>
    <d v="2024-11-12T00:00:00"/>
    <x v="73"/>
    <n v="3885"/>
    <n v="457.06"/>
    <x v="4"/>
    <m/>
    <m/>
  </r>
  <r>
    <s v="Optimum"/>
    <s v="2024 - (Oct/Dec) Townhomes Maintenance Assoc. (Turtle Rock) - (3 Year Plan)CO 23290"/>
    <s v="Irvine"/>
    <d v="2024-07-05T00:00:00"/>
    <m/>
    <d v="2024-11-11T00:00:00"/>
    <x v="73"/>
    <n v="8890"/>
    <n v="123.47"/>
    <x v="4"/>
    <m/>
    <s v="Removals"/>
  </r>
  <r>
    <s v="Revolve Property Management"/>
    <s v="2024 (Oct/Dec) Mira Costa Villas-(Revised 3 Year Plan)"/>
    <s v="San Clemente"/>
    <d v="2024-07-24T00:00:00"/>
    <m/>
    <d v="2024-11-04T00:00:00"/>
    <x v="74"/>
    <n v="28332"/>
    <n v="116.59"/>
    <x v="2"/>
    <m/>
    <s v="Removals"/>
  </r>
  <r>
    <s v="Seabreeze Management Company"/>
    <s v="2024 (Oct/Dec) Seacliff Court Homeowners Association-(3 Year Plan)"/>
    <s v="Aliso Viejo"/>
    <d v="2024-03-28T00:00:00"/>
    <m/>
    <d v="2024-11-13T00:00:00"/>
    <x v="74"/>
    <n v="7825"/>
    <n v="108.68"/>
    <x v="2"/>
    <m/>
    <s v="Removals"/>
  </r>
  <r>
    <s v="Optimum"/>
    <s v="2024 - (Oct/Jan) Rancho Dominguez Townhome Assoc - (3 Year Plan)"/>
    <s v="Yorba Linda"/>
    <d v="2024-04-23T00:00:00"/>
    <m/>
    <d v="2024-11-18T00:00:00"/>
    <x v="75"/>
    <n v="12025"/>
    <n v="111.34"/>
    <x v="1"/>
    <m/>
    <s v="Removals"/>
  </r>
  <r>
    <s v="Powerstone Property Management"/>
    <s v="2024 (Oct/Dec) Pacific Ranch HOA - (3 Year Plan)"/>
    <s v="Huntington Beach"/>
    <d v="2024-04-10T00:00:00"/>
    <m/>
    <d v="2024-11-11T00:00:00"/>
    <x v="76"/>
    <n v="30845"/>
    <n v="114.24"/>
    <x v="1"/>
    <m/>
    <s v="Removals"/>
  </r>
  <r>
    <s v="Keystone Pacific Property Management, LL"/>
    <s v="2024 (Oct/Dec) Seacove Place HOA-(3 Year Plan)"/>
    <s v="Aliso Viejo"/>
    <d v="2024-07-03T00:00:00"/>
    <m/>
    <d v="2024-11-25T00:00:00"/>
    <x v="77"/>
    <n v="3565"/>
    <n v="99.03"/>
    <x v="2"/>
    <m/>
    <s v="Removals"/>
  </r>
  <r>
    <s v="Lordon Management"/>
    <s v="2024 (Oct/Dec) Gingerwood HOA - (3 Year Plan)CO 23296"/>
    <s v="Fullerton"/>
    <d v="2024-07-10T00:00:00"/>
    <m/>
    <d v="2024-11-21T00:00:00"/>
    <x v="78"/>
    <n v="22745"/>
    <n v="105.3"/>
    <x v="3"/>
    <m/>
    <s v="Removals"/>
  </r>
  <r>
    <s v="Amber Property Management"/>
    <s v="2024 - (Oct/Dec) North Bluff Bayview (2024 Tree Maintenance)"/>
    <s v="Newport Beach"/>
    <d v="2024-04-25T00:00:00"/>
    <m/>
    <d v="2024-11-25T00:00:00"/>
    <x v="79"/>
    <n v="17380"/>
    <n v="128.74"/>
    <x v="0"/>
    <m/>
    <s v="Removals"/>
  </r>
  <r>
    <s v="FirstService Residential"/>
    <s v="2024 (Dec/Feb) Oak Creek Village Maintenance Master - (Eagle Creek Cost Center 3 Yr)"/>
    <s v="Irvine"/>
    <d v="2024-04-25T00:00:00"/>
    <m/>
    <d v="2024-12-02T00:00:00"/>
    <x v="80"/>
    <n v="5040"/>
    <n v="140"/>
    <x v="0"/>
    <m/>
    <s v="Removals"/>
  </r>
  <r>
    <s v="FirstService Residential"/>
    <s v="2024 (Dec/Feb) Oak Creek Village Maintenance Master - (Hawk Creek Cost Center 3 Yr)"/>
    <s v="Irvine"/>
    <d v="2024-04-25T00:00:00"/>
    <m/>
    <d v="2024-12-03T00:00:00"/>
    <x v="81"/>
    <n v="11760"/>
    <n v="108.89"/>
    <x v="0"/>
    <m/>
    <s v="Removals"/>
  </r>
  <r>
    <s v="Irvine Company - Retail (GPS)"/>
    <s v="2024 - (Sep/Nov) PLACEHOLDER: Coastal Collection (Fall 24/25)"/>
    <s v="Irvine"/>
    <d v="2024-01-10T00:00:00"/>
    <m/>
    <d v="2024-11-06T00:00:00"/>
    <x v="82"/>
    <n v="67445"/>
    <n v="108.61"/>
    <x v="0"/>
    <m/>
    <m/>
  </r>
  <r>
    <s v="Irvine Company - Retail (GPS)"/>
    <s v="2024 (Sep/Nov) PLACEHOLDER: Spectrum Collection (Fall 24/25)"/>
    <s v="Irvine"/>
    <d v="2024-01-05T00:00:00"/>
    <m/>
    <d v="2024-11-05T00:00:00"/>
    <x v="83"/>
    <n v="124115"/>
    <n v="124.05"/>
    <x v="0"/>
    <m/>
    <m/>
  </r>
  <r>
    <s v="Irvine Company - Retail (GPS)"/>
    <s v="2024 (Sep/Nov) PLACEHOLDER: University Collection (Fall 24/25)"/>
    <s v="Irvine"/>
    <d v="2024-01-05T00:00:00"/>
    <m/>
    <d v="2024-12-02T00:00:00"/>
    <x v="84"/>
    <n v="121060"/>
    <n v="126.1"/>
    <x v="0"/>
    <m/>
    <m/>
  </r>
  <r>
    <s v="Powerstone Property Management"/>
    <s v="DON'T MOVE 2024 (Oct/Dec) California Renaissance-(Revised 3 Year Plan)CO 23132"/>
    <s v="Aliso Viejo"/>
    <d v="2024-05-20T00:00:00"/>
    <m/>
    <d v="2024-12-27T00:00:00"/>
    <x v="85"/>
    <n v="10506"/>
    <n v="97.27"/>
    <x v="2"/>
    <m/>
    <s v="Removals"/>
  </r>
  <r>
    <s v="FirstService Residential"/>
    <s v="2024 (Dec/Feb) Oak Creek Village Maintenance Master - (3 Year Plan)"/>
    <s v="Irvine"/>
    <d v="2024-04-25T00:00:00"/>
    <m/>
    <d v="2024-12-06T00:00:00"/>
    <x v="86"/>
    <n v="72912"/>
    <n v="119.14"/>
    <x v="0"/>
    <m/>
    <s v="Removals"/>
  </r>
  <r>
    <s v="Amber Property Management"/>
    <s v="2025 -(Jan/Mar) Amalfi Hills Community Association - (3 Year Plan)"/>
    <s v="Yorba Linda"/>
    <d v="2023-11-29T00:00:00"/>
    <m/>
    <d v="2025-01-01T00:00:00"/>
    <x v="87"/>
    <n v="7746"/>
    <n v="430.35"/>
    <x v="1"/>
    <m/>
    <m/>
  </r>
  <r>
    <s v="Millennium Community Management"/>
    <s v="5% 2025 - (Jan/Mar) WoodLake Santa Ana HOA - (Revised 3 Year Plan)"/>
    <s v="Santa Ana"/>
    <d v="2023-10-24T00:00:00"/>
    <m/>
    <d v="2025-01-01T00:00:00"/>
    <x v="87"/>
    <n v="9543"/>
    <n v="117.81"/>
    <x v="1"/>
    <m/>
    <s v="Removals"/>
  </r>
  <r>
    <s v="TOTAL PROPERTY MGMT"/>
    <s v="5%==2025 - (Jan/Mar) Lakeview Homeowners Association - (Revised 3 Year Plan) CO 23122"/>
    <s v="Anaheim"/>
    <d v="2024-05-10T00:00:00"/>
    <m/>
    <d v="2025-01-01T00:00:00"/>
    <x v="87"/>
    <n v="9740"/>
    <n v="120.25"/>
    <x v="1"/>
    <m/>
    <s v="Removals"/>
  </r>
  <r>
    <s v="Powerstone Property Management"/>
    <s v="2025 (Jan/Mar) Casafina HOA-(4 Year Plan)CO 21801"/>
    <s v="Rancho Santa Margarita"/>
    <d v="2023-12-08T00:00:00"/>
    <m/>
    <d v="2025-01-02T00:00:00"/>
    <x v="87"/>
    <n v="7474"/>
    <n v="103.81"/>
    <x v="2"/>
    <m/>
    <s v="Removals"/>
  </r>
  <r>
    <s v="Powerstone Property Management"/>
    <s v="DON'T MOVE 5%? 2025 (Jan/Mar) California Renaissance-(Revised 3 Year Plan)CO 23124"/>
    <s v="Aliso Viejo"/>
    <d v="2024-05-20T00:00:00"/>
    <m/>
    <d v="2025-01-02T00:00:00"/>
    <x v="87"/>
    <n v="7789"/>
    <n v="0"/>
    <x v="2"/>
    <m/>
    <s v="Removals"/>
  </r>
  <r>
    <s v="Crummack Huseby, Inc."/>
    <s v="2025 (Jan/Mar) Parkside Property Owners Association-(Revised Master; 3 Year Plan)CO 22002"/>
    <s v="Lake Forest"/>
    <d v="2024-04-05T00:00:00"/>
    <m/>
    <d v="2025-01-06T00:00:00"/>
    <x v="88"/>
    <n v="5460"/>
    <n v="158.26"/>
    <x v="2"/>
    <m/>
    <s v="Removals"/>
  </r>
  <r>
    <s v="Optimum"/>
    <s v="2024 - (Apr/Jun) Valencia Maintenance Association - (Missed tree due to parked car)"/>
    <s v="Tustin"/>
    <d v="2024-05-21T00:00:00"/>
    <m/>
    <d v="2025-01-06T00:00:00"/>
    <x v="88"/>
    <n v="135"/>
    <n v="5"/>
    <x v="3"/>
    <m/>
    <s v="Removals"/>
  </r>
  <r>
    <s v="REGENT ASSOCIATION SERVICES"/>
    <s v="2025 - (Jan/Mar) Suburbia HOA - (Revised 3 Year Plan)"/>
    <s v="Anaheim"/>
    <d v="2024-06-05T00:00:00"/>
    <m/>
    <d v="2025-01-06T00:00:00"/>
    <x v="89"/>
    <n v="5509"/>
    <n v="102.02"/>
    <x v="1"/>
    <m/>
    <s v="Removals"/>
  </r>
  <r>
    <s v="Powerstone Property Management"/>
    <s v="2025 (Jan/Feb) Marinita Townhomes Association-(2024/25 Approved Snapshot)"/>
    <s v="Dana Point"/>
    <d v="2024-02-06T00:00:00"/>
    <m/>
    <d v="2025-01-06T00:00:00"/>
    <x v="89"/>
    <n v="7788"/>
    <n v="108.16"/>
    <x v="2"/>
    <m/>
    <s v="Removals"/>
  </r>
  <r>
    <s v="Seabreeze Management Company"/>
    <s v="5%? 2025 (Jan/Mar) Ridgemont Community Association-(Revised 3 Year Plan)"/>
    <s v="Mission Viejo"/>
    <d v="2024-01-25T00:00:00"/>
    <m/>
    <d v="2025-01-07T00:00:00"/>
    <x v="89"/>
    <n v="3995"/>
    <n v="110.97"/>
    <x v="2"/>
    <m/>
    <s v="Removals"/>
  </r>
  <r>
    <s v="Cardinal Property Management"/>
    <s v="5%?2025 - (Jan/Mar) Casitas in Buena Park - (3 Year Plan)CO 21868"/>
    <s v="Buena Park"/>
    <d v="2024-01-22T00:00:00"/>
    <m/>
    <d v="2025-01-06T00:00:00"/>
    <x v="89"/>
    <n v="4865"/>
    <n v="104.62"/>
    <x v="3"/>
    <m/>
    <s v="Removals"/>
  </r>
  <r>
    <s v="Optimum"/>
    <s v="2025 - (Jan/Mar) Valencia Maintenance Association - (3 Year Plan)"/>
    <s v="Tustin"/>
    <d v="2024-04-22T00:00:00"/>
    <m/>
    <d v="2025-01-06T00:00:00"/>
    <x v="89"/>
    <n v="7180"/>
    <n v="132.96"/>
    <x v="3"/>
    <m/>
    <s v="Removals"/>
  </r>
  <r>
    <s v="Associa (AKA PCM)"/>
    <s v="2025 (Jan/Mar) Santa Barbara HOA - (3 Year Plan)"/>
    <s v="Irvine"/>
    <d v="2024-05-22T00:00:00"/>
    <m/>
    <d v="2025-01-08T00:00:00"/>
    <x v="90"/>
    <n v="3655"/>
    <n v="101.53"/>
    <x v="3"/>
    <m/>
    <s v="Removals"/>
  </r>
  <r>
    <s v="Optimum"/>
    <s v="2025 - (Jan/Mar) Oxford Court HOA - (3 Year Plan)"/>
    <s v="Irvine"/>
    <d v="2023-10-18T00:00:00"/>
    <m/>
    <d v="2025-01-09T00:00:00"/>
    <x v="91"/>
    <n v="2270"/>
    <n v="100.89"/>
    <x v="3"/>
    <m/>
    <s v="Removals"/>
  </r>
  <r>
    <s v="Cal State Long Beach"/>
    <s v="2024 CSULB PLACEHOLDER - Parking Winter Trim"/>
    <s v="Long Beach"/>
    <d v="2024-08-05T00:00:00"/>
    <m/>
    <d v="2024-12-27T00:00:00"/>
    <x v="91"/>
    <n v="75000"/>
    <n v="115.74"/>
    <x v="0"/>
    <m/>
    <m/>
  </r>
  <r>
    <s v="Optimum"/>
    <s v="5%? 2025 (Jan/Mar) Garden Homes Maintenance Association - (3 Year Plan)"/>
    <s v="Irvine"/>
    <d v="2024-02-09T00:00:00"/>
    <m/>
    <d v="2025-01-08T00:00:00"/>
    <x v="91"/>
    <n v="9508"/>
    <n v="132.05000000000001"/>
    <x v="3"/>
    <m/>
    <s v="Removals"/>
  </r>
  <r>
    <s v="Cal State Long Beach"/>
    <s v="2024 CSULB PLACEHOLDER - Housing Winter Trim"/>
    <s v="Long Beach"/>
    <d v="2024-08-05T00:00:00"/>
    <m/>
    <d v="2024-12-27T00:00:00"/>
    <x v="92"/>
    <n v="40000"/>
    <n v="113.96"/>
    <x v="0"/>
    <m/>
    <m/>
  </r>
  <r>
    <s v="Irvine Company - Retail (GPS)"/>
    <s v="2025 (Jan/Mar) PLACEHOLDER: Spectrum Collection (Winter 24/25)"/>
    <s v="Irvine"/>
    <d v="2024-01-05T00:00:00"/>
    <m/>
    <d v="2025-01-06T00:00:00"/>
    <x v="92"/>
    <n v="24430"/>
    <n v="108.58"/>
    <x v="0"/>
    <m/>
    <m/>
  </r>
  <r>
    <s v="Irvine School District"/>
    <s v="2025 (Jan/Mar) Irvine USD (FY 24/25 Placeholder)"/>
    <s v="Irvine"/>
    <d v="2024-04-05T00:00:00"/>
    <m/>
    <d v="2025-01-11T00:00:00"/>
    <x v="93"/>
    <n v="35000"/>
    <n v="388.89"/>
    <x v="0"/>
    <m/>
    <m/>
  </r>
  <r>
    <s v="Powerstone Property Management"/>
    <s v="5%? 2025 (Jan/Mar) Valencia HOA-(Revised 3 Year Plan)CO 23170"/>
    <s v="Mission Viejo"/>
    <d v="2024-05-22T00:00:00"/>
    <m/>
    <d v="2025-01-06T00:00:00"/>
    <x v="94"/>
    <n v="23928"/>
    <n v="147.69999999999999"/>
    <x v="2"/>
    <m/>
    <s v="Removals"/>
  </r>
  <r>
    <s v="Cal State Long Beach"/>
    <s v="2024 CSULB PLACEHOLDER - Beachside Winter Trim"/>
    <s v="Long Beach"/>
    <d v="2024-08-05T00:00:00"/>
    <m/>
    <d v="2025-01-11T00:00:00"/>
    <x v="94"/>
    <n v="5500"/>
    <n v="101.85"/>
    <x v="0"/>
    <m/>
    <m/>
  </r>
  <r>
    <s v="Cal State Long Beach"/>
    <s v="2024 CSULB PLACEHOLDER - Japanese Garden Winter Trim"/>
    <s v="Long Beach"/>
    <d v="2024-08-05T00:00:00"/>
    <m/>
    <d v="2025-01-14T00:00:00"/>
    <x v="95"/>
    <n v="6500"/>
    <n v="120.37"/>
    <x v="0"/>
    <m/>
    <m/>
  </r>
  <r>
    <s v="Lordon Management"/>
    <s v="PERMIT==2025 - Granada Park Cerritos HOA - (Revised 3 Year Removal Plan)"/>
    <s v="Cerritos"/>
    <d v="2024-04-23T00:00:00"/>
    <m/>
    <d v="2025-01-13T00:00:00"/>
    <x v="96"/>
    <n v="12085"/>
    <n v="111.9"/>
    <x v="1"/>
    <s v="Removals"/>
    <s v="Removals"/>
  </r>
  <r>
    <s v="Pristine Property Management"/>
    <s v="2025 - (Jan/Mar) Village Green Garden Grove HOA - (3 Year Plan)"/>
    <s v="Garden Grove"/>
    <d v="2024-06-11T00:00:00"/>
    <m/>
    <d v="2025-01-13T00:00:00"/>
    <x v="96"/>
    <n v="12600"/>
    <n v="116.67"/>
    <x v="1"/>
    <m/>
    <s v="Removals"/>
  </r>
  <r>
    <s v="Otis HOA Management"/>
    <s v="2025 (Removals) Danawoods Community - (3 Year Phased Removal Plan)"/>
    <s v="Dana Point"/>
    <d v="2024-01-29T00:00:00"/>
    <m/>
    <d v="2025-01-14T00:00:00"/>
    <x v="96"/>
    <n v="11340"/>
    <n v="105"/>
    <x v="2"/>
    <s v="Removals"/>
    <s v="Removals"/>
  </r>
  <r>
    <s v="Keystone Pacific Property Management, LL"/>
    <s v="5%? 2025 (Jan/Mar) Canyons Edge Community Association-(4 Year Plan)"/>
    <s v="Irvine"/>
    <d v="2024-03-12T00:00:00"/>
    <m/>
    <d v="2025-01-13T00:00:00"/>
    <x v="97"/>
    <n v="21713"/>
    <n v="120.63"/>
    <x v="2"/>
    <m/>
    <s v="Removals"/>
  </r>
  <r>
    <s v="Keystone Pacific Property Management, LL"/>
    <s v="5%? 2025 (Jan/Mar) Pacific Ridge HOA-(3 Year Plan)CO 23201"/>
    <s v="Aliso Viejo"/>
    <d v="2024-05-31T00:00:00"/>
    <m/>
    <d v="2025-01-06T00:00:00"/>
    <x v="97"/>
    <n v="37307"/>
    <n v="106.59"/>
    <x v="2"/>
    <m/>
    <s v="Removals"/>
  </r>
  <r>
    <s v="Irvine Company - Retail (GPS)"/>
    <s v="2025 - (Jan/Mar)PLACEHOLDER: Coastal Collection (Winter 24/25)"/>
    <s v="Irvine"/>
    <d v="2024-01-10T00:00:00"/>
    <m/>
    <d v="2025-01-13T00:00:00"/>
    <x v="98"/>
    <n v="20120"/>
    <n v="106.46"/>
    <x v="0"/>
    <m/>
    <m/>
  </r>
  <r>
    <s v="Irvine Company - Retail (GPS)"/>
    <s v="2025 (Jan/Mar) PLACEHOLDER: Foothill Collection (Winter 24/25)"/>
    <s v="Irvine"/>
    <d v="2024-01-05T00:00:00"/>
    <m/>
    <d v="2025-01-13T00:00:00"/>
    <x v="99"/>
    <n v="37730"/>
    <n v="104.81"/>
    <x v="0"/>
    <m/>
    <m/>
  </r>
  <r>
    <s v="Otis HOA Management"/>
    <s v="5%? 2025 (Jan/Mar) Danawoods Community-(Revised 4 Year Plan)"/>
    <s v="Dana Point"/>
    <d v="2024-01-29T00:00:00"/>
    <m/>
    <d v="2025-01-17T00:00:00"/>
    <x v="100"/>
    <n v="22244"/>
    <n v="102.98"/>
    <x v="2"/>
    <m/>
    <s v="Removals"/>
  </r>
  <r>
    <s v="Powerstone Property Management"/>
    <s v="5%? 2025 (Jan/Mar) Mission Sunrise Ridge-(3 Year Plan)"/>
    <s v="Mission Viejo"/>
    <d v="2024-04-25T00:00:00"/>
    <m/>
    <d v="2025-01-20T00:00:00"/>
    <x v="100"/>
    <n v="20921"/>
    <n v="116.23"/>
    <x v="2"/>
    <m/>
    <s v="Removals"/>
  </r>
  <r>
    <s v="Seabreeze Management Company"/>
    <s v="2025 (Jan/Mar) Laguna Audubon 1-(3 Year Plan)"/>
    <s v="Aliso Viejo"/>
    <d v="2024-03-26T00:00:00"/>
    <m/>
    <d v="2025-01-20T00:00:00"/>
    <x v="100"/>
    <n v="21506"/>
    <n v="103.89"/>
    <x v="2"/>
    <m/>
    <s v="Removals"/>
  </r>
  <r>
    <s v="Platinum Management Group"/>
    <s v="PERMIT? 2025 (Jan/Mar) Niguel Villas Association-(3 Year Plan)"/>
    <s v="Laguna Niguel"/>
    <d v="2024-07-05T00:00:00"/>
    <m/>
    <d v="2025-01-27T00:00:00"/>
    <x v="101"/>
    <n v="6105"/>
    <n v="135.66999999999999"/>
    <x v="2"/>
    <m/>
    <s v="Removals"/>
  </r>
  <r>
    <s v="Cal State Long Beach"/>
    <s v="2024 CSULB PLACEHOLDER - FM Winter Trimming"/>
    <s v="Long Beach"/>
    <d v="2024-08-05T00:00:00"/>
    <m/>
    <d v="2025-01-10T00:00:00"/>
    <x v="101"/>
    <n v="120000"/>
    <n v="116.96"/>
    <x v="0"/>
    <m/>
    <m/>
  </r>
  <r>
    <s v="FirstService Residential"/>
    <s v="5%? 2025 (Jan/Mar) Pacific Hills HOA-(3 Year Plan)"/>
    <s v="Mission Viejo"/>
    <d v="2024-03-06T00:00:00"/>
    <m/>
    <d v="2025-01-13T00:00:00"/>
    <x v="102"/>
    <n v="46706"/>
    <n v="108.11"/>
    <x v="2"/>
    <m/>
    <s v="Removals"/>
  </r>
  <r>
    <s v="Optimum"/>
    <s v="2025 (Removals) The Cottages Community Association-(3 Year Removal Plan)"/>
    <s v="Aliso Viejo"/>
    <d v="2024-03-26T00:00:00"/>
    <m/>
    <d v="2025-01-29T00:00:00"/>
    <x v="103"/>
    <n v="2000"/>
    <n v="57.14"/>
    <x v="2"/>
    <s v="Removals"/>
    <s v="Removals"/>
  </r>
  <r>
    <s v="Seabreeze Management Company"/>
    <s v="2025 (Jan/Mar) Green Glen Neighborhood Assoc-(2024/25 Trimming)"/>
    <s v="Irvine"/>
    <d v="2024-06-28T00:00:00"/>
    <m/>
    <d v="2025-01-27T00:00:00"/>
    <x v="104"/>
    <n v="15030"/>
    <n v="104.38"/>
    <x v="2"/>
    <m/>
    <s v="Removals"/>
  </r>
  <r>
    <s v="ACTION PROPERTY MGMT"/>
    <s v="2025 (Jan/Feb) Ivyhill Maintenance - (3 Year Plan)"/>
    <s v="Irvine"/>
    <d v="2024-04-25T00:00:00"/>
    <m/>
    <d v="2025-01-27T00:00:00"/>
    <x v="104"/>
    <n v="17335"/>
    <n v="120.38"/>
    <x v="3"/>
    <m/>
    <s v="Removals"/>
  </r>
  <r>
    <s v="Elite Property Services"/>
    <s v="5%? 2025 (Jan/Mar) Lake Forest (Woods) - (One line item bid)"/>
    <s v="Lake Forest"/>
    <d v="2023-10-18T00:00:00"/>
    <m/>
    <d v="2025-01-06T00:00:00"/>
    <x v="105"/>
    <n v="119385"/>
    <n v="165.81"/>
    <x v="2"/>
    <m/>
    <s v="Removals"/>
  </r>
  <r>
    <s v="Optimum"/>
    <s v="5%? 2025 (Jan/Mar) The Cottages Community Association-(Revised 3 Year Plan)"/>
    <s v="Aliso Viejo"/>
    <d v="2024-03-26T00:00:00"/>
    <m/>
    <d v="2025-01-30T00:00:00"/>
    <x v="105"/>
    <n v="9546"/>
    <n v="132.58000000000001"/>
    <x v="2"/>
    <m/>
    <s v="Removals"/>
  </r>
  <r>
    <s v="FirstService Residential"/>
    <s v="5%? 2025 (Jan/Mar) Glenwood Recreation Center (GRE)-(3 Year Plan)"/>
    <s v="Aliso Viejo"/>
    <d v="2024-06-28T00:00:00"/>
    <m/>
    <d v="2025-02-03T00:00:00"/>
    <x v="106"/>
    <n v="3840"/>
    <n v="106.67"/>
    <x v="2"/>
    <m/>
    <s v="Removals"/>
  </r>
  <r>
    <s v="Property Management Professionals, LLC"/>
    <s v="2025 (Jan/Mar) Mirador at Rancho Niguel Association - (3 Year Plan)"/>
    <s v="Laguna Niguel"/>
    <d v="2024-07-16T00:00:00"/>
    <m/>
    <d v="2025-02-04T00:00:00"/>
    <x v="107"/>
    <n v="3055"/>
    <n v="84.86"/>
    <x v="2"/>
    <m/>
    <s v="Removals"/>
  </r>
  <r>
    <s v="Irvine Company - Retail (GPS)"/>
    <s v="2025 (Jan/Mar) PLACEHOLDER: University Collection (Winter 24/25)"/>
    <s v="Irvine"/>
    <d v="2024-01-05T00:00:00"/>
    <m/>
    <d v="2025-01-23T00:00:00"/>
    <x v="108"/>
    <n v="44295"/>
    <n v="98.43"/>
    <x v="0"/>
    <m/>
    <m/>
  </r>
  <r>
    <s v="FirstService Residential"/>
    <s v="5%? PERMIT 2025 (Jan/Mar) Pacific Hills East-(Revised 3 Year Plan)"/>
    <s v="Mission Viejo"/>
    <d v="2024-07-11T00:00:00"/>
    <m/>
    <d v="2025-02-03T00:00:00"/>
    <x v="109"/>
    <n v="23120"/>
    <n v="102.76"/>
    <x v="2"/>
    <m/>
    <s v="Removals"/>
  </r>
  <r>
    <s v="Optimum"/>
    <s v="2025 - (Jan/Mar) Linda Isle - (Approved 2024-2025 Treatment)"/>
    <s v="Newport Beach"/>
    <d v="2024-04-16T00:00:00"/>
    <m/>
    <d v="2025-02-12T00:00:00"/>
    <x v="110"/>
    <n v="3885"/>
    <n v="457.06"/>
    <x v="4"/>
    <m/>
    <m/>
  </r>
  <r>
    <s v="Seabreeze Management Company"/>
    <s v="2025 (Jan/Mar) The Groves HOA- (Revised 24/25 Recommendations)"/>
    <s v="Irvine"/>
    <d v="2024-07-31T00:00:00"/>
    <m/>
    <d v="2025-02-03T00:00:00"/>
    <x v="111"/>
    <n v="62596"/>
    <n v="115.92"/>
    <x v="4"/>
    <m/>
    <s v="Removals"/>
  </r>
  <r>
    <s v="Powerstone Property Management"/>
    <s v="5%? 2025 (Jan/Mar) Palm Gardens Community Association-(4 Year Plan)CO 22053"/>
    <s v="Mission Viejo"/>
    <d v="2024-04-23T00:00:00"/>
    <m/>
    <d v="2025-02-24T00:00:00"/>
    <x v="112"/>
    <n v="16372"/>
    <n v="90.96"/>
    <x v="2"/>
    <m/>
    <s v="Removals"/>
  </r>
  <r>
    <s v="FirstService Residential"/>
    <s v="2025 (Mar/May) Oak Creek Village Maintenance Master - (3 Year Plan)"/>
    <s v="Irvine"/>
    <d v="2024-04-25T00:00:00"/>
    <m/>
    <d v="2025-03-03T00:00:00"/>
    <x v="113"/>
    <n v="641"/>
    <n v="17.79"/>
    <x v="0"/>
    <m/>
    <s v="Removals"/>
  </r>
  <r>
    <s v="ACTION PROPERTY MGMT"/>
    <s v="2025 - Cortile Maintenance Association-(3 Year Pine Removals Plan)CO 21987"/>
    <s v="Irvine"/>
    <d v="2024-04-02T00:00:00"/>
    <m/>
    <d v="2025-03-03T00:00:00"/>
    <x v="114"/>
    <n v="4490"/>
    <n v="62.36"/>
    <x v="2"/>
    <s v="Removals"/>
    <s v="Removals"/>
  </r>
  <r>
    <s v="Powerstone Property Management"/>
    <s v="PERMIT? 5%? 2025 (Mar/Jun) Mesa Vista South-(4 Year Plan)"/>
    <s v="San Juan Capistrano"/>
    <d v="2023-10-25T00:00:00"/>
    <m/>
    <d v="2025-03-03T00:00:00"/>
    <x v="114"/>
    <n v="6990"/>
    <n v="97.08"/>
    <x v="2"/>
    <m/>
    <s v="Removals"/>
  </r>
  <r>
    <s v="FirstService Residential"/>
    <s v="2025 (Mar/May) Oak Creek Village Maintenance Master - (Eagle Creek Cost Center 3 Yr) 25 MayJun CO 23162"/>
    <s v="Irvine"/>
    <d v="2024-05-17T00:00:00"/>
    <m/>
    <d v="2025-03-03T00:00:00"/>
    <x v="114"/>
    <n v="8862"/>
    <n v="123.08"/>
    <x v="0"/>
    <m/>
    <s v="Removals"/>
  </r>
  <r>
    <s v="FirstService Residential"/>
    <s v="2025 (Mar/May) Oak Creek Village Maintenance Master - (Hawk Creek Cost Center 3 Yr)"/>
    <s v="Irvine"/>
    <d v="2024-04-25T00:00:00"/>
    <m/>
    <d v="2025-03-05T00:00:00"/>
    <x v="115"/>
    <n v="10721"/>
    <n v="99.26"/>
    <x v="0"/>
    <m/>
    <s v="Removals"/>
  </r>
  <r>
    <s v="Amber Property Management"/>
    <s v="5% 2025 - (Apr/Jun) Amalfi Hills Community Association - (3 Year Plan)"/>
    <s v="Yorba Linda"/>
    <d v="2023-11-29T00:00:00"/>
    <m/>
    <d v="2025-04-01T00:00:00"/>
    <x v="116"/>
    <n v="3981"/>
    <n v="88.47"/>
    <x v="1"/>
    <m/>
    <m/>
  </r>
  <r>
    <s v="Bentley Community Management, Inc."/>
    <s v="5% 2025 - (Apr/Jun) Promenade at Seagate - (Transportation Corridor; 3 Year Plan)"/>
    <s v="Huntington Beach"/>
    <d v="2023-12-04T00:00:00"/>
    <m/>
    <d v="2025-04-01T00:00:00"/>
    <x v="116"/>
    <n v="1655"/>
    <n v="137.91999999999999"/>
    <x v="1"/>
    <m/>
    <m/>
  </r>
  <r>
    <s v="LBA Realty"/>
    <s v="[TREATMENT] 2025 (Apr/Jun) Park Place - (3 Year Treatment Plan)"/>
    <s v="Irvine"/>
    <d v="2024-05-03T00:00:00"/>
    <m/>
    <d v="2025-04-01T00:00:00"/>
    <x v="116"/>
    <n v="29420"/>
    <n v="0"/>
    <x v="1"/>
    <m/>
    <m/>
  </r>
  <r>
    <s v="FirstService Residential"/>
    <s v="2025 (Apr/Jun) Marbella Maintenance Corp. (MAR)-(Approved Revised 3 Year Plan)CO 22090"/>
    <s v="Rancho Santa Margarita"/>
    <d v="2024-05-01T00:00:00"/>
    <m/>
    <d v="2025-04-01T00:00:00"/>
    <x v="116"/>
    <n v="4709"/>
    <n v="130.81"/>
    <x v="2"/>
    <m/>
    <s v="Removals"/>
  </r>
  <r>
    <s v="REGENT ASSOCIATION SERVICES"/>
    <s v="2025 - (Apr/Jun) Suburbia HOA - (Revised 3 Year Plan)"/>
    <s v="Anaheim"/>
    <d v="2024-06-05T00:00:00"/>
    <m/>
    <d v="2025-04-01T00:00:00"/>
    <x v="117"/>
    <n v="7004"/>
    <n v="129.69"/>
    <x v="1"/>
    <m/>
    <s v="Removals"/>
  </r>
  <r>
    <s v="Keystone Pacific Property Management, LL"/>
    <s v="2025 (Apr/Jun) Agave - (Revised 3 Year Plan)CO 21853"/>
    <s v="Irvine"/>
    <d v="2024-01-15T00:00:00"/>
    <m/>
    <d v="2025-04-01T00:00:00"/>
    <x v="117"/>
    <n v="7660"/>
    <n v="106.39"/>
    <x v="2"/>
    <m/>
    <s v="Removals"/>
  </r>
  <r>
    <s v="BHE Management"/>
    <s v="2025 (Apr/Jun) Celadon Neighborhood Association - (Revised 3 Year Plan)CO 23129"/>
    <s v="Irvine"/>
    <d v="2024-05-13T00:00:00"/>
    <m/>
    <d v="2025-04-01T00:00:00"/>
    <x v="117"/>
    <n v="9198"/>
    <n v="127.75"/>
    <x v="0"/>
    <m/>
    <s v="Removals"/>
  </r>
  <r>
    <s v="Powerstone Property Management"/>
    <s v="5%? 2025 (Apr/Jun) Autumn Glen Community Association-(3 Year Plan)"/>
    <s v="Irvine"/>
    <d v="2024-02-06T00:00:00"/>
    <m/>
    <d v="2025-04-03T00:00:00"/>
    <x v="118"/>
    <n v="4470"/>
    <n v="124.17"/>
    <x v="2"/>
    <m/>
    <s v="Removals"/>
  </r>
  <r>
    <s v="Seabreeze Management Company"/>
    <s v="2025 (Apr/Jun) Vista de Oro Homeowners Association-(Revised Approved 3 Year Plan)CO 21896"/>
    <s v="Aliso Viejo"/>
    <d v="2024-02-06T00:00:00"/>
    <m/>
    <d v="2025-04-03T00:00:00"/>
    <x v="118"/>
    <n v="3718"/>
    <n v="103.26"/>
    <x v="2"/>
    <m/>
    <s v="Removals"/>
  </r>
  <r>
    <s v="Associa (AKA PCM)"/>
    <s v="5%? 2025 - (Apr/Jun) Harbour Vista HOA - (3 Year plan) CO 23117"/>
    <s v="Huntington Beach"/>
    <d v="2024-05-10T00:00:00"/>
    <m/>
    <d v="2025-04-02T00:00:00"/>
    <x v="119"/>
    <n v="11356"/>
    <n v="108.15"/>
    <x v="1"/>
    <m/>
    <s v="Removals"/>
  </r>
  <r>
    <s v="Keystone Pacific Property Management, LL"/>
    <s v="5%? 2025 (Apr/Jun) Lantern Bay Estates-(Revised 3 Year Plan)"/>
    <s v="Dana Point"/>
    <d v="2023-08-29T00:00:00"/>
    <m/>
    <d v="2025-04-01T00:00:00"/>
    <x v="119"/>
    <n v="14720"/>
    <n v="102.22"/>
    <x v="2"/>
    <m/>
    <s v="Removals"/>
  </r>
  <r>
    <s v="Powerstone Property Management"/>
    <s v="2025 (Apr/Jun) Casafina HOA-(4 Year Plan)CO 21802"/>
    <s v="Rancho Santa Margarita"/>
    <d v="2023-12-08T00:00:00"/>
    <m/>
    <d v="2025-04-04T00:00:00"/>
    <x v="119"/>
    <n v="3291"/>
    <n v="91.42"/>
    <x v="2"/>
    <m/>
    <s v="Removals"/>
  </r>
  <r>
    <s v="Irvine Company - Retail (GPS)"/>
    <s v="2025 (Apr/Jun) PLACEHOLDER: Spectrum Collection (Spring 24/25)"/>
    <s v="Irvine"/>
    <d v="2024-01-05T00:00:00"/>
    <m/>
    <d v="2025-03-31T00:00:00"/>
    <x v="119"/>
    <n v="23915"/>
    <n v="106.29"/>
    <x v="0"/>
    <m/>
    <m/>
  </r>
  <r>
    <s v="Powerstone Property Management"/>
    <s v="2025 (Removals) Cypress North Community Association-(3 Year Removal Bid)"/>
    <s v="Irvine"/>
    <d v="2024-02-06T00:00:00"/>
    <m/>
    <d v="2025-04-07T00:00:00"/>
    <x v="120"/>
    <n v="2435"/>
    <n v="70.58"/>
    <x v="2"/>
    <s v="Removals"/>
    <s v="Removals"/>
  </r>
  <r>
    <s v="Powerstone Property Management"/>
    <s v="5%? 2025 (Apr/Jun) Valencia HOA-(Revised 3 Year Plan)CO 23171"/>
    <s v="Mission Viejo"/>
    <d v="2024-05-22T00:00:00"/>
    <m/>
    <d v="2025-04-07T00:00:00"/>
    <x v="120"/>
    <n v="2998"/>
    <n v="111.03"/>
    <x v="2"/>
    <m/>
    <s v="Removals"/>
  </r>
  <r>
    <s v="Optimum"/>
    <s v="2025 - (Apr/Jun) Linda Isle - (25-26 Additional Palm Recs)CO 23219"/>
    <s v="Newport Beach"/>
    <d v="2024-06-05T00:00:00"/>
    <m/>
    <d v="2025-04-03T00:00:00"/>
    <x v="120"/>
    <n v="9425"/>
    <n v="116.36"/>
    <x v="4"/>
    <m/>
    <s v="Removals"/>
  </r>
  <r>
    <s v="Powerstone Property Management"/>
    <s v="5%? 2025 (Apr/Jun) Cypress North Community Association-(3 Year Plan)"/>
    <s v="Irvine"/>
    <d v="2024-02-06T00:00:00"/>
    <m/>
    <d v="2025-04-08T00:00:00"/>
    <x v="121"/>
    <n v="6065"/>
    <n v="168.47"/>
    <x v="2"/>
    <m/>
    <s v="Removals"/>
  </r>
  <r>
    <s v="Optimum"/>
    <s v="5%? 2025 (Apr/Jun) Woodbridge Parkway Maint. Assoc. -(3 Year Plan)CO 23190"/>
    <s v="Irvine"/>
    <d v="2024-05-31T00:00:00"/>
    <m/>
    <d v="2025-04-02T00:00:00"/>
    <x v="121"/>
    <n v="20003"/>
    <n v="111.13"/>
    <x v="3"/>
    <m/>
    <s v="Removals"/>
  </r>
  <r>
    <s v="BHE Management"/>
    <s v="2025 - (Apr/Jun) Oak Park Maintenance Association - (3 Year Plan)"/>
    <s v="Irvine"/>
    <d v="2023-01-13T00:00:00"/>
    <m/>
    <d v="2025-04-01T00:00:00"/>
    <x v="122"/>
    <n v="19247"/>
    <n v="101.84"/>
    <x v="3"/>
    <m/>
    <s v="Removals"/>
  </r>
  <r>
    <s v="Otis HOA Management"/>
    <s v="5%? 2025 (Apr/Jun) Danawoods Community-(Revised 4 Year Plan)"/>
    <s v="Dana Point"/>
    <d v="2024-01-29T00:00:00"/>
    <m/>
    <d v="2025-04-08T00:00:00"/>
    <x v="123"/>
    <n v="13180"/>
    <n v="122.04"/>
    <x v="2"/>
    <m/>
    <s v="Removals"/>
  </r>
  <r>
    <s v="Powerstone Property Management"/>
    <s v="5%? 2025 (Apr/Jun) Fawn Glen HOA-(3 Year Plan)"/>
    <s v="Irvine"/>
    <d v="2024-05-14T00:00:00"/>
    <m/>
    <d v="2025-04-09T00:00:00"/>
    <x v="123"/>
    <n v="7750"/>
    <n v="107.64"/>
    <x v="2"/>
    <m/>
    <s v="Removals"/>
  </r>
  <r>
    <s v="Cardinal Property Management"/>
    <s v="5%? 2025 (Apr/Jun) Casitas in Buena Park - (3 Year Plan)CO 21940"/>
    <s v="Buena Park"/>
    <d v="2024-03-12T00:00:00"/>
    <m/>
    <d v="2025-04-07T00:00:00"/>
    <x v="123"/>
    <n v="10065"/>
    <n v="104.84"/>
    <x v="3"/>
    <m/>
    <s v="Removals"/>
  </r>
  <r>
    <s v="Amber Property Management"/>
    <s v="2025 (Apr/Jun) Belterazza HOA-(Revised 3 Year Plan)CO 22044"/>
    <s v="Rancho Santa Margarita"/>
    <d v="2024-04-18T00:00:00"/>
    <m/>
    <d v="2025-04-09T00:00:00"/>
    <x v="124"/>
    <n v="11692"/>
    <n v="111.35"/>
    <x v="2"/>
    <m/>
    <s v="Removals"/>
  </r>
  <r>
    <s v="Powerstone Property Management"/>
    <s v="5%? 2025 (Apr/Jun) La Vista At Laguna Niguel - (Revised 3 Year)"/>
    <s v="Laguna Niguel"/>
    <d v="2023-11-17T00:00:00"/>
    <m/>
    <d v="2025-04-07T00:00:00"/>
    <x v="124"/>
    <n v="17830"/>
    <n v="99.06"/>
    <x v="2"/>
    <m/>
    <s v="Removals"/>
  </r>
  <r>
    <s v="Nexagen Corporation"/>
    <s v="5%?2025 - (Apr/Jun) Nexagen Corporation - (3 Year Plan)"/>
    <s v="Cerritos"/>
    <d v="2024-04-02T00:00:00"/>
    <m/>
    <d v="2025-04-05T00:00:00"/>
    <x v="125"/>
    <n v="6185"/>
    <n v="85.9"/>
    <x v="1"/>
    <m/>
    <s v="Removals"/>
  </r>
  <r>
    <s v="Seabreeze Management Company"/>
    <s v="5%? 2025 (Apr/Jun) Rancho San Juan Community Association-(3 Year Plan)"/>
    <s v="San Juan Capistrano"/>
    <d v="2024-03-12T00:00:00"/>
    <m/>
    <d v="2025-04-14T00:00:00"/>
    <x v="126"/>
    <n v="5222"/>
    <n v="137.41"/>
    <x v="2"/>
    <m/>
    <s v="Removals"/>
  </r>
  <r>
    <s v="Irvine Company - Retail (GPS)"/>
    <s v="2025 (Apr/Jun) PLACEHOLDER: University Collection (Spring 24/25)"/>
    <s v="Irvine"/>
    <d v="2024-01-05T00:00:00"/>
    <m/>
    <d v="2025-04-07T00:00:00"/>
    <x v="126"/>
    <n v="28990"/>
    <n v="107.37"/>
    <x v="0"/>
    <m/>
    <m/>
  </r>
  <r>
    <s v="FirstService Residential"/>
    <s v="5%? 2025 (Apr/Jun) Flores Los Alisos-(3 Year Plan)"/>
    <s v="Aliso Viejo"/>
    <d v="2024-03-26T00:00:00"/>
    <m/>
    <d v="2025-04-14T00:00:00"/>
    <x v="127"/>
    <n v="9330"/>
    <n v="129.58000000000001"/>
    <x v="2"/>
    <m/>
    <s v="Removals"/>
  </r>
  <r>
    <s v="BHE Management"/>
    <s v="2025 - (Apr/Jun) Bowen Court Maintenance Association - (3 Year Plan)CO 23141"/>
    <s v="Irvine"/>
    <d v="2024-05-15T00:00:00"/>
    <m/>
    <d v="2025-04-10T00:00:00"/>
    <x v="127"/>
    <n v="12044"/>
    <n v="111.51"/>
    <x v="3"/>
    <m/>
    <s v="Removals"/>
  </r>
  <r>
    <s v="Associa (AKA PCM)"/>
    <s v="2025 (Apr/Jun) Santa Barbara HOA - (3 Year Plan)"/>
    <s v="Irvine"/>
    <d v="2024-05-22T00:00:00"/>
    <m/>
    <d v="2025-04-14T00:00:00"/>
    <x v="127"/>
    <n v="6225"/>
    <n v="86.46"/>
    <x v="3"/>
    <m/>
    <s v="Removals"/>
  </r>
  <r>
    <s v="Lordon Management"/>
    <s v="2025 (Apr/Jun) Gingerwood HOA - (3 Year Plan)"/>
    <s v="Fullerton"/>
    <d v="2024-06-21T00:00:00"/>
    <m/>
    <d v="2025-04-07T00:00:00"/>
    <x v="127"/>
    <n v="27025"/>
    <n v="114.51"/>
    <x v="3"/>
    <m/>
    <s v="Removals"/>
  </r>
  <r>
    <s v="FirstService Residential"/>
    <s v="5%? 2025 (Apr/Jun) Glenwood Recreation Center (GRE)-(3 Year Plan)"/>
    <s v="Aliso Viejo"/>
    <d v="2024-06-28T00:00:00"/>
    <m/>
    <d v="2025-04-16T00:00:00"/>
    <x v="128"/>
    <n v="5121"/>
    <n v="113.79"/>
    <x v="2"/>
    <m/>
    <s v="Removals"/>
  </r>
  <r>
    <s v="Optimum"/>
    <s v="2025 - (Apr/Jun) Valencia Maintenance Association - (3 Year Plan)"/>
    <s v="Tustin"/>
    <d v="2024-04-22T00:00:00"/>
    <m/>
    <d v="2025-04-14T00:00:00"/>
    <x v="128"/>
    <n v="10545"/>
    <n v="130.19"/>
    <x v="3"/>
    <m/>
    <s v="Removals"/>
  </r>
  <r>
    <s v="Powerstone Property Management"/>
    <s v="5% 2025 - (Apr/Jun) Campobello HOA-(4 Year Plan)"/>
    <s v="Newport Beach"/>
    <d v="2024-03-22T00:00:00"/>
    <m/>
    <d v="2025-04-07T00:00:00"/>
    <x v="129"/>
    <n v="25331"/>
    <n v="104.24"/>
    <x v="2"/>
    <m/>
    <s v="Removals"/>
  </r>
  <r>
    <s v="Powerstone Property Management"/>
    <s v="2025 - (Apr/Jun) Montilla at Oak Creek-(3 Year Plan) CO 22011"/>
    <s v="Irvine"/>
    <d v="2024-04-08T00:00:00"/>
    <m/>
    <d v="2025-04-14T00:00:00"/>
    <x v="130"/>
    <n v="15168"/>
    <n v="112.35"/>
    <x v="1"/>
    <m/>
    <s v="Removals"/>
  </r>
  <r>
    <s v="Property Management Professionals, LLC"/>
    <s v="5%? 2025 (Apr/Jun) Mirador at Rancho Niguel Association - (3 Year Plan)"/>
    <s v="Laguna Niguel"/>
    <d v="2024-07-16T00:00:00"/>
    <m/>
    <d v="2025-04-16T00:00:00"/>
    <x v="130"/>
    <n v="14295"/>
    <n v="132.36000000000001"/>
    <x v="2"/>
    <m/>
    <s v="Removals"/>
  </r>
  <r>
    <s v="Lordon Management"/>
    <s v="5%==2025 - (Apr/Jun) Granada Park Cerritos HOA - (3 Year Plan)"/>
    <s v="Cerritos"/>
    <d v="2024-04-23T00:00:00"/>
    <m/>
    <d v="2025-04-21T00:00:00"/>
    <x v="131"/>
    <n v="4008"/>
    <n v="148.43"/>
    <x v="1"/>
    <m/>
    <s v="Removals"/>
  </r>
  <r>
    <s v="Seabreeze Management Company"/>
    <s v="5%? 2025 (Apr/Jun) Laguna Audubon 1-(3 Year Plan)CO 22108"/>
    <s v="Aliso Viejo"/>
    <d v="2024-05-22T00:00:00"/>
    <m/>
    <d v="2025-04-15T00:00:00"/>
    <x v="131"/>
    <n v="18874"/>
    <n v="104.85"/>
    <x v="2"/>
    <m/>
    <s v="Removals"/>
  </r>
  <r>
    <s v="Optimum"/>
    <s v="2025 - (Apr/Jun) Huntington Bay - (3 Year Plan) CO 23325"/>
    <s v="Huntington Beach"/>
    <d v="2024-07-22T00:00:00"/>
    <m/>
    <d v="2025-04-23T00:00:00"/>
    <x v="132"/>
    <n v="6456"/>
    <n v="119.56"/>
    <x v="1"/>
    <m/>
    <s v="Removals"/>
  </r>
  <r>
    <s v="Powerstone Property Management"/>
    <s v="5% 2025 - (Apr/Jun) YoYorba Linda Knolls Community Assoc. - (3 Year Plan) Revised"/>
    <s v="Yorba Linda"/>
    <d v="2024-03-22T00:00:00"/>
    <m/>
    <d v="2025-04-21T00:00:00"/>
    <x v="132"/>
    <n v="11108"/>
    <n v="102.85"/>
    <x v="1"/>
    <m/>
    <s v="Removals"/>
  </r>
  <r>
    <s v="Optimum"/>
    <s v="2025 - (Apr/Jun) Oxford Court HOA - (3 Year Plan)CO 22023"/>
    <s v="Irvine"/>
    <d v="2024-04-15T00:00:00"/>
    <m/>
    <d v="2025-04-17T00:00:00"/>
    <x v="132"/>
    <n v="17775"/>
    <n v="109.72"/>
    <x v="3"/>
    <m/>
    <s v="Removals"/>
  </r>
  <r>
    <s v="Irvine Company - Retail (GPS)"/>
    <s v="2025 (Apr/Jun) PLACEHOLDER: Foothill Collection (Spring 24/25)"/>
    <s v="Irvine"/>
    <d v="2024-01-05T00:00:00"/>
    <m/>
    <d v="2025-04-15T00:00:00"/>
    <x v="132"/>
    <n v="38325"/>
    <n v="106.46"/>
    <x v="0"/>
    <m/>
    <m/>
  </r>
  <r>
    <s v="FirstService Residential"/>
    <s v="5%? PERMIT 2025 (Apr/Jun) Pacific Hills East-(Revised 3 Year Plan)"/>
    <s v="Mission Viejo"/>
    <d v="2024-07-11T00:00:00"/>
    <m/>
    <d v="2025-04-21T00:00:00"/>
    <x v="133"/>
    <n v="20254"/>
    <n v="112.52"/>
    <x v="2"/>
    <m/>
    <s v="Removals"/>
  </r>
  <r>
    <s v="Seabreeze Management Company"/>
    <s v="5%? 2025 (Apr/Jun) Breakers at Bear Brand-(3 Year Plan)"/>
    <s v="Laguna Niguel"/>
    <d v="2024-07-09T00:00:00"/>
    <m/>
    <d v="2025-04-22T00:00:00"/>
    <x v="133"/>
    <n v="15440"/>
    <n v="107.22"/>
    <x v="2"/>
    <m/>
    <s v="Removals"/>
  </r>
  <r>
    <s v="Pacific Development Group"/>
    <s v="2025 - (Apr/Jun) Pacific Development - Santa Ana - (2 Year Plan)"/>
    <s v="Santa Ana"/>
    <d v="2024-04-15T00:00:00"/>
    <m/>
    <d v="2025-04-19T00:00:00"/>
    <x v="134"/>
    <n v="6172"/>
    <n v="85.72"/>
    <x v="1"/>
    <m/>
    <m/>
  </r>
  <r>
    <s v="Keystone Pacific Property Management, LL"/>
    <s v="5%? 2025 (Apr/Jun) Pacific Ridge HOA-(3 Year Plan)CO 23198"/>
    <s v="Aliso Viejo"/>
    <d v="2024-05-31T00:00:00"/>
    <m/>
    <d v="2025-04-02T00:00:00"/>
    <x v="135"/>
    <n v="71080"/>
    <n v="103.92"/>
    <x v="2"/>
    <m/>
    <s v="Removals"/>
  </r>
  <r>
    <s v="The Management Trust"/>
    <s v="5%? 2025 (Apr/Jun) Northpark Monterey Community Assoc. - (3 Year Plan)CO 23188"/>
    <s v="Irvine"/>
    <d v="2024-05-23T00:00:00"/>
    <m/>
    <d v="2025-04-28T00:00:00"/>
    <x v="136"/>
    <n v="12745"/>
    <n v="141.61000000000001"/>
    <x v="4"/>
    <m/>
    <s v="Removals"/>
  </r>
  <r>
    <s v="Compass Property Management"/>
    <s v="5%? 2025 (Apr/Jun) Stoney Pointe at Bear Brand -(Revised 3 Year Plan)"/>
    <s v="Laguna Niguel"/>
    <d v="2023-10-19T00:00:00"/>
    <m/>
    <d v="2025-04-30T00:00:00"/>
    <x v="137"/>
    <n v="3723"/>
    <n v="103.4"/>
    <x v="2"/>
    <m/>
    <s v="Removals"/>
  </r>
  <r>
    <s v="FirstService Residential"/>
    <s v="5%? 2025 (Apr/Jun) Pacific Hills HOA-(3 Year Plan)CO 23206"/>
    <s v="Mission Viejo"/>
    <d v="2024-06-04T00:00:00"/>
    <m/>
    <d v="2025-04-14T00:00:00"/>
    <x v="138"/>
    <n v="87062"/>
    <n v="105.15"/>
    <x v="2"/>
    <m/>
    <s v="Removals"/>
  </r>
  <r>
    <s v="Optimum"/>
    <s v="2025 - (Apr/Jun) Linda Isle - (Approved 2024-2025 Trimming)"/>
    <s v="Newport Beach"/>
    <d v="2024-04-16T00:00:00"/>
    <m/>
    <d v="2025-05-12T00:00:00"/>
    <x v="139"/>
    <n v="20615"/>
    <n v="763.52"/>
    <x v="4"/>
    <m/>
    <s v="Removals"/>
  </r>
  <r>
    <s v="Keystone Pacific Property Management, LL"/>
    <s v="5%? 2025 (June) Willow Glen Serrano HOA-(3 Year Plan)"/>
    <s v="Lake Forest"/>
    <d v="2024-02-23T00:00:00"/>
    <m/>
    <d v="2025-06-02T00:00:00"/>
    <x v="140"/>
    <n v="6455"/>
    <n v="184.43"/>
    <x v="2"/>
    <m/>
    <s v="Removals"/>
  </r>
  <r>
    <s v="FirstService Residential"/>
    <s v="2025 (Jun/Aug) Oak Creek Village Maintenance Master - (Eagle Creek Cost Center 3 Yr)"/>
    <s v="Irvine"/>
    <d v="2024-04-25T00:00:00"/>
    <m/>
    <d v="2025-06-02T00:00:00"/>
    <x v="140"/>
    <n v="336"/>
    <n v="9.33"/>
    <x v="0"/>
    <m/>
    <s v="Removals"/>
  </r>
  <r>
    <s v="FirstService Residential"/>
    <s v="2025 (Jun/Aug) Oak Creek Village Maintenance Master - (Hawk Creek Cost Center 3 Yr)"/>
    <s v="Irvine"/>
    <d v="2024-04-25T00:00:00"/>
    <m/>
    <d v="2025-06-02T00:00:00"/>
    <x v="140"/>
    <n v="1922"/>
    <n v="53.38"/>
    <x v="0"/>
    <m/>
    <s v="Removals"/>
  </r>
  <r>
    <s v="Powerstone Property Management"/>
    <s v="5%? 2025 (Apr/Jun) Palm Gardens Community Association-(4 Year Plan)"/>
    <s v="Mission Viejo"/>
    <d v="2024-02-27T00:00:00"/>
    <m/>
    <d v="2025-06-02T00:00:00"/>
    <x v="141"/>
    <n v="11647"/>
    <n v="129.41"/>
    <x v="2"/>
    <m/>
    <s v="Removals"/>
  </r>
  <r>
    <s v="Amber Property Management"/>
    <s v="PERMIT 5%? 2025 (June) Tennis Villas at Monarch Beach"/>
    <s v="Dana Point"/>
    <d v="2024-04-02T00:00:00"/>
    <m/>
    <d v="2025-06-03T00:00:00"/>
    <x v="142"/>
    <n v="18889"/>
    <n v="131.16999999999999"/>
    <x v="2"/>
    <m/>
    <s v="Removals"/>
  </r>
  <r>
    <s v="Optimum"/>
    <s v="2025 - (Apr/Jun) Linda Isle - (Approved 2024-2025 Treatment)"/>
    <s v="Newport Beach"/>
    <d v="2024-04-16T00:00:00"/>
    <m/>
    <d v="2025-06-17T00:00:00"/>
    <x v="143"/>
    <n v="3885"/>
    <n v="457.06"/>
    <x v="4"/>
    <m/>
    <m/>
  </r>
  <r>
    <s v="Powerstone Property Management"/>
    <s v="2025 (June) Pacific Ranch HOA - (3 Year Plan) CO 23341"/>
    <s v="Huntington Beach"/>
    <d v="2024-07-25T00:00:00"/>
    <m/>
    <d v="2025-06-02T00:00:00"/>
    <x v="144"/>
    <n v="61112"/>
    <n v="113.17"/>
    <x v="1"/>
    <m/>
    <s v="Removals"/>
  </r>
  <r>
    <s v="FirstService Residential"/>
    <s v="2025 (Jun/Aug) Oak Creek Village Maintenance Master - (3 Year Plan)"/>
    <s v="Irvine"/>
    <d v="2024-04-25T00:00:00"/>
    <m/>
    <d v="2025-06-02T00:00:00"/>
    <x v="145"/>
    <n v="90164"/>
    <n v="119.26"/>
    <x v="0"/>
    <m/>
    <s v="Removals"/>
  </r>
  <r>
    <s v="Calabria Court Association"/>
    <s v="2025 - (July) CO 23135 Calabria Court Association-(Revised 3 Year Plan)"/>
    <s v="Costa Mesa"/>
    <d v="2024-05-15T00:00:00"/>
    <m/>
    <d v="2025-07-01T00:00:00"/>
    <x v="146"/>
    <n v="2541"/>
    <n v="112.93"/>
    <x v="2"/>
    <m/>
    <s v="Removals"/>
  </r>
  <r>
    <s v="Amber Property Management"/>
    <s v="5% 2025 - (Jul/Sep) Amalfi Hills Community Association - (3 Year Plan)"/>
    <s v="Yorba Linda"/>
    <d v="2023-11-29T00:00:00"/>
    <m/>
    <d v="2025-07-01T00:00:00"/>
    <x v="147"/>
    <n v="5499"/>
    <n v="0"/>
    <x v="1"/>
    <m/>
    <m/>
  </r>
  <r>
    <s v="BHE Management"/>
    <s v="2025 (Jul/Sep) Silverleaf Neighborhood Association - (3 Year Plan)CO 21948"/>
    <s v="Irvine"/>
    <d v="2024-03-13T00:00:00"/>
    <m/>
    <d v="2025-07-01T00:00:00"/>
    <x v="148"/>
    <n v="10962"/>
    <n v="0"/>
    <x v="3"/>
    <m/>
    <s v="Removals"/>
  </r>
  <r>
    <s v="Bentley Community Management, Inc."/>
    <s v="5% 2025 -(Jul/Sep) Promenade at Seagate - (Transport. Corridor; 3 Year Plan)"/>
    <s v="Huntington Beach"/>
    <d v="2023-12-04T00:00:00"/>
    <m/>
    <d v="2025-07-07T00:00:00"/>
    <x v="149"/>
    <n v="3885"/>
    <n v="107.92"/>
    <x v="1"/>
    <m/>
    <m/>
  </r>
  <r>
    <s v="Powerstone Property Management"/>
    <s v="5%? PERMIT? 2025 (Jul/Sep) Mission Sunrise Ridge-(3 Year Plan)"/>
    <s v="Mission Viejo"/>
    <d v="2024-04-25T00:00:00"/>
    <m/>
    <d v="2025-07-07T00:00:00"/>
    <x v="149"/>
    <n v="8071"/>
    <n v="112.1"/>
    <x v="2"/>
    <m/>
    <s v="Removals"/>
  </r>
  <r>
    <s v="TSG Independent Property Management"/>
    <s v="5%? 2025 (Jul/Sep) The Grand Monarch-(Revised 3 Year Plan)"/>
    <s v="Dana Point"/>
    <d v="2024-02-15T00:00:00"/>
    <m/>
    <d v="2025-07-07T00:00:00"/>
    <x v="149"/>
    <n v="6165"/>
    <n v="114.17"/>
    <x v="2"/>
    <m/>
    <s v="Removals"/>
  </r>
  <r>
    <s v="Powerstone Property Management"/>
    <s v="2025 (July) Pacific Ranch HOA - (3 Year Plan)"/>
    <s v="Huntington Beach"/>
    <d v="2024-04-11T00:00:00"/>
    <m/>
    <d v="2025-07-07T00:00:00"/>
    <x v="150"/>
    <n v="28431"/>
    <n v="117"/>
    <x v="1"/>
    <m/>
    <s v="Removals"/>
  </r>
  <r>
    <s v="Seabreeze Management Company"/>
    <s v="5%? 2025 (Jul/Sep) Vista Pointe Ridge-(Approved 3 Year Plan)CO 23282"/>
    <s v="Aliso Viejo"/>
    <d v="2024-07-05T00:00:00"/>
    <m/>
    <d v="2025-07-07T00:00:00"/>
    <x v="151"/>
    <n v="41195"/>
    <n v="114.43"/>
    <x v="2"/>
    <m/>
    <s v="Removals"/>
  </r>
  <r>
    <s v="BHE Management"/>
    <s v="5%? 2025 (Jul/Sep) St. Laurent at Newport Ridge - (3 Year Plan)"/>
    <s v="Newport Beach"/>
    <d v="2024-06-17T00:00:00"/>
    <m/>
    <d v="2025-07-21T00:00:00"/>
    <x v="152"/>
    <n v="17500"/>
    <n v="129.63"/>
    <x v="4"/>
    <m/>
    <s v="Removals"/>
  </r>
  <r>
    <s v="Crummack Huseby, Inc."/>
    <s v="2025 PLACEHOLDER- Northpark Maintenance HOA (Street Trees)"/>
    <s v="Irvine"/>
    <d v="2024-02-09T00:00:00"/>
    <m/>
    <d v="2025-02-10T00:00:00"/>
    <x v="153"/>
    <n v="130805"/>
    <n v="107.66"/>
    <x v="4"/>
    <m/>
    <s v="Removals"/>
  </r>
  <r>
    <s v="The Management Trust"/>
    <s v="2025 - (Aug/Sep) Walden Community - (3 Year Plan)"/>
    <s v="Garden Grove"/>
    <d v="2023-05-05T00:00:00"/>
    <m/>
    <d v="2025-08-01T00:00:00"/>
    <x v="154"/>
    <n v="1500"/>
    <n v="41.67"/>
    <x v="3"/>
    <m/>
    <s v="Removals"/>
  </r>
  <r>
    <s v="BHE Management"/>
    <s v="5%? 2025 (Aug/Sep) C2E Townhomes Community - (3 Year Plan)CO 23146"/>
    <s v="Irvine"/>
    <d v="2024-05-20T00:00:00"/>
    <m/>
    <d v="2025-08-01T00:00:00"/>
    <x v="154"/>
    <n v="2993"/>
    <n v="0"/>
    <x v="3"/>
    <m/>
    <s v="Removals"/>
  </r>
  <r>
    <s v="REGENT ASSOCIATION SERVICES"/>
    <s v="2025 -(Aug/Sep) Suburbia HOA - (Revised 3 Year Plan)"/>
    <s v="Anaheim"/>
    <d v="2024-06-05T00:00:00"/>
    <m/>
    <d v="2025-08-04T00:00:00"/>
    <x v="155"/>
    <n v="3834"/>
    <n v="141.99"/>
    <x v="1"/>
    <m/>
    <s v="Removals"/>
  </r>
  <r>
    <s v="Associa (AKA PCM)"/>
    <s v="5%? 2025 (Aug/Sep) Seawind Community Association - (Revised 3 Year Plan)"/>
    <s v="Newport Beach"/>
    <d v="2024-07-31T00:00:00"/>
    <m/>
    <d v="2025-08-04T00:00:00"/>
    <x v="155"/>
    <n v="2779"/>
    <n v="154.36000000000001"/>
    <x v="2"/>
    <m/>
    <s v="Removals"/>
  </r>
  <r>
    <s v="Crummack Huseby, Inc."/>
    <s v="2025 (Aug/Sep) Parkside Property Owners Association-(Revised Lexington Cost Center; 3 Year Plan)CO 22003"/>
    <s v="Lake Forest"/>
    <d v="2024-04-05T00:00:00"/>
    <m/>
    <d v="2025-08-04T00:00:00"/>
    <x v="155"/>
    <n v="5093"/>
    <n v="565.83000000000004"/>
    <x v="2"/>
    <m/>
    <s v="Removals"/>
  </r>
  <r>
    <s v="Powerstone Property Management"/>
    <s v="5%? 2025 (Aug/Sep) California Renaissance-(Revised 3 Year Plan)CO 21738"/>
    <s v="Aliso Viejo"/>
    <d v="2024-05-20T00:00:00"/>
    <m/>
    <d v="2025-08-04T00:00:00"/>
    <x v="155"/>
    <n v="6406"/>
    <n v="177.94"/>
    <x v="2"/>
    <m/>
    <s v="Removals"/>
  </r>
  <r>
    <s v="Seabreeze Management Company"/>
    <s v="2025 (Aug/Sep) Vista de Oro Homeowners Association-(Revised Approved 3 Year Plan)CO 21897"/>
    <s v="Aliso Viejo"/>
    <d v="2024-02-06T00:00:00"/>
    <m/>
    <d v="2025-08-04T00:00:00"/>
    <x v="155"/>
    <n v="4594"/>
    <n v="127.6"/>
    <x v="2"/>
    <m/>
    <s v="Removals"/>
  </r>
  <r>
    <s v="The Management Trust"/>
    <s v="2025 (N) - (Aug/Sep) St. Albans - (3 Year Plan)"/>
    <s v="Santa Ana"/>
    <d v="2023-08-01T00:00:00"/>
    <m/>
    <d v="2025-08-04T00:00:00"/>
    <x v="156"/>
    <n v="7810"/>
    <n v="108.47"/>
    <x v="3"/>
    <m/>
    <s v="Removals"/>
  </r>
  <r>
    <s v="TOTAL PROPERTY MGMT"/>
    <s v="5%==2025 - (Aug/Sep) Lakeview Homeowners Association - (Revised 3 Year Plan) CO 23123"/>
    <s v="Anaheim"/>
    <d v="2024-05-10T00:00:00"/>
    <m/>
    <d v="2025-08-04T00:00:00"/>
    <x v="157"/>
    <n v="6935"/>
    <n v="85.62"/>
    <x v="1"/>
    <m/>
    <s v="Removals"/>
  </r>
  <r>
    <s v="Revolve Property Management"/>
    <s v="5%? 2025 (Aug/Sep) Mira Costa Villas-(Revised 3 Year Plan)"/>
    <s v="San Clemente"/>
    <d v="2024-07-24T00:00:00"/>
    <m/>
    <d v="2025-08-04T00:00:00"/>
    <x v="157"/>
    <n v="9755"/>
    <n v="120.43"/>
    <x v="2"/>
    <m/>
    <s v="Removals"/>
  </r>
  <r>
    <s v="Optimum"/>
    <s v="5%? 2025 (Aug/Sep) Palo Vista HOA - (3 Year Plan)"/>
    <s v="Tustin"/>
    <d v="2024-05-17T00:00:00"/>
    <m/>
    <d v="2025-08-04T00:00:00"/>
    <x v="157"/>
    <n v="7465"/>
    <n v="92.16"/>
    <x v="3"/>
    <m/>
    <s v="Removals"/>
  </r>
  <r>
    <s v="Cardinal Property Management"/>
    <s v="5%?2025 - (Aug/Sep) Casitas in Buena Park - (3 Year Plan)"/>
    <s v="Buena Park"/>
    <d v="2023-11-15T00:00:00"/>
    <m/>
    <d v="2025-08-07T00:00:00"/>
    <x v="158"/>
    <n v="2210"/>
    <n v="105.24"/>
    <x v="3"/>
    <m/>
    <s v="Removals"/>
  </r>
  <r>
    <s v="BHE Management"/>
    <s v="5%? 2025 (Aug/Sep) Vientos Maintenance Association - (3 Year Plan) CO 23150"/>
    <s v="Irvine"/>
    <d v="2024-05-17T00:00:00"/>
    <m/>
    <d v="2025-08-04T00:00:00"/>
    <x v="158"/>
    <n v="18905"/>
    <n v="0"/>
    <x v="3"/>
    <m/>
    <s v="Removals"/>
  </r>
  <r>
    <s v="Crummack Huseby, Inc."/>
    <s v="2025 (Aug/Sep) Parkside Property Owners Association-(Revised Master; 3 Year Plan)CO 34911"/>
    <s v="Lake Forest"/>
    <d v="2024-04-05T00:00:00"/>
    <m/>
    <d v="2025-08-05T00:00:00"/>
    <x v="159"/>
    <n v="18112"/>
    <n v="503.1"/>
    <x v="2"/>
    <m/>
    <s v="Removals"/>
  </r>
  <r>
    <s v="C&amp;L Refrigeration"/>
    <s v="2025 (Aug/Sept) C&amp;L Refrigeration - (3 Year Plan)"/>
    <s v="Fullerton"/>
    <d v="2024-07-12T00:00:00"/>
    <m/>
    <d v="2025-08-09T00:00:00"/>
    <x v="160"/>
    <n v="2310"/>
    <n v="110"/>
    <x v="1"/>
    <m/>
    <s v="Removals"/>
  </r>
  <r>
    <s v="Cardinal Property Management"/>
    <s v="5%? 2025 (Aug/Sep) Vista San Joaquin HOA-(4 Year Plan)"/>
    <s v="Irvine"/>
    <d v="2024-06-17T00:00:00"/>
    <m/>
    <d v="2025-08-11T00:00:00"/>
    <x v="161"/>
    <n v="6583"/>
    <n v="182.85"/>
    <x v="2"/>
    <m/>
    <s v="Removals"/>
  </r>
  <r>
    <s v="BHE Management"/>
    <s v="2025 (Aug/Sep) Lantana Neighborhood Association- (3 Year Plan)CO 23138"/>
    <s v="Irvine"/>
    <d v="2024-05-17T00:00:00"/>
    <m/>
    <d v="2025-08-04T00:00:00"/>
    <x v="161"/>
    <n v="16391"/>
    <n v="101.18"/>
    <x v="3"/>
    <m/>
    <s v="Removals"/>
  </r>
  <r>
    <s v="Optimum"/>
    <s v="2025 - (Aug/Sep) Village Grove HOA - (3 Year Plan)"/>
    <s v="Corona"/>
    <d v="2024-06-04T00:00:00"/>
    <m/>
    <d v="2025-08-11T00:00:00"/>
    <x v="162"/>
    <n v="6861"/>
    <n v="127.05"/>
    <x v="1"/>
    <m/>
    <s v="Removals"/>
  </r>
  <r>
    <s v="Powerstone Property Management"/>
    <s v="2025 (Aug/Sep) Casafina HOA-(4 Year Plan)CO 21803"/>
    <s v="Rancho Santa Margarita"/>
    <d v="2023-12-08T00:00:00"/>
    <m/>
    <d v="2025-08-12T00:00:00"/>
    <x v="162"/>
    <n v="3828"/>
    <n v="106.33"/>
    <x v="2"/>
    <m/>
    <s v="Removals"/>
  </r>
  <r>
    <s v="Optimum"/>
    <s v="2025 - (Jul/Sep) Linda Isle - (Approved 2024-2025 Treatment)"/>
    <s v="Newport Beach"/>
    <d v="2024-04-16T00:00:00"/>
    <m/>
    <d v="2025-08-13T00:00:00"/>
    <x v="163"/>
    <n v="3885"/>
    <n v="457.06"/>
    <x v="4"/>
    <m/>
    <m/>
  </r>
  <r>
    <s v="Western Property Management Services"/>
    <s v="5%? 2025 (Jan/Mar) Carefree El Toro Owners AssociationCO 23179"/>
    <s v="Lake Forest"/>
    <d v="2024-05-22T00:00:00"/>
    <m/>
    <d v="2025-08-13T00:00:00"/>
    <x v="164"/>
    <n v="8904"/>
    <n v="494.67"/>
    <x v="2"/>
    <m/>
    <s v="Removals"/>
  </r>
  <r>
    <s v="FirstService Residential"/>
    <s v="5%? 2025 (Aug/Sep) Classics Lake Forest-(3 Year Plan)CO 23217"/>
    <s v="Lake Forest"/>
    <d v="2024-06-10T00:00:00"/>
    <m/>
    <d v="2025-08-15T00:00:00"/>
    <x v="165"/>
    <n v="2903"/>
    <n v="107.53"/>
    <x v="2"/>
    <m/>
    <s v="Removals"/>
  </r>
  <r>
    <s v="Seabreeze Management Company"/>
    <s v="5%? 2025 (Aug/Sep) Seacliff Court Homeowners Association-(3 Year Plan)CO 23204"/>
    <s v="Aliso Viejo"/>
    <d v="2024-05-31T00:00:00"/>
    <m/>
    <d v="2025-08-11T00:00:00"/>
    <x v="165"/>
    <n v="21610"/>
    <n v="120.06"/>
    <x v="2"/>
    <m/>
    <s v="Removals"/>
  </r>
  <r>
    <s v="Powerstone Property Management"/>
    <s v="5%? 2025 (Jul/Sep) Palm Gardens Community Association-(4 Year Plan)"/>
    <s v="Mission Viejo"/>
    <d v="2024-02-27T00:00:00"/>
    <m/>
    <d v="2025-08-18T00:00:00"/>
    <x v="166"/>
    <n v="29499"/>
    <n v="109.26"/>
    <x v="2"/>
    <m/>
    <s v="Removals"/>
  </r>
  <r>
    <s v="FirstService Residential"/>
    <s v="2025 (Sep/Nov) Oak Creek Village Maintenance Master - (3 Year Plan)"/>
    <s v="Irvine"/>
    <d v="2024-04-25T00:00:00"/>
    <m/>
    <d v="2025-09-02T00:00:00"/>
    <x v="167"/>
    <n v="5696"/>
    <n v="158.22999999999999"/>
    <x v="0"/>
    <m/>
    <s v="Removals"/>
  </r>
  <r>
    <s v="FirstService Residential"/>
    <s v="2025 (Sep/Nov) Oak Creek Village Maintenance Master - (Eagle Creek Cost Center 3 Yr)"/>
    <s v="Irvine"/>
    <d v="2024-04-25T00:00:00"/>
    <m/>
    <d v="2025-09-03T00:00:00"/>
    <x v="168"/>
    <n v="9324"/>
    <n v="129.5"/>
    <x v="0"/>
    <m/>
    <s v="Removals"/>
  </r>
  <r>
    <s v="FirstService Residential"/>
    <s v="2025 (Sep/Nov) Oak Creek Village Maintenance Master - (Hawk Creek Cost Center 3 Yr)"/>
    <s v="Irvine"/>
    <d v="2024-04-25T00:00:00"/>
    <m/>
    <d v="2025-09-05T00:00:00"/>
    <x v="169"/>
    <n v="12800"/>
    <n v="118.51"/>
    <x v="0"/>
    <m/>
    <s v="Removals"/>
  </r>
  <r>
    <s v="BHE Management"/>
    <s v="2025 - (Oct/Dec) MacKay Community Association - (3 Year Plan)"/>
    <s v="Cypress"/>
    <d v="2024-06-11T00:00:00"/>
    <m/>
    <d v="2025-10-01T00:00:00"/>
    <x v="170"/>
    <n v="3016"/>
    <n v="167.57"/>
    <x v="1"/>
    <m/>
    <m/>
  </r>
  <r>
    <s v="BHE Management"/>
    <s v="5%? 2025 (Oct/Dec) Vientos Maintenance Association - (3 Year Plan)CO 23349"/>
    <s v="Irvine"/>
    <d v="2024-07-26T00:00:00"/>
    <m/>
    <d v="2025-10-01T00:00:00"/>
    <x v="170"/>
    <n v="3848"/>
    <n v="427.58"/>
    <x v="3"/>
    <m/>
    <s v="Removals"/>
  </r>
  <r>
    <s v="Powerstone Property Management"/>
    <s v="5%? 2025 (Oct/Dec) Valencia HOA-(Revised 3 Year Plan)CO 23172"/>
    <s v="Mission Viejo"/>
    <d v="2024-05-22T00:00:00"/>
    <m/>
    <d v="2025-10-01T00:00:00"/>
    <x v="171"/>
    <n v="5469"/>
    <n v="101.28"/>
    <x v="2"/>
    <m/>
    <s v="Removals"/>
  </r>
  <r>
    <s v="Seabreeze Management Company"/>
    <s v="5%? 2025 (Oct/Dec) Breakers at Bear Brand-(3 Year Plan)"/>
    <s v="Laguna Niguel"/>
    <d v="2024-07-09T00:00:00"/>
    <m/>
    <d v="2025-10-01T00:00:00"/>
    <x v="171"/>
    <n v="9425"/>
    <n v="130.9"/>
    <x v="2"/>
    <m/>
    <s v="Removals"/>
  </r>
  <r>
    <s v="The Management Trust"/>
    <s v="2025 -(Oct/Dec) St. Albans - (3 Year Plan)"/>
    <s v="Santa Ana"/>
    <d v="2023-07-17T00:00:00"/>
    <m/>
    <d v="2025-10-01T00:00:00"/>
    <x v="171"/>
    <n v="5144"/>
    <n v="71.44"/>
    <x v="3"/>
    <m/>
    <s v="Removals"/>
  </r>
  <r>
    <s v="BHE Management"/>
    <s v="5%? 2025 (Oct/Dec) C2E Townhomes Community - (3 Year Plan)CO 23147"/>
    <s v="Irvine"/>
    <d v="2024-05-20T00:00:00"/>
    <m/>
    <d v="2025-10-01T00:00:00"/>
    <x v="171"/>
    <n v="4037"/>
    <n v="0"/>
    <x v="3"/>
    <m/>
    <s v="Removals"/>
  </r>
  <r>
    <s v="Powerstone Property Management"/>
    <s v="2025 - (Oct/Dec) Riverbeach HOA - (3 Year Plan) CO 21849"/>
    <s v="Seal Beach"/>
    <d v="2024-01-09T00:00:00"/>
    <m/>
    <d v="2025-10-02T00:00:00"/>
    <x v="172"/>
    <n v="5501"/>
    <n v="122.24"/>
    <x v="1"/>
    <m/>
    <s v="Removals"/>
  </r>
  <r>
    <s v="Compass Property Management"/>
    <s v="5%? 2025 (Oct/Dec) Stoney Pointe at Bear Brand -(Revised 3 Year Plan)"/>
    <s v="Laguna Niguel"/>
    <d v="2023-10-19T00:00:00"/>
    <m/>
    <d v="2025-10-01T00:00:00"/>
    <x v="172"/>
    <n v="16687"/>
    <n v="139.06"/>
    <x v="2"/>
    <m/>
    <s v="Removals"/>
  </r>
  <r>
    <s v="Property Management Professionals, LLC"/>
    <s v="5%? 2025 (Oct/Dec) Mirador at Rancho Niguel Association - (3 Year Plan)"/>
    <s v="Laguna Niguel"/>
    <d v="2024-07-16T00:00:00"/>
    <m/>
    <d v="2025-10-03T00:00:00"/>
    <x v="172"/>
    <n v="6265"/>
    <n v="139.22"/>
    <x v="2"/>
    <m/>
    <s v="Removals"/>
  </r>
  <r>
    <s v="TOTAL PROPERTY MGMT"/>
    <s v="5%? 2025 (Oct/Dec) Willows Maintenance HOA-(3 Year Plan)"/>
    <s v="Irvine"/>
    <d v="2024-05-13T00:00:00"/>
    <m/>
    <d v="2025-10-03T00:00:00"/>
    <x v="172"/>
    <n v="3910"/>
    <n v="108.61"/>
    <x v="2"/>
    <m/>
    <s v="Removals"/>
  </r>
  <r>
    <s v="Optimum"/>
    <s v="2025 - (Oct/Dec) Linda Isle - (24-25 Additional Palm Recs)"/>
    <s v="Newport Beach"/>
    <d v="2024-04-09T00:00:00"/>
    <m/>
    <d v="2025-10-01T00:00:00"/>
    <x v="172"/>
    <n v="8555"/>
    <n v="105.62"/>
    <x v="4"/>
    <m/>
    <s v="Removals"/>
  </r>
  <r>
    <s v="BHE Management"/>
    <s v="2025 - (Oct/Dec) Bowen Court Maintenance Association - (3 Year Plan)CO 23142"/>
    <s v="Irvine"/>
    <d v="2024-05-15T00:00:00"/>
    <m/>
    <d v="2025-10-01T00:00:00"/>
    <x v="172"/>
    <n v="8080"/>
    <n v="99.75"/>
    <x v="3"/>
    <m/>
    <s v="Removals"/>
  </r>
  <r>
    <s v="Pacific Development Group"/>
    <s v="2025 - (Oct/Dec) Pacific Development - Santa Ana - (2 Year Plan)"/>
    <s v="Santa Ana"/>
    <d v="2024-04-15T00:00:00"/>
    <m/>
    <d v="2025-10-04T00:00:00"/>
    <x v="173"/>
    <n v="3602"/>
    <n v="200.11"/>
    <x v="1"/>
    <m/>
    <m/>
  </r>
  <r>
    <s v="BHE Management"/>
    <s v="5%? 2025 (Oct/Dec) Lux Community Association - (3 Year Plan)CO 23155"/>
    <s v="Irvine"/>
    <d v="2024-05-20T00:00:00"/>
    <m/>
    <d v="2025-10-06T00:00:00"/>
    <x v="174"/>
    <n v="4447"/>
    <n v="123.52"/>
    <x v="3"/>
    <m/>
    <s v="Removals"/>
  </r>
  <r>
    <s v="Associa (AKA PCM)"/>
    <s v="5%? 2025 (Oct/Dec) Seawind Community Association - (Revised 3 Year Plan)"/>
    <s v="Newport Beach"/>
    <d v="2024-07-31T00:00:00"/>
    <m/>
    <d v="2025-10-06T00:00:00"/>
    <x v="175"/>
    <n v="4801"/>
    <n v="133.37"/>
    <x v="2"/>
    <m/>
    <s v="Removals"/>
  </r>
  <r>
    <s v="Seabreeze Management Company"/>
    <s v="5%? 2025 (Oct/Dec) Ridgemont Community Association-(Revised 3 Year Plan)"/>
    <s v="Mission Viejo"/>
    <d v="2024-01-25T00:00:00"/>
    <m/>
    <d v="2025-10-06T00:00:00"/>
    <x v="175"/>
    <n v="8265"/>
    <n v="114.79"/>
    <x v="2"/>
    <m/>
    <s v="Removals"/>
  </r>
  <r>
    <s v="BHE Management"/>
    <s v="5%? 2025 (Oct/Dec) Citrine Neighborhood Association - (3 Year Plan)CO 23153"/>
    <s v="Irvine"/>
    <d v="2024-05-22T00:00:00"/>
    <m/>
    <d v="2025-10-06T00:00:00"/>
    <x v="175"/>
    <n v="7985"/>
    <n v="110.91"/>
    <x v="3"/>
    <m/>
    <s v="Removals"/>
  </r>
  <r>
    <s v="Associa (AKA PCM)"/>
    <s v="5%? 2025 - (Oct/Dec) Harbour Vista HOA - (3 Year plan)"/>
    <s v="Huntington Beach"/>
    <d v="2023-12-20T00:00:00"/>
    <m/>
    <d v="2025-10-06T00:00:00"/>
    <x v="176"/>
    <n v="14306"/>
    <n v="105.97"/>
    <x v="1"/>
    <m/>
    <s v="Removals"/>
  </r>
  <r>
    <s v="BHE Management"/>
    <s v="5%? 2025 (Oct/Dec) Montara Neighborhood Association - (3 Year Plan)CO 23157"/>
    <s v="Irvine"/>
    <d v="2024-05-20T00:00:00"/>
    <m/>
    <d v="2025-10-07T00:00:00"/>
    <x v="177"/>
    <n v="12175"/>
    <n v="112.73"/>
    <x v="3"/>
    <m/>
    <s v="Removals"/>
  </r>
  <r>
    <s v="Powerstone Property Management"/>
    <s v="5%? 2025 (Oct/Dec) Westpark Village One - Culverdale - (3 Year Plan)"/>
    <s v="Irvine"/>
    <d v="2024-04-12T00:00:00"/>
    <m/>
    <d v="2025-10-08T00:00:00"/>
    <x v="177"/>
    <n v="7700"/>
    <n v="106.94"/>
    <x v="3"/>
    <m/>
    <s v="Removals"/>
  </r>
  <r>
    <s v="Amber Property Management"/>
    <s v="NEED PERMIT 2025 (Oct/Dec) Tennis Villas at Monarch Beach-(Palm 2nd Trim)"/>
    <s v="Dana Point"/>
    <d v="2024-04-08T00:00:00"/>
    <m/>
    <d v="2025-10-08T00:00:00"/>
    <x v="178"/>
    <n v="13490"/>
    <n v="124.91"/>
    <x v="2"/>
    <m/>
    <s v="Removals"/>
  </r>
  <r>
    <s v="Cardinal Property Management"/>
    <s v="5%? NOT A FULL DAY 2025 (Oct/Dec) Vista San Joaquin HOA-(4 Year Plan)"/>
    <s v="Irvine"/>
    <d v="2024-06-17T00:00:00"/>
    <m/>
    <d v="2025-10-10T00:00:00"/>
    <x v="178"/>
    <n v="1215"/>
    <n v="33.75"/>
    <x v="2"/>
    <m/>
    <s v="Removals"/>
  </r>
  <r>
    <s v="Keystone Pacific Property Management, LL"/>
    <s v="5% 2025 -(Oct/Dec) Monterey Neighborhood Association - (3 Year Plan)"/>
    <s v="Irvine"/>
    <d v="2023-10-30T00:00:00"/>
    <m/>
    <d v="2025-10-06T00:00:00"/>
    <x v="178"/>
    <n v="12745"/>
    <n v="104.9"/>
    <x v="3"/>
    <m/>
    <s v="Removals"/>
  </r>
  <r>
    <s v="Optimum"/>
    <s v="5%? 2025 (Oct/Dec) Garden Homes Maintenance Association - (3 Year Plan)"/>
    <s v="Irvine"/>
    <d v="2024-02-09T00:00:00"/>
    <m/>
    <d v="2025-10-06T00:00:00"/>
    <x v="178"/>
    <n v="22388"/>
    <n v="124.38"/>
    <x v="3"/>
    <m/>
    <s v="Removals"/>
  </r>
  <r>
    <s v="Powerstone Property Management"/>
    <s v="5%? 2025 (Oct/Dec) Fawn Glen HOA-(3 Year Plan)"/>
    <s v="Irvine"/>
    <d v="2024-05-14T00:00:00"/>
    <m/>
    <d v="2025-10-13T00:00:00"/>
    <x v="179"/>
    <n v="6835"/>
    <n v="151.88999999999999"/>
    <x v="2"/>
    <m/>
    <s v="Removals"/>
  </r>
  <r>
    <s v="Millennium Community Management"/>
    <s v="5% 2025 - (Oct/Dec) WoodLake Santa Ana HOA - (Revised 3 Year Plan)"/>
    <s v="Santa Ana"/>
    <d v="2023-10-24T00:00:00"/>
    <m/>
    <d v="2025-10-06T00:00:00"/>
    <x v="180"/>
    <n v="20349"/>
    <n v="107.67"/>
    <x v="1"/>
    <m/>
    <s v="Removals"/>
  </r>
  <r>
    <s v="Seabreeze Management Company"/>
    <s v="2025 - (Oct/Dec) Woodbridge Shore Maintenance Association - (3 Year Plan)"/>
    <s v="Irvine"/>
    <d v="2024-03-04T00:00:00"/>
    <m/>
    <d v="2025-10-13T00:00:00"/>
    <x v="180"/>
    <n v="4640"/>
    <n v="106.67"/>
    <x v="1"/>
    <m/>
    <s v="Removals"/>
  </r>
  <r>
    <s v="REGENT ASSOCIATION SERVICES"/>
    <s v="2025 - (Oct/Dec) Suburbia HOA - (Revised 3 Year Plan)"/>
    <s v="Anaheim"/>
    <d v="2024-06-07T00:00:00"/>
    <m/>
    <d v="2025-10-06T00:00:00"/>
    <x v="181"/>
    <n v="26106"/>
    <n v="120.86"/>
    <x v="1"/>
    <m/>
    <s v="Removals"/>
  </r>
  <r>
    <s v="BHE Management"/>
    <s v="5%? 2025 (Oct/Dec) St. Laurent at Newport Ridge - (3 Year Plan)"/>
    <s v="Newport Beach"/>
    <d v="2024-06-17T00:00:00"/>
    <m/>
    <d v="2025-10-15T00:00:00"/>
    <x v="181"/>
    <n v="2425"/>
    <n v="115.48"/>
    <x v="4"/>
    <m/>
    <s v="Removals"/>
  </r>
  <r>
    <s v="Lordon Management"/>
    <s v="5%==2025 - (Oct/Dec) Granada Park Cerritos HOA - (3 Year Plan)"/>
    <s v="Cerritos"/>
    <d v="2024-04-23T00:00:00"/>
    <m/>
    <d v="2025-10-06T00:00:00"/>
    <x v="182"/>
    <n v="27898"/>
    <n v="114.8"/>
    <x v="1"/>
    <m/>
    <s v="Removals"/>
  </r>
  <r>
    <s v="FirstService Residential"/>
    <s v="5%? 2025 (Oct/Dec) Glenwood Terrace-(3 Year Plan)"/>
    <s v="Aliso Viejo"/>
    <d v="2024-04-02T00:00:00"/>
    <m/>
    <d v="2025-10-13T00:00:00"/>
    <x v="183"/>
    <n v="21675"/>
    <n v="120.41"/>
    <x v="2"/>
    <m/>
    <s v="Removals"/>
  </r>
  <r>
    <s v="Powerstone Property Management"/>
    <s v="2025 - (Oct/Dec) Montilla at Oak Creek-(3 Year Plan)"/>
    <s v="Irvine"/>
    <d v="2024-03-15T00:00:00"/>
    <m/>
    <d v="2025-10-16T00:00:00"/>
    <x v="184"/>
    <n v="7405"/>
    <n v="107.32"/>
    <x v="1"/>
    <m/>
    <s v="Removals"/>
  </r>
  <r>
    <s v="Property Management Professionals, LLC"/>
    <s v="5%? 2025 (Oct/Dec) Brisbane Community Association - (3 Year Plan)CO 23168"/>
    <s v="Irvine"/>
    <d v="2024-05-20T00:00:00"/>
    <m/>
    <d v="2025-10-13T00:00:00"/>
    <x v="184"/>
    <n v="24287"/>
    <n v="112.44"/>
    <x v="3"/>
    <m/>
    <s v="Removals"/>
  </r>
  <r>
    <s v="Optimum"/>
    <s v="2025 - (Oct/Dec) Huntington Bay - (3 Year Plan)"/>
    <s v="Huntington Beach"/>
    <d v="2024-05-09T00:00:00"/>
    <m/>
    <d v="2025-10-20T00:00:00"/>
    <x v="185"/>
    <n v="4443"/>
    <n v="109.69"/>
    <x v="1"/>
    <m/>
    <s v="Removals"/>
  </r>
  <r>
    <s v="TSG Independent Property Management"/>
    <s v="5%? 2025 (Oct/Nov) The Grand Monarch-(Revised 3 Year Plan)"/>
    <s v="Dana Point"/>
    <d v="2024-02-15T00:00:00"/>
    <m/>
    <d v="2025-10-21T00:00:00"/>
    <x v="185"/>
    <n v="3725"/>
    <n v="140.57"/>
    <x v="2"/>
    <m/>
    <s v="Removals"/>
  </r>
  <r>
    <s v="Optimum"/>
    <s v="2025 - (Oct/Dec) Village Grove HOA - (3 Year Plan)"/>
    <s v="Corona"/>
    <d v="2024-06-04T00:00:00"/>
    <m/>
    <d v="2025-10-20T00:00:00"/>
    <x v="186"/>
    <n v="7360"/>
    <n v="106.67"/>
    <x v="1"/>
    <m/>
    <s v="Removals"/>
  </r>
  <r>
    <s v="Pristine Property Management"/>
    <s v="2025 - (Oct/Dec) Village Green Garden Grove HOA - (3 Year Plan)"/>
    <s v="Garden Grove"/>
    <d v="2024-06-11T00:00:00"/>
    <m/>
    <d v="2025-10-20T00:00:00"/>
    <x v="186"/>
    <n v="11063"/>
    <n v="136.57"/>
    <x v="1"/>
    <m/>
    <s v="Removals"/>
  </r>
  <r>
    <s v="Optimum"/>
    <s v="PERMIT 5%? 2025 (Oct/Dec) Woodbridge Parkway Maint. Assoc. -(3 Year Plan)CO 23251"/>
    <s v="Irvine"/>
    <d v="2024-06-25T00:00:00"/>
    <m/>
    <d v="2025-10-16T00:00:00"/>
    <x v="186"/>
    <n v="17026"/>
    <n v="94.59"/>
    <x v="3"/>
    <m/>
    <s v="Removals"/>
  </r>
  <r>
    <s v="Powerstone Property Management"/>
    <s v="5%2025 - (Oct/Dec)Yorba Linda Knolls Community Assoc. - (3 Year Plan) RevisedCO 23225"/>
    <s v="Yorba Linda"/>
    <d v="2024-06-05T00:00:00"/>
    <m/>
    <d v="2025-10-22T00:00:00"/>
    <x v="187"/>
    <n v="7849"/>
    <n v="96.9"/>
    <x v="1"/>
    <m/>
    <s v="Removals"/>
  </r>
  <r>
    <s v="Powerstone Property Management"/>
    <s v="5%? 2025 (Oct/Dec) California Renaissance-(Revised 3 Year Plan)CO 23309"/>
    <s v="Aliso Viejo"/>
    <d v="2024-07-11T00:00:00"/>
    <m/>
    <d v="2025-10-23T00:00:00"/>
    <x v="187"/>
    <n v="8121"/>
    <n v="116.01"/>
    <x v="2"/>
    <m/>
    <s v="Removals"/>
  </r>
  <r>
    <s v="Revolve Property Management"/>
    <s v="5%? 2025 (Oct/Dec) Mira Costa Villas-(Revised 3 Year Plan)"/>
    <s v="San Clemente"/>
    <d v="2024-07-24T00:00:00"/>
    <m/>
    <d v="2025-10-13T00:00:00"/>
    <x v="187"/>
    <n v="30492"/>
    <n v="112.93"/>
    <x v="2"/>
    <m/>
    <s v="Removals"/>
  </r>
  <r>
    <s v="Powerstone Property Management"/>
    <s v="2025 (Oct/Dec) Pacific Ranch HOA - (3 Year Plan) CO 23288"/>
    <s v="Huntington Beach"/>
    <d v="2024-07-10T00:00:00"/>
    <m/>
    <d v="2025-10-06T00:00:00"/>
    <x v="188"/>
    <n v="67955"/>
    <n v="117.98"/>
    <x v="1"/>
    <m/>
    <s v="Removals"/>
  </r>
  <r>
    <s v="Lordon Management"/>
    <s v="2025 (Oct/Dec) Gingerwood HOA - (3 Year Plan)"/>
    <s v="Fullerton"/>
    <d v="2024-06-21T00:00:00"/>
    <m/>
    <d v="2025-10-28T00:00:00"/>
    <x v="189"/>
    <n v="8700"/>
    <n v="120.83"/>
    <x v="3"/>
    <m/>
    <s v="Removals"/>
  </r>
  <r>
    <s v="FirstService Residential"/>
    <s v="5%? 2025 (Oct/Dec) Pacific Hills HOA-(3 Year Plan)"/>
    <s v="Mission Viejo"/>
    <d v="2024-03-06T00:00:00"/>
    <m/>
    <d v="2025-10-27T00:00:00"/>
    <x v="190"/>
    <n v="15735"/>
    <n v="109.27"/>
    <x v="2"/>
    <m/>
    <s v="Removals"/>
  </r>
  <r>
    <s v="LAREM"/>
    <s v="5%? 2025 (Oct/Dec) La Verne Business Park (Phase I) - (3 Year Plan) CO 23158"/>
    <s v="La Verne"/>
    <d v="2024-05-24T00:00:00"/>
    <m/>
    <d v="2025-10-13T00:00:00"/>
    <x v="191"/>
    <n v="71728"/>
    <n v="106.26"/>
    <x v="1"/>
    <m/>
    <s v="Removals"/>
  </r>
  <r>
    <s v="Optimum"/>
    <s v="2025 - (Oct/Dec) Linda Isle - (Approved 2024-2025 Treatment)"/>
    <s v="Newport Beach"/>
    <d v="2024-04-16T00:00:00"/>
    <m/>
    <d v="2025-11-15T00:00:00"/>
    <x v="192"/>
    <n v="3885"/>
    <n v="457.06"/>
    <x v="4"/>
    <m/>
    <m/>
  </r>
  <r>
    <s v="Optimum"/>
    <s v="2025 - (Oct/Dec) Linda Isle - (Approved 2024-2025 Trimming)"/>
    <s v="Newport Beach"/>
    <d v="2024-04-16T00:00:00"/>
    <m/>
    <d v="2025-11-17T00:00:00"/>
    <x v="193"/>
    <n v="3950"/>
    <n v="73.150000000000006"/>
    <x v="4"/>
    <m/>
    <s v="Removals"/>
  </r>
  <r>
    <s v="FirstService Residential"/>
    <s v="2025 (Dec/Feb) Oak Creek Village Maintenance Master - CO23243"/>
    <s v="Irvine"/>
    <d v="2024-06-25T00:00:00"/>
    <m/>
    <d v="2025-12-01T00:00:00"/>
    <x v="194"/>
    <n v="19735"/>
    <n v="137.05000000000001"/>
    <x v="0"/>
    <m/>
    <s v="Removals"/>
  </r>
  <r>
    <s v="Seabreeze Management Company"/>
    <s v="5%? 2025 (Oct/Dec) Vista Pointe Ridge-(Approved 3 Year Plan)CO 23286"/>
    <s v="Aliso Viejo"/>
    <d v="2024-07-05T00:00:00"/>
    <m/>
    <d v="2025-12-01T00:00:00"/>
    <x v="195"/>
    <n v="22981"/>
    <n v="106.39"/>
    <x v="2"/>
    <m/>
    <s v="Removals"/>
  </r>
  <r>
    <s v="Amber Property Management"/>
    <s v="5% 2026 - (Jan/Mar) Amalfi Hills Community Association - (3 Year Plan)"/>
    <s v="Yorba Linda"/>
    <d v="2023-11-29T00:00:00"/>
    <m/>
    <d v="2026-01-01T00:00:00"/>
    <x v="196"/>
    <n v="3205"/>
    <n v="71.22"/>
    <x v="1"/>
    <m/>
    <m/>
  </r>
  <r>
    <s v="FirstService Residential"/>
    <s v="5%? 2026 (Jan/May) Classics Lake Forest-(3 Year Plan)CO#23218"/>
    <s v="Lake Forest"/>
    <d v="2024-06-10T00:00:00"/>
    <m/>
    <d v="2026-01-05T00:00:00"/>
    <x v="197"/>
    <n v="4447"/>
    <n v="123.52"/>
    <x v="2"/>
    <m/>
    <s v="Removals"/>
  </r>
  <r>
    <s v="Optimum"/>
    <s v="5%? 2026 (Jan/Mar) Garden Homes Maintenance Association - (3 Year Plan)"/>
    <s v="Irvine"/>
    <d v="2024-02-09T00:00:00"/>
    <m/>
    <d v="2026-01-05T00:00:00"/>
    <x v="197"/>
    <n v="6718"/>
    <n v="167.94"/>
    <x v="3"/>
    <m/>
    <s v="Removals"/>
  </r>
  <r>
    <s v="Pristine Property Management"/>
    <s v="2026 - (Jan/Mar) Village Green Garden Grove HOA - (3 Year Plan)"/>
    <s v="Garden Grove"/>
    <d v="2024-06-11T00:00:00"/>
    <m/>
    <d v="2026-01-05T00:00:00"/>
    <x v="198"/>
    <n v="4113"/>
    <n v="114.24"/>
    <x v="1"/>
    <m/>
    <s v="Removals"/>
  </r>
  <r>
    <s v="Powerstone Property Management"/>
    <s v="5%?PERMIT? 2026 (Jan/Mar) Mission Sunrise Ridge-(3 Year Plan)"/>
    <s v="Mission Viejo"/>
    <d v="2024-04-25T00:00:00"/>
    <m/>
    <d v="2026-01-05T00:00:00"/>
    <x v="198"/>
    <n v="9743"/>
    <n v="135.31"/>
    <x v="2"/>
    <m/>
    <s v="Removals"/>
  </r>
  <r>
    <s v="Cardinal Property Management"/>
    <s v="5%?2026 - (Jan/Mar) Casitas in Buena Park - (3 Year Plan)"/>
    <s v="Buena Park"/>
    <d v="2023-11-15T00:00:00"/>
    <m/>
    <d v="2026-01-05T00:00:00"/>
    <x v="198"/>
    <n v="3545"/>
    <n v="107.42"/>
    <x v="3"/>
    <m/>
    <s v="Removals"/>
  </r>
  <r>
    <s v="Otis HOA Management"/>
    <s v="2026 (Removals) Danawoods Community - (3 Year Phased Removal Plan)"/>
    <s v="Dana Point"/>
    <d v="2024-01-29T00:00:00"/>
    <m/>
    <d v="2026-01-06T00:00:00"/>
    <x v="199"/>
    <n v="9755"/>
    <n v="90.32"/>
    <x v="2"/>
    <s v="Removals"/>
    <s v="Removals"/>
  </r>
  <r>
    <s v="Optimum"/>
    <s v="2026 - (Jan/Mar) Valencia Maintenance Association - (3 Year Plan)"/>
    <s v="Tustin"/>
    <d v="2024-04-22T00:00:00"/>
    <m/>
    <d v="2026-01-05T00:00:00"/>
    <x v="199"/>
    <n v="11885"/>
    <n v="110.05"/>
    <x v="3"/>
    <m/>
    <s v="Removals"/>
  </r>
  <r>
    <s v="Otis HOA Management"/>
    <s v="5%? 2026 (Jan/Mar) Danawoods Community-(Revised 4 Year Plan)"/>
    <s v="Dana Point"/>
    <d v="2024-01-29T00:00:00"/>
    <m/>
    <d v="2026-01-09T00:00:00"/>
    <x v="200"/>
    <n v="4968"/>
    <n v="137.99"/>
    <x v="2"/>
    <m/>
    <s v="Removals"/>
  </r>
  <r>
    <s v="Seabreeze Management Company"/>
    <s v="2026 - (Jan/Mar) Woodbridge Shore Maintenance Association - (3 Year Plan)"/>
    <s v="Irvine"/>
    <d v="2024-03-04T00:00:00"/>
    <m/>
    <d v="2026-01-05T00:00:00"/>
    <x v="201"/>
    <n v="16618"/>
    <n v="104.51"/>
    <x v="1"/>
    <m/>
    <s v="Removals"/>
  </r>
  <r>
    <s v="FirstService Residential"/>
    <s v="5%? 2026 (Jan/Mar) Pacific Hills HOA-(3 Year Plan)"/>
    <s v="Mission Viejo"/>
    <d v="2024-03-06T00:00:00"/>
    <m/>
    <d v="2026-01-06T00:00:00"/>
    <x v="202"/>
    <n v="27507"/>
    <n v="109.15"/>
    <x v="2"/>
    <m/>
    <s v="Removals"/>
  </r>
  <r>
    <s v="Lordon Management"/>
    <s v="PERMIT==2026 - Granada Park Cerritos HOA - (Revised 3 Year Removal Plan)"/>
    <s v="Cerritos"/>
    <d v="2024-04-23T00:00:00"/>
    <m/>
    <d v="2026-01-12T00:00:00"/>
    <x v="203"/>
    <n v="13295"/>
    <n v="123.1"/>
    <x v="1"/>
    <s v="Removals"/>
    <s v="Removals"/>
  </r>
  <r>
    <s v="FirstService Residential"/>
    <s v="5%? PERMIT 2026 (Jan/Mar) Pacific Hills East-(Revised 3 Year Plan)"/>
    <s v="Mission Viejo"/>
    <d v="2024-07-11T00:00:00"/>
    <m/>
    <d v="2026-01-15T00:00:00"/>
    <x v="203"/>
    <n v="4211"/>
    <n v="116.98"/>
    <x v="2"/>
    <m/>
    <s v="Removals"/>
  </r>
  <r>
    <s v="Optimum"/>
    <s v="2026 (Removals) The Cottages Community Association-(3 Year Removal Plan)"/>
    <s v="Aliso Viejo"/>
    <d v="2024-03-26T00:00:00"/>
    <m/>
    <d v="2026-01-16T00:00:00"/>
    <x v="204"/>
    <n v="2400"/>
    <n v="68.569999999999993"/>
    <x v="2"/>
    <s v="Removals"/>
    <s v="Removals"/>
  </r>
  <r>
    <s v="Optimum"/>
    <s v="5%? 2026 (Jan/Mar) The Cottages Community Association-(Revised 3 Year Plan)"/>
    <s v="Aliso Viejo"/>
    <d v="2024-03-26T00:00:00"/>
    <m/>
    <d v="2026-01-16T00:00:00"/>
    <x v="204"/>
    <n v="3550"/>
    <n v="101.43"/>
    <x v="2"/>
    <m/>
    <s v="Removals"/>
  </r>
  <r>
    <s v="Seabreeze Management Company"/>
    <s v="5%? 2026 (Jan/Mar) Laguna Audubon 1-(3 Year Plan)"/>
    <s v="Aliso Viejo"/>
    <d v="2024-03-26T00:00:00"/>
    <m/>
    <d v="2026-01-12T00:00:00"/>
    <x v="204"/>
    <n v="17818"/>
    <n v="98.99"/>
    <x v="2"/>
    <m/>
    <s v="Removals"/>
  </r>
  <r>
    <s v="Powerstone Property Management"/>
    <s v="2026 - (Jan/Mar) Pacific Ranch HOA - (3 Year Plan)"/>
    <s v="Huntington Beach"/>
    <d v="2024-04-11T00:00:00"/>
    <m/>
    <d v="2026-01-19T00:00:00"/>
    <x v="205"/>
    <n v="6532"/>
    <n v="120.96"/>
    <x v="1"/>
    <m/>
    <s v="Removals"/>
  </r>
  <r>
    <s v="Keystone Pacific Property Management, LL"/>
    <s v="5%? 2026 (Jan/Mar) Pacific Ridge HOA-(3 Year Plan)CO 23202"/>
    <s v="Aliso Viejo"/>
    <d v="2024-07-03T00:00:00"/>
    <m/>
    <d v="2026-01-05T00:00:00"/>
    <x v="206"/>
    <n v="57644"/>
    <n v="98.54"/>
    <x v="2"/>
    <m/>
    <s v="Removals"/>
  </r>
  <r>
    <s v="Powerstone Property Management"/>
    <s v="5%? 2026 (Jan/Mar) Palm Gardens Community Association-(4 Year Plan)"/>
    <s v="Mission Viejo"/>
    <d v="2024-02-27T00:00:00"/>
    <m/>
    <d v="2026-01-26T00:00:00"/>
    <x v="207"/>
    <n v="18231"/>
    <n v="135.05000000000001"/>
    <x v="2"/>
    <m/>
    <s v="Removals"/>
  </r>
  <r>
    <s v="Elite Property Services"/>
    <s v="5%? 2026 (Jan/Mar) Lake Forest (Woods) - (One line item bid)"/>
    <s v="Lake Forest"/>
    <d v="2023-10-18T00:00:00"/>
    <m/>
    <d v="2026-01-05T00:00:00"/>
    <x v="208"/>
    <n v="119385"/>
    <n v="165.81"/>
    <x v="2"/>
    <m/>
    <s v="Removals"/>
  </r>
  <r>
    <s v="Optimum"/>
    <s v="2026 - (Jan/Mar) Linda Isle - (Approved 2024-2025 Treatment)"/>
    <s v="Newport Beach"/>
    <d v="2024-04-16T00:00:00"/>
    <m/>
    <d v="2026-02-11T00:00:00"/>
    <x v="209"/>
    <n v="3885"/>
    <n v="457.06"/>
    <x v="4"/>
    <m/>
    <m/>
  </r>
  <r>
    <s v="FirstService Residential"/>
    <s v="2026 (Mar/May) Oak Creek Village Maintenance Master - (3 Year Plan)"/>
    <s v="Irvine"/>
    <d v="2024-04-25T00:00:00"/>
    <m/>
    <d v="2026-03-02T00:00:00"/>
    <x v="210"/>
    <n v="641"/>
    <n v="17.79"/>
    <x v="0"/>
    <m/>
    <s v="Removals"/>
  </r>
  <r>
    <s v="FirstService Residential"/>
    <s v="2026 (Mar/May) Oak Creek Village Maintenance Master - (Eagle Creek Cost Center 3 Yr)"/>
    <s v="Irvine"/>
    <d v="2024-04-25T00:00:00"/>
    <m/>
    <d v="2026-03-02T00:00:00"/>
    <x v="211"/>
    <n v="8862"/>
    <n v="123.08"/>
    <x v="0"/>
    <m/>
    <s v="Removals"/>
  </r>
  <r>
    <s v="ACTION PROPERTY MGMT"/>
    <s v="2026 - Cortile Maintenance Association-(3 Year Pine Removals Plan)"/>
    <s v="Irvine"/>
    <d v="2024-03-28T00:00:00"/>
    <m/>
    <d v="2026-03-02T00:00:00"/>
    <x v="212"/>
    <n v="11295"/>
    <n v="104.58"/>
    <x v="2"/>
    <s v="Removals"/>
    <s v="Removals"/>
  </r>
  <r>
    <s v="FirstService Residential"/>
    <s v="2026 (Mar/May) Oak Creek Village Maintenance Master - (Hawk Creek Cost Center 3 Yr)"/>
    <s v="Irvine"/>
    <d v="2024-04-25T00:00:00"/>
    <m/>
    <d v="2026-03-04T00:00:00"/>
    <x v="213"/>
    <n v="10721"/>
    <n v="148.9"/>
    <x v="0"/>
    <m/>
    <s v="Removals"/>
  </r>
  <r>
    <s v="LBA Realty"/>
    <s v="[TREATMENT] 2026 (Apr/Jun) Park Place - (3 Year Treatment Plan)"/>
    <s v="Irvine"/>
    <d v="2024-05-03T00:00:00"/>
    <m/>
    <d v="2026-04-01T00:00:00"/>
    <x v="214"/>
    <n v="29420"/>
    <n v="0"/>
    <x v="1"/>
    <m/>
    <m/>
  </r>
  <r>
    <s v="Powerstone Property Management"/>
    <s v="2026 (Removals) Cypress North Community Association-(3 Year Removal Bid)"/>
    <s v="Irvine"/>
    <d v="2024-02-06T00:00:00"/>
    <m/>
    <d v="2026-04-01T00:00:00"/>
    <x v="214"/>
    <n v="2685"/>
    <n v="99.44"/>
    <x v="2"/>
    <s v="Removals"/>
    <s v="Removals"/>
  </r>
  <r>
    <s v="Otis HOA Management"/>
    <s v="5%? 2026 (Apr/Jun) Danawoods Community-(Revised 4 Year Plan)"/>
    <s v="Dana Point"/>
    <d v="2024-01-29T00:00:00"/>
    <m/>
    <d v="2026-04-01T00:00:00"/>
    <x v="215"/>
    <n v="6504"/>
    <n v="120.44"/>
    <x v="2"/>
    <m/>
    <s v="Removals"/>
  </r>
  <r>
    <s v="Powerstone Property Management"/>
    <s v="5%? 2026 (Apr/Jun) Cypress North Community Association-(3 Year Plan)"/>
    <s v="Irvine"/>
    <d v="2024-02-06T00:00:00"/>
    <m/>
    <d v="2026-04-02T00:00:00"/>
    <x v="215"/>
    <n v="5135"/>
    <n v="128.38"/>
    <x v="2"/>
    <m/>
    <s v="Removals"/>
  </r>
  <r>
    <s v="Amber Property Management"/>
    <s v="5% 2026 - (Apr/Jun) Amalfi Hills Community Association - (3 Year Plan)"/>
    <s v="Yorba Linda"/>
    <d v="2023-11-29T00:00:00"/>
    <m/>
    <d v="2026-04-01T00:00:00"/>
    <x v="216"/>
    <n v="9309"/>
    <n v="0"/>
    <x v="1"/>
    <m/>
    <m/>
  </r>
  <r>
    <s v="Powerstone Property Management"/>
    <s v="5%? 2026 (Apr/Jun) Autumn Glen Community Association-(3 Year Plan)"/>
    <s v="Irvine"/>
    <d v="2024-02-06T00:00:00"/>
    <m/>
    <d v="2026-04-03T00:00:00"/>
    <x v="216"/>
    <n v="4585"/>
    <n v="127.36"/>
    <x v="2"/>
    <m/>
    <s v="Removals"/>
  </r>
  <r>
    <s v="Nexagen Corporation"/>
    <s v="5%?2026 - (Apr/Jun) Nexagen Corporation - (3 Year Plan)"/>
    <s v="Cerritos"/>
    <d v="2024-04-02T00:00:00"/>
    <m/>
    <d v="2026-04-04T00:00:00"/>
    <x v="217"/>
    <n v="3380"/>
    <n v="93.89"/>
    <x v="1"/>
    <m/>
    <s v="Removals"/>
  </r>
  <r>
    <s v="Keystone Pacific Property Management, LL"/>
    <s v="5%? 2026 (Apr/Jun) Lantern Bay Estates-(Revised 3 Year Plan)"/>
    <s v="Dana Point"/>
    <d v="2023-08-29T00:00:00"/>
    <m/>
    <d v="2026-04-01T00:00:00"/>
    <x v="218"/>
    <n v="14720"/>
    <n v="0"/>
    <x v="2"/>
    <m/>
    <s v="Removals"/>
  </r>
  <r>
    <s v="Seabreeze Management Company"/>
    <s v="5%? 2026 (Apr/Jun) Rancho San Juan Community Association-(3 Year Plan)"/>
    <s v="San Juan Capistrano"/>
    <d v="2024-03-12T00:00:00"/>
    <m/>
    <d v="2026-04-06T00:00:00"/>
    <x v="218"/>
    <n v="6049"/>
    <n v="168.03"/>
    <x v="2"/>
    <m/>
    <s v="Removals"/>
  </r>
  <r>
    <s v="Cardinal Property Management"/>
    <s v="5%?2026 - (Apr/Jun) Casitas in Buena Park - (3 Year Plan)"/>
    <s v="Buena Park"/>
    <d v="2023-11-15T00:00:00"/>
    <m/>
    <d v="2026-04-06T00:00:00"/>
    <x v="219"/>
    <n v="8490"/>
    <n v="104.81"/>
    <x v="3"/>
    <m/>
    <s v="Removals"/>
  </r>
  <r>
    <s v="Powerstone Property Management"/>
    <s v="5%? 2026 (Apr/Jun) La Vista At Laguna Niguel - (Revised 3 Year)"/>
    <s v="Laguna Niguel"/>
    <d v="2023-11-17T00:00:00"/>
    <m/>
    <d v="2026-04-07T00:00:00"/>
    <x v="220"/>
    <n v="14795"/>
    <n v="136.99"/>
    <x v="2"/>
    <m/>
    <s v="Removals"/>
  </r>
  <r>
    <s v="FirstService Residential"/>
    <s v="5%? 2026 (Apr/Jun) Flores Los Alisos-(3 Year Plan)"/>
    <s v="Aliso Viejo"/>
    <d v="2024-03-26T00:00:00"/>
    <m/>
    <d v="2026-04-07T00:00:00"/>
    <x v="221"/>
    <n v="15808"/>
    <n v="109.77"/>
    <x v="2"/>
    <m/>
    <s v="Removals"/>
  </r>
  <r>
    <s v="Keystone Pacific Property Management, LL"/>
    <s v="5%? 2026 (Apr/Jun) Canyons Edge Community Association-(4 Year Plan)"/>
    <s v="Irvine"/>
    <d v="2024-03-12T00:00:00"/>
    <m/>
    <d v="2026-04-06T00:00:00"/>
    <x v="221"/>
    <n v="20945"/>
    <n v="116.36"/>
    <x v="2"/>
    <m/>
    <s v="Removals"/>
  </r>
  <r>
    <s v="Optimum"/>
    <s v="2026 - (Apr/Jun) Valencia Maintenance Association - (3 Year Plan)"/>
    <s v="Tustin"/>
    <d v="2024-04-22T00:00:00"/>
    <m/>
    <d v="2026-04-06T00:00:00"/>
    <x v="221"/>
    <n v="17050"/>
    <n v="126.3"/>
    <x v="3"/>
    <m/>
    <s v="Removals"/>
  </r>
  <r>
    <s v="Lordon Management"/>
    <s v="5%==2026 - (Apr/Jun) Granada Park Cerritos HOA - (3 Year Plan)"/>
    <s v="Cerritos"/>
    <d v="2024-04-23T00:00:00"/>
    <m/>
    <d v="2026-04-13T00:00:00"/>
    <x v="222"/>
    <n v="4008"/>
    <n v="148.43"/>
    <x v="1"/>
    <m/>
    <s v="Removals"/>
  </r>
  <r>
    <s v="REGENT ASSOCIATION SERVICES"/>
    <s v="2026 - (Apr/Jun) Suburbia HOA - (Revised 3 Year Plan)"/>
    <s v="Anaheim"/>
    <d v="2024-06-07T00:00:00"/>
    <m/>
    <d v="2026-04-06T00:00:00"/>
    <x v="222"/>
    <n v="18996"/>
    <n v="117.26"/>
    <x v="1"/>
    <m/>
    <s v="Removals"/>
  </r>
  <r>
    <s v="FirstService Residential"/>
    <s v="5%? 2026 (Apr/Jun) Glenwood Recreation Center (GRE)-(3 Year Plan)"/>
    <s v="Aliso Viejo"/>
    <d v="2024-06-28T00:00:00"/>
    <m/>
    <d v="2026-04-13T00:00:00"/>
    <x v="222"/>
    <n v="5223"/>
    <n v="116.06"/>
    <x v="2"/>
    <m/>
    <s v="Removals"/>
  </r>
  <r>
    <s v="Lordon Management"/>
    <s v="2026 (Apr/Jun) Gingerwood HOA - (3 Year Plan)"/>
    <s v="Fullerton"/>
    <d v="2024-06-21T00:00:00"/>
    <m/>
    <d v="2026-04-06T00:00:00"/>
    <x v="222"/>
    <n v="27020"/>
    <n v="125.09"/>
    <x v="3"/>
    <m/>
    <s v="Removals"/>
  </r>
  <r>
    <s v="Powerstone Property Management"/>
    <s v="5%? 2026 (Apr/Jun) Fawn Glen HOA-(3 Year Plan)"/>
    <s v="Irvine"/>
    <d v="2024-05-14T00:00:00"/>
    <m/>
    <d v="2026-04-13T00:00:00"/>
    <x v="223"/>
    <n v="8085"/>
    <n v="112.29"/>
    <x v="2"/>
    <m/>
    <s v="Removals"/>
  </r>
  <r>
    <s v="Optimum"/>
    <s v="2026 - (Apr/Jun) Huntington Bay - (3 Year Plan)"/>
    <s v="Huntington Beach"/>
    <d v="2024-05-09T00:00:00"/>
    <m/>
    <d v="2026-04-15T00:00:00"/>
    <x v="224"/>
    <n v="4854"/>
    <n v="115.57"/>
    <x v="1"/>
    <m/>
    <s v="Removals"/>
  </r>
  <r>
    <s v="Powerstone Property Management"/>
    <s v="5% 2026 - (Apr/Jun) Campobello HOA-(4 Year Plan)"/>
    <s v="Newport Beach"/>
    <d v="2024-03-22T00:00:00"/>
    <m/>
    <d v="2026-04-06T00:00:00"/>
    <x v="224"/>
    <n v="26941"/>
    <n v="110.87"/>
    <x v="2"/>
    <m/>
    <s v="Removals"/>
  </r>
  <r>
    <s v="Powerstone Property Management"/>
    <s v="2026 - (Apr/Jun) Montilla at Oak Creek-(3 Year Plan)"/>
    <s v="Irvine"/>
    <d v="2024-03-15T00:00:00"/>
    <m/>
    <d v="2026-04-13T00:00:00"/>
    <x v="225"/>
    <n v="15391"/>
    <n v="114"/>
    <x v="1"/>
    <m/>
    <s v="Removals"/>
  </r>
  <r>
    <s v="Seabreeze Management Company"/>
    <s v="5%? 2026 (Apr/Jun) Breakers at Bear Brand-(3 Year Plan)"/>
    <s v="Laguna Niguel"/>
    <d v="2024-07-09T00:00:00"/>
    <m/>
    <d v="2026-04-13T00:00:00"/>
    <x v="225"/>
    <n v="24420"/>
    <n v="135.66999999999999"/>
    <x v="2"/>
    <m/>
    <s v="Removals"/>
  </r>
  <r>
    <s v="Property Management Professionals, LLC"/>
    <s v="5%? 2026 (Apr/Jun) Mirador at Rancho Niguel Association - (3 Year Plan)"/>
    <s v="Laguna Niguel"/>
    <d v="2024-07-16T00:00:00"/>
    <m/>
    <d v="2026-04-15T00:00:00"/>
    <x v="226"/>
    <n v="16455"/>
    <n v="114.27"/>
    <x v="2"/>
    <m/>
    <s v="Removals"/>
  </r>
  <r>
    <s v="Powerstone Property Management"/>
    <s v="5% 2026 - (Apr/Jun) YoYorba Linda Knolls Community Assoc. - (3 Year Plan) Revised"/>
    <s v="Yorba Linda"/>
    <d v="2024-03-22T00:00:00"/>
    <m/>
    <d v="2026-04-20T00:00:00"/>
    <x v="227"/>
    <n v="11304"/>
    <n v="104.67"/>
    <x v="1"/>
    <m/>
    <s v="Removals"/>
  </r>
  <r>
    <s v="FirstService Residential"/>
    <s v="5%? PERMIT 2026 (Apr/Jun) Pacific Hills East-(Revised 3 Year Plan)"/>
    <s v="Mission Viejo"/>
    <d v="2024-07-11T00:00:00"/>
    <m/>
    <d v="2026-04-14T00:00:00"/>
    <x v="227"/>
    <n v="38571"/>
    <n v="107.14"/>
    <x v="2"/>
    <m/>
    <s v="Removals"/>
  </r>
  <r>
    <s v="Keystone Pacific Property Management, LL"/>
    <s v="5%? 2026 (Apr/Jun) Pacific Ridge HOA-(3 Year Plan)CO 23199"/>
    <s v="Aliso Viejo"/>
    <d v="2024-07-03T00:00:00"/>
    <m/>
    <d v="2026-04-01T00:00:00"/>
    <x v="228"/>
    <n v="70038"/>
    <n v="108.08"/>
    <x v="2"/>
    <m/>
    <s v="Removals"/>
  </r>
  <r>
    <s v="FirstService Residential"/>
    <s v="5%? 2026 (Apr/Jun) Pacific Hills HOA-(3 Year Plan)"/>
    <s v="Mission Viejo"/>
    <d v="2024-03-06T00:00:00"/>
    <m/>
    <d v="2026-04-06T00:00:00"/>
    <x v="229"/>
    <n v="66193"/>
    <n v="108.16"/>
    <x v="2"/>
    <m/>
    <s v="Removals"/>
  </r>
  <r>
    <s v="Powerstone Property Management"/>
    <s v="5%? 2026 (Apr/Jun) Palm Gardens Community Association-(4 Year Plan)"/>
    <s v="Mission Viejo"/>
    <d v="2024-02-27T00:00:00"/>
    <m/>
    <d v="2026-04-27T00:00:00"/>
    <x v="229"/>
    <n v="7923"/>
    <n v="88.03"/>
    <x v="2"/>
    <m/>
    <s v="Removals"/>
  </r>
  <r>
    <s v="The Management Trust"/>
    <s v="5%? 2026 (Apr/Jun) Northpark Monterey Community Assoc. - (3 Year Plan)"/>
    <s v="Irvine"/>
    <d v="2024-04-08T00:00:00"/>
    <m/>
    <d v="2026-04-29T00:00:00"/>
    <x v="230"/>
    <n v="12280"/>
    <n v="136.44"/>
    <x v="4"/>
    <m/>
    <s v="Removals"/>
  </r>
  <r>
    <s v="Optimum"/>
    <s v="2026 - (Apr/Jun) Linda Isle - (Approved 2024-2025 Treatment)"/>
    <s v="Newport Beach"/>
    <d v="2024-04-16T00:00:00"/>
    <m/>
    <d v="2026-06-11T00:00:00"/>
    <x v="231"/>
    <n v="3885"/>
    <n v="457.06"/>
    <x v="4"/>
    <m/>
    <m/>
  </r>
  <r>
    <s v="TSG Independent Property Management"/>
    <s v="5%? 2026 (Jul/Sep) The Grand Monarch-(Revised 3 Year Plan)"/>
    <s v="Dana Point"/>
    <d v="2024-02-15T00:00:00"/>
    <m/>
    <d v="2026-07-06T00:00:00"/>
    <x v="232"/>
    <n v="6165"/>
    <n v="116.32"/>
    <x v="2"/>
    <m/>
    <s v="Removals"/>
  </r>
  <r>
    <s v="Otis HOA Management"/>
    <s v="5%?/PERMIT? 2026 (Jul/Sep) Danawoods Community-(Revised 4 Year Plan)"/>
    <s v="Dana Point"/>
    <d v="2024-01-29T00:00:00"/>
    <m/>
    <d v="2026-07-01T00:00:00"/>
    <x v="233"/>
    <n v="25303"/>
    <n v="117.14"/>
    <x v="2"/>
    <m/>
    <s v="Removals"/>
  </r>
  <r>
    <s v="Powerstone Property Management"/>
    <s v="5%? PERMIT? 2026 (Jul/Sep) Mission Sunrise Ridge-(3 Year Plan)"/>
    <s v="Mission Viejo"/>
    <d v="2024-04-25T00:00:00"/>
    <m/>
    <d v="2026-07-06T00:00:00"/>
    <x v="234"/>
    <n v="20377"/>
    <n v="113.2"/>
    <x v="2"/>
    <m/>
    <s v="Removals"/>
  </r>
  <r>
    <s v="Crummack Huseby, Inc."/>
    <s v="2026 PLACEHOLDER-Northpark Maintenance HOA (Street Trees)"/>
    <s v="Irvine"/>
    <d v="2024-02-09T00:00:00"/>
    <m/>
    <d v="2026-01-05T00:00:00"/>
    <x v="235"/>
    <n v="192825"/>
    <n v="115.81"/>
    <x v="4"/>
    <m/>
    <s v="Removals"/>
  </r>
  <r>
    <s v="BHE Management"/>
    <s v="5%? 2026 (Jul/Sep) St. Laurent at Newport Ridge - (3 Year Plan)"/>
    <s v="Newport Beach"/>
    <d v="2024-06-17T00:00:00"/>
    <m/>
    <d v="2026-07-20T00:00:00"/>
    <x v="236"/>
    <n v="19065"/>
    <n v="117.69"/>
    <x v="4"/>
    <m/>
    <s v="Removals"/>
  </r>
  <r>
    <s v="Cardinal Property Management"/>
    <s v="5%? 2026 (Aug/Sep) Vista San Joaquin HOA-(4 Year Plan)"/>
    <s v="Irvine"/>
    <d v="2024-06-17T00:00:00"/>
    <m/>
    <d v="2026-08-03T00:00:00"/>
    <x v="237"/>
    <n v="4423"/>
    <n v="122.85"/>
    <x v="2"/>
    <m/>
    <s v="Removals"/>
  </r>
  <r>
    <s v="Associa (AKA PCM)"/>
    <s v="5%? 2026 (Aug/Sep) Seawind Community Association - (Revised 3 Year Plan)"/>
    <s v="Newport Beach"/>
    <d v="2024-07-31T00:00:00"/>
    <m/>
    <d v="2026-08-03T00:00:00"/>
    <x v="238"/>
    <n v="5210"/>
    <n v="144.72"/>
    <x v="2"/>
    <m/>
    <s v="Removals"/>
  </r>
  <r>
    <s v="Cardinal Property Management"/>
    <s v="5%?2026 - (Aug/Sep) Casitas in Buena Park - (3 Year Plan)"/>
    <s v="Buena Park"/>
    <d v="2023-11-15T00:00:00"/>
    <m/>
    <d v="2026-08-03T00:00:00"/>
    <x v="238"/>
    <n v="5425"/>
    <n v="100.46"/>
    <x v="3"/>
    <m/>
    <s v="Removals"/>
  </r>
  <r>
    <s v="REGENT ASSOCIATION SERVICES"/>
    <s v="2026 - (Aug/Sep) Suburbia HOA - (Revised 3 Year Plan)"/>
    <s v="Anaheim"/>
    <d v="2024-06-07T00:00:00"/>
    <m/>
    <d v="2026-08-03T00:00:00"/>
    <x v="239"/>
    <n v="9781"/>
    <n v="120.75"/>
    <x v="1"/>
    <m/>
    <s v="Removals"/>
  </r>
  <r>
    <s v="Optimum"/>
    <s v="5%? 2026 (Aug/Sep) Palo Vista HOA - (3 Year Plan)"/>
    <s v="Tustin"/>
    <d v="2024-05-17T00:00:00"/>
    <m/>
    <d v="2026-08-03T00:00:00"/>
    <x v="239"/>
    <n v="7465"/>
    <n v="92.16"/>
    <x v="3"/>
    <m/>
    <s v="Removals"/>
  </r>
  <r>
    <s v="Revolve Property Management"/>
    <s v="5%? 2026 (Aug/Sep) Mira Costa Villas-(Revised 3 Year Plan)"/>
    <s v="San Clemente"/>
    <d v="2024-07-24T00:00:00"/>
    <m/>
    <d v="2026-08-03T00:00:00"/>
    <x v="240"/>
    <n v="15002"/>
    <n v="111.12"/>
    <x v="2"/>
    <m/>
    <s v="Removals"/>
  </r>
  <r>
    <s v="C&amp;L Refrigeration"/>
    <s v="2026 (Aug/Sept) C&amp;L Refrigeration - (3 Year Plan)"/>
    <s v="Fullerton"/>
    <d v="2024-07-12T00:00:00"/>
    <m/>
    <d v="2026-08-08T00:00:00"/>
    <x v="241"/>
    <n v="3390"/>
    <n v="125.56"/>
    <x v="1"/>
    <m/>
    <s v="Removals"/>
  </r>
  <r>
    <s v="Powerstone Property Management"/>
    <s v="5%? 2026 (Jul/Sep) Palm Gardens Community Association-(4 Year Plan)"/>
    <s v="Mission Viejo"/>
    <d v="2024-02-27T00:00:00"/>
    <m/>
    <d v="2026-08-03T00:00:00"/>
    <x v="242"/>
    <n v="28890"/>
    <n v="107"/>
    <x v="2"/>
    <m/>
    <s v="Removals"/>
  </r>
  <r>
    <s v="Optimum"/>
    <s v="2026 - (Aug/Sep) Village Grove HOA - (3 Year Plan)"/>
    <s v="Corona"/>
    <d v="2024-06-04T00:00:00"/>
    <m/>
    <d v="2026-08-10T00:00:00"/>
    <x v="243"/>
    <n v="5826"/>
    <n v="80.91"/>
    <x v="1"/>
    <m/>
    <s v="Removals"/>
  </r>
  <r>
    <s v="Optimum"/>
    <s v="2026 - (Jul/Sep) Linda Isle - (Approved 2024-2025 Treatment)"/>
    <s v="Newport Beach"/>
    <d v="2024-04-16T00:00:00"/>
    <m/>
    <d v="2026-08-13T00:00:00"/>
    <x v="244"/>
    <n v="3885"/>
    <n v="457.06"/>
    <x v="4"/>
    <m/>
    <m/>
  </r>
  <r>
    <s v="BHE Management"/>
    <s v="2026 - (Oct/Dec) MacKay Community Association - (3 Year Plan)"/>
    <s v="Cypress"/>
    <d v="2024-06-11T00:00:00"/>
    <m/>
    <d v="2026-10-01T00:00:00"/>
    <x v="245"/>
    <n v="3259"/>
    <n v="120.69"/>
    <x v="1"/>
    <m/>
    <m/>
  </r>
  <r>
    <s v="TOTAL PROPERTY MGMT"/>
    <s v="5%? 2026 (Oct/Dec) Willows Maintenance HOA-(3 Year Plan)"/>
    <s v="Irvine"/>
    <d v="2024-05-13T00:00:00"/>
    <m/>
    <d v="2026-10-05T00:00:00"/>
    <x v="246"/>
    <n v="4875"/>
    <n v="541.66999999999996"/>
    <x v="2"/>
    <m/>
    <s v="Removals"/>
  </r>
  <r>
    <s v="TSG Independent Property Management"/>
    <s v="5%? 2026 (Oct/Nov) The Grand Monarch-(Revised 3 Year Plan)"/>
    <s v="Dana Point"/>
    <d v="2024-02-15T00:00:00"/>
    <m/>
    <d v="2026-10-05T00:00:00"/>
    <x v="246"/>
    <n v="3725"/>
    <n v="413.89"/>
    <x v="2"/>
    <m/>
    <s v="Removals"/>
  </r>
  <r>
    <s v="Powerstone Property Management"/>
    <s v="5%? 2026 (Oct/Dec) Westpark Village One - Culverdale - (3 Year Plan)"/>
    <s v="Irvine"/>
    <d v="2024-04-12T00:00:00"/>
    <m/>
    <d v="2026-10-05T00:00:00"/>
    <x v="246"/>
    <n v="7320"/>
    <n v="203.33"/>
    <x v="3"/>
    <m/>
    <s v="Removals"/>
  </r>
  <r>
    <s v="Powerstone Property Management"/>
    <s v="5% 2026 - (Oct/Dec) Yorba Linda Knolls Community Assoc. - (3 Year Plan) Revised"/>
    <s v="Yorba Linda"/>
    <d v="2024-03-22T00:00:00"/>
    <m/>
    <d v="2026-10-05T00:00:00"/>
    <x v="247"/>
    <n v="4638"/>
    <n v="85.88"/>
    <x v="1"/>
    <m/>
    <s v="Removals"/>
  </r>
  <r>
    <s v="Seabreeze Management Company"/>
    <s v="2026 - (Oct/Dec) Woodbridge Shore Maintenance Association - (3 Year Plan)"/>
    <s v="Irvine"/>
    <d v="2024-03-04T00:00:00"/>
    <m/>
    <d v="2026-10-05T00:00:00"/>
    <x v="247"/>
    <n v="4665"/>
    <n v="107.24"/>
    <x v="1"/>
    <m/>
    <s v="Removals"/>
  </r>
  <r>
    <s v="FirstService Residential"/>
    <s v="NOT A FULL DAY 5%? PERMIT 2026 (Oct/Dec) Pacific Hills East-(Revised 3 Year Plan)"/>
    <s v="Mission Viejo"/>
    <d v="2024-07-11T00:00:00"/>
    <m/>
    <d v="2026-10-06T00:00:00"/>
    <x v="247"/>
    <n v="980"/>
    <n v="108.86"/>
    <x v="2"/>
    <m/>
    <s v="Removals"/>
  </r>
  <r>
    <s v="Powerstone Property Management"/>
    <s v="5%? 2026 (Oct/Dec) Fawn Glen HOA-(3 Year Plan)"/>
    <s v="Irvine"/>
    <d v="2024-05-14T00:00:00"/>
    <m/>
    <d v="2026-10-06T00:00:00"/>
    <x v="248"/>
    <n v="13900"/>
    <n v="193.06"/>
    <x v="2"/>
    <m/>
    <s v="Removals"/>
  </r>
  <r>
    <s v="FirstService Residential"/>
    <s v="5%? 2026 (Oct/Dec) Glenwood Recreation Center (GRE)-(3 Year Plan)"/>
    <s v="Aliso Viejo"/>
    <d v="2024-06-28T00:00:00"/>
    <m/>
    <d v="2026-10-08T00:00:00"/>
    <x v="249"/>
    <n v="5403"/>
    <n v="300.14"/>
    <x v="2"/>
    <m/>
    <s v="Removals"/>
  </r>
  <r>
    <s v="REGENT ASSOCIATION SERVICES"/>
    <s v="2026 - (Oct/Dec) Suburbia HOA - (Revised 3 Year Plan)"/>
    <s v="Anaheim"/>
    <d v="2024-06-07T00:00:00"/>
    <m/>
    <d v="2026-10-05T00:00:00"/>
    <x v="250"/>
    <n v="17215"/>
    <n v="127.51"/>
    <x v="1"/>
    <m/>
    <s v="Removals"/>
  </r>
  <r>
    <s v="Cardinal Property Management"/>
    <s v="5%? 2026 (Oct/Dec) Vista San Joaquin HOA-(4 Year Plan)"/>
    <s v="Irvine"/>
    <d v="2024-06-17T00:00:00"/>
    <m/>
    <d v="2026-10-08T00:00:00"/>
    <x v="250"/>
    <n v="8965"/>
    <n v="498.06"/>
    <x v="2"/>
    <m/>
    <s v="Removals"/>
  </r>
  <r>
    <s v="Powerstone Property Management"/>
    <s v="5% 2026 - (Oct/Dec) Campobello HOA-(4 Year Plan)"/>
    <s v="Newport Beach"/>
    <d v="2024-03-22T00:00:00"/>
    <m/>
    <d v="2026-10-05T00:00:00"/>
    <x v="250"/>
    <n v="15926"/>
    <n v="117.97"/>
    <x v="2"/>
    <m/>
    <s v="Removals"/>
  </r>
  <r>
    <s v="Property Management Professionals, LLC"/>
    <s v="5%? 2026 (Oct/Dec) Mirador at Rancho Niguel Association - (3 Year Plan)"/>
    <s v="Laguna Niguel"/>
    <d v="2024-07-16T00:00:00"/>
    <m/>
    <d v="2026-10-09T00:00:00"/>
    <x v="250"/>
    <n v="6265"/>
    <n v="696.11"/>
    <x v="2"/>
    <m/>
    <s v="Removals"/>
  </r>
  <r>
    <s v="BHE Management"/>
    <s v="5%? 2026 (Oct/Dec) St. Laurent at Newport Ridge - (3 Year Plan)"/>
    <s v="Newport Beach"/>
    <d v="2024-06-17T00:00:00"/>
    <m/>
    <d v="2026-10-09T00:00:00"/>
    <x v="250"/>
    <n v="1350"/>
    <n v="112.5"/>
    <x v="4"/>
    <m/>
    <s v="Removals"/>
  </r>
  <r>
    <s v="Optimum"/>
    <s v="5%? 2026 (Oct/Dec) Garden Homes Maintenance Association - (3 Year Plan)"/>
    <s v="Irvine"/>
    <d v="2024-02-09T00:00:00"/>
    <m/>
    <d v="2026-10-05T00:00:00"/>
    <x v="250"/>
    <n v="25456"/>
    <n v="113.14"/>
    <x v="3"/>
    <m/>
    <s v="Removals"/>
  </r>
  <r>
    <s v="FirstService Residential"/>
    <s v="5%? 2026 (Oct/Dec) Glenwood Terrace-(3 Year Plan)"/>
    <s v="Aliso Viejo"/>
    <d v="2024-04-02T00:00:00"/>
    <m/>
    <d v="2026-10-12T00:00:00"/>
    <x v="251"/>
    <n v="6845"/>
    <n v="152.11000000000001"/>
    <x v="2"/>
    <m/>
    <s v="Removals"/>
  </r>
  <r>
    <s v="Lordon Management"/>
    <s v="2026 (Oct/Dec) Gingerwood HOA - (3 Year Plan)"/>
    <s v="Fullerton"/>
    <d v="2024-06-21T00:00:00"/>
    <m/>
    <d v="2026-10-05T00:00:00"/>
    <x v="251"/>
    <n v="26045"/>
    <n v="120.58"/>
    <x v="3"/>
    <m/>
    <s v="Removals"/>
  </r>
  <r>
    <s v="Pristine Property Management"/>
    <s v="2026 - (Oct/Dec) Village Green Garden Grove HOA - (3 Year Plan)"/>
    <s v="Garden Grove"/>
    <d v="2024-06-11T00:00:00"/>
    <m/>
    <d v="2026-10-12T00:00:00"/>
    <x v="252"/>
    <n v="8563"/>
    <n v="105.71"/>
    <x v="1"/>
    <m/>
    <s v="Removals"/>
  </r>
  <r>
    <s v="Revolve Property Management"/>
    <s v="5%? 2026 (Oct/Dec) Mira Costa Villas-(Revised 3 Year Plan)"/>
    <s v="San Clemente"/>
    <d v="2024-07-24T00:00:00"/>
    <m/>
    <d v="2026-10-05T00:00:00"/>
    <x v="253"/>
    <n v="29378"/>
    <n v="120.9"/>
    <x v="2"/>
    <m/>
    <s v="Removals"/>
  </r>
  <r>
    <s v="Lordon Management"/>
    <s v="5%==2026 - (Oct/Dec) Granada Park Cerritos HOA - (3 Year Plan)"/>
    <s v="Cerritos"/>
    <d v="2024-04-23T00:00:00"/>
    <m/>
    <d v="2026-10-05T00:00:00"/>
    <x v="254"/>
    <n v="32383"/>
    <n v="119.94"/>
    <x v="1"/>
    <m/>
    <s v="Removals"/>
  </r>
  <r>
    <s v="Optimum"/>
    <s v="2026 - (Oct/Dec) Huntington Bay - (3 Year Plan)"/>
    <s v="Huntington Beach"/>
    <d v="2024-05-09T00:00:00"/>
    <m/>
    <d v="2026-10-19T00:00:00"/>
    <x v="255"/>
    <n v="2713"/>
    <n v="100.46"/>
    <x v="1"/>
    <m/>
    <s v="Removals"/>
  </r>
  <r>
    <s v="FirstService Residential"/>
    <s v="5%? 2026 (Oct/Dec) Pacific Hills HOA- Revised 3yr"/>
    <s v="Mission Viejo"/>
    <d v="2024-03-20T00:00:00"/>
    <m/>
    <d v="2026-10-05T00:00:00"/>
    <x v="256"/>
    <n v="67843"/>
    <n v="110.85"/>
    <x v="2"/>
    <m/>
    <m/>
  </r>
  <r>
    <s v="Optimum"/>
    <s v="2026 - (Oct/Dec) Linda Isle - (Approved 2024-2025 Treatment)"/>
    <s v="Newport Beach"/>
    <d v="2024-04-16T00:00:00"/>
    <m/>
    <d v="2026-11-10T00:00:00"/>
    <x v="257"/>
    <n v="3885"/>
    <n v="457.06"/>
    <x v="4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  <r>
    <m/>
    <m/>
    <m/>
    <m/>
    <m/>
    <m/>
    <x v="258"/>
    <m/>
    <m/>
    <x v="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9">
  <r>
    <s v="Powerstone Property Management"/>
    <s v="2026 - (Jan/Mar) TREATMENT] (S) 2026 - (APR/JUN) Laguna Altura - (Revised 2026 Various Treatments)CO 24912"/>
    <s v="Irvine"/>
    <d v="2026-07-17T00:00:00"/>
    <m/>
    <d v="2026-04-09T00:00:00"/>
    <x v="0"/>
    <n v="2000"/>
    <n v="0"/>
    <x v="0"/>
    <m/>
    <s v="Removals"/>
  </r>
  <r>
    <s v="Buena Park School District"/>
    <s v="Hold Billing 2026 - Whitaker Elementary School -(Additional Trees)"/>
    <s v="Buena Park"/>
    <d v="2026-07-24T00:00:00"/>
    <m/>
    <d v="2026-07-23T00:00:00"/>
    <x v="0"/>
    <n v="2280"/>
    <n v="107.75"/>
    <x v="1"/>
    <m/>
    <m/>
  </r>
  <r>
    <s v="Cardinal Property Management"/>
    <s v="NEED CO 2026 - (AugSep) Casitas Californias Townhouses Association - (3 Year Plan) CO 24454"/>
    <s v="Buena Park"/>
    <d v="2026-01-22T00:00:00"/>
    <d v="2026-07-13T00:00:00"/>
    <d v="2026-07-23T00:00:00"/>
    <x v="1"/>
    <n v="5981"/>
    <n v="108.65"/>
    <x v="1"/>
    <m/>
    <s v="Removals"/>
  </r>
  <r>
    <s v="Great Scott Tree Care"/>
    <s v="2025 - Emergency / Crew Rental Work Order"/>
    <s v="Stanton"/>
    <d v="2025-11-04T00:00:00"/>
    <d v="2025-11-04T00:00:00"/>
    <d v="2026-06-01T00:00:00"/>
    <x v="2"/>
    <n v="1"/>
    <n v="0.01"/>
    <x v="2"/>
    <m/>
    <m/>
  </r>
  <r>
    <s v="Vintage Group"/>
    <s v="2026 - Skyview Ridge - (2026 Removals) Revised"/>
    <s v="Murrieta"/>
    <d v="2026-07-07T00:00:00"/>
    <d v="2026-07-09T00:00:00"/>
    <d v="2026-07-16T00:00:00"/>
    <x v="2"/>
    <n v="10800"/>
    <n v="174.47"/>
    <x v="2"/>
    <s v="Removals"/>
    <s v="Removals"/>
  </r>
  <r>
    <s v="Centennial"/>
    <s v="2026 - MALL(APR/JUN) Bella Terra Mall (3 Year Plan)"/>
    <s v="Huntington Beach"/>
    <d v="2026-07-09T00:00:00"/>
    <d v="2026-07-15T00:00:00"/>
    <d v="2026-07-20T00:00:00"/>
    <x v="3"/>
    <n v="28610"/>
    <n v="130.53"/>
    <x v="1"/>
    <m/>
    <s v="Removals"/>
  </r>
  <r>
    <s v="FirstService Residential"/>
    <s v="2026 - Baker Ranch HOA - (Revised SBA Removals)"/>
    <s v="Lake Forest"/>
    <d v="2026-05-26T00:00:00"/>
    <d v="2026-06-25T00:00:00"/>
    <d v="2026-07-28T00:00:00"/>
    <x v="3"/>
    <n v="3479"/>
    <n v="183.37"/>
    <x v="0"/>
    <s v="Removals"/>
    <s v="Removals"/>
  </r>
  <r>
    <s v="Great Scott Tree Care"/>
    <s v="2025 - Modified Duty Work Order"/>
    <s v="Stanton"/>
    <d v="2025-11-04T00:00:00"/>
    <d v="2025-11-04T00:00:00"/>
    <d v="2025-10-27T00:00:00"/>
    <x v="3"/>
    <n v="0"/>
    <n v="0"/>
    <x v="2"/>
    <m/>
    <m/>
  </r>
  <r>
    <s v="Great Scott Tree Care"/>
    <s v="2025 - Yard Hours Work Order"/>
    <s v="Stanton"/>
    <d v="2025-11-04T00:00:00"/>
    <d v="2025-11-04T00:00:00"/>
    <d v="2025-11-04T00:00:00"/>
    <x v="3"/>
    <n v="0"/>
    <n v="0"/>
    <x v="2"/>
    <m/>
    <m/>
  </r>
  <r>
    <s v="Irvine School District"/>
    <s v="2026 - Removal at Bonito Canyon Elementary"/>
    <s v="Irvine"/>
    <d v="2026-07-24T00:00:00"/>
    <m/>
    <d v="2026-07-28T00:00:00"/>
    <x v="3"/>
    <n v="1761"/>
    <n v="130.41"/>
    <x v="3"/>
    <s v="Removals"/>
    <m/>
  </r>
  <r>
    <s v="Powerstone Property Management"/>
    <s v="2026 - (Apr/Jun) Executive Guild El Toro - (3 Year Treatment Plan)"/>
    <s v="Lake Forest"/>
    <d v="2026-07-08T00:00:00"/>
    <d v="2026-07-24T00:00:00"/>
    <d v="2026-07-29T00:00:00"/>
    <x v="3"/>
    <n v="1445"/>
    <n v="0"/>
    <x v="0"/>
    <m/>
    <m/>
  </r>
  <r>
    <s v="Powerstone Property Management"/>
    <s v="2026 - Laguna Woods HOA - (Revised 2026 Removals Recs)"/>
    <s v="Laguna Niguel"/>
    <d v="2026-07-16T00:00:00"/>
    <d v="2026-07-16T00:00:00"/>
    <d v="2026-07-21T00:00:00"/>
    <x v="3"/>
    <n v="1880"/>
    <n v="159.32"/>
    <x v="0"/>
    <s v="Removals"/>
    <s v="Removals"/>
  </r>
  <r>
    <s v="Warmington Properties, Inc."/>
    <s v="2026 - (Apr/Jun) Bayport Jeronimo Assoc., LP (52) - (Eucalyptus Treatment)"/>
    <s v="Mission Viejo"/>
    <d v="2026-07-08T00:00:00"/>
    <m/>
    <d v="2026-07-29T00:00:00"/>
    <x v="3"/>
    <n v="1720"/>
    <n v="64.44"/>
    <x v="0"/>
    <m/>
    <m/>
  </r>
  <r>
    <s v="Centennial"/>
    <s v="2026 - MALL(APR/JUN) Bella Terra Mall - (Pineappling Bid) Revised"/>
    <s v="Huntington Beach"/>
    <d v="2026-07-09T00:00:00"/>
    <d v="2026-07-15T00:00:00"/>
    <d v="2026-07-24T00:00:00"/>
    <x v="4"/>
    <n v="5045"/>
    <n v="136.38999999999999"/>
    <x v="1"/>
    <m/>
    <m/>
  </r>
  <r>
    <s v="Centennial"/>
    <s v="2026 - MALL(APR/JUN) Bella Terra Mall - (Sounding Bid) Revised"/>
    <s v="Huntington Beach"/>
    <d v="2026-07-09T00:00:00"/>
    <d v="2026-07-15T00:00:00"/>
    <d v="2026-07-29T00:00:00"/>
    <x v="4"/>
    <n v="5370"/>
    <n v="132.59"/>
    <x v="1"/>
    <m/>
    <m/>
  </r>
  <r>
    <s v="FirstService Residential"/>
    <s v="2026 - Baker Ranch HOA - (Revised Arbors Park Removals)"/>
    <s v="Lake Forest"/>
    <d v="2026-05-28T00:00:00"/>
    <d v="2026-06-25T00:00:00"/>
    <d v="2026-07-28T00:00:00"/>
    <x v="4"/>
    <n v="10625"/>
    <n v="118.71"/>
    <x v="0"/>
    <s v="Removals"/>
    <s v="Removals"/>
  </r>
  <r>
    <s v="LBA Realty"/>
    <s v="[TREATMENT] 2026 (Apr/Jun) Park Place - (3 Year Treatment Plan)"/>
    <s v="Irvine"/>
    <d v="2024-05-03T00:00:00"/>
    <d v="2025-08-01T00:00:00"/>
    <d v="2026-07-30T00:00:00"/>
    <x v="4"/>
    <n v="29420"/>
    <n v="0"/>
    <x v="1"/>
    <m/>
    <m/>
  </r>
  <r>
    <s v="Optimum"/>
    <s v="2026 - (APR/MAY) Valencia Maintenance Association (2026 Treatment Recs)"/>
    <s v="Tustin"/>
    <d v="2026-05-19T00:00:00"/>
    <m/>
    <d v="2026-07-30T00:00:00"/>
    <x v="4"/>
    <n v="1449"/>
    <n v="161.05000000000001"/>
    <x v="4"/>
    <m/>
    <m/>
  </r>
  <r>
    <s v="Powerstone Property Management"/>
    <s v="2026 - (Treatment) (JAN/MAR) Presidio HOA-Discounted (Olive Treatment)"/>
    <s v="Tustin"/>
    <d v="2026-02-17T00:00:00"/>
    <m/>
    <d v="2026-07-30T00:00:00"/>
    <x v="4"/>
    <n v="964"/>
    <n v="107.14"/>
    <x v="4"/>
    <m/>
    <m/>
  </r>
  <r>
    <s v="Powerstone Property Management"/>
    <s v="TREATMENT 2026 (APR/JUN) Citrus Lane Community Association - (Treatment Rec)"/>
    <s v="Lake Forest"/>
    <d v="2026-03-23T00:00:00"/>
    <m/>
    <d v="2026-07-30T00:00:00"/>
    <x v="4"/>
    <n v="375"/>
    <n v="13.89"/>
    <x v="0"/>
    <m/>
    <m/>
  </r>
  <r>
    <s v="Professional Community Management"/>
    <s v="(N) 2026 (Aug/Sep) Seawind Community Association - (Revised 3 Year Plan) (CO 24662)"/>
    <s v="Newport Beach"/>
    <d v="2026-03-25T00:00:00"/>
    <d v="2026-07-15T00:00:00"/>
    <d v="2026-07-29T00:00:00"/>
    <x v="4"/>
    <n v="6077"/>
    <n v="135.05000000000001"/>
    <x v="0"/>
    <m/>
    <s v="Removals"/>
  </r>
  <r>
    <s v="Progressive Association Management"/>
    <s v="2026 - (Removals) Armstrong Ranch (ARA) - (Revised 26/27 Recommendations)"/>
    <s v="Santa Ana"/>
    <d v="2026-07-15T00:00:00"/>
    <d v="2026-07-15T00:00:00"/>
    <d v="2026-07-29T00:00:00"/>
    <x v="4"/>
    <n v="7090"/>
    <n v="131.30000000000001"/>
    <x v="1"/>
    <s v="Removals"/>
    <s v="Removals"/>
  </r>
  <r>
    <s v="Tritz Professional Management Service, I"/>
    <s v="[TREATMENT] (S) 2025 - (JUL/SEP) Serrano Woods HOA (Sycamores PSHB Treatment)"/>
    <s v="Lake Forest"/>
    <d v="2025-10-23T00:00:00"/>
    <m/>
    <d v="2026-07-30T00:00:00"/>
    <x v="4"/>
    <n v="700"/>
    <n v="77.78"/>
    <x v="0"/>
    <m/>
    <s v="Removals"/>
  </r>
  <r>
    <s v="Warmington Properties, Inc."/>
    <s v="2026 - (Apr/Jun) Alicia Business Center (97) (GPS) - (2026 Treatment Recs)"/>
    <s v="Mission Viejo"/>
    <d v="2026-06-04T00:00:00"/>
    <m/>
    <d v="2026-07-30T00:00:00"/>
    <x v="4"/>
    <n v="1118"/>
    <n v="124.22"/>
    <x v="0"/>
    <m/>
    <m/>
  </r>
  <r>
    <s v="Centennial"/>
    <s v="2026 - PAD(APR/JUN) Bella Terra Pad - (Pineappling Bid) Revised"/>
    <s v="Huntington Beach"/>
    <d v="2026-07-09T00:00:00"/>
    <d v="2026-07-23T00:00:00"/>
    <d v="2026-07-31T00:00:00"/>
    <x v="5"/>
    <n v="1630"/>
    <n v="135.83000000000001"/>
    <x v="1"/>
    <m/>
    <m/>
  </r>
  <r>
    <s v="Centennial"/>
    <s v="2026 - PAD(APR/JUN) Bella Terra Pad - (Sounding Bid) Revised"/>
    <s v="Huntington Beach"/>
    <d v="2026-07-09T00:00:00"/>
    <m/>
    <d v="2026-07-31T00:00:00"/>
    <x v="5"/>
    <n v="1575"/>
    <n v="131.25"/>
    <x v="1"/>
    <m/>
    <m/>
  </r>
  <r>
    <s v="City of Irvine (CI Palm Contract)"/>
    <s v="2026 - Palm Watering/Monitoring (14)"/>
    <s v="Irvine"/>
    <d v="2024-12-10T00:00:00"/>
    <m/>
    <d v="2026-07-31T00:00:00"/>
    <x v="5"/>
    <n v="900"/>
    <n v="100"/>
    <x v="3"/>
    <m/>
    <m/>
  </r>
  <r>
    <s v="FirstService Residential"/>
    <s v="2026 - (July) Marbella Maintenance Corp. (MAR) - (SLR ID 22)"/>
    <s v="Rancho Santa Margarita"/>
    <d v="2026-07-20T00:00:00"/>
    <d v="2026-07-21T00:00:00"/>
    <d v="2026-07-31T00:00:00"/>
    <x v="5"/>
    <n v="495"/>
    <n v="165"/>
    <x v="0"/>
    <m/>
    <s v="Removals"/>
  </r>
  <r>
    <s v="FirstService Residential"/>
    <s v="2026 - Marbella Maintenance Corp. (MAR) - (WO 1349069)"/>
    <s v="Rancho Santa Margarita"/>
    <d v="2026-07-17T00:00:00"/>
    <d v="2026-07-21T00:00:00"/>
    <d v="2026-07-31T00:00:00"/>
    <x v="5"/>
    <n v="1995"/>
    <n v="133"/>
    <x v="0"/>
    <s v="Removals"/>
    <s v="Removals"/>
  </r>
  <r>
    <s v="Irvine School District"/>
    <s v="2026 - Alderwood Elementary (Trimming)"/>
    <s v="Irvine"/>
    <d v="2026-07-20T00:00:00"/>
    <d v="2026-07-21T00:00:00"/>
    <d v="2026-07-27T00:00:00"/>
    <x v="5"/>
    <n v="18353"/>
    <n v="135.88"/>
    <x v="3"/>
    <m/>
    <m/>
  </r>
  <r>
    <s v="Irvine School District"/>
    <s v="2026 - Bonita Canyon Elementary (Trimming)"/>
    <s v="Irvine"/>
    <d v="2026-07-20T00:00:00"/>
    <d v="2026-07-21T00:00:00"/>
    <d v="2026-07-23T00:00:00"/>
    <x v="5"/>
    <n v="24533"/>
    <n v="143.21"/>
    <x v="3"/>
    <m/>
    <m/>
  </r>
  <r>
    <s v="Powerstone Property Management"/>
    <s v="2026 - Silverstone HOA - (Removal ID 43 &amp; 63)"/>
    <s v="Laguna Niguel"/>
    <d v="2026-07-10T00:00:00"/>
    <d v="2026-07-21T00:00:00"/>
    <d v="2026-07-31T00:00:00"/>
    <x v="5"/>
    <n v="2795"/>
    <n v="133.1"/>
    <x v="0"/>
    <s v="Removals"/>
    <s v="Removals"/>
  </r>
  <r>
    <s v="Buena Park School District"/>
    <s v="2026 - (July) Buena Park Junior High School - (Revised 26/27 Trimming Recs)"/>
    <s v="Buena Park"/>
    <d v="2026-07-17T00:00:00"/>
    <d v="2026-07-17T00:00:00"/>
    <d v="2026-08-01T00:00:00"/>
    <x v="6"/>
    <n v="1156"/>
    <n v="128.41999999999999"/>
    <x v="1"/>
    <m/>
    <m/>
  </r>
  <r>
    <s v="Buena Park School District"/>
    <s v="2026 - (July) Buena Park School District Office - (26/27 Recommendations)"/>
    <s v="Buena Park"/>
    <d v="2026-07-17T00:00:00"/>
    <d v="2026-07-17T00:00:00"/>
    <d v="2026-08-01T00:00:00"/>
    <x v="6"/>
    <n v="2380"/>
    <n v="132.22"/>
    <x v="1"/>
    <m/>
    <m/>
  </r>
  <r>
    <s v="C&amp;L Refrigeration"/>
    <s v="2026 (Aug/Sept) C&amp;L Refrigeration - (3 Year Plan) (CO 23340)"/>
    <s v="Fullerton"/>
    <d v="2026-03-26T00:00:00"/>
    <d v="2026-07-17T00:00:00"/>
    <d v="2026-08-01T00:00:00"/>
    <x v="6"/>
    <n v="3078"/>
    <n v="128.25"/>
    <x v="1"/>
    <m/>
    <s v="Removals"/>
  </r>
  <r>
    <s v="CB Richard Ellis"/>
    <s v="2026 - Colony Commerce Center - (2026 Removals)"/>
    <s v="Ontario"/>
    <d v="2026-07-14T00:00:00"/>
    <d v="2026-07-17T00:00:00"/>
    <d v="2026-08-01T00:00:00"/>
    <x v="6"/>
    <n v="2480"/>
    <n v="137.78"/>
    <x v="2"/>
    <s v="Removals"/>
    <s v="Removals"/>
  </r>
  <r>
    <s v="ACTION PROPERTY MGMT"/>
    <s v="2026 - (JAN/MAR) Cortile Maintenance Association - (WO 89957, Trimming)"/>
    <s v="Irvine"/>
    <d v="2026-07-21T00:00:00"/>
    <d v="2026-07-22T00:00:00"/>
    <d v="2026-08-03T00:00:00"/>
    <x v="7"/>
    <n v="400"/>
    <n v="133.33000000000001"/>
    <x v="0"/>
    <m/>
    <s v="Removals"/>
  </r>
  <r>
    <s v="BHE Management"/>
    <s v="(N) 2026 - (AUG/SEP) Sage Maintenance Association - (3 Year Plan) (CO 24767)"/>
    <s v="Irvine"/>
    <d v="2026-03-27T00:00:00"/>
    <d v="2026-07-15T00:00:00"/>
    <d v="2026-07-27T00:00:00"/>
    <x v="7"/>
    <n v="33599"/>
    <n v="132.91"/>
    <x v="4"/>
    <m/>
    <s v="Removals"/>
  </r>
  <r>
    <s v="Centennial"/>
    <s v="2026 - PAD(APR/JUN) Bella Terra Pad (3 Year Plan)"/>
    <s v="Huntington Beach"/>
    <d v="2026-07-09T00:00:00"/>
    <d v="2026-07-23T00:00:00"/>
    <d v="2026-07-31T00:00:00"/>
    <x v="7"/>
    <n v="3275"/>
    <n v="116.96"/>
    <x v="1"/>
    <m/>
    <s v="Removals"/>
  </r>
  <r>
    <s v="Irvine Spectrum"/>
    <s v="2026 - (JULY) Irvine Spectrum Center - (Palm Trimming)"/>
    <s v="Irvine"/>
    <d v="2026-07-13T00:00:00"/>
    <d v="2026-07-16T00:00:00"/>
    <d v="2026-07-27T00:00:00"/>
    <x v="7"/>
    <n v="20245"/>
    <n v="132.07"/>
    <x v="2"/>
    <m/>
    <s v="Removals"/>
  </r>
  <r>
    <s v="Powerstone Property Management"/>
    <s v="2026 - (AUG/SEP) Camden Square - (Palm Trimming)"/>
    <s v="Foothill Ranch"/>
    <d v="2026-07-07T00:00:00"/>
    <d v="2026-07-15T00:00:00"/>
    <d v="2026-08-03T00:00:00"/>
    <x v="7"/>
    <n v="3120"/>
    <n v="130"/>
    <x v="0"/>
    <m/>
    <m/>
  </r>
  <r>
    <s v="Powerstone Property Management"/>
    <s v="2026 - (Removal) Montilla at Oak Creek - (WO 12605-2037; ID 16)"/>
    <s v="Irvine"/>
    <d v="2026-07-21T00:00:00"/>
    <d v="2026-07-22T00:00:00"/>
    <d v="2026-08-03T00:00:00"/>
    <x v="7"/>
    <n v="1950"/>
    <n v="130"/>
    <x v="4"/>
    <s v="Removals"/>
    <s v="Removals"/>
  </r>
  <r>
    <s v="Powerstone Property Management"/>
    <s v="2026 - Marinita Townhomes Assoc - (Rhaphiolepis Trimming, Arborist Recs)"/>
    <s v="Dana Point"/>
    <d v="2026-07-21T00:00:00"/>
    <d v="2026-07-22T00:00:00"/>
    <d v="2026-08-03T00:00:00"/>
    <x v="7"/>
    <n v="2250"/>
    <n v="150"/>
    <x v="0"/>
    <m/>
    <s v="Removals"/>
  </r>
  <r>
    <s v="Powerstone Property Management"/>
    <s v="2026 - Marinita Townhomes Association - (Removal ID 75)"/>
    <s v="Dana Point"/>
    <d v="2026-07-21T00:00:00"/>
    <d v="2026-07-22T00:00:00"/>
    <d v="2026-08-03T00:00:00"/>
    <x v="7"/>
    <n v="395"/>
    <n v="131.66999999999999"/>
    <x v="0"/>
    <s v="Removals"/>
    <s v="Removals"/>
  </r>
  <r>
    <s v="Powerstone Property Management"/>
    <s v="POST 2026 - (JUL/SEP) Pacific Shores HOA - (Revised 3 Year Plan) CO 24507"/>
    <s v="Huntington Beach"/>
    <d v="2026-02-18T00:00:00"/>
    <d v="2026-07-13T00:00:00"/>
    <d v="2026-07-27T00:00:00"/>
    <x v="7"/>
    <n v="23746"/>
    <n v="125.74"/>
    <x v="1"/>
    <m/>
    <s v="Removals"/>
  </r>
  <r>
    <s v="Seabreeze Management Company"/>
    <s v="2026 (Aug/Sep Magnolia Treatment Only) - North Bluff Bayview (2026 Treatment Plan)"/>
    <s v="Newport Beach"/>
    <d v="2026-06-12T00:00:00"/>
    <m/>
    <d v="2026-08-03T00:00:00"/>
    <x v="7"/>
    <n v="2260"/>
    <n v="80"/>
    <x v="4"/>
    <m/>
    <m/>
  </r>
  <r>
    <s v="Calabria Court Association"/>
    <s v="Not full day2026 - (APR/JUN) Calabria Court Association - (Revised 2026 Recs)"/>
    <s v="Costa Mesa"/>
    <d v="2026-03-16T00:00:00"/>
    <d v="2026-07-23T00:00:00"/>
    <d v="2026-08-04T00:00:00"/>
    <x v="8"/>
    <n v="1275"/>
    <n v="141.66999999999999"/>
    <x v="0"/>
    <m/>
    <s v="Removals"/>
  </r>
  <r>
    <s v="Cardinal Property Management"/>
    <s v="2026 - (Aug/Sep) Vista San Joaquin HOA - (4 Year Plan) (CO 24589)"/>
    <s v="Irvine"/>
    <d v="2026-03-16T00:00:00"/>
    <d v="2026-07-22T00:00:00"/>
    <d v="2026-08-04T00:00:00"/>
    <x v="8"/>
    <n v="4876"/>
    <n v="135.44"/>
    <x v="0"/>
    <m/>
    <s v="Removals"/>
  </r>
  <r>
    <s v="Centennial"/>
    <s v="2026 - PARK(APR/JUN) Bella Terra Park (3 Year Plan)"/>
    <s v="Huntington Beach"/>
    <d v="2026-07-09T00:00:00"/>
    <m/>
    <d v="2026-08-04T00:00:00"/>
    <x v="8"/>
    <n v="1930"/>
    <n v="120.63"/>
    <x v="1"/>
    <m/>
    <s v="Removals"/>
  </r>
  <r>
    <s v="Centennial"/>
    <s v="2026 - PARK(APR/JUN) Bella Terra Park - (Pineappling Bid) Revised"/>
    <s v="Huntington Beach"/>
    <d v="2026-07-09T00:00:00"/>
    <m/>
    <d v="2026-08-04T00:00:00"/>
    <x v="8"/>
    <n v="1425"/>
    <n v="118.75"/>
    <x v="1"/>
    <m/>
    <m/>
  </r>
  <r>
    <s v="Centennial"/>
    <s v="2026 - PARK(APR/JUN) Bella Terra Park - (Sounding Bid) Revised"/>
    <s v="Huntington Beach"/>
    <d v="2026-07-09T00:00:00"/>
    <m/>
    <d v="2026-08-04T00:00:00"/>
    <x v="8"/>
    <n v="1110"/>
    <n v="138.75"/>
    <x v="1"/>
    <m/>
    <m/>
  </r>
  <r>
    <s v="LAREM"/>
    <s v="(N) 2026 - (AUG/SEP) CalMat Business Center - (3 Year Plan) (CO 24952)"/>
    <s v="Irwindale"/>
    <d v="2026-07-27T00:00:00"/>
    <d v="2026-07-24T00:00:00"/>
    <d v="2026-08-03T00:00:00"/>
    <x v="8"/>
    <n v="7570"/>
    <n v="140.18"/>
    <x v="2"/>
    <m/>
    <s v="Removals"/>
  </r>
  <r>
    <s v="Optimum"/>
    <s v="POST 2026 - (Aug/Sep) Village Grove HOA - (3 Year Plan) (CO 24961)"/>
    <s v="Corona"/>
    <d v="2026-07-24T00:00:00"/>
    <d v="2026-07-24T00:00:00"/>
    <d v="2026-08-04T00:00:00"/>
    <x v="8"/>
    <n v="6423"/>
    <n v="178.42"/>
    <x v="2"/>
    <m/>
    <s v="Removals"/>
  </r>
  <r>
    <s v="Powerstone Property Management"/>
    <s v="2026 - (Aug/Sep) Canyon View Maintenance-(3 Year Trimming Plan) CO 24936"/>
    <s v="Irvine"/>
    <d v="2026-07-17T00:00:00"/>
    <d v="2026-07-21T00:00:00"/>
    <d v="2026-07-29T00:00:00"/>
    <x v="8"/>
    <n v="22293"/>
    <n v="130.37"/>
    <x v="4"/>
    <m/>
    <s v="Removals"/>
  </r>
  <r>
    <s v="Progressive Association Management"/>
    <s v="2026 - (Aug/Sep) Armstrong Ranch (ARA) - (Revised 26/27 Recommendations)"/>
    <s v="Santa Ana"/>
    <d v="2026-07-15T00:00:00"/>
    <d v="2026-07-15T00:00:00"/>
    <d v="2026-07-31T00:00:00"/>
    <x v="8"/>
    <n v="8998"/>
    <n v="133.30000000000001"/>
    <x v="1"/>
    <m/>
    <s v="Removals"/>
  </r>
  <r>
    <s v="Powerstone Property Management"/>
    <s v="(S) 2026 - (AUG/SEP) Casafina HOA - (3 Year Plan) (CO 24827)"/>
    <s v="Rancho Santa Margarita"/>
    <d v="2026-04-23T00:00:00"/>
    <d v="2026-07-22T00:00:00"/>
    <d v="2026-08-05T00:00:00"/>
    <x v="9"/>
    <n v="4944"/>
    <n v="137.32"/>
    <x v="0"/>
    <m/>
    <s v="Removals"/>
  </r>
  <r>
    <s v="ACTION PROPERTY MGMT"/>
    <s v="2026 - Moulton Ranch III - (2026 Treatment Recs)"/>
    <s v="Laguna Hills"/>
    <d v="2026-06-24T00:00:00"/>
    <m/>
    <d v="2026-08-06T00:00:00"/>
    <x v="10"/>
    <n v="6000"/>
    <n v="208.33"/>
    <x v="0"/>
    <m/>
    <s v="Removals"/>
  </r>
  <r>
    <s v="Centennial"/>
    <s v="2026 - MALL(APR/JUN) Bella Terra Mall Treatment Bid- Discount"/>
    <s v="Huntington Beach"/>
    <d v="2026-07-09T00:00:00"/>
    <m/>
    <d v="2026-08-06T00:00:00"/>
    <x v="10"/>
    <n v="13561"/>
    <n v="0"/>
    <x v="1"/>
    <m/>
    <m/>
  </r>
  <r>
    <s v="Centennial"/>
    <s v="2026 - PAD(APR/JUN) Bella Terra Pad - (3 Year Treatment Plan) Revised"/>
    <s v="Huntington Beach"/>
    <d v="2026-07-09T00:00:00"/>
    <m/>
    <d v="2026-08-06T00:00:00"/>
    <x v="10"/>
    <n v="612"/>
    <n v="8.7899999999999991"/>
    <x v="1"/>
    <m/>
    <s v="Removals"/>
  </r>
  <r>
    <s v="Centennial"/>
    <s v="2026 - PARK(APR/JUN) Bella Terra Park - (3 Year Treatment Plan)"/>
    <s v="Huntington Beach"/>
    <d v="2026-07-09T00:00:00"/>
    <m/>
    <d v="2026-08-06T00:00:00"/>
    <x v="10"/>
    <n v="671"/>
    <n v="0"/>
    <x v="1"/>
    <m/>
    <m/>
  </r>
  <r>
    <s v="Keystone Pacific Property Management, LL"/>
    <s v="2026 - (AUG/SEP) The Laurel Condominium Association (4 Year Plan) (CO 24737)"/>
    <s v="Costa Mesa"/>
    <d v="2026-07-17T00:00:00"/>
    <d v="2026-07-23T00:00:00"/>
    <d v="2026-08-05T00:00:00"/>
    <x v="10"/>
    <n v="6988"/>
    <n v="129.4"/>
    <x v="1"/>
    <m/>
    <s v="Removals"/>
  </r>
  <r>
    <s v="Seabreeze Management Company"/>
    <s v="2026 - (S) 2026 - (AUG/SEP) Seacove Place HOA - CO 24459 (2026 Recommendations)"/>
    <s v="Aliso Viejo"/>
    <d v="2026-01-22T00:00:00"/>
    <d v="2026-07-22T00:00:00"/>
    <d v="2026-08-05T00:00:00"/>
    <x v="10"/>
    <n v="8090"/>
    <n v="134.83000000000001"/>
    <x v="0"/>
    <m/>
    <m/>
  </r>
  <r>
    <s v="Cardinal Property Management"/>
    <s v="2026 - Palm Gardens HOA -(Missed Trees due to birds nest)"/>
    <s v="Placentia"/>
    <d v="2026-03-10T00:00:00"/>
    <d v="2026-07-27T00:00:00"/>
    <d v="2026-08-07T00:00:00"/>
    <x v="11"/>
    <n v="1900"/>
    <n v="158.33000000000001"/>
    <x v="1"/>
    <m/>
    <m/>
  </r>
  <r>
    <s v="Coastal Management &amp; Consulting"/>
    <s v="2026 - Harbor Cove HOA - (WO 4700-1, 25/26 Removals)"/>
    <s v="Newport Beach"/>
    <d v="2026-07-27T00:00:00"/>
    <d v="2026-07-27T00:00:00"/>
    <d v="2026-08-06T00:00:00"/>
    <x v="11"/>
    <n v="10350"/>
    <n v="143.75"/>
    <x v="4"/>
    <s v="Removals"/>
    <s v="Removals"/>
  </r>
  <r>
    <s v="Irvine Company - Retail (GPS)"/>
    <s v="2026 - (APR/JUN) Venture Park (University) - (Skipped tree due to bird nest)"/>
    <s v="Irvine"/>
    <d v="2026-05-27T00:00:00"/>
    <m/>
    <d v="2026-08-07T00:00:00"/>
    <x v="11"/>
    <n v="66"/>
    <n v="3.67"/>
    <x v="2"/>
    <m/>
    <m/>
  </r>
  <r>
    <s v="Nexus Smart Communities"/>
    <s v="%? (S) 2026 - (AUG/SEP) Carefree El Toro Owners Association - (3 Year Plan) (CO 24613)"/>
    <s v="Lake Forest"/>
    <d v="2026-03-19T00:00:00"/>
    <d v="2026-07-23T00:00:00"/>
    <d v="2026-08-06T00:00:00"/>
    <x v="11"/>
    <n v="9078"/>
    <n v="144.09"/>
    <x v="0"/>
    <m/>
    <s v="Removals"/>
  </r>
  <r>
    <s v="Revolve Property Management"/>
    <s v="% (S) 2026 - (Aug/Sep) Mira Costa Villas - (Revised 3 Year Plan) (CO 24659)"/>
    <s v="San Clemente"/>
    <d v="2026-03-24T00:00:00"/>
    <d v="2026-07-22T00:00:00"/>
    <d v="2026-08-03T00:00:00"/>
    <x v="11"/>
    <n v="17314"/>
    <n v="131.16"/>
    <x v="0"/>
    <m/>
    <s v="Removals"/>
  </r>
  <r>
    <s v="Revolve Property Management"/>
    <s v="(S) 2026 - (Aug) Canyon View Estates Community - (Revised 3 Year Plan) (CO 24917)"/>
    <s v="Aliso Viejo"/>
    <d v="2026-07-09T00:00:00"/>
    <d v="2026-07-22T00:00:00"/>
    <d v="2026-08-04T00:00:00"/>
    <x v="11"/>
    <n v="14260"/>
    <n v="132.04"/>
    <x v="0"/>
    <m/>
    <s v="Removals"/>
  </r>
  <r>
    <s v="Seabreeze Management Company"/>
    <s v="2026 (Aug/Sep) - North Bluff Bayview (2026 Tree Trimming)"/>
    <s v="Newport Beach"/>
    <d v="2026-06-12T00:00:00"/>
    <d v="2026-07-23T00:00:00"/>
    <d v="2026-08-03T00:00:00"/>
    <x v="11"/>
    <n v="34850"/>
    <n v="138.29"/>
    <x v="4"/>
    <m/>
    <m/>
  </r>
  <r>
    <s v="The Management Trust"/>
    <s v="NOT FULL DAY 2026 (Aug/Sept) Walden Community - (3 Year Plan)"/>
    <s v="Garden Grove"/>
    <d v="2025-10-17T00:00:00"/>
    <d v="2026-07-27T00:00:00"/>
    <d v="2026-08-07T00:00:00"/>
    <x v="11"/>
    <n v="1700"/>
    <n v="141.66999999999999"/>
    <x v="1"/>
    <m/>
    <m/>
  </r>
  <r>
    <s v="Lincoln Property Company"/>
    <s v="2026 (Aug/Sept) Orange Center Tower - (Revised 3 Year Plan) (CO 24741)"/>
    <s v="Orange"/>
    <d v="2026-03-26T00:00:00"/>
    <m/>
    <d v="2026-08-08T00:00:00"/>
    <x v="12"/>
    <n v="3612"/>
    <n v="133.78"/>
    <x v="4"/>
    <m/>
    <s v="Removals"/>
  </r>
  <r>
    <s v="Lincoln Property Company"/>
    <s v="2026 (July) Orange Center Tower - (Revised 3 Year Plan) (CO 24740)"/>
    <s v="Orange"/>
    <d v="2026-03-26T00:00:00"/>
    <d v="2026-07-17T00:00:00"/>
    <d v="2026-08-01T00:00:00"/>
    <x v="12"/>
    <n v="10185"/>
    <n v="141.46"/>
    <x v="4"/>
    <m/>
    <s v="Removals"/>
  </r>
  <r>
    <s v="Molina Healthcare, Inc."/>
    <s v="2026 - (JUL/SEP) Molina Healthcare, Inc. - (4 Year Plan)"/>
    <s v="Long Beach"/>
    <d v="2026-03-24T00:00:00"/>
    <d v="2026-07-27T00:00:00"/>
    <d v="2026-08-08T00:00:00"/>
    <x v="12"/>
    <n v="9940"/>
    <n v="140.99"/>
    <x v="1"/>
    <m/>
    <s v="Removals"/>
  </r>
  <r>
    <s v="Molina Healthcare, Inc."/>
    <s v="2026 - Molina Healthcare, Inc. - (2026 Nesting Survey)"/>
    <s v="Long Beach"/>
    <d v="2026-03-20T00:00:00"/>
    <m/>
    <d v="2026-08-08T00:00:00"/>
    <x v="12"/>
    <n v="975"/>
    <n v="25"/>
    <x v="1"/>
    <m/>
    <m/>
  </r>
  <r>
    <s v="SCLM"/>
    <s v="2026 - (Jul/Sep and Removals) 11721 Yeager Ave - (2026 Recommendations)"/>
    <s v="La Verne"/>
    <d v="2026-07-24T00:00:00"/>
    <d v="2026-07-24T00:00:00"/>
    <d v="2026-08-01T00:00:00"/>
    <x v="12"/>
    <n v="17950"/>
    <n v="132.96"/>
    <x v="2"/>
    <s v="Removals"/>
    <s v="Removals"/>
  </r>
  <r>
    <s v="The Muller Company"/>
    <s v="2026 - (AUG/SEP) Airport Tower - (2026 Recommendations)"/>
    <s v="Irvine"/>
    <d v="2026-03-03T00:00:00"/>
    <d v="2026-05-01T00:00:00"/>
    <d v="2026-08-08T00:00:00"/>
    <x v="12"/>
    <n v="7290"/>
    <n v="171.53"/>
    <x v="4"/>
    <m/>
    <s v="Removals"/>
  </r>
  <r>
    <s v="Cardinal Property Management"/>
    <s v="Post/3MAN/No parking 2026 - Villa Point Condominium Association - (2026 Recs)"/>
    <s v="Newport Beach"/>
    <d v="2026-07-28T00:00:00"/>
    <d v="2026-07-28T00:00:00"/>
    <d v="2026-08-10T00:00:00"/>
    <x v="13"/>
    <n v="3480"/>
    <n v="128.88999999999999"/>
    <x v="4"/>
    <m/>
    <s v="Removals"/>
  </r>
  <r>
    <s v="Elite Property Services"/>
    <s v="(N) 2025 -PERMIT (Removal) Wimbledon Village Association - (ID 20)"/>
    <s v="Costa Mesa"/>
    <d v="2025-09-19T00:00:00"/>
    <d v="2026-01-14T00:00:00"/>
    <d v="2026-08-10T00:00:00"/>
    <x v="13"/>
    <n v="695"/>
    <n v="139"/>
    <x v="1"/>
    <s v="Removals"/>
    <s v="Removals"/>
  </r>
  <r>
    <s v="Elite Property Services"/>
    <s v="(N) 2025 PERMIT (Removals) Wimbledon Village Association - (Removal ID18-19)"/>
    <s v="Costa Mesa"/>
    <d v="2025-06-20T00:00:00"/>
    <d v="2026-01-14T00:00:00"/>
    <d v="2026-08-10T00:00:00"/>
    <x v="13"/>
    <n v="2290"/>
    <n v="130.86000000000001"/>
    <x v="1"/>
    <s v="Removals"/>
    <s v="Removals"/>
  </r>
  <r>
    <s v="Elite Property Services"/>
    <s v="2026 - Wimbledon Village Association - (Removal ID 21 &amp; 22)"/>
    <s v="Costa Mesa"/>
    <d v="2026-01-29T00:00:00"/>
    <m/>
    <d v="2026-08-10T00:00:00"/>
    <x v="13"/>
    <n v="9000"/>
    <n v="128.57"/>
    <x v="1"/>
    <s v="Removals"/>
    <s v="Removals"/>
  </r>
  <r>
    <s v="Irvine Company - Retail (GPS)"/>
    <s v="2026 (Jul/Aug) - Harvard Place (Summer Trimming: University)"/>
    <s v="Irvine"/>
    <d v="2026-04-29T00:00:00"/>
    <m/>
    <d v="2026-08-10T00:00:00"/>
    <x v="13"/>
    <n v="2046"/>
    <n v="113.67"/>
    <x v="2"/>
    <m/>
    <m/>
  </r>
  <r>
    <s v="Keystone Pacific Property Management, LL"/>
    <s v="2026 - Pacific Ridge HOA - (Revised Removal ID 297)"/>
    <s v="Aliso Viejo"/>
    <d v="2026-07-23T00:00:00"/>
    <d v="2026-07-24T00:00:00"/>
    <d v="2026-08-10T00:00:00"/>
    <x v="13"/>
    <n v="5400"/>
    <n v="150"/>
    <x v="0"/>
    <s v="Removals"/>
    <s v="Removals"/>
  </r>
  <r>
    <s v="Optimum"/>
    <s v="2026 - (Apr/Jun) Parkside Property OA - (WO XN6818970"/>
    <s v="Lake Forest"/>
    <d v="2026-07-07T00:00:00"/>
    <d v="2026-07-24T00:00:00"/>
    <d v="2026-08-10T00:00:00"/>
    <x v="13"/>
    <n v="225"/>
    <n v="150"/>
    <x v="0"/>
    <m/>
    <s v="Removals"/>
  </r>
  <r>
    <s v="Powerstone Property Management"/>
    <s v="2026 (Jul/Sep) Palm Gardens Community Association-(4 Year Plan) (CO 24680)"/>
    <s v="Mission Viejo"/>
    <d v="2026-03-24T00:00:00"/>
    <d v="2026-07-22T00:00:00"/>
    <d v="2026-07-29T00:00:00"/>
    <x v="13"/>
    <n v="32761"/>
    <n v="134.82"/>
    <x v="0"/>
    <m/>
    <s v="Removals"/>
  </r>
  <r>
    <s v="Tarantino Landscape"/>
    <s v="2026 - (Aug/Oct) Santa Margarita Town Center - (2026 Recommendations)"/>
    <s v="Rancho Santa Margarita"/>
    <d v="2026-04-22T00:00:00"/>
    <d v="2026-07-22T00:00:00"/>
    <d v="2026-08-04T00:00:00"/>
    <x v="13"/>
    <n v="20865"/>
    <n v="136.37"/>
    <x v="0"/>
    <m/>
    <m/>
  </r>
  <r>
    <s v="Associa (AKA PCM)"/>
    <s v="(S) 2026 - (AUG/SEP) Irvine Wildflower HOA - (3 Year Plan) (CO 24731)"/>
    <s v="Irvine"/>
    <d v="2026-03-26T00:00:00"/>
    <d v="2026-07-29T00:00:00"/>
    <d v="2026-08-11T00:00:00"/>
    <x v="14"/>
    <n v="5384"/>
    <n v="134.6"/>
    <x v="4"/>
    <m/>
    <s v="Removals"/>
  </r>
  <r>
    <s v="Irvine Company - Retail (GPS)"/>
    <s v="2026 (Jul/Aug) - Los Olivos 1 (Summer Trimming: Spectrum)"/>
    <s v="Irvine"/>
    <d v="2026-04-29T00:00:00"/>
    <m/>
    <d v="2026-08-11T00:00:00"/>
    <x v="14"/>
    <n v="1485"/>
    <n v="82.5"/>
    <x v="2"/>
    <m/>
    <m/>
  </r>
  <r>
    <s v="Keystone Pacific Property Management, LL"/>
    <s v="HOLD 2026 - Providence Park - (3 Year Plan)"/>
    <s v="Costa Mesa"/>
    <d v="2026-04-28T00:00:00"/>
    <d v="2026-05-22T00:00:00"/>
    <d v="2026-08-11T00:00:00"/>
    <x v="14"/>
    <n v="15010"/>
    <n v="1667.78"/>
    <x v="0"/>
    <m/>
    <m/>
  </r>
  <r>
    <s v="Optimum"/>
    <s v="(S) 2026 - (Aug/Sep) Villavante Community Association - (3 Year Plan) (CO 24793)"/>
    <s v="Rancho Santa Margarita"/>
    <d v="2026-04-07T00:00:00"/>
    <m/>
    <d v="2026-08-11T00:00:00"/>
    <x v="14"/>
    <n v="4609"/>
    <n v="128.03"/>
    <x v="0"/>
    <m/>
    <s v="Removals"/>
  </r>
  <r>
    <s v="Optimum"/>
    <s v="2026 - (AUG/SEP) Pacific Ranch HOA - (Revised 3 Year Plan)"/>
    <s v="Huntington Beach"/>
    <d v="2026-07-02T00:00:00"/>
    <d v="2026-07-28T00:00:00"/>
    <d v="2026-08-05T00:00:00"/>
    <x v="14"/>
    <n v="28565"/>
    <n v="132.25"/>
    <x v="1"/>
    <m/>
    <s v="Removals"/>
  </r>
  <r>
    <s v="Sunrise Property Group"/>
    <s v="2026 - (Aug/Sep and Removals) Tijeras Creek Villas Maintenance Corp - ( 2026 Recommendations)"/>
    <s v="Rancho Santa Margarita"/>
    <d v="2026-07-24T00:00:00"/>
    <d v="2026-07-24T00:00:00"/>
    <d v="2026-08-10T00:00:00"/>
    <x v="14"/>
    <n v="7740"/>
    <n v="135.79"/>
    <x v="0"/>
    <s v="Removals"/>
    <s v="Removals"/>
  </r>
  <r>
    <s v="Associa (AKA PCM)"/>
    <s v="8% (S) 2026 - (AUG/SEP) UCA - (3 Year Plan)"/>
    <s v="Irvine"/>
    <d v="2025-11-26T00:00:00"/>
    <d v="2026-07-29T00:00:00"/>
    <d v="2026-08-11T00:00:00"/>
    <x v="15"/>
    <n v="8060"/>
    <n v="134.33000000000001"/>
    <x v="4"/>
    <m/>
    <s v="Removals"/>
  </r>
  <r>
    <s v="Huntington West Properties, Inc."/>
    <s v="HOLD===2026 - (JAN/MAR) Fountain Plaza HOA - (2026 Trimming)"/>
    <s v="Fountain Valley"/>
    <d v="2026-03-24T00:00:00"/>
    <d v="2026-04-07T00:00:00"/>
    <d v="2026-08-12T00:00:00"/>
    <x v="15"/>
    <n v="4015"/>
    <n v="148.69999999999999"/>
    <x v="1"/>
    <m/>
    <m/>
  </r>
  <r>
    <s v="Irvine Company - Retail (GPS)"/>
    <s v="2026 - (APR/JUN) Los Olivos Marketplace 2 (Spectrum) - (Palms skipped; bird nest)"/>
    <s v="Irvine"/>
    <d v="2026-05-28T00:00:00"/>
    <m/>
    <d v="2026-08-12T00:00:00"/>
    <x v="15"/>
    <n v="231"/>
    <n v="25.67"/>
    <x v="2"/>
    <m/>
    <s v="Removals"/>
  </r>
  <r>
    <s v="Irvine Company - Retail (GPS)"/>
    <s v="2026 Palms Only (Jul/Aug) - Newport Coast (Summer Trimming: Coastal)CO 24942"/>
    <s v="Newport Beach"/>
    <d v="2026-07-28T00:00:00"/>
    <m/>
    <d v="2026-08-12T00:00:00"/>
    <x v="15"/>
    <n v="4092"/>
    <n v="127.88"/>
    <x v="2"/>
    <m/>
    <m/>
  </r>
  <r>
    <s v="Warmington Properties, Inc."/>
    <s v="2026 - Bayport Jeronimo Assoc., LP (52) - (2026 Removals) Revised"/>
    <s v="Mission Viejo"/>
    <d v="2026-07-08T00:00:00"/>
    <m/>
    <d v="2026-08-12T00:00:00"/>
    <x v="15"/>
    <n v="1085"/>
    <n v="40.19"/>
    <x v="0"/>
    <s v="Removals"/>
    <s v="Removals"/>
  </r>
  <r>
    <s v="BHE Management"/>
    <s v="2026 - (AUG/SEP) Vientos Maintenance Association - (3 Year Plan)"/>
    <s v="Irvine"/>
    <d v="2026-04-07T00:00:00"/>
    <d v="2026-07-23T00:00:00"/>
    <d v="2026-08-07T00:00:00"/>
    <x v="16"/>
    <n v="17830"/>
    <n v="132.07"/>
    <x v="4"/>
    <m/>
    <s v="Removals"/>
  </r>
  <r>
    <s v="Cal State Long Beach"/>
    <s v="2026 (Removals) - CSULB (Eucalyptus and Pine Removals)"/>
    <s v="Long Beach"/>
    <d v="2026-07-20T00:00:00"/>
    <d v="2026-07-23T00:00:00"/>
    <d v="2026-08-13T00:00:00"/>
    <x v="16"/>
    <n v="7480"/>
    <n v="166.22"/>
    <x v="2"/>
    <s v="Removals"/>
    <s v="Removals"/>
  </r>
  <r>
    <s v="FirstService Residential"/>
    <s v="2026 - Flores Los Alisos - (Palms Skipped due to Bird Nest)"/>
    <s v="Aliso Viejo"/>
    <d v="2026-06-08T00:00:00"/>
    <m/>
    <d v="2026-08-13T00:00:00"/>
    <x v="16"/>
    <n v="187"/>
    <n v="20.82"/>
    <x v="0"/>
    <m/>
    <s v="Removals"/>
  </r>
  <r>
    <s v="Irvine Company - Retail (GPS)"/>
    <s v="2026 (Jul/Aug) Palms Only - Corona Del Mar Plaza (Summer Trimming: Coastal)CO 24940"/>
    <s v="Newport Beach"/>
    <d v="2026-07-27T00:00:00"/>
    <m/>
    <d v="2026-08-13T00:00:00"/>
    <x v="16"/>
    <n v="4092"/>
    <n v="127.88"/>
    <x v="2"/>
    <m/>
    <m/>
  </r>
  <r>
    <s v="Optimum"/>
    <s v="2026 - The Vineyards at Foothill Ranch - (Removal ID 20)"/>
    <s v="Foothill Ranch"/>
    <d v="2026-04-20T00:00:00"/>
    <d v="2026-05-01T00:00:00"/>
    <d v="2026-08-13T00:00:00"/>
    <x v="16"/>
    <n v="495"/>
    <n v="165"/>
    <x v="0"/>
    <s v="Removals"/>
    <s v="Removals"/>
  </r>
  <r>
    <s v="Associa (AKA PCM)"/>
    <s v="2026 - Santa Barbara HOA - (Removal ID 27)"/>
    <s v="Irvine"/>
    <d v="2026-07-28T00:00:00"/>
    <d v="2026-07-29T00:00:00"/>
    <d v="2026-08-14T00:00:00"/>
    <x v="17"/>
    <n v="1250"/>
    <n v="166.67"/>
    <x v="4"/>
    <s v="Removals"/>
    <s v="Removals"/>
  </r>
  <r>
    <s v="Cal State Long Beach"/>
    <s v="2026 (Removal) - CSULB - Eucalyptus Removals (Active Birds Nest)"/>
    <s v="Long Beach"/>
    <d v="2026-04-06T00:00:00"/>
    <d v="2026-07-23T00:00:00"/>
    <d v="2026-08-14T00:00:00"/>
    <x v="17"/>
    <n v="3995"/>
    <n v="147.96"/>
    <x v="2"/>
    <s v="Removals"/>
    <s v="Removals"/>
  </r>
  <r>
    <s v="City of Irvine (CI Palm Contract)"/>
    <s v="2026 - Palm Watering/Monitoring (15)"/>
    <s v="Irvine"/>
    <d v="2024-12-10T00:00:00"/>
    <m/>
    <d v="2026-08-14T00:00:00"/>
    <x v="17"/>
    <n v="900"/>
    <n v="100"/>
    <x v="3"/>
    <m/>
    <m/>
  </r>
  <r>
    <s v="FirstService Residential"/>
    <s v="(S) 2026 - (Aug/Sep) Orleans HOA (T152) - (Revised 3 Year Plan) (CO 24634)"/>
    <s v="Aliso Viejo"/>
    <d v="2026-03-25T00:00:00"/>
    <m/>
    <d v="2026-08-14T00:00:00"/>
    <x v="17"/>
    <n v="3225"/>
    <n v="119.45"/>
    <x v="0"/>
    <m/>
    <s v="Removals"/>
  </r>
  <r>
    <s v="Irvine Company - Retail (GPS)"/>
    <s v="2026 (Jul/Aug) - Los Olivos 2 (Summer Trimming: Spectrum)"/>
    <s v="Irvine"/>
    <d v="2026-04-29T00:00:00"/>
    <m/>
    <d v="2026-08-13T00:00:00"/>
    <x v="17"/>
    <n v="3465"/>
    <n v="192.5"/>
    <x v="2"/>
    <m/>
    <m/>
  </r>
  <r>
    <s v="Irvine Company - Retail (GPS)"/>
    <s v="2026 (Jul/Aug) - Newport Hills Center (Summer Trimming: Coastal)"/>
    <s v="Newport Beach"/>
    <d v="2026-04-29T00:00:00"/>
    <m/>
    <d v="2026-08-14T00:00:00"/>
    <x v="17"/>
    <n v="594"/>
    <n v="148.5"/>
    <x v="2"/>
    <m/>
    <m/>
  </r>
  <r>
    <s v="Irvine Company - Retail (GPS)"/>
    <s v="Bayside Center (Olive Trimming: Coastal)"/>
    <s v="Newport Beach"/>
    <d v="2026-04-28T00:00:00"/>
    <m/>
    <d v="2026-08-14T00:00:00"/>
    <x v="17"/>
    <n v="594"/>
    <n v="148.5"/>
    <x v="2"/>
    <m/>
    <m/>
  </r>
  <r>
    <s v="Irvine Company - Retail (GPS)"/>
    <s v="Newport North (Olive Trimming: Coastal)"/>
    <s v="Newport Beach"/>
    <d v="2026-04-28T00:00:00"/>
    <m/>
    <d v="2026-08-14T00:00:00"/>
    <x v="17"/>
    <n v="693"/>
    <n v="462"/>
    <x v="2"/>
    <m/>
    <m/>
  </r>
  <r>
    <s v="Irvine Company - Retail (GPS)"/>
    <s v="not full day 2026 Palms Only (Jul/Aug) - Crystal Cove (Summer Trimming: Coastal)CO 24934"/>
    <s v="Newport Beach"/>
    <d v="2026-07-28T00:00:00"/>
    <m/>
    <d v="2026-08-14T00:00:00"/>
    <x v="17"/>
    <n v="1364"/>
    <n v="58.04"/>
    <x v="2"/>
    <m/>
    <m/>
  </r>
  <r>
    <s v="Lordon Management"/>
    <s v="NEED PERMIT 2026 - Granada Park - (Phased Removal Plan)Revised"/>
    <s v="Cerritos"/>
    <d v="2026-02-16T00:00:00"/>
    <m/>
    <d v="2026-08-14T00:00:00"/>
    <x v="17"/>
    <n v="75800"/>
    <n v="0"/>
    <x v="1"/>
    <s v="Removals"/>
    <s v="Removals"/>
  </r>
  <r>
    <s v="Lordon Management"/>
    <s v="NEED PERMIT= (N) 2025 - (Removal) Granada Park Cerritos HOA - (Removal ID 40) (CO 24321)"/>
    <s v="Cerritos"/>
    <d v="2025-10-03T00:00:00"/>
    <m/>
    <d v="2026-08-14T00:00:00"/>
    <x v="17"/>
    <n v="300"/>
    <n v="0"/>
    <x v="1"/>
    <s v="Removals"/>
    <s v="Removals"/>
  </r>
  <r>
    <s v="Lordon Management"/>
    <s v="NEED PERMIT==(N) 2025 - (Removals) Granada Park Cerritos HOA - (Revised 3 Year Removal Plan)"/>
    <s v="Cerritos"/>
    <d v="2024-04-23T00:00:00"/>
    <d v="2024-12-20T00:00:00"/>
    <d v="2026-08-14T00:00:00"/>
    <x v="17"/>
    <n v="12085"/>
    <n v="134.28"/>
    <x v="1"/>
    <s v="Removals"/>
    <s v="Removals"/>
  </r>
  <r>
    <s v="Lordon Management"/>
    <s v="NEED PERMIT==2026 - Granada Park Cerritos HOA - (Revised 3 Year Removal Plan)"/>
    <s v="Cerritos"/>
    <d v="2024-04-23T00:00:00"/>
    <m/>
    <d v="2026-08-14T00:00:00"/>
    <x v="17"/>
    <n v="13295"/>
    <n v="738.61"/>
    <x v="1"/>
    <s v="Removals"/>
    <s v="Removals"/>
  </r>
  <r>
    <s v="Optimum"/>
    <s v="2026 - (Aug/Sep) Parkside Property OA - (3 Year Plan)"/>
    <s v="Lake Forest"/>
    <d v="2026-07-07T00:00:00"/>
    <d v="2026-07-24T00:00:00"/>
    <d v="2026-08-10T00:00:00"/>
    <x v="17"/>
    <n v="18470"/>
    <n v="136.81"/>
    <x v="0"/>
    <m/>
    <s v="Removals"/>
  </r>
  <r>
    <s v="Optimum"/>
    <s v="2026 - (AUG/SEP) The Vineyards at Foothill Ranch - (Palm Trimming)"/>
    <s v="Foothill Ranch"/>
    <d v="2026-04-20T00:00:00"/>
    <d v="2026-05-01T00:00:00"/>
    <d v="2026-08-13T00:00:00"/>
    <x v="17"/>
    <n v="6305"/>
    <n v="131.35"/>
    <x v="0"/>
    <m/>
    <m/>
  </r>
  <r>
    <s v="The Management Trust"/>
    <s v="2026 - (Aug/Sep) Yale Estates - (2026 Comp Bid)"/>
    <s v="Irvine"/>
    <d v="2026-06-03T00:00:00"/>
    <d v="2026-07-29T00:00:00"/>
    <d v="2026-08-12T00:00:00"/>
    <x v="17"/>
    <n v="9795"/>
    <n v="130.6"/>
    <x v="4"/>
    <m/>
    <m/>
  </r>
  <r>
    <s v="Cushman &amp; Wakefield"/>
    <s v="2026 (Apr/Jun) - California Palms Industrial - (2026 Recommendations)"/>
    <s v="Redlands"/>
    <d v="2026-05-12T00:00:00"/>
    <d v="2026-05-14T00:00:00"/>
    <d v="2026-07-14T00:00:00"/>
    <x v="18"/>
    <n v="35750"/>
    <n v="130.02000000000001"/>
    <x v="2"/>
    <m/>
    <m/>
  </r>
  <r>
    <s v="Irvine Company - Retail (GPS)"/>
    <s v="2026 (Jul/Aug) - Eastbluff Village Center (Summer Trimming: Coastal)"/>
    <s v="Newport Beach"/>
    <d v="2026-04-29T00:00:00"/>
    <m/>
    <d v="2026-08-17T00:00:00"/>
    <x v="19"/>
    <n v="198"/>
    <n v="132"/>
    <x v="2"/>
    <m/>
    <m/>
  </r>
  <r>
    <s v="Irvine Company - Retail (GPS)"/>
    <s v="2026 (Jul/Aug) - Quail Hill Center (Summer Trimming: Spectrum)CO 24943"/>
    <s v="Irvine"/>
    <d v="2026-07-28T00:00:00"/>
    <m/>
    <d v="2026-08-17T00:00:00"/>
    <x v="19"/>
    <n v="2860"/>
    <n v="0"/>
    <x v="2"/>
    <m/>
    <m/>
  </r>
  <r>
    <s v="Irvine Company - Retail (GPS)"/>
    <s v="2026 Palms Only (July/Aug) - The Bluffs (Summer Trimming: Coastal)CO 24944"/>
    <s v="Newport Beach"/>
    <d v="2026-07-28T00:00:00"/>
    <m/>
    <d v="2026-08-17T00:00:00"/>
    <x v="19"/>
    <n v="3300"/>
    <n v="137.5"/>
    <x v="2"/>
    <m/>
    <m/>
  </r>
  <r>
    <s v="Revolve Property Management"/>
    <s v="(N) 2026 (AugSep) Wilderness HOA - (3 Year Plan) (CO 24771)"/>
    <s v="Orange"/>
    <d v="2026-03-27T00:00:00"/>
    <d v="2026-07-27T00:00:00"/>
    <d v="2026-08-17T00:00:00"/>
    <x v="19"/>
    <n v="6226"/>
    <n v="183.13"/>
    <x v="1"/>
    <m/>
    <s v="Removals"/>
  </r>
  <r>
    <s v="Revolve Property Management"/>
    <s v="2026 - Wilderness HOA (WHOA) -(Euc missed due to birds nest)"/>
    <s v="Orange"/>
    <d v="2026-03-03T00:00:00"/>
    <d v="2026-07-27T00:00:00"/>
    <d v="2026-08-17T00:00:00"/>
    <x v="19"/>
    <n v="308"/>
    <n v="153.75"/>
    <x v="1"/>
    <m/>
    <s v="Removals"/>
  </r>
  <r>
    <s v="BHE Management"/>
    <s v="(S) 2026 - (AUG/SEP) Carissa Neighborhood Association - (4 Year Plan) (CO 24704)"/>
    <s v="Irvine"/>
    <d v="2026-03-24T00:00:00"/>
    <m/>
    <d v="2026-08-18T00:00:00"/>
    <x v="20"/>
    <n v="7846"/>
    <n v="145.30000000000001"/>
    <x v="0"/>
    <m/>
    <s v="Removals"/>
  </r>
  <r>
    <s v="Irvine Company - Retail (GPS)"/>
    <s v="2026 (Jul/Aug) - Northpark Plaza (Summer Trimming: Foothill)"/>
    <s v="Irvine"/>
    <d v="2026-04-29T00:00:00"/>
    <m/>
    <d v="2026-08-17T00:00:00"/>
    <x v="20"/>
    <n v="7425"/>
    <n v="0"/>
    <x v="2"/>
    <m/>
    <m/>
  </r>
  <r>
    <s v="Powerstone Property Management"/>
    <s v="2026 - Laguna Altura - (Podocarpus Trimming)"/>
    <s v="Irvine"/>
    <d v="2026-03-25T00:00:00"/>
    <m/>
    <d v="2026-08-17T00:00:00"/>
    <x v="20"/>
    <n v="11690"/>
    <n v="1298.8900000000001"/>
    <x v="0"/>
    <m/>
    <s v="Removals"/>
  </r>
  <r>
    <s v="Irvine Company - Retail (GPS)"/>
    <s v="2026 (Jul/Aug) - Crossroads (CI Palm Trimming: Central Irvine)CO 24941"/>
    <s v="Irvine"/>
    <d v="2026-07-28T00:00:00"/>
    <m/>
    <d v="2026-08-20T00:00:00"/>
    <x v="21"/>
    <n v="2008"/>
    <n v="0"/>
    <x v="2"/>
    <m/>
    <m/>
  </r>
  <r>
    <s v="Powerstone Property Management"/>
    <s v="2026 - Laguna Altura - (2026 Pine - Eldarica Trimming)"/>
    <s v="Irvine"/>
    <d v="2026-05-11T00:00:00"/>
    <m/>
    <d v="2026-08-20T00:00:00"/>
    <x v="21"/>
    <n v="520"/>
    <n v="173.33"/>
    <x v="0"/>
    <m/>
    <m/>
  </r>
  <r>
    <s v="Irvine Company - Retail (GPS)"/>
    <s v="2026 (Apr/Jun) - Westpark Plaza (Bird Nest Go Back)"/>
    <s v="Irvine"/>
    <d v="2026-05-19T00:00:00"/>
    <m/>
    <d v="2026-08-21T00:00:00"/>
    <x v="22"/>
    <n v="66"/>
    <n v="2.44"/>
    <x v="2"/>
    <m/>
    <m/>
  </r>
  <r>
    <s v="Irvine Company - Retail (GPS)"/>
    <s v="2026 (Go Back Trees) - Culver Plaza (Spring Trimming: Bird Nest Trees)"/>
    <s v="Irvine"/>
    <d v="2026-05-26T00:00:00"/>
    <m/>
    <d v="2026-08-21T00:00:00"/>
    <x v="22"/>
    <n v="528"/>
    <n v="58.67"/>
    <x v="2"/>
    <m/>
    <m/>
  </r>
  <r>
    <s v="Irvine Company - Retail (GPS)"/>
    <s v="2026 (Jul/Aug) - Parkview Center (Olive Trimming: Central Irvine)"/>
    <s v="Irvine"/>
    <d v="2026-04-29T00:00:00"/>
    <m/>
    <d v="2026-08-21T00:00:00"/>
    <x v="22"/>
    <n v="99"/>
    <n v="5.82"/>
    <x v="2"/>
    <m/>
    <m/>
  </r>
  <r>
    <s v="Irvine Company - Retail (GPS)"/>
    <s v="2026 (Jul/Aug) - Woodbridge Village (Summer Trimming: Central)"/>
    <s v="Irvine"/>
    <d v="2026-04-29T00:00:00"/>
    <m/>
    <d v="2026-08-21T00:00:00"/>
    <x v="22"/>
    <n v="990"/>
    <n v="110"/>
    <x v="2"/>
    <m/>
    <m/>
  </r>
  <r>
    <s v="Irvine Company - Retail (GPS)"/>
    <s v="2026 (Jul/Sep) - Cypress Village (Summer Trimming: Foothill)"/>
    <s v="Irvine"/>
    <d v="2026-04-29T00:00:00"/>
    <m/>
    <d v="2026-08-21T00:00:00"/>
    <x v="22"/>
    <n v="396"/>
    <n v="44"/>
    <x v="2"/>
    <m/>
    <m/>
  </r>
  <r>
    <s v="Irvine Company - Retail (GPS)"/>
    <s v="2026 - (APR/JUN) Alton Marketplace (Spectrum) - (Palms skipped due to bird nest)"/>
    <s v="Irvine"/>
    <d v="2026-05-27T00:00:00"/>
    <m/>
    <d v="2026-08-21T00:00:00"/>
    <x v="22"/>
    <n v="264"/>
    <n v="9.7799999999999994"/>
    <x v="2"/>
    <m/>
    <m/>
  </r>
  <r>
    <s v="Irvine Company - Retail (GPS)"/>
    <s v="2026 - (APR/JUN) Crossroads (Central Irvine) - (Missed Trees; Bird Nests)"/>
    <s v="Irvine"/>
    <d v="2026-05-26T00:00:00"/>
    <m/>
    <d v="2026-08-21T00:00:00"/>
    <x v="22"/>
    <n v="275"/>
    <n v="10.19"/>
    <x v="2"/>
    <m/>
    <m/>
  </r>
  <r>
    <s v="Irvine Company - Retail (GPS)"/>
    <s v="2026 - (APR/JUN) Los Olivos Marketplace 1 (Spectrum) - (Missed trees due to bird nests)"/>
    <s v="Irvine"/>
    <d v="2026-05-26T00:00:00"/>
    <m/>
    <d v="2026-08-21T00:00:00"/>
    <x v="22"/>
    <n v="462"/>
    <n v="25.67"/>
    <x v="2"/>
    <m/>
    <m/>
  </r>
  <r>
    <s v="Irvine Company - Retail (GPS)"/>
    <s v="2026 - Oak Creek (Summer Trimming: Central Irvine)"/>
    <s v="Irvine"/>
    <d v="2026-04-23T00:00:00"/>
    <m/>
    <d v="2026-08-21T00:00:00"/>
    <x v="22"/>
    <n v="198"/>
    <n v="22"/>
    <x v="2"/>
    <m/>
    <m/>
  </r>
  <r>
    <s v="Irvine Company - Retail (GPS)"/>
    <s v="2027 (Apr/Jun) Alton Square (Olive Trimming: Central Irvine)"/>
    <s v="Irvine"/>
    <d v="2026-04-29T00:00:00"/>
    <m/>
    <d v="2026-08-21T00:00:00"/>
    <x v="22"/>
    <n v="264"/>
    <n v="29.33"/>
    <x v="2"/>
    <m/>
    <m/>
  </r>
  <r>
    <s v="Powerstone Property Management"/>
    <s v="(S) 2026 - (AUG/SEP) Laguna Altura - (Revised 2026 Recommendations)"/>
    <s v="Irvine"/>
    <d v="2026-01-14T00:00:00"/>
    <m/>
    <d v="2026-08-12T00:00:00"/>
    <x v="22"/>
    <n v="14440"/>
    <n v="1604.44"/>
    <x v="0"/>
    <m/>
    <s v="Removals"/>
  </r>
  <r>
    <s v="TOTAL PROPERTY MGMT"/>
    <s v="2026 - White Oak HOA - (Removal ID 137)"/>
    <s v="Lake Forest"/>
    <d v="2026-05-20T00:00:00"/>
    <m/>
    <d v="2026-08-21T00:00:00"/>
    <x v="22"/>
    <n v="195"/>
    <n v="10.83"/>
    <x v="0"/>
    <s v="Removals"/>
    <s v="Removals"/>
  </r>
  <r>
    <s v="TOTAL PROPERTY MGMT"/>
    <s v="2026 - White Oak HOA - (Trees missed due to birds nest)"/>
    <s v="Lake Forest"/>
    <d v="2026-04-27T00:00:00"/>
    <m/>
    <d v="2026-08-21T00:00:00"/>
    <x v="22"/>
    <n v="410"/>
    <n v="22.8"/>
    <x v="0"/>
    <m/>
    <m/>
  </r>
  <r>
    <s v="The Management Trust"/>
    <s v="NEED PERMIT = (N) 2025 (Removal) Concorde Place - CERRITOS - (Removal ID 75) (CO 24539)"/>
    <s v="Cerritos"/>
    <d v="2026-03-05T00:00:00"/>
    <m/>
    <d v="2026-08-22T00:00:00"/>
    <x v="23"/>
    <n v="250"/>
    <n v="0"/>
    <x v="1"/>
    <s v="Removals"/>
    <s v="Removals"/>
  </r>
  <r>
    <s v="BHE Management"/>
    <s v="ON HOLD (S) 2026 - (Jul/Sep) Windflower Community Association - (3 Year Plan) (CO 24796)"/>
    <s v="Aliso Viejo"/>
    <d v="2026-04-08T00:00:00"/>
    <d v="2026-06-23T00:00:00"/>
    <d v="2026-08-24T00:00:00"/>
    <x v="24"/>
    <n v="14473"/>
    <n v="536.02"/>
    <x v="0"/>
    <m/>
    <s v="Removals"/>
  </r>
  <r>
    <s v="Tarantino Landscape"/>
    <s v="2026 - (Aug/Oct)Tustin Ranch Plaza - (2026 Recommendations)"/>
    <s v="Tustin"/>
    <d v="2026-04-22T00:00:00"/>
    <m/>
    <d v="2026-08-24T00:00:00"/>
    <x v="24"/>
    <n v="6040"/>
    <n v="167.78"/>
    <x v="4"/>
    <m/>
    <s v="Removals"/>
  </r>
  <r>
    <s v="Warmington Properties, Inc."/>
    <s v="2026 - (Aug/Sep Quarter 3 Treatment $0 Go-Ahead) Pullman Associates (65) - (Approved Olive Treatment Quarter 3 &amp;4)"/>
    <s v="Costa Mesa"/>
    <d v="2026-06-19T00:00:00"/>
    <m/>
    <d v="2026-08-24T00:00:00"/>
    <x v="24"/>
    <n v="4"/>
    <n v="0.44"/>
    <x v="1"/>
    <m/>
    <m/>
  </r>
  <r>
    <s v="BHE Management"/>
    <s v="(S) 2026 - (Oct/Dec) Azelea Neighborhood Association - (3 Year Plan) (CO 24956)"/>
    <s v="Irvine"/>
    <d v="2026-07-24T00:00:00"/>
    <d v="2026-07-15T00:00:00"/>
    <d v="2026-08-24T00:00:00"/>
    <x v="25"/>
    <n v="8853"/>
    <n v="140.52000000000001"/>
    <x v="4"/>
    <m/>
    <s v="Removals"/>
  </r>
  <r>
    <s v="Seabreeze Management Company"/>
    <s v="ON HOLD 2026 - Breakers at Bear Brand (Slope Removals)"/>
    <s v="Laguna Niguel"/>
    <d v="2026-06-22T00:00:00"/>
    <d v="2026-06-23T00:00:00"/>
    <d v="2026-08-25T00:00:00"/>
    <x v="25"/>
    <n v="9550"/>
    <n v="353.7"/>
    <x v="0"/>
    <s v="Removals"/>
    <s v="Removals"/>
  </r>
  <r>
    <s v="Irvine Company - Retail (GPS)"/>
    <s v="2026 (Jul/Aug) - Walnut Village Center (Summer Trimming: Central Irvine)"/>
    <s v="Irvine"/>
    <d v="2026-04-29T00:00:00"/>
    <m/>
    <d v="2026-08-24T00:00:00"/>
    <x v="26"/>
    <n v="5346"/>
    <n v="594"/>
    <x v="2"/>
    <m/>
    <m/>
  </r>
  <r>
    <s v="City of Irvine (CI Palm Contract)"/>
    <s v="2026 - Palm Watering/Monitoring (16)"/>
    <s v="Irvine"/>
    <d v="2024-12-10T00:00:00"/>
    <m/>
    <d v="2026-08-28T00:00:00"/>
    <x v="27"/>
    <n v="900"/>
    <n v="100"/>
    <x v="3"/>
    <m/>
    <m/>
  </r>
  <r>
    <s v="Irvine School District"/>
    <s v="ON HOLD == 2026 - Beacon Park Elementary (Trimming)"/>
    <s v="Irvine"/>
    <d v="2026-07-03T00:00:00"/>
    <d v="2026-07-08T00:00:00"/>
    <d v="2026-08-28T00:00:00"/>
    <x v="27"/>
    <n v="15938"/>
    <n v="885.43"/>
    <x v="3"/>
    <m/>
    <m/>
  </r>
  <r>
    <s v="BHE Management"/>
    <s v="2026 - (AUG/SEP) C2E Townhomes Community - (4 Year Plan)"/>
    <s v="Irvine"/>
    <d v="2026-04-07T00:00:00"/>
    <m/>
    <d v="2026-09-01T00:00:00"/>
    <x v="28"/>
    <n v="3060"/>
    <n v="113.33"/>
    <x v="4"/>
    <m/>
    <s v="Removals"/>
  </r>
  <r>
    <s v="Revolve Property Management"/>
    <s v="(S) 2026 - (APR/JUN) Le St. Tropez HOA - (Revised WO XN1407636 3 Year Plan) (CO 24925)"/>
    <s v="Laguna Niguel"/>
    <d v="2026-07-14T00:00:00"/>
    <d v="2026-07-29T00:00:00"/>
    <d v="2026-09-02T00:00:00"/>
    <x v="29"/>
    <n v="12955"/>
    <n v="130.85"/>
    <x v="0"/>
    <m/>
    <s v="Removals"/>
  </r>
  <r>
    <s v="City of Irvine (CI Palm Contract)"/>
    <s v="2026 - Palm Watering/Monitoring (17)"/>
    <s v="Irvine"/>
    <d v="2024-12-10T00:00:00"/>
    <m/>
    <d v="2026-09-11T00:00:00"/>
    <x v="30"/>
    <n v="900"/>
    <n v="100"/>
    <x v="3"/>
    <m/>
    <m/>
  </r>
  <r>
    <s v="Tritz Professional Management Service, I"/>
    <s v="2026 - Cabo del Mar (PRO3-18077) - (Pines missed due to birds nest) (CO 24893)"/>
    <s v="Huntington Beach"/>
    <d v="2026-06-09T00:00:00"/>
    <m/>
    <d v="2026-09-14T00:00:00"/>
    <x v="31"/>
    <n v="11588"/>
    <n v="125.95"/>
    <x v="1"/>
    <m/>
    <m/>
  </r>
  <r>
    <s v="Warmington Properties, Inc."/>
    <s v="2026 - (Aug/Sep) Alicia Business Center (97) (GPS) - (2026 Treatment Recs)"/>
    <s v="Mission Viejo"/>
    <d v="2026-06-04T00:00:00"/>
    <m/>
    <d v="2026-09-18T00:00:00"/>
    <x v="32"/>
    <n v="1118"/>
    <n v="124.22"/>
    <x v="0"/>
    <m/>
    <m/>
  </r>
  <r>
    <s v="BHE Management"/>
    <s v="[TREATMENT] (S) 2026 - (AUG/SEP) Carissa Neighorbood Association - (Koelreuteria Treatment Plan)"/>
    <s v="Irvine"/>
    <d v="2025-08-18T00:00:00"/>
    <m/>
    <d v="2026-09-25T00:00:00"/>
    <x v="33"/>
    <n v="2000"/>
    <n v="0"/>
    <x v="0"/>
    <m/>
    <s v="Removals"/>
  </r>
  <r>
    <s v="City of Irvine (CI Palm Contract)"/>
    <s v="2026 - Palm Watering/Monitoring (18)"/>
    <s v="Irvine"/>
    <d v="2024-12-10T00:00:00"/>
    <m/>
    <d v="2026-09-25T00:00:00"/>
    <x v="33"/>
    <n v="900"/>
    <n v="100"/>
    <x v="3"/>
    <m/>
    <m/>
  </r>
  <r>
    <s v="Keystone Pacific Property Management, LL"/>
    <s v="8% (S) 2026 - (OCT/DEC) Monarch Bay - (4 Year Plan) (CO 24586)"/>
    <s v="Dana Point"/>
    <d v="2026-03-16T00:00:00"/>
    <m/>
    <d v="2026-09-30T00:00:00"/>
    <x v="34"/>
    <n v="3045"/>
    <n v="112.78"/>
    <x v="0"/>
    <m/>
    <s v="Removals"/>
  </r>
  <r>
    <s v="Powerstone Property Management"/>
    <s v="2026 - (Aug/Sep) Executive Guild El Toro - (3 Year Treatment Plan)"/>
    <s v="Lake Forest"/>
    <d v="2026-07-08T00:00:00"/>
    <m/>
    <d v="2026-09-30T00:00:00"/>
    <x v="34"/>
    <n v="1445"/>
    <n v="47.22"/>
    <x v="0"/>
    <m/>
    <m/>
  </r>
  <r>
    <s v="BHE Management"/>
    <s v="(N) 2026 - (Oct/Dec) MacKay Community Association - (3 Year Plan) (CO 24258)"/>
    <s v="Cypress"/>
    <d v="2025-09-03T00:00:00"/>
    <m/>
    <d v="2026-10-01T00:00:00"/>
    <x v="35"/>
    <n v="3422"/>
    <n v="126.73"/>
    <x v="1"/>
    <m/>
    <m/>
  </r>
  <r>
    <s v="Optimum"/>
    <s v="(N) 2026 - (Oct/Dec) Meadowcreek Community Assoc - (3 Year Plan) (CO 24743)"/>
    <s v="Orange"/>
    <d v="2026-03-26T00:00:00"/>
    <m/>
    <d v="2026-10-01T00:00:00"/>
    <x v="35"/>
    <n v="1582"/>
    <n v="140.59"/>
    <x v="1"/>
    <m/>
    <s v="Removals"/>
  </r>
  <r>
    <s v="Powerstone Property Management"/>
    <s v="(S) 2026 - (OCT/DEC) Casafina HOA - (3 Year Plan)"/>
    <s v="Rancho Santa Margarita"/>
    <d v="2025-12-08T00:00:00"/>
    <m/>
    <d v="2026-10-01T00:00:00"/>
    <x v="35"/>
    <n v="588"/>
    <n v="21.78"/>
    <x v="0"/>
    <m/>
    <s v="Removals"/>
  </r>
  <r>
    <s v="Warmington Properties, Inc."/>
    <s v="2026 - (Oct/Dec) Alicia Business Center (97) (GPS) - (4 Year Plan)"/>
    <s v="Mission Viejo"/>
    <d v="2026-06-04T00:00:00"/>
    <m/>
    <d v="2026-10-01T00:00:00"/>
    <x v="35"/>
    <n v="5060"/>
    <n v="562.22"/>
    <x v="0"/>
    <m/>
    <s v="Removals"/>
  </r>
  <r>
    <s v="Calabria Court Association"/>
    <s v="not full day 2026 - (OCT/DEC) Calabria Court Association - (Revised 2026 Recs)"/>
    <s v="Costa Mesa"/>
    <d v="2026-03-16T00:00:00"/>
    <m/>
    <d v="2026-10-02T00:00:00"/>
    <x v="36"/>
    <n v="1275"/>
    <n v="141.66999999999999"/>
    <x v="0"/>
    <m/>
    <s v="Removals"/>
  </r>
  <r>
    <s v="FirstService Residential"/>
    <s v="% (S) 2026 - (OCT/DEC) Marbella Maintenance Corp. (MAR) - (3 Year Plan) (CO 24906)"/>
    <s v="Rancho Santa Margarita"/>
    <d v="2026-06-19T00:00:00"/>
    <m/>
    <d v="2026-10-01T00:00:00"/>
    <x v="36"/>
    <n v="6410"/>
    <n v="118.7"/>
    <x v="0"/>
    <m/>
    <s v="Removals"/>
  </r>
  <r>
    <s v="Keystone Pacific Property Management, LL"/>
    <s v="(N) 2026 - (Oct/Dec) Portarosa (CO 24749)"/>
    <s v="Brea"/>
    <d v="2026-03-27T00:00:00"/>
    <m/>
    <d v="2026-10-01T00:00:00"/>
    <x v="36"/>
    <n v="9441"/>
    <n v="134.87"/>
    <x v="4"/>
    <m/>
    <s v="Removals"/>
  </r>
  <r>
    <s v="San Juan Mobile EstatesSan Juan Mobile E"/>
    <s v="(S) 2026 - (OCT/DEC) San Juan Mobile Estates - (2026 Recommendations)"/>
    <s v="San Juan Capistrano"/>
    <d v="2026-01-22T00:00:00"/>
    <m/>
    <d v="2026-10-02T00:00:00"/>
    <x v="36"/>
    <n v="2615"/>
    <n v="96.85"/>
    <x v="0"/>
    <m/>
    <s v="Removals"/>
  </r>
  <r>
    <s v="The Management Trust"/>
    <s v="2026 - (OCT/DEC) Muse at Cadence - (3 Year Plan)"/>
    <s v="Irvine"/>
    <d v="2026-05-27T00:00:00"/>
    <d v="2026-06-25T00:00:00"/>
    <d v="2026-10-02T00:00:00"/>
    <x v="36"/>
    <n v="3280"/>
    <n v="136.66999999999999"/>
    <x v="4"/>
    <m/>
    <s v="Removals"/>
  </r>
  <r>
    <s v="Lordon Management"/>
    <s v="[TREATMENT] (N) 2026 - (OCT/DEC) Coyote Hills Bluffs HOA - (2026 Eucalyptus Treatment)"/>
    <s v="Fullerton"/>
    <d v="2025-10-24T00:00:00"/>
    <m/>
    <d v="2026-10-05T00:00:00"/>
    <x v="37"/>
    <n v="19375"/>
    <n v="0"/>
    <x v="1"/>
    <m/>
    <m/>
  </r>
  <r>
    <s v="Optimum"/>
    <s v="2026 - Garden Homes - (Trees missed due to birds nest)"/>
    <s v="Irvine"/>
    <d v="2026-03-02T00:00:00"/>
    <m/>
    <d v="2026-10-05T00:00:00"/>
    <x v="37"/>
    <n v="2848"/>
    <n v="135.62"/>
    <x v="4"/>
    <m/>
    <s v="Removals"/>
  </r>
  <r>
    <s v="Powerstone Property Management"/>
    <s v="2026 (Oct/Dec) Westpark Village One - Culverdale - (3 Year Plan) (CO 24753)"/>
    <s v="Irvine"/>
    <d v="2026-03-27T00:00:00"/>
    <m/>
    <d v="2026-10-05T00:00:00"/>
    <x v="37"/>
    <n v="7686"/>
    <n v="213.5"/>
    <x v="4"/>
    <m/>
    <s v="Removals"/>
  </r>
  <r>
    <s v="Powerstone Property Management"/>
    <s v="2026 - Yorba Linda Knolls - (Trees missed due to birds nest)"/>
    <s v="Yorba Linda"/>
    <d v="2026-04-24T00:00:00"/>
    <d v="2026-07-09T00:00:00"/>
    <d v="2026-10-05T00:00:00"/>
    <x v="37"/>
    <n v="1213"/>
    <n v="121.28"/>
    <x v="1"/>
    <m/>
    <m/>
  </r>
  <r>
    <s v="Powerstone Property Management"/>
    <s v="2026 - Yorba Linda Knolls Community - (Podocarpus Removal ID 9)"/>
    <s v="Yorba Linda"/>
    <d v="2026-06-03T00:00:00"/>
    <d v="2026-07-09T00:00:00"/>
    <d v="2026-10-05T00:00:00"/>
    <x v="37"/>
    <n v="600"/>
    <n v="120"/>
    <x v="1"/>
    <s v="Removals"/>
    <s v="Removals"/>
  </r>
  <r>
    <s v="Powerstone Property Management"/>
    <s v="NEED CO 2026 - Yorba Linda Knolls - (Removals ID 11, 25)"/>
    <s v="Yorba Linda"/>
    <d v="2026-05-07T00:00:00"/>
    <d v="2026-07-09T00:00:00"/>
    <d v="2026-10-05T00:00:00"/>
    <x v="37"/>
    <n v="1990"/>
    <n v="132.66999999999999"/>
    <x v="1"/>
    <s v="Removals"/>
    <s v="Removals"/>
  </r>
  <r>
    <s v="TOTAL PROPERTY MGMT"/>
    <s v="% (S) 2026 - (Oct/Dec) Willows Maintenance HOA - (3 Year Plan) (CO 24644)"/>
    <s v="Irvine"/>
    <d v="2026-03-23T00:00:00"/>
    <m/>
    <d v="2026-10-05T00:00:00"/>
    <x v="37"/>
    <n v="5372"/>
    <n v="596.84"/>
    <x v="0"/>
    <m/>
    <s v="Removals"/>
  </r>
  <r>
    <s v="CB Richard Ellis"/>
    <s v="2026 - (OCT/DEC) 1710 W Baseline Rd - (2026 Recommendations)"/>
    <s v="Rialto"/>
    <d v="2026-04-17T00:00:00"/>
    <m/>
    <d v="2026-10-01T00:00:00"/>
    <x v="38"/>
    <n v="17310"/>
    <n v="127.28"/>
    <x v="2"/>
    <m/>
    <m/>
  </r>
  <r>
    <s v="Centennial"/>
    <s v="2026 - PARK(OCT/DEC) Bella Terra Park - (3 Year Treatment Plan)"/>
    <s v="Huntington Beach"/>
    <d v="2026-07-09T00:00:00"/>
    <m/>
    <d v="2026-10-06T00:00:00"/>
    <x v="38"/>
    <n v="671"/>
    <n v="17.190000000000001"/>
    <x v="1"/>
    <m/>
    <m/>
  </r>
  <r>
    <s v="FirstService Residential"/>
    <s v="2026 (Oct/Dec) Pacific Hills East-(Revised 3 Year Plan) CO 24584"/>
    <s v="Mission Viejo"/>
    <d v="2026-03-16T00:00:00"/>
    <m/>
    <d v="2026-10-06T00:00:00"/>
    <x v="38"/>
    <n v="1201"/>
    <n v="133.38999999999999"/>
    <x v="0"/>
    <m/>
    <s v="Removals"/>
  </r>
  <r>
    <s v="Powerstone Property Management"/>
    <s v="POST 2026 - (Oct/Dec) Yorba Linda Knolls Community Assoc. - (3 Year Plan; Revised) (CO 24874)"/>
    <s v="Yorba Linda"/>
    <d v="2026-05-27T00:00:00"/>
    <d v="2026-07-09T00:00:00"/>
    <d v="2026-10-05T00:00:00"/>
    <x v="38"/>
    <n v="4738"/>
    <n v="116.99"/>
    <x v="1"/>
    <m/>
    <s v="Removals"/>
  </r>
  <r>
    <s v="Centennial"/>
    <s v="2026 - PAD(OCT/DEC) Bella Terra Pad - (3 Year Treatment Plan)Revised"/>
    <s v="Huntington Beach"/>
    <d v="2026-07-09T00:00:00"/>
    <m/>
    <d v="2026-10-07T00:00:00"/>
    <x v="39"/>
    <n v="722"/>
    <n v="20.93"/>
    <x v="1"/>
    <m/>
    <s v="Removals"/>
  </r>
  <r>
    <s v="Powerstone Property Management"/>
    <s v="% (S) 2026 - (Oct/Dec) Fawn Glen HOA-(3 Year Plan) (CO 24691)"/>
    <s v="Irvine"/>
    <d v="2026-03-24T00:00:00"/>
    <m/>
    <d v="2026-10-06T00:00:00"/>
    <x v="39"/>
    <n v="15289"/>
    <n v="212.35"/>
    <x v="0"/>
    <m/>
    <s v="Removals"/>
  </r>
  <r>
    <s v="Centennial"/>
    <s v="2026 - MALL(OCT/DEC) Bella Terra Mall - (3 Year Treatment Plan)Discounted"/>
    <s v="Huntington Beach"/>
    <d v="2026-07-09T00:00:00"/>
    <m/>
    <d v="2026-10-08T00:00:00"/>
    <x v="40"/>
    <n v="16896"/>
    <n v="0"/>
    <x v="1"/>
    <m/>
    <m/>
  </r>
  <r>
    <s v="FirstService Residential"/>
    <s v="2026 (Oct/Dec) Glenwood Recreation Center (GRE)-(3 Year Plan)CO 24568"/>
    <s v="Aliso Viejo"/>
    <d v="2026-03-10T00:00:00"/>
    <m/>
    <d v="2026-10-08T00:00:00"/>
    <x v="40"/>
    <n v="6302"/>
    <n v="350.08"/>
    <x v="0"/>
    <m/>
    <s v="Removals"/>
  </r>
  <r>
    <s v="BHE Management"/>
    <s v="(N) 2026 - (Oct/Dec) St. Laurent at Newport Ridge - (3 Year Plan) (CO 24764)"/>
    <s v="Newport Beach"/>
    <d v="2026-03-27T00:00:00"/>
    <m/>
    <d v="2026-10-09T00:00:00"/>
    <x v="41"/>
    <n v="993"/>
    <n v="82.78"/>
    <x v="4"/>
    <m/>
    <s v="Removals"/>
  </r>
  <r>
    <s v="BHE Management"/>
    <s v="2026 (Oct/Dec) - Lux Community Association - (3 Year Plan)"/>
    <s v="Irvine"/>
    <d v="2026-03-24T00:00:00"/>
    <m/>
    <d v="2026-10-09T00:00:00"/>
    <x v="41"/>
    <n v="4533"/>
    <n v="503.69"/>
    <x v="4"/>
    <m/>
    <s v="Removals"/>
  </r>
  <r>
    <s v="BHE Management"/>
    <s v="2026 - (JUL/SEP) St. Laurent at Newport Ridge - (Skipped Tree due to Squirrel Nest)"/>
    <s v="Newport Beach"/>
    <d v="2026-07-15T00:00:00"/>
    <m/>
    <d v="2026-10-09T00:00:00"/>
    <x v="41"/>
    <n v="168"/>
    <n v="18.670000000000002"/>
    <x v="4"/>
    <m/>
    <m/>
  </r>
  <r>
    <s v="Cardinal Property Management"/>
    <s v="2026 - (Oct/Dec) Vista San Joaquin HOA - (4 Year Plan) (CO 24915)"/>
    <s v="Irvine"/>
    <d v="2026-07-01T00:00:00"/>
    <m/>
    <d v="2026-10-08T00:00:00"/>
    <x v="41"/>
    <n v="9636"/>
    <n v="535.32000000000005"/>
    <x v="0"/>
    <m/>
    <s v="Removals"/>
  </r>
  <r>
    <s v="City of Irvine (CI Palm Contract)"/>
    <s v="2026 - Palm Watering/Monitoring (19)"/>
    <s v="Irvine"/>
    <d v="2024-12-10T00:00:00"/>
    <m/>
    <d v="2026-10-09T00:00:00"/>
    <x v="41"/>
    <n v="900"/>
    <n v="100"/>
    <x v="3"/>
    <m/>
    <m/>
  </r>
  <r>
    <s v="FirstService Residential"/>
    <s v="2026 - (OCT/DEC &amp; Removals) Somerset Cottages I (SCO1) - (Revised 2026 Recs)"/>
    <s v="Chino Hills"/>
    <d v="2026-07-21T00:00:00"/>
    <m/>
    <d v="2026-10-08T00:00:00"/>
    <x v="41"/>
    <n v="10705"/>
    <n v="148.68"/>
    <x v="1"/>
    <s v="Removals"/>
    <s v="Removals"/>
  </r>
  <r>
    <s v="Optimum"/>
    <s v="2026 (Oct/Dec) Garden Homes Maintenance Association - (3 Year Plan) CO 24832"/>
    <s v="Irvine"/>
    <d v="2026-04-27T00:00:00"/>
    <m/>
    <d v="2026-10-05T00:00:00"/>
    <x v="41"/>
    <n v="26246"/>
    <n v="116.65"/>
    <x v="4"/>
    <m/>
    <s v="Removals"/>
  </r>
  <r>
    <s v="Powerstone Property Management"/>
    <s v="(S) 2026 - (Oct/Dec) Presidio Community Association - (Revised 3 Year Plan) (CO 24463)"/>
    <s v="Tustin"/>
    <d v="2026-01-27T00:00:00"/>
    <m/>
    <d v="2026-10-06T00:00:00"/>
    <x v="41"/>
    <n v="20939"/>
    <n v="145.41"/>
    <x v="4"/>
    <m/>
    <s v="Removals"/>
  </r>
  <r>
    <s v="Powerstone Property Management"/>
    <s v="2026 (Oct/Dec) Campobello HOA-(4 Year Plan) (CO 24846)"/>
    <s v="Newport Beach"/>
    <d v="2026-05-05T00:00:00"/>
    <m/>
    <d v="2026-10-05T00:00:00"/>
    <x v="41"/>
    <n v="16472"/>
    <n v="129.19"/>
    <x v="0"/>
    <m/>
    <s v="Removals"/>
  </r>
  <r>
    <s v="REGENT ASSOCIATION SERVICES"/>
    <s v="POST= (N) 2026 - (Oct/Dec) Suburbia HOA - (Revised 3 Year Plan) (CO 24723)"/>
    <s v="Anaheim"/>
    <d v="2026-03-25T00:00:00"/>
    <m/>
    <d v="2026-10-05T00:00:00"/>
    <x v="41"/>
    <n v="18592"/>
    <n v="137.72"/>
    <x v="1"/>
    <m/>
    <s v="Removals"/>
  </r>
  <r>
    <s v="CB Richard Ellis"/>
    <s v="(N) 2026 - (OCT/DEC) 12300 Riverside - (2026 Recommendations)"/>
    <s v="Eastvale"/>
    <d v="2025-12-11T00:00:00"/>
    <m/>
    <d v="2026-10-03T00:00:00"/>
    <x v="42"/>
    <n v="7830"/>
    <n v="122.34"/>
    <x v="2"/>
    <m/>
    <s v="Removals"/>
  </r>
  <r>
    <s v="Gothic Landscape Maintenance"/>
    <s v="2026 - (Oct/Dec) 23981 Alicia Parkway - (3 Year Plan) - (CO #24581)"/>
    <s v="Mission Viejo"/>
    <d v="2026-03-12T00:00:00"/>
    <m/>
    <d v="2026-10-10T00:00:00"/>
    <x v="42"/>
    <n v="3612"/>
    <n v="100.33"/>
    <x v="0"/>
    <m/>
    <s v="Removals"/>
  </r>
  <r>
    <s v="Warmington Properties, Inc."/>
    <s v="2026 - (OCT/DEC) Alicia Center Company (Honali) (98) - (3 Year Plan)"/>
    <s v="Laguna Hills"/>
    <d v="2026-06-05T00:00:00"/>
    <m/>
    <d v="2026-10-10T00:00:00"/>
    <x v="42"/>
    <n v="5680"/>
    <n v="631.11"/>
    <x v="0"/>
    <m/>
    <m/>
  </r>
  <r>
    <s v="FirstService Residential"/>
    <s v="2026 - (Oct/Dec) Glenwood Terrace - (3 Year Plan) (CO 24639)"/>
    <s v="Aliso Viejo"/>
    <d v="2026-03-26T00:00:00"/>
    <m/>
    <d v="2026-10-12T00:00:00"/>
    <x v="43"/>
    <n v="7077"/>
    <n v="157.27000000000001"/>
    <x v="0"/>
    <m/>
    <s v="Removals"/>
  </r>
  <r>
    <s v="Lordon Management"/>
    <s v="2026 (Oct/Dec) Gingerwood HOA - (3 Year Plan) (CO 24611)"/>
    <s v="Fullerton"/>
    <d v="2026-03-18T00:00:00"/>
    <m/>
    <d v="2026-10-05T00:00:00"/>
    <x v="43"/>
    <n v="27986"/>
    <n v="129.56"/>
    <x v="1"/>
    <m/>
    <s v="Removals"/>
  </r>
  <r>
    <s v="BHE Management"/>
    <s v="2026 - (Oct/Dec) Indigo at Portola Springs - (4 Year Plan) (CO 24699)"/>
    <s v="Irvine"/>
    <d v="2026-03-24T00:00:00"/>
    <m/>
    <d v="2026-10-12T00:00:00"/>
    <x v="44"/>
    <n v="11581"/>
    <n v="160.85"/>
    <x v="0"/>
    <m/>
    <s v="Removals"/>
  </r>
  <r>
    <s v="Powerstone Property Management"/>
    <s v="2026 - Valencia HOA - (Go Back: Active Bird Nest)"/>
    <s v="Mission Viejo"/>
    <d v="2026-04-14T00:00:00"/>
    <m/>
    <d v="2026-10-13T00:00:00"/>
    <x v="44"/>
    <n v="435"/>
    <n v="16.11"/>
    <x v="0"/>
    <m/>
    <s v="Removals"/>
  </r>
  <r>
    <s v="Beven and Brock"/>
    <s v="% (N) 2026 - (Oct/Dec) Glenbrook Townhomes - (3 Year Plan) (CO 24598)"/>
    <s v="Arcadia"/>
    <d v="2026-03-17T00:00:00"/>
    <m/>
    <d v="2026-10-12T00:00:00"/>
    <x v="45"/>
    <n v="9743"/>
    <n v="120.28"/>
    <x v="2"/>
    <m/>
    <s v="Removals"/>
  </r>
  <r>
    <s v="Crummack Huseby, Inc."/>
    <s v="2026 - (Oct/Dec) Ravello Maintenance Corporation - (3 Year Plan) (CO 24938)"/>
    <s v="Whittier"/>
    <d v="2026-07-17T00:00:00"/>
    <m/>
    <d v="2026-10-12T00:00:00"/>
    <x v="45"/>
    <n v="11366"/>
    <n v="140.32"/>
    <x v="2"/>
    <m/>
    <s v="Removals"/>
  </r>
  <r>
    <s v="Powerstone Property Management"/>
    <s v="2026 - (S) 2026 - (Oct/Dec) Canyon Point Maintenance Corp. - (3 Year Plan) (CO 24948)"/>
    <s v="Aliso Viejo"/>
    <d v="2026-07-21T00:00:00"/>
    <m/>
    <d v="2026-10-14T00:00:00"/>
    <x v="45"/>
    <n v="1053"/>
    <n v="29.25"/>
    <x v="0"/>
    <m/>
    <s v="Removals"/>
  </r>
  <r>
    <s v="Pristine Property Management"/>
    <s v="(N) 2026 - (Oct/Dec) Village Green Garden Grove HOA - (3 Year Plan) (CO 24745)"/>
    <s v="Garden Grove"/>
    <d v="2026-03-26T00:00:00"/>
    <m/>
    <d v="2026-10-12T00:00:00"/>
    <x v="45"/>
    <n v="8991"/>
    <n v="111"/>
    <x v="1"/>
    <m/>
    <s v="Removals"/>
  </r>
  <r>
    <s v="Keystone Pacific Property Management, LL"/>
    <s v="2026 (Oct/Jan) CO 24591 Lantern Bay Estates-(Revised 3 Year Plan) (CO 24939)"/>
    <s v="Dana Point"/>
    <d v="2026-07-21T00:00:00"/>
    <d v="2026-07-16T00:00:00"/>
    <d v="2026-10-12T00:00:00"/>
    <x v="46"/>
    <n v="15561"/>
    <n v="123.5"/>
    <x v="0"/>
    <m/>
    <s v="Removals"/>
  </r>
  <r>
    <s v="Revolve Property Management"/>
    <s v="% (S) 2026 - (Oct/Dec) Mira Costa Villas - (Revised 3 Year Plan) (CO 24660)"/>
    <s v="San Clemente"/>
    <d v="2026-03-24T00:00:00"/>
    <m/>
    <d v="2026-10-05T00:00:00"/>
    <x v="46"/>
    <n v="33278"/>
    <n v="136.94999999999999"/>
    <x v="0"/>
    <m/>
    <s v="Removals"/>
  </r>
  <r>
    <s v="BHE Management"/>
    <s v="(N) 2026 - (Oct/Dec)The Summit at Newport Ridge - (3 Year Plan) (CO 24761)"/>
    <s v="Newport Beach"/>
    <d v="2026-03-31T00:00:00"/>
    <m/>
    <d v="2026-10-05T00:00:00"/>
    <x v="47"/>
    <n v="34225"/>
    <n v="126.76"/>
    <x v="4"/>
    <m/>
    <s v="Removals"/>
  </r>
  <r>
    <s v="CB Richard Ellis"/>
    <s v="(N) 2026 - (OCT/DEC) 11640 Harrell - (2026 Recommendations)"/>
    <s v="Jurupa Valley"/>
    <d v="2025-12-11T00:00:00"/>
    <m/>
    <d v="2026-10-15T00:00:00"/>
    <x v="47"/>
    <n v="10430"/>
    <n v="130.38"/>
    <x v="2"/>
    <m/>
    <m/>
  </r>
  <r>
    <s v="Optimum"/>
    <s v="(N) 2026 - (Oct/Dec) Huntington Bay - (3 Year Plan) (CO 24728)"/>
    <s v="Huntington Beach"/>
    <d v="2026-03-26T00:00:00"/>
    <m/>
    <d v="2026-10-16T00:00:00"/>
    <x v="47"/>
    <n v="2629"/>
    <n v="97.37"/>
    <x v="1"/>
    <m/>
    <s v="Removals"/>
  </r>
  <r>
    <s v="Powerstone Property Management"/>
    <s v="(S) 2026 - (Oct/Dec) Harvard Square Maintenance - (2 Year Plan) (CO 24757)"/>
    <s v="Irvine"/>
    <d v="2026-03-31T00:00:00"/>
    <m/>
    <d v="2026-10-15T00:00:00"/>
    <x v="47"/>
    <n v="9574"/>
    <n v="132.97999999999999"/>
    <x v="4"/>
    <m/>
    <s v="Removals"/>
  </r>
  <r>
    <s v="Powerstone Property Management"/>
    <s v="[TREATMENT] 2026 - (OCT/DEC) Laguna Altura - (Sycamore and Tristania Treatments)"/>
    <s v="Irvine"/>
    <d v="2026-03-17T00:00:00"/>
    <m/>
    <d v="2026-10-16T00:00:00"/>
    <x v="47"/>
    <n v="8525"/>
    <n v="303.11"/>
    <x v="0"/>
    <m/>
    <s v="Removals"/>
  </r>
  <r>
    <s v="Bentley Community Management, Inc."/>
    <s v="2026 - Terra Linda Estates HOA - (2 XLRG Peppers missed by Birds Nest)"/>
    <s v="Yorba Linda"/>
    <d v="2026-03-30T00:00:00"/>
    <m/>
    <d v="2026-10-19T00:00:00"/>
    <x v="48"/>
    <n v="594"/>
    <n v="148.5"/>
    <x v="1"/>
    <m/>
    <m/>
  </r>
  <r>
    <s v="BHE Management"/>
    <s v="% 2026 (Oct/Dec) Windflower Community Association-(3 Year Plan) (CO 24697)"/>
    <s v="Aliso Viejo"/>
    <d v="2026-03-24T00:00:00"/>
    <m/>
    <d v="2026-10-12T00:00:00"/>
    <x v="48"/>
    <n v="29223"/>
    <n v="135.29"/>
    <x v="0"/>
    <m/>
    <s v="Removals"/>
  </r>
  <r>
    <s v="Optimum"/>
    <s v="2026 - Pacific Ranch HOA - (Missed Elm due to Birds Nest)"/>
    <s v="Huntington Beach"/>
    <d v="2026-07-23T00:00:00"/>
    <m/>
    <d v="2026-10-19T00:00:00"/>
    <x v="48"/>
    <n v="240"/>
    <n v="13.33"/>
    <x v="1"/>
    <m/>
    <s v="Removals"/>
  </r>
  <r>
    <s v="Powerstone Property Management"/>
    <s v="(S) 2026 - (OCT/DEC) Valencia Condominiums Association - (Revised 4 Year Plan) (CO 24594)"/>
    <s v="Mission Viejo"/>
    <d v="2026-03-17T00:00:00"/>
    <m/>
    <d v="2026-10-13T00:00:00"/>
    <x v="48"/>
    <n v="16889"/>
    <n v="625.5"/>
    <x v="0"/>
    <m/>
    <s v="Removals"/>
  </r>
  <r>
    <s v="Powerstone Property Management"/>
    <s v="2026 - (Oct/Dec) Executive Guild El Toro - (3 Year Plan)"/>
    <s v="Lake Forest"/>
    <d v="2026-07-08T00:00:00"/>
    <m/>
    <d v="2026-10-20T00:00:00"/>
    <x v="49"/>
    <n v="4915"/>
    <n v="546.11"/>
    <x v="0"/>
    <m/>
    <s v="Removals"/>
  </r>
  <r>
    <s v="The Management Trust"/>
    <s v="(N) 2026 - (OCT/DEC) Lakewood Shores HOA - (3 Year Plan) (CO 24922)"/>
    <s v="Lakewood"/>
    <d v="2026-07-17T00:00:00"/>
    <m/>
    <d v="2026-10-12T00:00:00"/>
    <x v="49"/>
    <n v="22490"/>
    <n v="133.87"/>
    <x v="1"/>
    <m/>
    <s v="Removals"/>
  </r>
  <r>
    <s v="Bentley Community Management, Inc."/>
    <s v="(N) 2026 - (Oct/Dec) Terra Linda Estates HOA - (3 Year Plan) (CO 24734)"/>
    <s v="Yorba Linda"/>
    <d v="2026-03-26T00:00:00"/>
    <m/>
    <d v="2026-10-19T00:00:00"/>
    <x v="50"/>
    <n v="15055"/>
    <n v="139.4"/>
    <x v="1"/>
    <m/>
    <s v="Removals"/>
  </r>
  <r>
    <s v="Optimum"/>
    <s v="(S) 2026 - (OCT/DEC) Northwood Villas Maintenance Corporation - (3 Year Plan) (CO 24617)"/>
    <s v="Irvine"/>
    <d v="2026-03-19T00:00:00"/>
    <m/>
    <d v="2026-10-19T00:00:00"/>
    <x v="50"/>
    <n v="14693"/>
    <n v="136.05000000000001"/>
    <x v="0"/>
    <m/>
    <s v="Removals"/>
  </r>
  <r>
    <s v="Optimum"/>
    <s v="2026 - (OCT/DEC) Pacific Ranch HOA - (Revised 3 Year Plan)"/>
    <s v="Huntington Beach"/>
    <d v="2026-07-02T00:00:00"/>
    <m/>
    <d v="2026-10-19T00:00:00"/>
    <x v="50"/>
    <n v="21670"/>
    <n v="150.49"/>
    <x v="1"/>
    <m/>
    <s v="Removals"/>
  </r>
  <r>
    <s v="Optimum"/>
    <s v="2026 - (OCT/DEC) Tustin Barcelona HOA- (2026 Recommendations)"/>
    <s v="Tustin"/>
    <d v="2026-02-25T00:00:00"/>
    <m/>
    <d v="2026-10-19T00:00:00"/>
    <x v="50"/>
    <n v="20448"/>
    <n v="142"/>
    <x v="4"/>
    <m/>
    <s v="Removals"/>
  </r>
  <r>
    <s v="Seabreeze Management Company"/>
    <s v="PERMIT? (S) 2026 - (Oct/Dec) Northwood Villas HOA - (3 Year Plan) (CO 24648)"/>
    <s v="Irvine"/>
    <d v="2026-03-20T00:00:00"/>
    <m/>
    <d v="2026-10-19T00:00:00"/>
    <x v="50"/>
    <n v="21329"/>
    <n v="118.49"/>
    <x v="0"/>
    <m/>
    <s v="Removals"/>
  </r>
  <r>
    <s v="Cardinal Property Management"/>
    <s v="2026 - (OCTJAN) Crestline HOA - (3 Year Plan)"/>
    <s v="Laguna Hills"/>
    <d v="2026-02-11T00:00:00"/>
    <m/>
    <d v="2026-10-21T00:00:00"/>
    <x v="51"/>
    <n v="10670"/>
    <n v="395.19"/>
    <x v="0"/>
    <m/>
    <s v="Removals"/>
  </r>
  <r>
    <s v="City of Irvine (CI Palm Contract)"/>
    <s v="2026 - Palm Watering/Monitoring (20)"/>
    <s v="Irvine"/>
    <d v="2024-12-10T00:00:00"/>
    <m/>
    <d v="2026-10-23T00:00:00"/>
    <x v="51"/>
    <n v="900"/>
    <n v="100"/>
    <x v="3"/>
    <m/>
    <m/>
  </r>
  <r>
    <s v="Gothic Landscape Maintenance"/>
    <s v="2026 - (APR/JUN) CZ Master - Coto De Caza - (Glen Eagles)"/>
    <s v="Trabuco Canyon"/>
    <d v="2026-05-28T00:00:00"/>
    <m/>
    <d v="2026-10-22T00:00:00"/>
    <x v="51"/>
    <n v="11470"/>
    <n v="0"/>
    <x v="1"/>
    <m/>
    <m/>
  </r>
  <r>
    <s v="Lordon Management"/>
    <s v="(N) 2026 - (Oct/Dec) Granada Park Cerritos HOA - (3 Year Plan) (CO 24720)"/>
    <s v="Cerritos"/>
    <d v="2026-03-26T00:00:00"/>
    <m/>
    <d v="2026-10-15T00:00:00"/>
    <x v="51"/>
    <n v="22568"/>
    <n v="119.41"/>
    <x v="1"/>
    <m/>
    <m/>
  </r>
  <r>
    <s v="Optimum"/>
    <s v="2026 - Tustin Ranch Community Association II - (2026 Oct/Dec Approved Work)"/>
    <s v="Tustin"/>
    <d v="2026-07-16T00:00:00"/>
    <m/>
    <d v="2026-10-22T00:00:00"/>
    <x v="51"/>
    <n v="8700"/>
    <n v="135.94"/>
    <x v="4"/>
    <m/>
    <s v="Removals"/>
  </r>
  <r>
    <s v="Warmington Properties, Inc."/>
    <s v="2026 - (Nov/Dec Quarter 4 Treatment $0 Go-Ahead)Pullman Associates (65) - (Approved Olive Treatment Quarter 3 &amp;4)"/>
    <s v="Costa Mesa"/>
    <d v="2026-06-19T00:00:00"/>
    <m/>
    <d v="2026-10-26T00:00:00"/>
    <x v="52"/>
    <n v="4"/>
    <n v="0.44"/>
    <x v="1"/>
    <m/>
    <m/>
  </r>
  <r>
    <s v="CB Richard Ellis"/>
    <s v="(N) 2026 - (OCT/DEC) 5200 Airport Drive - (2026 Recommendations)"/>
    <s v="Ontario"/>
    <d v="2025-11-22T00:00:00"/>
    <d v="2026-07-23T00:00:00"/>
    <d v="2026-10-26T00:00:00"/>
    <x v="53"/>
    <n v="9702"/>
    <n v="134.75"/>
    <x v="2"/>
    <m/>
    <m/>
  </r>
  <r>
    <s v="Interpacific Asset Mgmt"/>
    <s v="(N) 2026 - (Oct/Dec) Tannenwood Village HOA - (3 Year Plan) (CO 24732)"/>
    <s v="Santa Ana"/>
    <d v="2026-03-27T00:00:00"/>
    <m/>
    <d v="2026-10-26T00:00:00"/>
    <x v="53"/>
    <n v="8429"/>
    <n v="156.1"/>
    <x v="1"/>
    <m/>
    <s v="Removals"/>
  </r>
  <r>
    <s v="Crummack Huseby, Inc."/>
    <s v="2026 - (OctDec) Northpark Maintenance HOA (Street Trees) - (2026 Approved Work)"/>
    <s v="Irvine"/>
    <d v="2026-02-05T00:00:00"/>
    <m/>
    <d v="2026-10-26T00:00:00"/>
    <x v="54"/>
    <n v="9503"/>
    <n v="351.94"/>
    <x v="2"/>
    <m/>
    <s v="Removals"/>
  </r>
  <r>
    <s v="Keystone Pacific Property Management, LL"/>
    <s v="(S) 2026 - (OCT/DEC) Willow Glen Serrano HOA - (4 Year Plan) (CO 24716)"/>
    <s v="Lake Forest"/>
    <d v="2026-03-25T00:00:00"/>
    <m/>
    <d v="2026-10-28T00:00:00"/>
    <x v="54"/>
    <n v="3877"/>
    <n v="143.6"/>
    <x v="0"/>
    <m/>
    <s v="Removals"/>
  </r>
  <r>
    <s v="Seabreeze Management Company"/>
    <s v="% 2026 - (Oct/Dec) Breakers at Bear Brand - (3 Year Plan) (CO 24580)"/>
    <s v="Laguna Niguel"/>
    <d v="2026-03-16T00:00:00"/>
    <m/>
    <d v="2026-10-19T00:00:00"/>
    <x v="54"/>
    <n v="26147"/>
    <n v="121.05"/>
    <x v="0"/>
    <m/>
    <s v="Removals"/>
  </r>
  <r>
    <s v="Seabreeze Management Company"/>
    <s v="(S) 2026 - (OCT/JAN) Vista de Oro Homeowners Association - (3 Year Plan)CO 24823"/>
    <s v="Aliso Viejo"/>
    <d v="2026-04-22T00:00:00"/>
    <m/>
    <d v="2026-10-26T00:00:00"/>
    <x v="54"/>
    <n v="8400"/>
    <n v="116.66"/>
    <x v="0"/>
    <m/>
    <s v="Removals"/>
  </r>
  <r>
    <s v="Seabreeze Management Company"/>
    <s v="2026 - (Oct/Dec)Caserta II Neighborhood Association - (3 Year Plan)"/>
    <s v="Irvine"/>
    <d v="2026-04-09T00:00:00"/>
    <m/>
    <d v="2026-10-26T00:00:00"/>
    <x v="54"/>
    <n v="13370"/>
    <n v="1485.56"/>
    <x v="4"/>
    <m/>
    <m/>
  </r>
  <r>
    <s v="Tritz Professional Management Service, I"/>
    <s v="2026 - (OCT/DEC) Chelsea Place HOA - (2026 Trimming)"/>
    <s v="Westminster"/>
    <d v="2026-03-16T00:00:00"/>
    <m/>
    <d v="2026-10-26T00:00:00"/>
    <x v="54"/>
    <n v="12523"/>
    <n v="130.44999999999999"/>
    <x v="1"/>
    <m/>
    <s v="Removals"/>
  </r>
  <r>
    <s v="FirstService Residential"/>
    <s v="(S) 2026 - (Oct/Dec) Pacific Hills HOA - (CO 24898)"/>
    <s v="Mission Viejo"/>
    <d v="2026-06-12T00:00:00"/>
    <m/>
    <d v="2026-10-05T00:00:00"/>
    <x v="55"/>
    <n v="69308"/>
    <n v="128.35"/>
    <x v="0"/>
    <m/>
    <s v="Removals"/>
  </r>
  <r>
    <s v="Warmington Properties, Inc."/>
    <s v="2026 - (Oct/Dec) Bayport Jeronimo Assoc., LP (52) - (3 Year Plan) Revised"/>
    <s v="Mission Viejo"/>
    <d v="2026-07-08T00:00:00"/>
    <m/>
    <d v="2026-10-29T00:00:00"/>
    <x v="55"/>
    <n v="6130"/>
    <n v="360.59"/>
    <x v="0"/>
    <m/>
    <s v="Removals"/>
  </r>
  <r>
    <s v="BHE Management"/>
    <s v="(S) 2026 - (OCT/DEC) Montara Neighborhood Association - (3 Year Plan) (CO 24959)"/>
    <s v="Irvine"/>
    <d v="2026-07-24T00:00:00"/>
    <m/>
    <d v="2026-10-29T00:00:00"/>
    <x v="56"/>
    <n v="9510"/>
    <n v="99.06"/>
    <x v="4"/>
    <m/>
    <s v="Removals"/>
  </r>
  <r>
    <s v="BHE Management"/>
    <s v="2026 - (OCT/DEC) C2E Townhomes Community - (4 Year Plan)"/>
    <s v="Irvine"/>
    <d v="2026-04-07T00:00:00"/>
    <m/>
    <d v="2026-11-02T00:00:00"/>
    <x v="56"/>
    <n v="5020"/>
    <n v="185.93"/>
    <x v="4"/>
    <m/>
    <s v="Removals"/>
  </r>
  <r>
    <s v="Seabreeze Management Company"/>
    <s v="2026 (Oct/Dec) - North Bluff Bayview (2026 Tree Trimming)"/>
    <s v="Newport Beach"/>
    <d v="2026-06-12T00:00:00"/>
    <m/>
    <d v="2026-11-02T00:00:00"/>
    <x v="57"/>
    <n v="15225"/>
    <n v="140.97"/>
    <x v="4"/>
    <m/>
    <m/>
  </r>
  <r>
    <s v="Associa (AKA PCM)"/>
    <s v="8% (S) 2026 - (OCT/DEC) UCA - (3 Year Plan) - (CO 24831)"/>
    <s v="Irvine"/>
    <d v="2026-04-27T00:00:00"/>
    <d v="2026-03-07T00:00:00"/>
    <d v="2026-10-05T00:00:00"/>
    <x v="58"/>
    <n v="79020"/>
    <n v="121.94"/>
    <x v="4"/>
    <m/>
    <s v="Removals"/>
  </r>
  <r>
    <s v="Optimum"/>
    <s v="(S) 2026 - (OCT/DEC) Woodbridge Parkway Maint. Assoc. - (3 Year Plan) (CO 24456)"/>
    <s v="Irvine"/>
    <d v="2026-01-23T00:00:00"/>
    <m/>
    <d v="2026-10-29T00:00:00"/>
    <x v="58"/>
    <n v="18052"/>
    <n v="125.36"/>
    <x v="4"/>
    <m/>
    <s v="Removals"/>
  </r>
  <r>
    <s v="Optimum"/>
    <s v="2026 - (OctDec) Huntington Continental Town House Assoc"/>
    <s v="Huntington Beach"/>
    <d v="2026-02-24T00:00:00"/>
    <m/>
    <d v="2026-11-02T00:00:00"/>
    <x v="58"/>
    <n v="13425"/>
    <n v="127.86"/>
    <x v="1"/>
    <m/>
    <s v="Removals"/>
  </r>
  <r>
    <s v="The Groves Senior Community"/>
    <s v="2026 - (OCT/DEC) The Groves Homeowners Inc. - (Area 19, Pine trimming) CO 24921"/>
    <s v="Irvine"/>
    <d v="2026-07-10T00:00:00"/>
    <m/>
    <d v="2026-07-21T00:00:00"/>
    <x v="58"/>
    <n v="44310"/>
    <n v="130.41999999999999"/>
    <x v="4"/>
    <m/>
    <s v="Removals"/>
  </r>
  <r>
    <s v="City of Irvine (CI Palm Contract)"/>
    <s v="2026 - Palm Watering/Monitoring (21)"/>
    <s v="Irvine"/>
    <d v="2024-12-10T00:00:00"/>
    <m/>
    <d v="2026-11-06T00:00:00"/>
    <x v="59"/>
    <n v="900"/>
    <n v="100"/>
    <x v="3"/>
    <m/>
    <m/>
  </r>
  <r>
    <s v="Optimum"/>
    <s v="2026 - === PLACEHOLDER ==="/>
    <s v="Santa Ana"/>
    <d v="2026-07-23T00:00:00"/>
    <m/>
    <d v="2026-10-05T00:00:00"/>
    <x v="59"/>
    <n v="116000"/>
    <n v="128.88999999999999"/>
    <x v="1"/>
    <m/>
    <m/>
  </r>
  <r>
    <s v="Warmington Properties, Inc."/>
    <s v="(N) 2026 - (NOV/DEC) Pullman Associates - (2026 Tree Maintenance)"/>
    <s v="Costa Mesa"/>
    <d v="2025-10-03T00:00:00"/>
    <m/>
    <d v="2026-11-07T00:00:00"/>
    <x v="60"/>
    <n v="3085"/>
    <n v="128.54"/>
    <x v="1"/>
    <m/>
    <m/>
  </r>
  <r>
    <s v="Irvine Company - Retail (GPS)"/>
    <s v="2026 - PLACEHOLDER: Central Irvine Collection (Fall 26/27)"/>
    <s v="Irvine"/>
    <d v="2026-04-29T00:00:00"/>
    <m/>
    <d v="2026-11-09T00:00:00"/>
    <x v="61"/>
    <n v="148049"/>
    <n v="0"/>
    <x v="2"/>
    <m/>
    <m/>
  </r>
  <r>
    <s v="Tarantino Landscape"/>
    <s v="2026 - (Nov) Santa Margarita Town Center - (2026 Recommendations)"/>
    <s v="Rancho Santa Margarita"/>
    <d v="2026-04-22T00:00:00"/>
    <m/>
    <d v="2026-11-09T00:00:00"/>
    <x v="61"/>
    <n v="4870"/>
    <n v="180.37"/>
    <x v="0"/>
    <m/>
    <m/>
  </r>
  <r>
    <s v="Tarantino Landscape"/>
    <s v="2026 - (Nov) Spectrum Crossroads - (2026 Recommendations)CO 24873"/>
    <s v="Irvine"/>
    <d v="2026-05-22T00:00:00"/>
    <d v="2026-05-05T00:00:00"/>
    <d v="2026-11-09T00:00:00"/>
    <x v="61"/>
    <n v="3895"/>
    <n v="144.26"/>
    <x v="4"/>
    <m/>
    <m/>
  </r>
  <r>
    <s v="Associa (AKA PCM)"/>
    <s v="(S) 2026 - (OCT/DEC) Stonetree Manor (PRO455-10877) - (3 Year Plan)"/>
    <s v="Irvine"/>
    <d v="2025-12-11T00:00:00"/>
    <m/>
    <d v="2026-11-09T00:00:00"/>
    <x v="62"/>
    <n v="6515"/>
    <n v="120.65"/>
    <x v="4"/>
    <m/>
    <s v="Removals"/>
  </r>
  <r>
    <s v="BHE Management"/>
    <s v="2026 - (OCT/DEC) Carissa Neighborhood Association - (4 Year Plan) (CO 24705)"/>
    <s v="Irvine"/>
    <d v="2026-03-24T00:00:00"/>
    <m/>
    <d v="2026-10-29T00:00:00"/>
    <x v="62"/>
    <n v="10309"/>
    <n v="381.8"/>
    <x v="0"/>
    <m/>
    <s v="Removals"/>
  </r>
  <r>
    <s v="Irvine Company - Retail (GPS)"/>
    <s v="2026 - PLACEHOLDER: Coastal Collection (Fall 26/27)"/>
    <s v="Irvine"/>
    <d v="2026-04-29T00:00:00"/>
    <m/>
    <d v="2026-11-10T00:00:00"/>
    <x v="62"/>
    <n v="78037"/>
    <n v="0"/>
    <x v="2"/>
    <m/>
    <m/>
  </r>
  <r>
    <s v="Irvine Company - Retail (GPS)"/>
    <s v="2026 - PLACEHOLDER: Foothill Collection (Fall 26/27)"/>
    <s v="Irvine"/>
    <d v="2026-04-29T00:00:00"/>
    <m/>
    <d v="2026-11-10T00:00:00"/>
    <x v="62"/>
    <n v="79365"/>
    <n v="0"/>
    <x v="2"/>
    <m/>
    <m/>
  </r>
  <r>
    <s v="Optimum"/>
    <s v="2026 - (OCT/DEC) The Oaks at Lake Forest HOA - (2026 Recommendations) (CO 24899)"/>
    <s v="Lake Forest"/>
    <d v="2026-06-12T00:00:00"/>
    <m/>
    <d v="2026-11-02T00:00:00"/>
    <x v="62"/>
    <n v="26895"/>
    <n v="2988.33"/>
    <x v="0"/>
    <m/>
    <s v="Removals"/>
  </r>
  <r>
    <s v="Vestar"/>
    <s v="2026 - (OCT/DEC) Torrance Crossroads - (2026 Trimming &amp; Removals Recs)"/>
    <s v="Torrance"/>
    <d v="2026-06-26T00:00:00"/>
    <m/>
    <d v="2026-11-09T00:00:00"/>
    <x v="62"/>
    <n v="10195"/>
    <n v="141.6"/>
    <x v="1"/>
    <m/>
    <s v="Removals"/>
  </r>
  <r>
    <s v="Centennial"/>
    <s v="2026 - PAD(OCT/DEC) Bella Terra Pad (3 Year Plan)"/>
    <s v="Huntington Beach"/>
    <d v="2026-07-09T00:00:00"/>
    <m/>
    <d v="2026-11-11T00:00:00"/>
    <x v="63"/>
    <n v="1245"/>
    <n v="155.63"/>
    <x v="1"/>
    <m/>
    <s v="Removals"/>
  </r>
  <r>
    <s v="Centennial"/>
    <s v="2026 - PARK(OCT/DEC) Bella Terra Park (3 Year Plan)"/>
    <s v="Huntington Beach"/>
    <d v="2026-07-09T00:00:00"/>
    <m/>
    <d v="2026-11-11T00:00:00"/>
    <x v="63"/>
    <n v="910"/>
    <n v="113.75"/>
    <x v="1"/>
    <m/>
    <s v="Removals"/>
  </r>
  <r>
    <s v="Brown and Company Mgmt. Services"/>
    <s v="(S) 2026 - (OCT/DEC) Sycamore Plaza - (4 Year Plan) (CO 24701)"/>
    <s v="Lake Forest"/>
    <d v="2026-03-24T00:00:00"/>
    <m/>
    <d v="2026-11-11T00:00:00"/>
    <x v="64"/>
    <n v="7846"/>
    <n v="145.30000000000001"/>
    <x v="0"/>
    <m/>
    <m/>
  </r>
  <r>
    <s v="Centennial"/>
    <s v="2026 - MALL(OCT/DEC) Bella Terra Mall (3 Year Plan)"/>
    <s v="Huntington Beach"/>
    <d v="2026-07-09T00:00:00"/>
    <m/>
    <d v="2026-11-11T00:00:00"/>
    <x v="64"/>
    <n v="5930"/>
    <n v="141.19"/>
    <x v="1"/>
    <m/>
    <s v="Removals"/>
  </r>
  <r>
    <s v="Irvine Company - Retail (GPS)"/>
    <s v="2026 - PLACEHOLDER: Spectrum Collection (Fall 26/27)"/>
    <s v="Irvine"/>
    <d v="2026-04-29T00:00:00"/>
    <m/>
    <d v="2026-11-12T00:00:00"/>
    <x v="64"/>
    <n v="67700"/>
    <n v="0"/>
    <x v="2"/>
    <m/>
    <m/>
  </r>
  <r>
    <s v="Irvine Company - Retail (GPS)"/>
    <s v="2026 - PLACEHOLDER: University Collection (Fall 26/27)"/>
    <s v="Irvine"/>
    <d v="2026-04-29T00:00:00"/>
    <m/>
    <d v="2026-11-12T00:00:00"/>
    <x v="64"/>
    <n v="94732"/>
    <n v="0"/>
    <x v="2"/>
    <m/>
    <m/>
  </r>
  <r>
    <s v="Optimum"/>
    <s v="2026 - (OCT/DEC) The Old Trabuco Highlands - (3 Year Plan)"/>
    <s v="Lake Forest"/>
    <d v="2026-04-23T00:00:00"/>
    <m/>
    <d v="2026-11-12T00:00:00"/>
    <x v="65"/>
    <n v="6750"/>
    <n v="375"/>
    <x v="0"/>
    <m/>
    <s v="Removals"/>
  </r>
  <r>
    <s v="Tarantino Landscape"/>
    <s v="2026 - (Nov/Dec)Tustin Ranch Plaza - (2026 Recommendations)"/>
    <s v="Tustin"/>
    <d v="2026-04-22T00:00:00"/>
    <m/>
    <d v="2026-11-16T00:00:00"/>
    <x v="66"/>
    <n v="6020"/>
    <n v="167.22"/>
    <x v="4"/>
    <m/>
    <s v="Removals"/>
  </r>
  <r>
    <s v="ACTION PROPERTY MGMT"/>
    <s v="(N) 2026 - (Oct/Dec) Mirador at Rancho Niguel Association - (3 Year Plan) (CO 24503)"/>
    <s v="Laguna Niguel"/>
    <d v="2026-02-18T00:00:00"/>
    <m/>
    <d v="2026-11-16T00:00:00"/>
    <x v="67"/>
    <n v="7486"/>
    <n v="138.63"/>
    <x v="0"/>
    <m/>
    <s v="Removals"/>
  </r>
  <r>
    <s v="Seabreeze Management Company"/>
    <s v="2026 - (Oct/Dec) Vista Pointe Ridge - (2026 Trimming Recs) (CO 24923)"/>
    <s v="Aliso Viejo"/>
    <d v="2026-07-13T00:00:00"/>
    <m/>
    <d v="2026-11-09T00:00:00"/>
    <x v="67"/>
    <n v="25609"/>
    <n v="2845.42"/>
    <x v="0"/>
    <m/>
    <s v="Removals"/>
  </r>
  <r>
    <s v="Great Scott Tree Care"/>
    <s v="2025 - Safety Training/ Meetings Work Order"/>
    <s v="Stanton"/>
    <d v="2025-11-04T00:00:00"/>
    <d v="2025-11-04T00:00:00"/>
    <d v="2025-11-04T00:00:00"/>
    <x v="68"/>
    <n v="0"/>
    <n v="0"/>
    <x v="2"/>
    <m/>
    <m/>
  </r>
  <r>
    <s v="City of Irvine (CI Palm Contract)"/>
    <s v="2026 - CI Palms - Treatment"/>
    <s v="Irvine"/>
    <d v="2024-12-10T00:00:00"/>
    <m/>
    <d v="2026-11-20T00:00:00"/>
    <x v="69"/>
    <n v="12"/>
    <n v="0"/>
    <x v="3"/>
    <m/>
    <m/>
  </r>
  <r>
    <s v="City of Irvine (CI Palm Contract)"/>
    <s v="2026 - Palm Watering/Monitoring (22)"/>
    <s v="Irvine"/>
    <d v="2024-12-10T00:00:00"/>
    <m/>
    <d v="2026-11-20T00:00:00"/>
    <x v="69"/>
    <n v="900"/>
    <n v="100"/>
    <x v="3"/>
    <m/>
    <m/>
  </r>
  <r>
    <s v="Vintage Group"/>
    <s v="(S) 2026 - (Oct/Jan) San Simeon (Tract 15167) - (Revised 3 Year Plan) (CO 24661)"/>
    <s v="Aliso Viejo"/>
    <d v="2026-03-25T00:00:00"/>
    <d v="2026-06-19T00:00:00"/>
    <d v="2026-11-16T00:00:00"/>
    <x v="69"/>
    <n v="19605"/>
    <n v="145.22"/>
    <x v="0"/>
    <m/>
    <s v="Removals"/>
  </r>
  <r>
    <s v="City of Irvine (CI Palm Contract)"/>
    <s v="2026 - Palm Watering/Monitoring (23)"/>
    <s v="Irvine"/>
    <d v="2024-12-10T00:00:00"/>
    <m/>
    <d v="2026-12-04T00:00:00"/>
    <x v="70"/>
    <n v="900"/>
    <n v="100"/>
    <x v="3"/>
    <m/>
    <m/>
  </r>
  <r>
    <s v="City of Irvine (CI Palm Contract)"/>
    <s v="2026 - Palm Watering/Monitoring (24)"/>
    <s v="Irvine"/>
    <d v="2024-12-10T00:00:00"/>
    <m/>
    <d v="2026-12-18T00:00:00"/>
    <x v="71"/>
    <n v="900"/>
    <n v="100"/>
    <x v="3"/>
    <m/>
    <m/>
  </r>
  <r>
    <s v="Optimum"/>
    <s v="2027 - (Removals) Villavante Community Association - (4 Year Removal Plan) (CO 24805)"/>
    <s v="Rancho Santa Margarita"/>
    <d v="2026-04-13T00:00:00"/>
    <m/>
    <d v="2027-01-01T00:00:00"/>
    <x v="72"/>
    <n v="5235"/>
    <n v="0"/>
    <x v="0"/>
    <s v="Removals"/>
    <s v="Removals"/>
  </r>
  <r>
    <s v="Seabreeze Management Company"/>
    <s v="% 2027 - (JAN/MAR) Talavera Maintenance Corporation - (3 Year Plan) (CO 24861)"/>
    <s v="Rancho Santa Margarita"/>
    <d v="2026-05-15T00:00:00"/>
    <m/>
    <d v="2027-01-04T00:00:00"/>
    <x v="73"/>
    <n v="5893"/>
    <n v="654.78"/>
    <x v="0"/>
    <m/>
    <s v="Removals"/>
  </r>
  <r>
    <s v="Optimum"/>
    <s v="% 2027 - (JAN/MAR) Del Prado HOA (Tract 8965)-(3 Year Plan)"/>
    <s v="Laguna Niguel"/>
    <d v="2026-03-11T00:00:00"/>
    <m/>
    <d v="2027-01-04T00:00:00"/>
    <x v="74"/>
    <n v="7138"/>
    <n v="396.53"/>
    <x v="0"/>
    <m/>
    <s v="Removals"/>
  </r>
  <r>
    <s v="Powerstone Property Management"/>
    <s v="8% (S) 2027 - (JAN/MAR) Casafina HOA - (3 Year Plan) (CO 24828)"/>
    <s v="Rancho Santa Margarita"/>
    <d v="2026-04-23T00:00:00"/>
    <m/>
    <d v="2027-01-04T00:00:00"/>
    <x v="74"/>
    <n v="7981"/>
    <n v="147.79"/>
    <x v="0"/>
    <m/>
    <s v="Removals"/>
  </r>
  <r>
    <s v="Powerstone Property Management"/>
    <s v="% (S) 2027 - (JAN/MAR) Las Flores II - (3 Year Plan Revised) (CO 24638)"/>
    <s v="Rancho Santa Margarita"/>
    <d v="2026-03-23T00:00:00"/>
    <m/>
    <d v="2027-01-04T00:00:00"/>
    <x v="75"/>
    <n v="19345"/>
    <n v="143.29"/>
    <x v="0"/>
    <m/>
    <s v="Removals"/>
  </r>
  <r>
    <s v="Vintage Group"/>
    <s v="% 2027 (JanMar) Evergreen at Rise - (Revised 3 Year Plan)"/>
    <s v="Irvine"/>
    <d v="2025-02-26T00:00:00"/>
    <m/>
    <d v="2027-01-04T00:00:00"/>
    <x v="75"/>
    <n v="4395"/>
    <n v="162.78"/>
    <x v="4"/>
    <m/>
    <s v="Removals"/>
  </r>
  <r>
    <s v="Powerstone Property Management"/>
    <s v="% (S) 2027 - (JAN/APR) Silverstone HOA - (3 Year Plan) (CO 24681)"/>
    <s v="Laguna Niguel"/>
    <d v="2026-03-25T00:00:00"/>
    <m/>
    <d v="2027-01-05T00:00:00"/>
    <x v="76"/>
    <n v="13246"/>
    <n v="122.65"/>
    <x v="0"/>
    <m/>
    <s v="Removals"/>
  </r>
  <r>
    <s v="The Management Trust"/>
    <s v="PERMIT %? (N) 2027 - (JAN/MAR) Concorde Place - (3 Year Plan) (CO 24545)"/>
    <s v="Cerritos"/>
    <d v="2026-03-05T00:00:00"/>
    <m/>
    <d v="2027-01-04T00:00:00"/>
    <x v="76"/>
    <n v="21947"/>
    <n v="121.93"/>
    <x v="1"/>
    <m/>
    <m/>
  </r>
  <r>
    <s v="FirstService Residential"/>
    <s v="% - 2027 (Jan/Mar) Bella Ventana Maint Corp. (BVE) - (3 Year Plan) (CO 24621)"/>
    <s v="Rancho Santa Margarita"/>
    <d v="2026-03-19T00:00:00"/>
    <m/>
    <d v="2027-01-11T00:00:00"/>
    <x v="77"/>
    <n v="2742"/>
    <n v="76.16"/>
    <x v="0"/>
    <m/>
    <s v="Removals"/>
  </r>
  <r>
    <s v="Huntington West Properties, Inc."/>
    <s v="8% (N) 2027 - (JAN/MAR) Fountain Plaza HOA - (3 Year Plan)"/>
    <s v="Fountain Valley"/>
    <d v="2025-11-20T00:00:00"/>
    <m/>
    <d v="2027-01-11T00:00:00"/>
    <x v="77"/>
    <n v="5095"/>
    <n v="127.38"/>
    <x v="1"/>
    <m/>
    <m/>
  </r>
  <r>
    <s v="Powerstone Property Management"/>
    <s v="8%? (S) 2027 - (JAN/MAR) Valencia Condominiums Association - (Revised 4 Year Plan)"/>
    <s v="Mission Viejo"/>
    <d v="2026-01-13T00:00:00"/>
    <m/>
    <d v="2027-01-04T00:00:00"/>
    <x v="77"/>
    <n v="20945"/>
    <n v="129.29"/>
    <x v="0"/>
    <m/>
    <s v="Removals"/>
  </r>
  <r>
    <s v="Seabreeze Management Company"/>
    <s v="2027 - (JAN/MAR) Laguna Audubon 1 - (3 Year Plan)"/>
    <s v="Aliso Viejo"/>
    <d v="2026-02-11T00:00:00"/>
    <m/>
    <d v="2027-01-06T00:00:00"/>
    <x v="77"/>
    <n v="15811"/>
    <n v="585.57000000000005"/>
    <x v="0"/>
    <m/>
    <s v="Removals"/>
  </r>
  <r>
    <s v="Keystone Pacific Property Management, LL"/>
    <s v="% 2027 - (Jan/Mar) Bayridge Park HOA - (3 Year Plan) CO 243689"/>
    <s v="Newport Beach"/>
    <d v="2026-03-23T00:00:00"/>
    <m/>
    <d v="2027-01-04T00:00:00"/>
    <x v="78"/>
    <n v="49645"/>
    <n v="190.21"/>
    <x v="4"/>
    <m/>
    <s v="Removals"/>
  </r>
  <r>
    <s v="Optimum"/>
    <s v="2027 - (Jan/Mar)The Villas Community Association (RSJ) - (2026-2027 Recs)"/>
    <s v="Irvine"/>
    <d v="2026-06-24T00:00:00"/>
    <m/>
    <d v="2027-01-14T00:00:00"/>
    <x v="79"/>
    <n v="8460"/>
    <n v="128.18"/>
    <x v="4"/>
    <m/>
    <s v="Removals"/>
  </r>
  <r>
    <s v="Nexus Smart Communities"/>
    <s v="% (S) 2027 - (JAN/MAR) Carefree El Toro Owners Association - (3 Year Plan) (CO 24614)"/>
    <s v="Lake Forest"/>
    <d v="2026-03-19T00:00:00"/>
    <m/>
    <d v="2027-01-12T00:00:00"/>
    <x v="80"/>
    <n v="17226"/>
    <n v="957"/>
    <x v="0"/>
    <m/>
    <s v="Removals"/>
  </r>
  <r>
    <s v="Revolve Property Management"/>
    <s v="2027(JanMar)Wilderness HOA - (3 Year Plan)CO 24552"/>
    <s v="Orange"/>
    <d v="2026-03-06T00:00:00"/>
    <m/>
    <d v="2027-01-04T00:00:00"/>
    <x v="80"/>
    <n v="31531"/>
    <n v="106.17"/>
    <x v="1"/>
    <m/>
    <s v="Removals"/>
  </r>
  <r>
    <s v="The Groves Senior Community"/>
    <s v="% (N) 2027 - (Jan/Mar) The Groves Homeowners Inc. - (Revised 3 Year Plan)"/>
    <s v="Irvine"/>
    <d v="2025-06-16T00:00:00"/>
    <m/>
    <d v="2027-01-11T00:00:00"/>
    <x v="80"/>
    <n v="39765"/>
    <n v="122.73"/>
    <x v="4"/>
    <m/>
    <s v="Removals"/>
  </r>
  <r>
    <s v="Keystone Pacific Property Management, LL"/>
    <s v="% 2027 - (Jan/Mar) St. Augustine I - (4 Year Plan)"/>
    <s v="Huntington Beach"/>
    <d v="2026-05-01T00:00:00"/>
    <m/>
    <d v="2027-01-14T00:00:00"/>
    <x v="81"/>
    <n v="19775"/>
    <n v="146.47999999999999"/>
    <x v="1"/>
    <m/>
    <m/>
  </r>
  <r>
    <s v="Powerstone Property Management"/>
    <s v="8% (N) 2027 - (JAN/MAR) Pacific Shores HOA - (Revised 3 Year Plan)"/>
    <s v="Huntington Beach"/>
    <d v="2026-01-22T00:00:00"/>
    <m/>
    <d v="2027-01-18T00:00:00"/>
    <x v="81"/>
    <n v="18770"/>
    <n v="139.04"/>
    <x v="1"/>
    <m/>
    <s v="Removals"/>
  </r>
  <r>
    <s v="FirstService Residential"/>
    <s v="% (S) 2027 - (Jan/Mar) Orleans HOA (T152) - (Revised 3 Year Plan) (CO 24635)"/>
    <s v="Aliso Viejo"/>
    <d v="2026-03-25T00:00:00"/>
    <m/>
    <d v="2027-01-21T00:00:00"/>
    <x v="82"/>
    <n v="4989"/>
    <n v="92.4"/>
    <x v="0"/>
    <m/>
    <s v="Removals"/>
  </r>
  <r>
    <s v="Optimum"/>
    <s v="2027 - (JAN/MAY) Pacific Ranch HOA - (Revised 3 Year Plan)"/>
    <s v="Huntington Beach"/>
    <d v="2026-07-02T00:00:00"/>
    <m/>
    <d v="2027-01-22T00:00:00"/>
    <x v="82"/>
    <n v="6651"/>
    <n v="184.75"/>
    <x v="1"/>
    <m/>
    <s v="Removals"/>
  </r>
  <r>
    <s v="TOTAL PROPERTY MGMT"/>
    <s v="% (S) 2027 - (JAN/MAR) White Oak HOA - (3 Year Plan) (CO 24867)"/>
    <s v="Lake Forest"/>
    <d v="2026-05-20T00:00:00"/>
    <m/>
    <d v="2027-01-11T00:00:00"/>
    <x v="82"/>
    <n v="26471"/>
    <n v="110.3"/>
    <x v="0"/>
    <m/>
    <s v="Removals"/>
  </r>
  <r>
    <s v="Powerstone Property Management"/>
    <s v="5% ? (S) 2027 - (Jan/Feb) Mesa Vista South - (3 Year Plan)"/>
    <s v="San Juan Capistrano"/>
    <d v="2025-05-16T00:00:00"/>
    <m/>
    <d v="2027-01-25T00:00:00"/>
    <x v="83"/>
    <n v="1630"/>
    <n v="90.56"/>
    <x v="0"/>
    <m/>
    <s v="Removals"/>
  </r>
  <r>
    <s v="Revolve Property Management"/>
    <s v="2027 - (Jan/Mar) Amalfi Hills Community Association - (3 Year Plan)"/>
    <s v="Yorba Linda"/>
    <d v="2026-05-22T00:00:00"/>
    <m/>
    <d v="2027-01-20T00:00:00"/>
    <x v="83"/>
    <n v="14342"/>
    <n v="132.80000000000001"/>
    <x v="1"/>
    <m/>
    <s v="Removals"/>
  </r>
  <r>
    <s v="Optimum"/>
    <s v="8% (N) 2027 - (JAN/MAR) Pinehurst Estates - (Revised; 3 Year Plan)CO 24777"/>
    <s v="Fullerton"/>
    <d v="2026-03-30T00:00:00"/>
    <m/>
    <d v="2027-01-11T00:00:00"/>
    <x v="84"/>
    <n v="56274"/>
    <n v="130.26"/>
    <x v="1"/>
    <m/>
    <m/>
  </r>
  <r>
    <s v="Powerstone Property Management"/>
    <s v="% 2027 - (JAN/MAR) St. Tropez Condominium Association - (3 Year Plan) (CO 24852)"/>
    <s v="Aliso Viejo"/>
    <d v="2026-05-12T00:00:00"/>
    <m/>
    <d v="2027-01-19T00:00:00"/>
    <x v="84"/>
    <n v="22685"/>
    <n v="140.03"/>
    <x v="0"/>
    <m/>
    <s v="Removals"/>
  </r>
  <r>
    <s v="Associa (AKA PCM)"/>
    <s v="2027 - (JAN/MAR) Santa Barbara HOA - (3 Year Plan)"/>
    <s v="Irvine"/>
    <d v="2026-06-09T00:00:00"/>
    <m/>
    <d v="2027-01-25T00:00:00"/>
    <x v="85"/>
    <n v="16895"/>
    <n v="131.99"/>
    <x v="4"/>
    <m/>
    <s v="Removals"/>
  </r>
  <r>
    <s v="Lordon Management"/>
    <s v="NEED PERMIT 2027 - Granada Park - (Phased Removal Plan)Revised"/>
    <s v="Cerritos"/>
    <d v="2026-02-16T00:00:00"/>
    <m/>
    <d v="2027-01-29T00:00:00"/>
    <x v="86"/>
    <n v="63400"/>
    <n v="0"/>
    <x v="1"/>
    <s v="Removals"/>
    <s v="Removals"/>
  </r>
  <r>
    <s v="Platinum Management Group"/>
    <s v="% 2027 - (JAN/MAR) Legado HOA (Revised 3 Year Plan)"/>
    <s v="Irvine"/>
    <d v="2026-04-14T00:00:00"/>
    <m/>
    <d v="2027-02-01T00:00:00"/>
    <x v="87"/>
    <n v="3904"/>
    <n v="144.6"/>
    <x v="0"/>
    <m/>
    <s v="Removals"/>
  </r>
  <r>
    <s v="Powerstone Property Management"/>
    <s v="%? (S) 2027 - (Jan/Mar) Harvard Square Maintenance - (2 Year Plan) (CO 24758)"/>
    <s v="Irvine"/>
    <d v="2026-04-08T00:00:00"/>
    <m/>
    <d v="2027-02-01T00:00:00"/>
    <x v="88"/>
    <n v="13343"/>
    <n v="123.55"/>
    <x v="4"/>
    <m/>
    <s v="Removals"/>
  </r>
  <r>
    <s v="Seabreeze Management Company"/>
    <s v="% 2027 - (JAN/APR) Tierra Linda HOA (TILI) - (4 Year Plan)"/>
    <s v="Rancho Santa Margarita"/>
    <d v="2026-03-23T00:00:00"/>
    <m/>
    <d v="2027-02-01T00:00:00"/>
    <x v="88"/>
    <n v="10110"/>
    <n v="1123.33"/>
    <x v="0"/>
    <m/>
    <s v="Removals"/>
  </r>
  <r>
    <s v="Powerstone Property Management"/>
    <s v="% 2027 (Jan/Mar) Whispering Hills Community Association-(3 Year Plan) (CO 24785)"/>
    <s v="Lake Forest"/>
    <d v="2026-04-06T00:00:00"/>
    <m/>
    <d v="2027-02-01T00:00:00"/>
    <x v="89"/>
    <n v="19814"/>
    <n v="137.6"/>
    <x v="0"/>
    <m/>
    <s v="Removals"/>
  </r>
  <r>
    <s v="Sunrise Property Group"/>
    <s v="% (S) 2027 - (Jan/Mar) Tijeras Creek Villas Maintenance Corporation - (3 Year Plan) (CO 24882)"/>
    <s v="Rancho Santa Margarita"/>
    <d v="2026-05-27T00:00:00"/>
    <m/>
    <d v="2027-02-04T00:00:00"/>
    <x v="90"/>
    <n v="9602"/>
    <n v="133.36000000000001"/>
    <x v="0"/>
    <m/>
    <s v="Removals"/>
  </r>
  <r>
    <s v="Irvine Company - Retail (GPS)"/>
    <s v="2026 (Jul/Sep) - Orchard Hills Village (Summer Trimming: Foothill)"/>
    <s v="Irvine"/>
    <d v="2026-04-29T00:00:00"/>
    <m/>
    <d v="2027-02-06T00:00:00"/>
    <x v="91"/>
    <n v="16533"/>
    <n v="0"/>
    <x v="2"/>
    <m/>
    <m/>
  </r>
  <r>
    <s v="Progressive Association Management"/>
    <s v="2027 - (Jan/Mar) Armstrong Ranch (ARA) - (Revised 26/27 Recommendations)"/>
    <s v="Santa Ana"/>
    <d v="2026-07-15T00:00:00"/>
    <m/>
    <d v="2027-02-01T00:00:00"/>
    <x v="92"/>
    <n v="26523"/>
    <n v="130.02000000000001"/>
    <x v="1"/>
    <m/>
    <s v="Removals"/>
  </r>
  <r>
    <s v="Walters Management"/>
    <s v="% 2027 - (JAN/MAR) The Highlands Maintenance Corporation - (3 Year Plan) (CO 24576)"/>
    <s v="Anaheim"/>
    <d v="2026-03-16T00:00:00"/>
    <m/>
    <d v="2027-02-01T00:00:00"/>
    <x v="93"/>
    <n v="68810"/>
    <n v="136.53"/>
    <x v="1"/>
    <m/>
    <m/>
  </r>
  <r>
    <s v="Powerstone Property Management"/>
    <s v="5% ? (S) 2027 - (Mar/Jun) Mesa Vista South - (3 Year Plan)"/>
    <s v="San Juan Capistrano"/>
    <d v="2025-05-16T00:00:00"/>
    <m/>
    <d v="2027-03-01T00:00:00"/>
    <x v="94"/>
    <n v="7975"/>
    <n v="147.69"/>
    <x v="0"/>
    <m/>
    <s v="Removals"/>
  </r>
  <r>
    <s v="Irvine Company - Retail (GPS)"/>
    <s v="Crossroads (Central Irvine) - (Olive Trimming: Central Irvine)"/>
    <s v="Irvine"/>
    <d v="2026-07-27T00:00:00"/>
    <m/>
    <d v="2027-04-01T00:00:00"/>
    <x v="95"/>
    <n v="1188"/>
    <n v="66"/>
    <x v="2"/>
    <m/>
    <m/>
  </r>
  <r>
    <s v="Bentley Community Management, Inc."/>
    <s v="% (N) 2027 - (Apr/Jun) Terra Linda Estates HOA - (3 Year Plan) (CO 24735)"/>
    <s v="Yorba Linda"/>
    <d v="2026-03-26T00:00:00"/>
    <m/>
    <d v="2027-04-01T00:00:00"/>
    <x v="96"/>
    <n v="8157"/>
    <n v="151.05000000000001"/>
    <x v="1"/>
    <m/>
    <s v="Removals"/>
  </r>
  <r>
    <s v="FirstService Residential"/>
    <s v="2026 - % - 2027 (Apr/Jun) Bella Ventana Maint Corp. (BVE) - (3 Year Plan) (CO 24622)"/>
    <s v="Rancho Santa Margarita"/>
    <d v="2026-03-19T00:00:00"/>
    <m/>
    <d v="2027-04-01T00:00:00"/>
    <x v="96"/>
    <n v="17518"/>
    <n v="973.23"/>
    <x v="0"/>
    <m/>
    <s v="Removals"/>
  </r>
  <r>
    <s v="Irvine Company - Retail (GPS)"/>
    <s v="2026 - Quail Hill Shopping Center (Spectrum) - (Approved 26/27 Olive Trimming)"/>
    <s v="Irvine"/>
    <d v="2026-07-28T00:00:00"/>
    <m/>
    <d v="2027-03-29T00:00:00"/>
    <x v="96"/>
    <n v="16137"/>
    <n v="131.19999999999999"/>
    <x v="2"/>
    <m/>
    <m/>
  </r>
  <r>
    <s v="Keystone Pacific Property Management, LL"/>
    <s v="% (S) 2027 - (APR/JUN) Agave - (4 Year Plan)"/>
    <s v="Irvine"/>
    <d v="2025-05-22T00:00:00"/>
    <m/>
    <d v="2027-04-01T00:00:00"/>
    <x v="96"/>
    <n v="8390"/>
    <n v="155.37"/>
    <x v="0"/>
    <m/>
    <s v="Removals"/>
  </r>
  <r>
    <s v="Pacific West Asset Management"/>
    <s v="% 2027 - (APR/JUN) H Bizctr San Clemente OA - (3 Year Plan)"/>
    <s v="San Clemente"/>
    <d v="2026-04-16T00:00:00"/>
    <m/>
    <d v="2027-04-01T00:00:00"/>
    <x v="96"/>
    <n v="7090"/>
    <n v="131.30000000000001"/>
    <x v="0"/>
    <m/>
    <s v="Removals"/>
  </r>
  <r>
    <s v="Shea Properties"/>
    <s v="% 2027 - (APR/JUN) Village Green (4 Year Plan)"/>
    <s v="Aliso Viejo"/>
    <d v="2026-04-23T00:00:00"/>
    <m/>
    <d v="2027-04-02T00:00:00"/>
    <x v="96"/>
    <n v="4845"/>
    <n v="269.17"/>
    <x v="0"/>
    <m/>
    <m/>
  </r>
  <r>
    <s v="Centennial"/>
    <s v="2027 - PARK(APR/JUN) Bella Terra Park - (3 Year Treatment Plan)"/>
    <s v="Huntington Beach"/>
    <d v="2026-07-09T00:00:00"/>
    <m/>
    <d v="2027-04-05T00:00:00"/>
    <x v="97"/>
    <n v="671"/>
    <n v="17.190000000000001"/>
    <x v="1"/>
    <m/>
    <m/>
  </r>
  <r>
    <s v="Centennial"/>
    <s v="2027 - MALL(APR/JUN) Bella Terra Mall Treatment Bid- Discount"/>
    <s v="Huntington Beach"/>
    <d v="2026-07-09T00:00:00"/>
    <m/>
    <d v="2027-04-06T00:00:00"/>
    <x v="98"/>
    <n v="13561"/>
    <n v="0"/>
    <x v="1"/>
    <m/>
    <m/>
  </r>
  <r>
    <s v="Powerstone Property Management"/>
    <s v="8% (S) 2027 - (APR/JUN) Casafina HOA - (3 Year Plan)"/>
    <s v="Rancho Santa Margarita"/>
    <d v="2025-12-08T00:00:00"/>
    <m/>
    <d v="2027-04-01T00:00:00"/>
    <x v="98"/>
    <n v="3450"/>
    <n v="127.78"/>
    <x v="0"/>
    <m/>
    <s v="Removals"/>
  </r>
  <r>
    <s v="Centennial"/>
    <s v="2027 - PAD(APR/JUN) Bella Terra Pad - (3 Year Treatment Plan)Revised"/>
    <s v="Huntington Beach"/>
    <d v="2026-07-09T00:00:00"/>
    <m/>
    <d v="2027-04-07T00:00:00"/>
    <x v="99"/>
    <n v="612"/>
    <n v="0"/>
    <x v="1"/>
    <m/>
    <s v="Removals"/>
  </r>
  <r>
    <s v="Keystone Pacific Property Management, LL"/>
    <s v="POST=NEED PERMIT %? (N) 2027 - (Apr/Jun) Bayridge Park HOA - (3 Year Plan) (CO 24690)"/>
    <s v="Newport Beach"/>
    <d v="2026-03-23T00:00:00"/>
    <m/>
    <d v="2027-04-01T00:00:00"/>
    <x v="99"/>
    <n v="14078"/>
    <n v="104.28"/>
    <x v="4"/>
    <m/>
    <s v="Removals"/>
  </r>
  <r>
    <s v="BHE Management"/>
    <s v="% (N) 2027 - (Apr/Jun) The Summit at Newport Ridge - (3 Year Plan) (CO 24759)"/>
    <s v="Newport Beach"/>
    <d v="2026-03-31T00:00:00"/>
    <m/>
    <d v="2027-04-05T00:00:00"/>
    <x v="100"/>
    <n v="12593"/>
    <n v="116.6"/>
    <x v="4"/>
    <m/>
    <s v="Removals"/>
  </r>
  <r>
    <s v="BHE Management"/>
    <s v="% 2027 (Apr/Jun) Windflower Community Association-(3 Year Plan) (CO 24698)"/>
    <s v="Aliso Viejo"/>
    <d v="2026-03-24T00:00:00"/>
    <m/>
    <d v="2027-04-05T00:00:00"/>
    <x v="100"/>
    <n v="22154"/>
    <n v="153.85"/>
    <x v="0"/>
    <m/>
    <s v="Removals"/>
  </r>
  <r>
    <s v="FirstService Residential"/>
    <s v="% (S) 2027 - (APR/JUN) Marbella Maintenance Corp. (MAR) - (3 Year Plan) (CO 24782)"/>
    <s v="Rancho Santa Margarita"/>
    <d v="2026-04-02T00:00:00"/>
    <m/>
    <d v="2027-04-06T00:00:00"/>
    <x v="100"/>
    <n v="9347"/>
    <n v="115.4"/>
    <x v="0"/>
    <m/>
    <s v="Removals"/>
  </r>
  <r>
    <s v="Powerstone Property Management"/>
    <s v="% 2027 - (Apr/Jun) Whispering Hills Community Association-(3 Year Plan) (CO 24784)"/>
    <s v="Lake Forest"/>
    <d v="2026-04-06T00:00:00"/>
    <m/>
    <d v="2027-04-05T00:00:00"/>
    <x v="100"/>
    <n v="20398"/>
    <n v="141.65"/>
    <x v="0"/>
    <m/>
    <s v="Removals"/>
  </r>
  <r>
    <s v="Sunrise Property Group"/>
    <s v="% (S) 2027 - (Apr/Jun) Tijeras Creek Villas Maintenance Corporation - (3 Year Plan) (CO 24657)"/>
    <s v="Rancho Santa Margarita"/>
    <d v="2026-03-25T00:00:00"/>
    <m/>
    <d v="2027-04-05T00:00:00"/>
    <x v="100"/>
    <n v="16581"/>
    <n v="153.53"/>
    <x v="0"/>
    <m/>
    <s v="Removals"/>
  </r>
  <r>
    <s v="Optimum"/>
    <s v="% 2027 (Apr/Jun)- Altamar HOA - (3 Year Plan)"/>
    <s v="Laguna Niguel"/>
    <d v="2026-03-10T00:00:00"/>
    <m/>
    <d v="2027-04-09T00:00:00"/>
    <x v="101"/>
    <n v="4325"/>
    <n v="480.56"/>
    <x v="0"/>
    <m/>
    <m/>
  </r>
  <r>
    <s v="The Management Trust"/>
    <s v="PERMIT %? (N) 2027 - (APR/JUN) Concorde Place - (3 Year Plan) (CO 24546)"/>
    <s v="Cerritos"/>
    <d v="2026-03-05T00:00:00"/>
    <m/>
    <d v="2027-04-05T00:00:00"/>
    <x v="101"/>
    <n v="23200"/>
    <n v="128.88999999999999"/>
    <x v="1"/>
    <m/>
    <m/>
  </r>
  <r>
    <s v="MarWest Commercial"/>
    <s v="% 2027(Apr/Jun)Walnut Drive Business Center - (3 Year Plan) (CO 24606)"/>
    <s v="Walnut"/>
    <d v="2026-03-18T00:00:00"/>
    <m/>
    <d v="2027-04-08T00:00:00"/>
    <x v="102"/>
    <n v="11065"/>
    <n v="136.6"/>
    <x v="2"/>
    <m/>
    <s v="Removals"/>
  </r>
  <r>
    <s v="Optimum"/>
    <s v="% (S) 2027 - (APR/JUN) Northwood Villas Maintenance Corporation - (3 Year Plan) (CO 24618)"/>
    <s v="Irvine"/>
    <d v="2026-03-19T00:00:00"/>
    <m/>
    <d v="2027-04-09T00:00:00"/>
    <x v="102"/>
    <n v="6302"/>
    <n v="116.7"/>
    <x v="0"/>
    <m/>
    <s v="Removals"/>
  </r>
  <r>
    <s v="Powerstone Property Management"/>
    <s v="% (S) 2027 - (Apr/Jun) Canyon Point Maintenance Corp. - (3 Year Plan) (CO 24949)"/>
    <s v="Aliso Viejo"/>
    <d v="2026-07-21T00:00:00"/>
    <m/>
    <d v="2027-04-12T00:00:00"/>
    <x v="102"/>
    <n v="5405"/>
    <n v="150.15"/>
    <x v="0"/>
    <m/>
    <s v="Removals"/>
  </r>
  <r>
    <s v="Powerstone Property Management"/>
    <s v="8% (N) 2027 - (APR/JUN) Pacific Shores HOA - (Revised 3 Year Plan)"/>
    <s v="Huntington Beach"/>
    <d v="2026-01-22T00:00:00"/>
    <m/>
    <d v="2027-04-12T00:00:00"/>
    <x v="102"/>
    <n v="6890"/>
    <n v="153.11000000000001"/>
    <x v="1"/>
    <m/>
    <s v="Removals"/>
  </r>
  <r>
    <s v="Optimum"/>
    <s v="2027 - (Apr/Jun) The Villas Community Association (RSJ) - (2026-2027 Recs)"/>
    <s v="Irvine"/>
    <d v="2026-06-24T00:00:00"/>
    <m/>
    <d v="2027-04-05T00:00:00"/>
    <x v="103"/>
    <n v="26590"/>
    <n v="140.69"/>
    <x v="4"/>
    <m/>
    <s v="Removals"/>
  </r>
  <r>
    <s v="TOTAL PROPERTY MGMT"/>
    <s v="% (S) 2027 - (APR/JUN) White Oak HOA - (3 Year Plan) (CO 24654)"/>
    <s v="Lake Forest"/>
    <d v="2026-03-24T00:00:00"/>
    <m/>
    <d v="2027-04-12T00:00:00"/>
    <x v="103"/>
    <n v="5530"/>
    <n v="115.2"/>
    <x v="0"/>
    <m/>
    <s v="Removals"/>
  </r>
  <r>
    <s v="Centennial"/>
    <s v="% 2027 - PAD(APR/JUN) Bella Terra Pad (3 Year Plan)"/>
    <s v="Huntington Beach"/>
    <d v="2026-07-09T00:00:00"/>
    <m/>
    <d v="2027-04-14T00:00:00"/>
    <x v="104"/>
    <n v="3550"/>
    <n v="136.54"/>
    <x v="1"/>
    <m/>
    <s v="Removals"/>
  </r>
  <r>
    <s v="Centennial"/>
    <s v="% 2027 - PARK(APR/JUN) Bella Terra Park (3 Year Plan)"/>
    <s v="Huntington Beach"/>
    <d v="2026-07-09T00:00:00"/>
    <m/>
    <d v="2027-04-14T00:00:00"/>
    <x v="104"/>
    <n v="2755"/>
    <n v="137.75"/>
    <x v="1"/>
    <m/>
    <s v="Removals"/>
  </r>
  <r>
    <s v="Powerstone Property Management"/>
    <s v="8% (S) 2027 - (APR/JUN) Valencia Condominiums Association - (Revised 4 Year Plan) (CO 24595)"/>
    <s v="Mission Viejo"/>
    <d v="2026-03-17T00:00:00"/>
    <m/>
    <d v="2027-04-12T00:00:00"/>
    <x v="104"/>
    <n v="10573"/>
    <n v="0"/>
    <x v="0"/>
    <m/>
    <s v="Removals"/>
  </r>
  <r>
    <s v="Seabreeze Management Company"/>
    <s v="% 2027 - (APR/JUN) Laguna Audubon 1 - (3 Year Plan) (CO 24533)"/>
    <s v="Aliso Viejo"/>
    <d v="2026-07-17T00:00:00"/>
    <m/>
    <d v="2027-04-07T00:00:00"/>
    <x v="104"/>
    <n v="21804"/>
    <n v="807.56"/>
    <x v="0"/>
    <m/>
    <s v="Removals"/>
  </r>
  <r>
    <s v="Keystone Pacific Property Management, LL"/>
    <s v="% 2027 - (Apr/Jun) St. Augustine I - (4 Year Plan)"/>
    <s v="Huntington Beach"/>
    <d v="2026-05-01T00:00:00"/>
    <m/>
    <d v="2027-04-12T00:00:00"/>
    <x v="105"/>
    <n v="13810"/>
    <n v="127.87"/>
    <x v="1"/>
    <m/>
    <m/>
  </r>
  <r>
    <s v="Associa (AKA PCM)"/>
    <s v="8% (S) 2027 - (APR/JUN) UCA - (3 Year Plan)"/>
    <s v="Irvine"/>
    <d v="2025-11-26T00:00:00"/>
    <m/>
    <d v="2027-04-05T00:00:00"/>
    <x v="106"/>
    <n v="33075"/>
    <n v="122.5"/>
    <x v="4"/>
    <m/>
    <s v="Removals"/>
  </r>
  <r>
    <s v="Cardinal Property Management"/>
    <s v="% 2027 (Apr/Jun) Brookview Condominium OA - (3 Year Plan) (CO 24858)"/>
    <s v="Costa Mesa"/>
    <d v="2026-05-15T00:00:00"/>
    <m/>
    <d v="2027-04-05T00:00:00"/>
    <x v="106"/>
    <n v="35737"/>
    <n v="132.36000000000001"/>
    <x v="1"/>
    <m/>
    <s v="Removals"/>
  </r>
  <r>
    <s v="Revolve Property Management"/>
    <s v="% (S) 2027 - (APR/JUN) Le St. Tropez HOA - (Revised WO XN1407636 3 Year Plan) (CO 24710)"/>
    <s v="Laguna Niguel"/>
    <d v="2026-03-24T00:00:00"/>
    <m/>
    <d v="2027-04-13T00:00:00"/>
    <x v="106"/>
    <n v="15401"/>
    <n v="142.6"/>
    <x v="0"/>
    <m/>
    <s v="Removals"/>
  </r>
  <r>
    <s v="Associa (AKA PCM)"/>
    <s v="8% (S) 2027 - (APR/JUN) Stonetree Manor (PRO455-10877) - (3 Year Plan)"/>
    <s v="Irvine"/>
    <d v="2025-12-11T00:00:00"/>
    <m/>
    <d v="2027-04-19T00:00:00"/>
    <x v="107"/>
    <n v="4910"/>
    <n v="181.85"/>
    <x v="4"/>
    <m/>
    <s v="Removals"/>
  </r>
  <r>
    <s v="Optimum"/>
    <s v="% (S) 2027 - (Apr/Jun &amp; Removals) Woodbridge Parkway Maint. Assoc. - (3 Year Plan)24349"/>
    <s v="Irvine"/>
    <d v="2026-02-04T00:00:00"/>
    <m/>
    <d v="2027-04-05T00:00:00"/>
    <x v="107"/>
    <n v="34825"/>
    <n v="131.91"/>
    <x v="4"/>
    <s v="Removals"/>
    <s v="Removals"/>
  </r>
  <r>
    <s v="The Groves Senior Community"/>
    <s v="% (N) 2027 - (Apr/Jun) The Groves Homeowners Inc. - (Revised 3 Year Plan) (CO 24960)"/>
    <s v="Irvine"/>
    <d v="2026-07-24T00:00:00"/>
    <m/>
    <d v="2027-04-15T00:00:00"/>
    <x v="107"/>
    <n v="10770"/>
    <n v="132.96"/>
    <x v="4"/>
    <m/>
    <s v="Removals"/>
  </r>
  <r>
    <s v="Walters Management"/>
    <s v="(N) 2027 - The Highlands Maintenance Corp - (Revised Removal Plan)CO 24851"/>
    <s v="Anaheim"/>
    <d v="2026-05-11T00:00:00"/>
    <m/>
    <d v="2027-04-20T00:00:00"/>
    <x v="108"/>
    <n v="5000"/>
    <n v="138.88999999999999"/>
    <x v="1"/>
    <s v="Removals"/>
    <s v="Removals"/>
  </r>
  <r>
    <s v="Seabreeze Management Company"/>
    <s v="5%? (S) 2027 - (APR/JUN) Vista de Oro Homeowners Association - (3 Year Plan)"/>
    <s v="Aliso Viejo"/>
    <d v="2025-09-15T00:00:00"/>
    <m/>
    <d v="2027-04-19T00:00:00"/>
    <x v="109"/>
    <n v="8315"/>
    <n v="115.49"/>
    <x v="0"/>
    <m/>
    <s v="Removals"/>
  </r>
  <r>
    <s v="Shea Properties"/>
    <s v="% 2027 - (Jan/Mar) 122 Vantis Parking, LLC - (3 Year Plan)"/>
    <s v="Aliso Viejo"/>
    <d v="2026-04-23T00:00:00"/>
    <m/>
    <d v="2027-04-19T00:00:00"/>
    <x v="109"/>
    <n v="9365"/>
    <n v="1040.56"/>
    <x v="0"/>
    <m/>
    <s v="Removals"/>
  </r>
  <r>
    <s v="BHE Management"/>
    <s v="% 2027 - (Apr/Jun)Celadon Neighborhood Association - (3 Year Plan)"/>
    <s v="Irvine"/>
    <d v="2026-06-02T00:00:00"/>
    <m/>
    <d v="2027-04-19T00:00:00"/>
    <x v="110"/>
    <n v="13275"/>
    <n v="122.92"/>
    <x v="4"/>
    <m/>
    <s v="Removals"/>
  </r>
  <r>
    <s v="Centennial"/>
    <s v="% 2027 - MALL(APR/JUN) Bella Terra Mall (3 Year Plan)"/>
    <s v="Huntington Beach"/>
    <d v="2026-07-09T00:00:00"/>
    <m/>
    <d v="2027-04-15T00:00:00"/>
    <x v="111"/>
    <n v="31850"/>
    <n v="130.53"/>
    <x v="1"/>
    <m/>
    <s v="Removals"/>
  </r>
  <r>
    <s v="Platinum Management Group"/>
    <s v="% 2027 - (APR/JUN) Legado HOA - (Revised 3 Year Plan)"/>
    <s v="Irvine"/>
    <d v="2026-04-14T00:00:00"/>
    <m/>
    <d v="2027-04-16T00:00:00"/>
    <x v="111"/>
    <n v="20812"/>
    <n v="128.47"/>
    <x v="0"/>
    <m/>
    <s v="Removals"/>
  </r>
  <r>
    <s v="Powerstone Property Management"/>
    <s v="% 2027 - (APR/JUN) Sendero Community Assoc - (WO 12601-3570, 4 Year Plan)"/>
    <s v="Irvine"/>
    <d v="2026-06-23T00:00:00"/>
    <m/>
    <d v="2027-04-26T00:00:00"/>
    <x v="112"/>
    <n v="2830"/>
    <n v="104.81"/>
    <x v="0"/>
    <m/>
    <m/>
  </r>
  <r>
    <s v="Powerstone Property Management"/>
    <s v="% 2027 - (APR/JUN) St. Tropez Condominium Association - (3 Year Plan) (CO 24809)"/>
    <s v="Aliso Viejo"/>
    <d v="2026-04-15T00:00:00"/>
    <m/>
    <d v="2027-04-20T00:00:00"/>
    <x v="112"/>
    <n v="18238"/>
    <n v="135.09"/>
    <x v="0"/>
    <m/>
    <s v="Removals"/>
  </r>
  <r>
    <s v="Irvine Company - Retail (GPS)"/>
    <s v="2027 - Corona Del Mar Plaza - (Approved 26/27 Olive Trimming)"/>
    <s v="Newport Beach"/>
    <d v="2026-07-20T00:00:00"/>
    <m/>
    <d v="2027-04-26T00:00:00"/>
    <x v="113"/>
    <n v="11385"/>
    <n v="158.13"/>
    <x v="2"/>
    <m/>
    <m/>
  </r>
  <r>
    <s v="Irvine Company - Retail (GPS)"/>
    <s v="2027 - The Bluffs Shopping Center (Coastal) - (Approved 26/27 Olive Trimming)"/>
    <s v="Newport Beach"/>
    <d v="2026-07-28T00:00:00"/>
    <m/>
    <d v="2027-04-26T00:00:00"/>
    <x v="113"/>
    <n v="5742"/>
    <n v="106.33"/>
    <x v="2"/>
    <m/>
    <m/>
  </r>
  <r>
    <s v="Keystone Pacific Property Management, LL"/>
    <s v="% 2027 - (APR/JUN) The Vine at Portola Springs - (3 Year Plan)"/>
    <s v="Irvine"/>
    <d v="2026-02-24T00:00:00"/>
    <m/>
    <d v="2027-04-26T00:00:00"/>
    <x v="114"/>
    <n v="13810"/>
    <n v="127.87"/>
    <x v="0"/>
    <m/>
    <s v="Removals"/>
  </r>
  <r>
    <s v="Shea Properties"/>
    <s v="% 2027 - (APR/JUN) Vantis Commercial Owners Association - (3 Year Plan)"/>
    <s v="Aliso Viejo"/>
    <d v="2026-04-23T00:00:00"/>
    <m/>
    <d v="2027-04-26T00:00:00"/>
    <x v="115"/>
    <n v="17565"/>
    <n v="1951.67"/>
    <x v="0"/>
    <m/>
    <m/>
  </r>
  <r>
    <s v="Revolve Property Management"/>
    <s v="2027 - (May/Jun) Amalfi Hills Community Association - (3 Year Plan)"/>
    <s v="Yorba Linda"/>
    <d v="2026-05-22T00:00:00"/>
    <m/>
    <d v="2027-05-03T00:00:00"/>
    <x v="116"/>
    <n v="4782"/>
    <n v="177.11"/>
    <x v="1"/>
    <m/>
    <s v="Removals"/>
  </r>
  <r>
    <s v="Seabreeze Management Company"/>
    <s v="% 2027 - (MAY/JUN) Tierra Linda HOA (TILI) - (4 Year Plan)"/>
    <s v="Rancho Santa Margarita"/>
    <d v="2026-03-23T00:00:00"/>
    <m/>
    <d v="2027-05-03T00:00:00"/>
    <x v="116"/>
    <n v="5920"/>
    <n v="348.24"/>
    <x v="0"/>
    <m/>
    <s v="Removals"/>
  </r>
  <r>
    <s v="TRANSWESTERN"/>
    <s v="% 2027 - (Apr/Jun) 130 Vantis, LLC - (3 Year Plan)"/>
    <s v="Aliso Viejo"/>
    <d v="2026-04-23T00:00:00"/>
    <m/>
    <d v="2027-05-03T00:00:00"/>
    <x v="116"/>
    <n v="4010"/>
    <n v="445.56"/>
    <x v="0"/>
    <m/>
    <s v="Removals"/>
  </r>
  <r>
    <s v="Irvine Company - Retail (GPS)"/>
    <s v="2027 - Newport Coast Shopping Center (Coastal) -(Approved 26/27 Olive Trimming)"/>
    <s v="Newport Beach"/>
    <d v="2026-07-28T00:00:00"/>
    <m/>
    <d v="2027-05-03T00:00:00"/>
    <x v="117"/>
    <n v="15840"/>
    <n v="146.66999999999999"/>
    <x v="2"/>
    <m/>
    <m/>
  </r>
  <r>
    <s v="Irvine Company - Retail (GPS)"/>
    <s v="2026 (Jul/Aug) - Culver Plaza (Summer Trimming: Central Irvine)"/>
    <s v="Irvine"/>
    <d v="2026-04-29T00:00:00"/>
    <m/>
    <d v="2027-04-27T00:00:00"/>
    <x v="118"/>
    <n v="28314"/>
    <n v="149.81"/>
    <x v="2"/>
    <m/>
    <m/>
  </r>
  <r>
    <s v="The Management Trust"/>
    <s v="% (N) 2027 - (MAY/JUL) Lakewood Shores HOA - (3 Year Plan) (CO 24528)"/>
    <s v="Lakewood"/>
    <d v="2026-07-17T00:00:00"/>
    <m/>
    <d v="2027-05-03T00:00:00"/>
    <x v="118"/>
    <n v="12640"/>
    <n v="131.66999999999999"/>
    <x v="1"/>
    <m/>
    <s v="Removals"/>
  </r>
  <r>
    <s v="BHE Management"/>
    <s v="% 2027 - (APR/JUN) Lantana Neighborhood Association - (3 Year Plan)"/>
    <s v="Irvine"/>
    <d v="2026-03-18T00:00:00"/>
    <m/>
    <d v="2027-05-03T00:00:00"/>
    <x v="119"/>
    <n v="17600"/>
    <n v="977.78"/>
    <x v="4"/>
    <m/>
    <m/>
  </r>
  <r>
    <s v="Irvine Company - Retail (GPS)"/>
    <s v="2027 - Crystal Cove Shopping Center (Coastal) - (Approved 26/27 Olive Trimming)"/>
    <s v="Newport Beach"/>
    <d v="2026-07-28T00:00:00"/>
    <m/>
    <d v="2027-05-10T00:00:00"/>
    <x v="120"/>
    <n v="21285"/>
    <n v="147.81"/>
    <x v="2"/>
    <m/>
    <m/>
  </r>
  <r>
    <s v="Seabreeze Management Company"/>
    <s v="% 2027 - (APR/JUN) Talavera Maintenance Corporation - (3 Year Plan) (CO 24860)"/>
    <s v="Rancho Santa Margarita"/>
    <d v="2026-05-15T00:00:00"/>
    <m/>
    <d v="2027-05-10T00:00:00"/>
    <x v="121"/>
    <n v="17808"/>
    <n v="1978.61"/>
    <x v="0"/>
    <m/>
    <s v="Removals"/>
  </r>
  <r>
    <s v="Walters Management"/>
    <s v="% 2027 - (APR/JUN) The Highlands Maintenance Corporation - (3 Year Plan)"/>
    <s v="Anaheim"/>
    <d v="2026-02-04T00:00:00"/>
    <m/>
    <d v="2027-05-03T00:00:00"/>
    <x v="122"/>
    <n v="55896"/>
    <n v="129.38999999999999"/>
    <x v="1"/>
    <m/>
    <s v="Removals"/>
  </r>
  <r>
    <s v="Platinum Management Group"/>
    <s v="2027 - (Apr/Jun) La Vista At Laguna Niguel - (3 Year Plan)"/>
    <s v="Laguna Niguel"/>
    <d v="2026-07-23T00:00:00"/>
    <m/>
    <d v="2027-05-17T00:00:00"/>
    <x v="123"/>
    <n v="18930"/>
    <n v="2103.33"/>
    <x v="0"/>
    <m/>
    <s v="Removals"/>
  </r>
  <r>
    <s v="Keystone Pacific Property Management, LL"/>
    <s v="% (S) 2027 - (JUNE) Willow Glen Serrano HOA - (4 Year Plan) (CO 24717)"/>
    <s v="Lake Forest"/>
    <d v="2026-07-17T00:00:00"/>
    <m/>
    <d v="2027-06-01T00:00:00"/>
    <x v="124"/>
    <n v="7577"/>
    <n v="140.32"/>
    <x v="0"/>
    <m/>
    <s v="Removals"/>
  </r>
  <r>
    <s v="Powerstone Property Management"/>
    <s v="% (S) 2027 - (Jul/Sep) Whispering Hills Community Association - (3 Year Plan) (CO 24672)"/>
    <s v="Lake Forest"/>
    <d v="2026-03-24T00:00:00"/>
    <m/>
    <d v="2027-06-28T00:00:00"/>
    <x v="125"/>
    <n v="32679"/>
    <n v="151.29"/>
    <x v="0"/>
    <m/>
    <s v="Removals"/>
  </r>
  <r>
    <s v="Triad Commercial"/>
    <s v="% 2027(Jul/Sep)Bolsa Mini Mall - (3 Year Plan)"/>
    <s v="Westminster"/>
    <d v="2025-06-10T00:00:00"/>
    <m/>
    <d v="2027-07-01T00:00:00"/>
    <x v="125"/>
    <n v="3055"/>
    <n v="169.72"/>
    <x v="1"/>
    <m/>
    <m/>
  </r>
  <r>
    <s v="The Management Trust"/>
    <s v="PERMIT %? (N) 2027 - (JUL/SEP) Concorde Place - (3 Year Plan) (CO 24547)"/>
    <s v="Cerritos"/>
    <d v="2026-03-05T00:00:00"/>
    <m/>
    <d v="2027-07-05T00:00:00"/>
    <x v="126"/>
    <n v="12651"/>
    <n v="117.14"/>
    <x v="1"/>
    <m/>
    <s v="Removals"/>
  </r>
  <r>
    <s v="BHE Management"/>
    <s v="% (N) 2027 (July) Emerald Pointe Community Association - (3 Year Plan) (CO 24770)"/>
    <s v="Anaheim"/>
    <d v="2026-03-31T00:00:00"/>
    <m/>
    <d v="2027-07-06T00:00:00"/>
    <x v="127"/>
    <n v="3402"/>
    <n v="189"/>
    <x v="1"/>
    <m/>
    <s v="Removals"/>
  </r>
  <r>
    <s v="Powerstone Property Management"/>
    <s v="8% (N) 2027 - (JUL/SEP) Pacific Shores HOA - (Revised 3 Year Plan) CO 24508"/>
    <s v="Huntington Beach"/>
    <d v="2026-02-18T00:00:00"/>
    <m/>
    <d v="2027-07-26T00:00:00"/>
    <x v="128"/>
    <n v="22771"/>
    <n v="126.51"/>
    <x v="1"/>
    <m/>
    <s v="Removals"/>
  </r>
  <r>
    <s v="BHE Management"/>
    <s v="% (N) 2027 - (AUG/SEP) Sage Maintenance Association - (3 Year Plan) (CO 24768)"/>
    <s v="Irvine"/>
    <d v="2026-03-27T00:00:00"/>
    <m/>
    <d v="2027-08-02T00:00:00"/>
    <x v="129"/>
    <n v="38399"/>
    <n v="2133.3000000000002"/>
    <x v="4"/>
    <m/>
    <s v="Removals"/>
  </r>
  <r>
    <s v="FirstService Residential"/>
    <s v="% (S) 2027 - (Aug/Sep) Orleans HOA (T152) - (Revised 3 Year Plan) (CO 24865)"/>
    <s v="Aliso Viejo"/>
    <d v="2026-05-19T00:00:00"/>
    <m/>
    <d v="2027-08-02T00:00:00"/>
    <x v="129"/>
    <n v="3823"/>
    <n v="141.58000000000001"/>
    <x v="0"/>
    <m/>
    <s v="Removals"/>
  </r>
  <r>
    <s v="Keystone Pacific Property Management, LL"/>
    <s v="% 2027 - (AUG/SEP) The Laurel Condominium Association (4 Year Plan) CO (24738)"/>
    <s v="Costa Mesa"/>
    <d v="2026-07-17T00:00:00"/>
    <m/>
    <d v="2027-08-02T00:00:00"/>
    <x v="129"/>
    <n v="5227"/>
    <n v="116.16"/>
    <x v="1"/>
    <m/>
    <s v="Removals"/>
  </r>
  <r>
    <s v="Powerstone Property Management"/>
    <s v="8% (S) 2027 - (AUG/SEP) Casafina HOA - (3 Year Plan)"/>
    <s v="Rancho Santa Margarita"/>
    <d v="2025-12-08T00:00:00"/>
    <m/>
    <d v="2027-08-02T00:00:00"/>
    <x v="129"/>
    <n v="4163"/>
    <n v="154.19"/>
    <x v="0"/>
    <m/>
    <s v="Removals"/>
  </r>
  <r>
    <s v="Revolve Property Management"/>
    <s v="2027 - (Jul/Sep) Amalfi Hills Community Association - (3 Year Plan)"/>
    <s v="Yorba Linda"/>
    <d v="2026-05-22T00:00:00"/>
    <m/>
    <d v="2027-08-02T00:00:00"/>
    <x v="129"/>
    <n v="4666"/>
    <n v="172.8"/>
    <x v="1"/>
    <m/>
    <s v="Removals"/>
  </r>
  <r>
    <s v="The Management Trust"/>
    <s v="2027 (Aug/Sept) Walden Community - (3 Year Plan)"/>
    <s v="Garden Grove"/>
    <d v="2025-10-17T00:00:00"/>
    <m/>
    <d v="2027-08-02T00:00:00"/>
    <x v="129"/>
    <n v="1700"/>
    <n v="125.93"/>
    <x v="1"/>
    <m/>
    <m/>
  </r>
  <r>
    <s v="Associa (AKA PCM)"/>
    <s v="%? (S) 2027 - (AUG/SEP) - (3 Year Plan) (CO 24347)"/>
    <s v="Irvine"/>
    <d v="2026-03-26T00:00:00"/>
    <m/>
    <d v="2027-08-02T00:00:00"/>
    <x v="130"/>
    <n v="9744"/>
    <n v="108.27"/>
    <x v="4"/>
    <m/>
    <s v="Removals"/>
  </r>
  <r>
    <s v="BHE Management"/>
    <s v="% 2027 - (AUG/SEP) C2E Townhomes Community - (4 Year Plan)"/>
    <s v="Irvine"/>
    <d v="2026-04-07T00:00:00"/>
    <m/>
    <d v="2027-08-03T00:00:00"/>
    <x v="130"/>
    <n v="2535"/>
    <n v="93.89"/>
    <x v="4"/>
    <m/>
    <s v="Removals"/>
  </r>
  <r>
    <s v="BHE Management"/>
    <s v="8% (N) 2027 - (AUG/SEP) The Covey - (3 Year Plan)"/>
    <s v="Buena Park"/>
    <d v="2025-08-28T00:00:00"/>
    <m/>
    <d v="2027-08-02T00:00:00"/>
    <x v="130"/>
    <n v="4880"/>
    <n v="135.56"/>
    <x v="1"/>
    <m/>
    <m/>
  </r>
  <r>
    <s v="Optimum"/>
    <s v="% 2027 (Aug/Sep) Villavante Community Association-(3 Year Plan) (CO 24665)"/>
    <s v="Rancho Santa Margarita"/>
    <d v="2026-03-25T00:00:00"/>
    <m/>
    <d v="2027-08-03T00:00:00"/>
    <x v="131"/>
    <n v="7849"/>
    <n v="109.02"/>
    <x v="0"/>
    <m/>
    <s v="Removals"/>
  </r>
  <r>
    <s v="Revolve Property Management"/>
    <s v="% 2027(AugSep) Wilderness HOA - (3 Year Plan)CO 24497"/>
    <s v="Orange"/>
    <d v="2026-02-11T00:00:00"/>
    <m/>
    <d v="2027-08-02T00:00:00"/>
    <x v="131"/>
    <n v="8741"/>
    <n v="107.92"/>
    <x v="1"/>
    <m/>
    <s v="Removals"/>
  </r>
  <r>
    <s v="BHE Management"/>
    <s v="% (S) 2027 - (AUG/SEP) Carissa Neighborhood Association - (4 Year Plan) (CO 24706)"/>
    <s v="Irvine"/>
    <d v="2026-03-24T00:00:00"/>
    <m/>
    <d v="2027-08-05T00:00:00"/>
    <x v="132"/>
    <n v="7846"/>
    <n v="145.30000000000001"/>
    <x v="0"/>
    <m/>
    <s v="Removals"/>
  </r>
  <r>
    <s v="BHE Management"/>
    <s v="% 2027 - (AUG/SEP) Vientos Maintenance Association - (3 Year Plan)"/>
    <s v="Irvine"/>
    <d v="2026-04-07T00:00:00"/>
    <m/>
    <d v="2027-08-02T00:00:00"/>
    <x v="132"/>
    <n v="20710"/>
    <n v="2301.11"/>
    <x v="4"/>
    <m/>
    <s v="Removals"/>
  </r>
  <r>
    <s v="LAREM"/>
    <s v="(N) 2027 - (AUG/SEP) CalMat Business Center - (3 Year Plan) (CO 24953)"/>
    <s v="Irwindale"/>
    <d v="2026-07-27T00:00:00"/>
    <m/>
    <d v="2027-08-04T00:00:00"/>
    <x v="133"/>
    <n v="23538"/>
    <n v="147.11000000000001"/>
    <x v="2"/>
    <m/>
    <s v="Removals"/>
  </r>
  <r>
    <s v="The Management Trust"/>
    <s v="Schedule in 2026 (S) 2026 - (AUG/SEP) Serissa Community Association - (3 Year Plan) (CO 24747)"/>
    <s v="Irvine"/>
    <d v="2026-03-27T00:00:00"/>
    <m/>
    <d v="2027-08-02T00:00:00"/>
    <x v="134"/>
    <n v="27967"/>
    <n v="145.66"/>
    <x v="4"/>
    <m/>
    <s v="Removals"/>
  </r>
  <r>
    <s v="Powerstone Property Management"/>
    <s v="% 2027 - (Aug/Sep) Canyon View Maintenance-(3 Year Trimming Plan) CO 24937"/>
    <s v="Irvine"/>
    <d v="2026-07-17T00:00:00"/>
    <m/>
    <d v="2027-08-09T00:00:00"/>
    <x v="135"/>
    <n v="22293"/>
    <n v="1311.36"/>
    <x v="4"/>
    <m/>
    <s v="Removals"/>
  </r>
  <r>
    <s v="Optimum"/>
    <s v="% 2027 - (JUN/JUL) Del Prado HOA (Tract 8965) - (3 Year Plan) (CO 24914)"/>
    <s v="Laguna Niguel"/>
    <d v="2026-07-03T00:00:00"/>
    <m/>
    <d v="2027-08-02T00:00:00"/>
    <x v="136"/>
    <n v="45005"/>
    <n v="2500.2800000000002"/>
    <x v="0"/>
    <m/>
    <s v="Removals"/>
  </r>
  <r>
    <s v="BHE Management"/>
    <s v="[TREATMENT] (S) 2027 - (AUG/SEP) Carissa Neighorbood Association - (Koelreuteria Treatment Plan)"/>
    <s v="Irvine"/>
    <d v="2025-08-18T00:00:00"/>
    <m/>
    <d v="2027-09-24T00:00:00"/>
    <x v="137"/>
    <n v="2000"/>
    <n v="0"/>
    <x v="0"/>
    <m/>
    <s v="Removals"/>
  </r>
  <r>
    <s v="Optimum"/>
    <s v="% (S) 2027 - (OCT/DEC) Northwood Villas Maintenance Corporation - (3 Year Plan) (CO 24619)"/>
    <s v="Irvine"/>
    <d v="2026-03-19T00:00:00"/>
    <m/>
    <d v="2027-10-01T00:00:00"/>
    <x v="138"/>
    <n v="4676"/>
    <n v="173.2"/>
    <x v="0"/>
    <m/>
    <s v="Removals"/>
  </r>
  <r>
    <s v="Warmington Properties, Inc."/>
    <s v="2027 - (Oct/Dec) Alicia Business Center (97) (GPS) - (4 Year Plan)"/>
    <s v="Mission Viejo"/>
    <d v="2026-06-05T00:00:00"/>
    <m/>
    <d v="2027-10-01T00:00:00"/>
    <x v="138"/>
    <n v="3950"/>
    <n v="0"/>
    <x v="0"/>
    <m/>
    <s v="Removals"/>
  </r>
  <r>
    <s v="Warmington Properties, Inc."/>
    <s v="2027 - (OCT/DEC) Alicia Center Company (Honali) (98) - (3 Year Plan)"/>
    <s v="Laguna Hills"/>
    <d v="2026-06-05T00:00:00"/>
    <m/>
    <d v="2027-10-02T00:00:00"/>
    <x v="139"/>
    <n v="6455"/>
    <n v="0"/>
    <x v="0"/>
    <m/>
    <m/>
  </r>
  <r>
    <s v="Centennial"/>
    <s v="% 2027 - PAD(OCT/DEC) Bella Terra Pad (3 Year Plan)"/>
    <s v="Huntington Beach"/>
    <d v="2026-07-09T00:00:00"/>
    <m/>
    <d v="2027-10-04T00:00:00"/>
    <x v="140"/>
    <n v="1245"/>
    <n v="124.5"/>
    <x v="1"/>
    <m/>
    <s v="Removals"/>
  </r>
  <r>
    <s v="Centennial"/>
    <s v="% 2027 - PARK(OCT/DEC) Bella Terra Park (3 Year Plan)"/>
    <s v="Huntington Beach"/>
    <d v="2026-07-09T00:00:00"/>
    <m/>
    <d v="2027-10-04T00:00:00"/>
    <x v="140"/>
    <n v="910"/>
    <n v="151.66999999999999"/>
    <x v="1"/>
    <m/>
    <s v="Removals"/>
  </r>
  <r>
    <s v="Centennial"/>
    <s v="2027 - PARK(OCT/DEC) Bella Terra Park - (3 Year Treatment Plan)"/>
    <s v="Huntington Beach"/>
    <d v="2026-07-09T00:00:00"/>
    <m/>
    <d v="2027-10-04T00:00:00"/>
    <x v="140"/>
    <n v="671"/>
    <n v="0"/>
    <x v="1"/>
    <m/>
    <m/>
  </r>
  <r>
    <s v="Powerstone Property Management"/>
    <s v="8% (S) 2027 - (OCT/DEC) Casafina HOA - (3 Year Plan)"/>
    <s v="Rancho Santa Margarita"/>
    <d v="2025-12-08T00:00:00"/>
    <m/>
    <d v="2027-10-04T00:00:00"/>
    <x v="140"/>
    <n v="588"/>
    <n v="21.78"/>
    <x v="0"/>
    <m/>
    <s v="Removals"/>
  </r>
  <r>
    <s v="BHE Management"/>
    <s v="% (S) 2027 - (OCT/DEC) Carissa Neighborhood Association - (4 Year Plan) (CO 24707)"/>
    <s v="Irvine"/>
    <d v="2026-03-24T00:00:00"/>
    <m/>
    <d v="2027-10-04T00:00:00"/>
    <x v="141"/>
    <n v="8705"/>
    <n v="161.19999999999999"/>
    <x v="0"/>
    <m/>
    <s v="Removals"/>
  </r>
  <r>
    <s v="Centennial"/>
    <s v="% 2027 - MALL(OCT/DEC) Bella Terra Mall (3 Year Plan)"/>
    <s v="Huntington Beach"/>
    <d v="2026-07-09T00:00:00"/>
    <m/>
    <d v="2027-10-04T00:00:00"/>
    <x v="141"/>
    <n v="5930"/>
    <n v="128.91"/>
    <x v="1"/>
    <m/>
    <s v="Removals"/>
  </r>
  <r>
    <s v="Centennial"/>
    <s v="2027 - PAD(OCT/DEC) Bella Terra Pad - (3 Year Treatment Plan)Revised"/>
    <s v="Huntington Beach"/>
    <d v="2026-07-09T00:00:00"/>
    <m/>
    <d v="2027-10-05T00:00:00"/>
    <x v="141"/>
    <n v="722"/>
    <n v="0"/>
    <x v="1"/>
    <m/>
    <s v="Removals"/>
  </r>
  <r>
    <s v="FirstService Residential"/>
    <s v="5% ? (S) 2027 - (OCT/DEC) Marbella Maintenance Corp. (MAR) - (3 Year Plan)"/>
    <s v="Rancho Santa Margarita"/>
    <d v="2025-05-20T00:00:00"/>
    <m/>
    <d v="2027-10-04T00:00:00"/>
    <x v="141"/>
    <n v="7345"/>
    <n v="136.02000000000001"/>
    <x v="0"/>
    <m/>
    <s v="Removals"/>
  </r>
  <r>
    <s v="Powerstone Property Management"/>
    <s v="% (S) 2027 - (Oct/Dec) Canyon Point Maintenance Corp. - (3 Year Plan) (CO 24950)"/>
    <s v="Aliso Viejo"/>
    <d v="2026-07-21T00:00:00"/>
    <m/>
    <d v="2027-10-04T00:00:00"/>
    <x v="141"/>
    <n v="9461"/>
    <n v="131.4"/>
    <x v="0"/>
    <m/>
    <s v="Removals"/>
  </r>
  <r>
    <s v="Centennial"/>
    <s v="2027 - MALL(OCT/DEC) Bella Terra Mall - (3 Year Treatment Plan)Discounted"/>
    <s v="Huntington Beach"/>
    <d v="2026-07-09T00:00:00"/>
    <m/>
    <d v="2027-10-06T00:00:00"/>
    <x v="142"/>
    <n v="16896"/>
    <n v="0"/>
    <x v="1"/>
    <m/>
    <m/>
  </r>
  <r>
    <s v="Optimum"/>
    <s v="% 2027 (Oct/Dec) - Altamar HOA - (3 Year Plan)"/>
    <s v="Laguna Niguel"/>
    <d v="2026-03-10T00:00:00"/>
    <m/>
    <d v="2027-10-06T00:00:00"/>
    <x v="142"/>
    <n v="2225"/>
    <n v="0"/>
    <x v="0"/>
    <m/>
    <m/>
  </r>
  <r>
    <s v="The Management Trust"/>
    <s v="% (N) 2027 - (OCT/DEC) Lakewood Shores HOA - (3 Year Plan) (CO 24527)"/>
    <s v="Lakewood"/>
    <d v="2026-07-17T00:00:00"/>
    <m/>
    <d v="2027-10-04T00:00:00"/>
    <x v="142"/>
    <n v="10049"/>
    <n v="139.58000000000001"/>
    <x v="1"/>
    <m/>
    <s v="Removals"/>
  </r>
  <r>
    <s v="Bentley Community Management, Inc."/>
    <s v="% (N) 2027 - (Oct/Dec) Terra Linda Estates HOA - (3 Year Plan) (CO 24736)"/>
    <s v="Yorba Linda"/>
    <d v="2026-03-26T00:00:00"/>
    <m/>
    <d v="2027-10-04T00:00:00"/>
    <x v="143"/>
    <n v="14353"/>
    <n v="0"/>
    <x v="1"/>
    <m/>
    <s v="Removals"/>
  </r>
  <r>
    <s v="Seabreeze Management Company"/>
    <s v="% PERMIT? (S) 2027 - (Oct/Dec) (H) Northwood Villas HOA - (3 Year Plan) (CO 24649)"/>
    <s v="Irvine"/>
    <d v="2026-03-20T00:00:00"/>
    <m/>
    <d v="2027-10-04T00:00:00"/>
    <x v="143"/>
    <n v="20582"/>
    <n v="142.93"/>
    <x v="0"/>
    <m/>
    <s v="Removals"/>
  </r>
  <r>
    <s v="Seabreeze Management Company"/>
    <s v="5%? (S) 2026/27 - (OCT/JAN) Vista de Oro Homeowners Association - (3 Year Plan)CO 24946"/>
    <s v="Aliso Viejo"/>
    <d v="2026-07-21T00:00:00"/>
    <m/>
    <d v="2027-10-06T00:00:00"/>
    <x v="144"/>
    <n v="8313"/>
    <n v="115.45"/>
    <x v="0"/>
    <m/>
    <s v="Removals"/>
  </r>
  <r>
    <s v="Pacific West Asset Management"/>
    <s v="% (N) 2027 - (OCT/DEC) Diamond Bar Plaza - (Revised 3 Year Plan) (CO 24592)"/>
    <s v="Diamond Bar"/>
    <d v="2026-03-17T00:00:00"/>
    <m/>
    <d v="2027-10-09T00:00:00"/>
    <x v="145"/>
    <n v="3197"/>
    <n v="133.22"/>
    <x v="2"/>
    <m/>
    <s v="Removals"/>
  </r>
  <r>
    <s v="BHE Management"/>
    <s v="2027 (Oct/Dec) Lux Community Association - (3 Year Plan)"/>
    <s v="Irvine"/>
    <d v="2026-03-24T00:00:00"/>
    <m/>
    <d v="2027-10-11T00:00:00"/>
    <x v="146"/>
    <n v="4113"/>
    <n v="457.03"/>
    <x v="4"/>
    <m/>
    <s v="Removals"/>
  </r>
  <r>
    <s v="BHE Management"/>
    <s v="% (N) 2027 - (Oct/Dec) The Summit at Newport Ridge - (3 Year Plan) (CO 24762)"/>
    <s v="Newport Beach"/>
    <d v="2026-03-31T00:00:00"/>
    <m/>
    <d v="2027-10-04T00:00:00"/>
    <x v="147"/>
    <n v="11405"/>
    <n v="0"/>
    <x v="4"/>
    <m/>
    <s v="Removals"/>
  </r>
  <r>
    <s v="BHE Management"/>
    <s v="% (S) 2027 - (Oct/Dec) Indigo at Portola Springs - (4 Year Plan) (CO 24700)"/>
    <s v="Irvine"/>
    <d v="2026-03-24T00:00:00"/>
    <m/>
    <d v="2027-10-11T00:00:00"/>
    <x v="147"/>
    <n v="12452"/>
    <n v="172.95"/>
    <x v="0"/>
    <m/>
    <s v="Removals"/>
  </r>
  <r>
    <s v="The Groves Senior Community"/>
    <s v="% (N) 2027 - (Oct/Dec) The Groves Homeowners Inc. - (Revised 3 Year Plan)"/>
    <s v="Irvine"/>
    <d v="2025-06-16T00:00:00"/>
    <m/>
    <d v="2027-10-04T00:00:00"/>
    <x v="147"/>
    <n v="24615"/>
    <n v="130.24"/>
    <x v="4"/>
    <m/>
    <s v="Removals"/>
  </r>
  <r>
    <s v="Associa (AKA PCM)"/>
    <s v="8% (S) 2027 - (OCT/DEC) UCA - (3 Year Plan)"/>
    <s v="Irvine"/>
    <d v="2025-11-26T00:00:00"/>
    <m/>
    <d v="2027-10-11T00:00:00"/>
    <x v="148"/>
    <n v="13930"/>
    <n v="128.97999999999999"/>
    <x v="4"/>
    <m/>
    <s v="Removals"/>
  </r>
  <r>
    <s v="Optimum"/>
    <s v="8% (S) 2027 - (OCT/DEC) Woodbridge Parkway Maint. Assoc. - (3 Year Plan)"/>
    <s v="Irvine"/>
    <d v="2025-09-30T00:00:00"/>
    <m/>
    <d v="2027-10-11T00:00:00"/>
    <x v="148"/>
    <n v="11823"/>
    <n v="123.15"/>
    <x v="4"/>
    <m/>
    <s v="Removals"/>
  </r>
  <r>
    <s v="Associa (AKA PCM)"/>
    <s v="8% (S) 2027 - (OCT/DEC) Stonetree Manor (PRO455-10877) - (3 Year Plan)"/>
    <s v="Irvine"/>
    <d v="2025-12-11T00:00:00"/>
    <m/>
    <d v="2027-10-15T00:00:00"/>
    <x v="149"/>
    <n v="3670"/>
    <n v="135.93"/>
    <x v="4"/>
    <m/>
    <s v="Removals"/>
  </r>
  <r>
    <s v="BHE Management"/>
    <s v="% (S) 2027 - (OCT/DEC) Montara Neighborhood Association - (3 Year Plan) (CO 24958)"/>
    <s v="Irvine"/>
    <d v="2026-07-24T00:00:00"/>
    <m/>
    <d v="2027-10-13T00:00:00"/>
    <x v="149"/>
    <n v="6985"/>
    <n v="97.01"/>
    <x v="4"/>
    <m/>
    <s v="Removals"/>
  </r>
  <r>
    <s v="Brown and Company Mgmt. Services"/>
    <s v="% (S) 2027 - (OCT/DEC) Sycamore Plaza - (4 Year Plan) (CO 24702)"/>
    <s v="Lake Forest"/>
    <d v="2026-03-24T00:00:00"/>
    <m/>
    <d v="2027-10-18T00:00:00"/>
    <x v="150"/>
    <n v="8008"/>
    <n v="148.30000000000001"/>
    <x v="0"/>
    <m/>
    <m/>
  </r>
  <r>
    <s v="Keystone Pacific Property Management, LL"/>
    <s v="8% (S) 2027 - (OCT/DEC) Monarch Bay - (4 Year Plan)"/>
    <s v="Dana Point"/>
    <d v="2025-12-02T00:00:00"/>
    <m/>
    <d v="2027-10-18T00:00:00"/>
    <x v="151"/>
    <n v="21180"/>
    <n v="130.74"/>
    <x v="0"/>
    <m/>
    <s v="Removals"/>
  </r>
  <r>
    <s v="Warmington Properties, Inc."/>
    <s v="2027 - (Oct/Dec) Bayport Jeronimo Assoc., LP (52) - (3 Year Plan) Revised"/>
    <s v="Mission Viejo"/>
    <d v="2026-07-08T00:00:00"/>
    <m/>
    <d v="2027-10-26T00:00:00"/>
    <x v="152"/>
    <n v="8075"/>
    <n v="897.22"/>
    <x v="0"/>
    <m/>
    <s v="Removals"/>
  </r>
  <r>
    <s v="BHE Management"/>
    <s v="% 2027 - (OCT/DEC) C2E Townhomes Community - (4 Year Plan)"/>
    <s v="Irvine"/>
    <d v="2026-04-07T00:00:00"/>
    <m/>
    <d v="2027-11-01T00:00:00"/>
    <x v="153"/>
    <n v="3800"/>
    <n v="140.74"/>
    <x v="4"/>
    <m/>
    <s v="Removals"/>
  </r>
  <r>
    <s v="Seabreeze Management Company"/>
    <s v="% 2027 - (Oct/Dec)Caserta II Neighborhood Association - (3 Year Plan)"/>
    <s v="Irvine"/>
    <d v="2026-04-09T00:00:00"/>
    <m/>
    <d v="2027-11-01T00:00:00"/>
    <x v="154"/>
    <n v="9665"/>
    <n v="1073.8900000000001"/>
    <x v="4"/>
    <m/>
    <m/>
  </r>
  <r>
    <s v="BHE Management"/>
    <s v="% 2027 - (OCT/DEC) Vientos Maintenance Association - (3 Year Plan)"/>
    <s v="Irvine"/>
    <d v="2026-04-07T00:00:00"/>
    <m/>
    <d v="2027-11-01T00:00:00"/>
    <x v="155"/>
    <n v="14310"/>
    <n v="1590"/>
    <x v="4"/>
    <m/>
    <s v="Removals"/>
  </r>
  <r>
    <s v="Huntington West Properties, Inc."/>
    <s v="8% (N) 2028 - (JAN/MAR) Fountain Plaza HOA - (3 Year Plan)"/>
    <s v="Fountain Valley"/>
    <d v="2025-11-20T00:00:00"/>
    <m/>
    <d v="2028-01-03T00:00:00"/>
    <x v="156"/>
    <n v="5205"/>
    <n v="130.13"/>
    <x v="1"/>
    <m/>
    <m/>
  </r>
  <r>
    <s v="Keystone Pacific Property Management, LL"/>
    <s v="% (S) 2028 - (JAN/MAR) Agave - (4 Year Plan)"/>
    <s v="Irvine"/>
    <d v="2025-05-22T00:00:00"/>
    <m/>
    <d v="2028-01-03T00:00:00"/>
    <x v="156"/>
    <n v="3780"/>
    <n v="140"/>
    <x v="0"/>
    <m/>
    <s v="Removals"/>
  </r>
  <r>
    <s v="Revolve Property Management"/>
    <s v="2028 - (Jan/Apr)Amalfi Hills Community Association - (3 Year Plan)"/>
    <s v="Yorba Linda"/>
    <d v="2026-05-22T00:00:00"/>
    <m/>
    <d v="2028-01-03T00:00:00"/>
    <x v="156"/>
    <n v="3441"/>
    <n v="127.44"/>
    <x v="1"/>
    <m/>
    <s v="Removals"/>
  </r>
  <r>
    <s v="Optimum"/>
    <s v="8% (S) 2028 - (JAN/MAR) Woodbridge Parkway Maint. Assoc. - (3 Year Plan)"/>
    <s v="Irvine"/>
    <d v="2025-09-30T00:00:00"/>
    <m/>
    <d v="2028-01-04T00:00:00"/>
    <x v="157"/>
    <n v="13085"/>
    <n v="136.30000000000001"/>
    <x v="4"/>
    <m/>
    <s v="Removals"/>
  </r>
  <r>
    <s v="Optimum"/>
    <s v="% 2028 - (JAN/MAR) Del Prado HOA (Tract 8965) - (3 Year Plan) (CO 24955)"/>
    <s v="Laguna Niguel"/>
    <d v="2026-07-24T00:00:00"/>
    <m/>
    <d v="2028-01-10T00:00:00"/>
    <x v="158"/>
    <n v="5245"/>
    <n v="194.26"/>
    <x v="0"/>
    <m/>
    <s v="Removals"/>
  </r>
  <r>
    <s v="Powerstone Property Management"/>
    <s v="% (S) 2028 - (JAN/APR) Silverstone HOA - (3 Year Plan)"/>
    <s v="Laguna Niguel"/>
    <d v="2025-07-08T00:00:00"/>
    <m/>
    <d v="2028-01-03T00:00:00"/>
    <x v="159"/>
    <n v="21401"/>
    <n v="132.11000000000001"/>
    <x v="0"/>
    <m/>
    <s v="Removals"/>
  </r>
  <r>
    <s v="Optimum"/>
    <s v="8% (N) 2028 - (JAN/MAR) Pinehurst Estates - (Revised; 3 Year Plan)"/>
    <s v="Fullerton"/>
    <d v="2025-12-12T00:00:00"/>
    <m/>
    <d v="2028-01-03T00:00:00"/>
    <x v="160"/>
    <n v="37071"/>
    <n v="128.72"/>
    <x v="1"/>
    <m/>
    <m/>
  </r>
  <r>
    <s v="Powerstone Property Management"/>
    <s v="8% (N) 2028 - (JAN/MAR) Pacific Shores HOA - (Revised 3 Year Plan)"/>
    <s v="Huntington Beach"/>
    <d v="2026-01-22T00:00:00"/>
    <m/>
    <d v="2028-01-10T00:00:00"/>
    <x v="161"/>
    <n v="31770"/>
    <n v="141.19999999999999"/>
    <x v="1"/>
    <m/>
    <s v="Removals"/>
  </r>
  <r>
    <s v="The Management Trust"/>
    <s v="% (N) 2028 - (JAN/APR) Lakewood Shores HOA - (3 Year Plan) (CO 24623)"/>
    <s v="Lakewood"/>
    <d v="2026-07-23T00:00:00"/>
    <m/>
    <d v="2028-01-10T00:00:00"/>
    <x v="161"/>
    <n v="16903"/>
    <n v="140.86000000000001"/>
    <x v="1"/>
    <m/>
    <s v="Removals"/>
  </r>
  <r>
    <s v="Keystone Pacific Property Management, LL"/>
    <s v="% 2028 - (Jan/Mar) St. Augustine I - (4 Year Plan)"/>
    <s v="Huntington Beach"/>
    <d v="2026-05-01T00:00:00"/>
    <m/>
    <d v="2028-01-17T00:00:00"/>
    <x v="162"/>
    <n v="5130"/>
    <n v="190"/>
    <x v="1"/>
    <m/>
    <m/>
  </r>
  <r>
    <s v="Powerstone Property Management"/>
    <s v="8%? (S) 2028 - (JAN/MAR) Valencia Condominiums Association - (Revised 4 Year Plan)"/>
    <s v="Mission Viejo"/>
    <d v="2026-01-13T00:00:00"/>
    <m/>
    <d v="2028-01-03T00:00:00"/>
    <x v="162"/>
    <n v="40009"/>
    <n v="2222.73"/>
    <x v="0"/>
    <m/>
    <s v="Removals"/>
  </r>
  <r>
    <s v="Optimum"/>
    <s v="2028 - (Removals) Villavante Community Association - (4 Year Removal Plan)"/>
    <s v="Rancho Santa Margarita"/>
    <d v="2026-02-16T00:00:00"/>
    <m/>
    <d v="2028-01-18T00:00:00"/>
    <x v="163"/>
    <n v="6005"/>
    <n v="667.22"/>
    <x v="0"/>
    <s v="Removals"/>
    <s v="Removals"/>
  </r>
  <r>
    <s v="Powerstone Property Management"/>
    <s v="% 2028 - (JAN/MAR) St. Tropez Condominium Association - (3 Year Plan)"/>
    <s v="Aliso Viejo"/>
    <d v="2026-03-03T00:00:00"/>
    <m/>
    <d v="2028-01-12T00:00:00"/>
    <x v="163"/>
    <n v="22477"/>
    <n v="138.75"/>
    <x v="0"/>
    <m/>
    <s v="Removals"/>
  </r>
  <r>
    <s v="Seabreeze Management Company"/>
    <s v="% 2028 - (JAN/APR) Tierra Linda HOA (TILI) - (4 Year Plan)"/>
    <s v="Rancho Santa Margarita"/>
    <d v="2026-03-23T00:00:00"/>
    <m/>
    <d v="2028-01-24T00:00:00"/>
    <x v="164"/>
    <n v="11778"/>
    <n v="1308.6099999999999"/>
    <x v="0"/>
    <m/>
    <s v="Removals"/>
  </r>
  <r>
    <s v="Seabreeze Management Company"/>
    <s v="% 2028 - (JAN/MAR) Talavera Maintenance Corporation - (3 Year Plan)"/>
    <s v="Rancho Santa Margarita"/>
    <d v="2026-05-13T00:00:00"/>
    <m/>
    <d v="2028-02-01T00:00:00"/>
    <x v="165"/>
    <n v="23284"/>
    <n v="2587.08"/>
    <x v="0"/>
    <m/>
    <s v="Removals"/>
  </r>
  <r>
    <s v="Walters Management"/>
    <s v="% 2028 - (JAN/MAR) The Highlands Maintenance Corporation - (3 Year Plan)"/>
    <s v="Anaheim"/>
    <d v="2026-02-04T00:00:00"/>
    <m/>
    <d v="2028-02-07T00:00:00"/>
    <x v="166"/>
    <n v="89274"/>
    <n v="130.52000000000001"/>
    <x v="1"/>
    <m/>
    <s v="Removals"/>
  </r>
  <r>
    <s v="Powerstone Property Management"/>
    <s v="5% ? (S) 2028 - (Mar/Jun) Mesa Vista South - (3 Year Plan)"/>
    <s v="San Juan Capistrano"/>
    <d v="2025-05-16T00:00:00"/>
    <m/>
    <d v="2028-03-01T00:00:00"/>
    <x v="167"/>
    <n v="8285"/>
    <n v="102.28"/>
    <x v="0"/>
    <m/>
    <s v="Removals"/>
  </r>
  <r>
    <s v="Seabreeze Management Company"/>
    <s v="% 2028 - (JAN/MAR) Laguna Audubon 1 - (3 Year Plan) (CO 24814)"/>
    <s v="Aliso Viejo"/>
    <d v="2026-04-17T00:00:00"/>
    <m/>
    <d v="2028-03-01T00:00:00"/>
    <x v="168"/>
    <n v="12922"/>
    <n v="478.59"/>
    <x v="0"/>
    <m/>
    <s v="Removals"/>
  </r>
  <r>
    <s v="Associa (AKA PCM)"/>
    <s v="8% (S) 2027 - (AUG/SEP) UCA - (3 Year Plan)"/>
    <s v="Irvine"/>
    <d v="2025-11-26T00:00:00"/>
    <m/>
    <d v="2027-08-04T00:00:00"/>
    <x v="169"/>
    <n v="86990"/>
    <n v="119.33"/>
    <x v="4"/>
    <m/>
    <s v="Removals"/>
  </r>
  <r>
    <s v="BHE Management"/>
    <s v="% 2028 - Lantana Neighborhood Association - (3 Year Plan)"/>
    <s v="Irvine"/>
    <d v="2026-03-18T00:00:00"/>
    <m/>
    <d v="2028-03-06T00:00:00"/>
    <x v="170"/>
    <n v="17894"/>
    <n v="994.11"/>
    <x v="4"/>
    <m/>
    <m/>
  </r>
  <r>
    <s v="Associa (AKA PCM)"/>
    <s v="8% (S) 2028 - (APR/JUN) Stonetree Manor (PRO455-10877) - (3 Year Plan)"/>
    <s v="Irvine"/>
    <d v="2025-12-11T00:00:00"/>
    <m/>
    <d v="2028-04-03T00:00:00"/>
    <x v="171"/>
    <n v="3380"/>
    <n v="125.19"/>
    <x v="4"/>
    <m/>
    <s v="Removals"/>
  </r>
  <r>
    <s v="Centennial"/>
    <s v="2028 - PARK(APR/JUN) Bella Terra Park - (3 Year Treatment Plan)"/>
    <s v="Huntington Beach"/>
    <d v="2026-07-09T00:00:00"/>
    <m/>
    <d v="2028-04-03T00:00:00"/>
    <x v="171"/>
    <n v="671"/>
    <n v="17.190000000000001"/>
    <x v="1"/>
    <m/>
    <m/>
  </r>
  <r>
    <s v="FirstService Residential"/>
    <s v="5% ? (S) 2028 - (APR/JUN) Marbella Maintenance Corp. (MAR) - (3 Year Plan)"/>
    <s v="Rancho Santa Margarita"/>
    <d v="2025-05-20T00:00:00"/>
    <m/>
    <d v="2028-04-03T00:00:00"/>
    <x v="171"/>
    <n v="3680"/>
    <n v="136.30000000000001"/>
    <x v="0"/>
    <m/>
    <s v="Removals"/>
  </r>
  <r>
    <s v="Shea Properties"/>
    <s v="% 2028 - (APR/JUN) Village Green (4 Year Plan)"/>
    <s v="Aliso Viejo"/>
    <d v="2026-04-23T00:00:00"/>
    <m/>
    <d v="2028-04-03T00:00:00"/>
    <x v="171"/>
    <n v="4080"/>
    <n v="151.11000000000001"/>
    <x v="0"/>
    <m/>
    <m/>
  </r>
  <r>
    <s v="Centennial"/>
    <s v="2028 - MALL(APR/JUN) Bella Terra Mall Treatment Bid- Discount"/>
    <s v="Huntington Beach"/>
    <d v="2026-07-09T00:00:00"/>
    <m/>
    <d v="2028-04-04T00:00:00"/>
    <x v="172"/>
    <n v="13561"/>
    <n v="0"/>
    <x v="1"/>
    <m/>
    <m/>
  </r>
  <r>
    <s v="Keystone Pacific Property Management, LL"/>
    <s v="% (S) 2028 - (APR/JUN) Agave - (4 Year Plan)"/>
    <s v="Irvine"/>
    <d v="2025-05-22T00:00:00"/>
    <m/>
    <d v="2028-04-03T00:00:00"/>
    <x v="172"/>
    <n v="7175"/>
    <n v="132.87"/>
    <x v="0"/>
    <m/>
    <s v="Removals"/>
  </r>
  <r>
    <s v="Pacific West Asset Management"/>
    <s v="% 2028 - (APR/JUN) H Bizctr San Clemente OA - (3 Year Plan)"/>
    <s v="San Clemente"/>
    <d v="2026-04-16T00:00:00"/>
    <m/>
    <d v="2028-04-03T00:00:00"/>
    <x v="172"/>
    <n v="7090"/>
    <n v="131.30000000000001"/>
    <x v="0"/>
    <m/>
    <s v="Removals"/>
  </r>
  <r>
    <s v="Powerstone Property Management"/>
    <s v="8% (N) 2028 - (APR/JUN) Pacific Shores HOA - (Revised 3 Year Plan)"/>
    <s v="Huntington Beach"/>
    <d v="2026-01-22T00:00:00"/>
    <m/>
    <d v="2028-04-03T00:00:00"/>
    <x v="172"/>
    <n v="6830"/>
    <n v="126.48"/>
    <x v="1"/>
    <m/>
    <s v="Removals"/>
  </r>
  <r>
    <s v="Seabreeze Management Company"/>
    <s v="5%? (S) 2028 - (APR/JUN) Vista de Oro Homeowners Association - (3 Year Plan)"/>
    <s v="Aliso Viejo"/>
    <d v="2025-09-15T00:00:00"/>
    <m/>
    <d v="2028-04-03T00:00:00"/>
    <x v="172"/>
    <n v="7145"/>
    <n v="148.85"/>
    <x v="0"/>
    <m/>
    <s v="Removals"/>
  </r>
  <r>
    <s v="Centennial"/>
    <s v="2028 - PAD(APR/JUN) Bella Terra Pad - (3 Year Treatment Plan) Revised"/>
    <s v="Huntington Beach"/>
    <d v="2026-07-09T00:00:00"/>
    <m/>
    <d v="2028-04-05T00:00:00"/>
    <x v="173"/>
    <n v="612"/>
    <n v="8.7899999999999991"/>
    <x v="1"/>
    <m/>
    <s v="Removals"/>
  </r>
  <r>
    <s v="Keystone Pacific Property Management, LL"/>
    <s v="% 2028 - (APR/JUN) The Vine at Portola Springs - (3 Year Plan)"/>
    <s v="Irvine"/>
    <d v="2026-02-24T00:00:00"/>
    <m/>
    <d v="2028-04-03T00:00:00"/>
    <x v="173"/>
    <n v="12760"/>
    <n v="127.6"/>
    <x v="0"/>
    <m/>
    <s v="Removals"/>
  </r>
  <r>
    <s v="Optimum"/>
    <s v="8% (S) 2028 - (APR/JUN) Woodbridge Parkway Maint. Assoc. - (3 Year Plan)"/>
    <s v="Irvine"/>
    <d v="2025-09-30T00:00:00"/>
    <m/>
    <d v="2028-04-05T00:00:00"/>
    <x v="173"/>
    <n v="3805"/>
    <n v="158.54"/>
    <x v="4"/>
    <m/>
    <s v="Removals"/>
  </r>
  <r>
    <s v="Powerstone Property Management"/>
    <s v="8%? 2028 - (APR/JUN) Valencia Condominiums Association - (Revised 4 Year Plan)"/>
    <s v="Mission Viejo"/>
    <d v="2026-01-13T00:00:00"/>
    <m/>
    <d v="2028-04-05T00:00:00"/>
    <x v="173"/>
    <n v="4417"/>
    <n v="245.37"/>
    <x v="0"/>
    <m/>
    <s v="Removals"/>
  </r>
  <r>
    <s v="Seabreeze Management Company"/>
    <s v="% 2028 - (APR/JUN) Laguna Audubon 1 - (3 Year Plan)"/>
    <s v="Aliso Viejo"/>
    <d v="2026-02-11T00:00:00"/>
    <m/>
    <d v="2028-04-03T00:00:00"/>
    <x v="174"/>
    <n v="13282"/>
    <n v="491.92"/>
    <x v="0"/>
    <m/>
    <s v="Removals"/>
  </r>
  <r>
    <s v="Powerstone Property Management"/>
    <s v="% 2028 - (APR/JUN) St. Tropez Condominium Association - (3 Year Plan)"/>
    <s v="Aliso Viejo"/>
    <d v="2026-03-03T00:00:00"/>
    <m/>
    <d v="2028-04-04T00:00:00"/>
    <x v="175"/>
    <n v="14873"/>
    <n v="137.71"/>
    <x v="0"/>
    <m/>
    <s v="Removals"/>
  </r>
  <r>
    <s v="Optimum"/>
    <s v="% 2028 (Apr/Jun) Altamar HOA - (3 Year Plan)"/>
    <s v="Laguna Niguel"/>
    <d v="2026-03-10T00:00:00"/>
    <m/>
    <d v="2028-04-10T00:00:00"/>
    <x v="176"/>
    <n v="13200"/>
    <n v="488.89"/>
    <x v="0"/>
    <m/>
    <m/>
  </r>
  <r>
    <s v="Shea Properties"/>
    <s v="% 2028 - (Jan/Mar) 122 Vantis Parking, LLC - (3 Year Plan)"/>
    <s v="Aliso Viejo"/>
    <d v="2026-04-23T00:00:00"/>
    <m/>
    <d v="2028-04-10T00:00:00"/>
    <x v="176"/>
    <n v="9890"/>
    <n v="1098.8900000000001"/>
    <x v="0"/>
    <m/>
    <s v="Removals"/>
  </r>
  <r>
    <s v="Keystone Pacific Property Management, LL"/>
    <s v="% 2028 - (Apr/Jun) St. Augustine I - (4 Year Plan)"/>
    <s v="Huntington Beach"/>
    <d v="2026-05-01T00:00:00"/>
    <m/>
    <d v="2028-04-10T00:00:00"/>
    <x v="177"/>
    <n v="12355"/>
    <n v="132.85"/>
    <x v="1"/>
    <m/>
    <m/>
  </r>
  <r>
    <s v="Powerstone Property Management"/>
    <s v="% 2028 - (APR/JUN) Sendero Community Assoc - (WO 12601-3570, 4 Year Plan)"/>
    <s v="Irvine"/>
    <d v="2026-06-23T00:00:00"/>
    <m/>
    <d v="2028-04-14T00:00:00"/>
    <x v="178"/>
    <n v="2830"/>
    <n v="104.81"/>
    <x v="0"/>
    <m/>
    <m/>
  </r>
  <r>
    <s v="Shea Properties"/>
    <s v="% 2028 - (APR/JUN) Vantis Commercial Owners Association - (3 Year Plan)"/>
    <s v="Aliso Viejo"/>
    <d v="2026-04-23T00:00:00"/>
    <m/>
    <d v="2028-04-10T00:00:00"/>
    <x v="178"/>
    <n v="17565"/>
    <n v="1951.67"/>
    <x v="0"/>
    <m/>
    <m/>
  </r>
  <r>
    <s v="TRANSWESTERN"/>
    <s v="% 2028 - (Apr/Jun) 130 Vantis, LLC - (3 Year Plan)"/>
    <s v="Aliso Viejo"/>
    <d v="2026-04-23T00:00:00"/>
    <m/>
    <d v="2028-04-17T00:00:00"/>
    <x v="179"/>
    <n v="4010"/>
    <n v="445.56"/>
    <x v="0"/>
    <m/>
    <s v="Removals"/>
  </r>
  <r>
    <s v="BHE Management"/>
    <s v="% 2028 - (Apr/Jun)Celadon Neighborhood Association - (3 Year Plan)"/>
    <s v="Irvine"/>
    <d v="2026-06-02T00:00:00"/>
    <m/>
    <d v="2028-04-17T00:00:00"/>
    <x v="180"/>
    <n v="13150"/>
    <n v="121.76"/>
    <x v="4"/>
    <m/>
    <s v="Removals"/>
  </r>
  <r>
    <s v="Seabreeze Management Company"/>
    <s v="% 2028 - (APR/JUN) Talavera Maintenance Corporation - (3 Year Plan)"/>
    <s v="Rancho Santa Margarita"/>
    <d v="2026-05-13T00:00:00"/>
    <m/>
    <d v="2028-04-19T00:00:00"/>
    <x v="181"/>
    <n v="10717"/>
    <n v="1190.72"/>
    <x v="0"/>
    <m/>
    <s v="Removals"/>
  </r>
  <r>
    <s v="Walters Management"/>
    <s v="% 2028 - (APR/JUN) The Highlands Maintenance Corporation - (3 Year Plan)"/>
    <s v="Anaheim"/>
    <d v="2026-02-04T00:00:00"/>
    <m/>
    <d v="2028-04-10T00:00:00"/>
    <x v="182"/>
    <n v="53946"/>
    <n v="124.88"/>
    <x v="1"/>
    <m/>
    <s v="Removals"/>
  </r>
  <r>
    <s v="Centennial"/>
    <s v="% 2028 - PAD(APR/JUN) Bella Terra Pad (3 Year Plan)"/>
    <s v="Huntington Beach"/>
    <d v="2026-07-09T00:00:00"/>
    <m/>
    <d v="2028-04-27T00:00:00"/>
    <x v="183"/>
    <n v="3275"/>
    <n v="125.96"/>
    <x v="1"/>
    <m/>
    <s v="Removals"/>
  </r>
  <r>
    <s v="Centennial"/>
    <s v="% 2028 - PARK(APR/JUN) Bella Terra Park (3 Year Plan)"/>
    <s v="Huntington Beach"/>
    <d v="2026-07-09T00:00:00"/>
    <m/>
    <d v="2028-04-27T00:00:00"/>
    <x v="183"/>
    <n v="2010"/>
    <n v="55.83"/>
    <x v="1"/>
    <m/>
    <s v="Removals"/>
  </r>
  <r>
    <s v="Platinum Management Group"/>
    <s v="2028 - (Apr/Jun) La Vista At Laguna Niguel - (3 Year Plan)"/>
    <s v="Laguna Niguel"/>
    <d v="2026-07-23T00:00:00"/>
    <m/>
    <d v="2028-04-24T00:00:00"/>
    <x v="184"/>
    <n v="17615"/>
    <n v="1957.22"/>
    <x v="0"/>
    <m/>
    <s v="Removals"/>
  </r>
  <r>
    <s v="Seabreeze Management Company"/>
    <s v="% 2028 - (MAY/JUN) Tierra Linda HOA (TILI) - (4 Year Plan)"/>
    <s v="Rancho Santa Margarita"/>
    <d v="2026-03-23T00:00:00"/>
    <m/>
    <d v="2028-05-01T00:00:00"/>
    <x v="185"/>
    <n v="7390"/>
    <n v="434.71"/>
    <x v="0"/>
    <m/>
    <s v="Removals"/>
  </r>
  <r>
    <s v="Revolve Property Management"/>
    <s v="2028 - (May/Apr)Amalfi Hills Community Association - (3 Year Plan)"/>
    <s v="Yorba Linda"/>
    <d v="2026-05-22T00:00:00"/>
    <m/>
    <d v="2028-05-01T00:00:00"/>
    <x v="186"/>
    <n v="11833"/>
    <n v="119.53"/>
    <x v="1"/>
    <m/>
    <s v="Removals"/>
  </r>
  <r>
    <s v="Centennial"/>
    <s v="% 2028 - MALL(APR/JUN) Bella Terra Mall (3 Year Plan)"/>
    <s v="Huntington Beach"/>
    <d v="2026-07-09T00:00:00"/>
    <m/>
    <d v="2028-04-28T00:00:00"/>
    <x v="187"/>
    <n v="32515"/>
    <n v="129.03"/>
    <x v="1"/>
    <m/>
    <s v="Removals"/>
  </r>
  <r>
    <s v="Keystone Pacific Property Management, LL"/>
    <s v="%? (S) 2028 - (JUNE) Willow Glen Serrano HOA - (4 Year Plan)"/>
    <s v="Lake Forest"/>
    <d v="2025-08-27T00:00:00"/>
    <m/>
    <d v="2028-06-01T00:00:00"/>
    <x v="188"/>
    <n v="11210"/>
    <n v="138.38999999999999"/>
    <x v="0"/>
    <m/>
    <s v="Removals"/>
  </r>
  <r>
    <s v="Powerstone Property Management"/>
    <s v="8% (N) 2028 - (JUL/SEP ) Pacific Shores HOA - (Revised 3 Year Plan)"/>
    <s v="Huntington Beach"/>
    <d v="2026-01-22T00:00:00"/>
    <m/>
    <d v="2028-07-24T00:00:00"/>
    <x v="189"/>
    <n v="21871"/>
    <n v="121.51"/>
    <x v="1"/>
    <m/>
    <s v="Removals"/>
  </r>
  <r>
    <s v="BHE Management"/>
    <s v="% 2028 - (AUG/SEP) C2E Townhomes Community - (4 Year Plan)"/>
    <s v="Irvine"/>
    <d v="2026-04-07T00:00:00"/>
    <m/>
    <d v="2028-08-01T00:00:00"/>
    <x v="190"/>
    <n v="3060"/>
    <n v="113.33"/>
    <x v="4"/>
    <m/>
    <s v="Removals"/>
  </r>
  <r>
    <s v="BHE Management"/>
    <s v="5% (S) 2028 - (AUG/SEP) Carissa Neighorbood Association - (4 Year Plan)"/>
    <s v="Irvine"/>
    <d v="2025-08-18T00:00:00"/>
    <m/>
    <d v="2028-08-01T00:00:00"/>
    <x v="191"/>
    <n v="7340"/>
    <n v="135.93"/>
    <x v="0"/>
    <m/>
    <s v="Removals"/>
  </r>
  <r>
    <s v="Keystone Pacific Property Management, LL"/>
    <s v="8% 2028 - (AUG/SEP) The Laurel Condominium Association (4 Year Plan)"/>
    <s v="Costa Mesa"/>
    <d v="2026-02-02T00:00:00"/>
    <m/>
    <d v="2028-08-03T00:00:00"/>
    <x v="192"/>
    <n v="6470"/>
    <n v="179.72"/>
    <x v="1"/>
    <m/>
    <s v="Removals"/>
  </r>
  <r>
    <s v="BHE Management"/>
    <s v="% 2028 - Vientos Maintenance Association - (3 Year Plan)"/>
    <s v="Irvine"/>
    <d v="2026-04-07T00:00:00"/>
    <m/>
    <d v="2028-08-01T00:00:00"/>
    <x v="193"/>
    <n v="17830"/>
    <n v="1981.11"/>
    <x v="4"/>
    <m/>
    <s v="Removals"/>
  </r>
  <r>
    <s v="The Management Trust"/>
    <s v="2028 (Aug/Sept) Walden Community - (3 Year Plan)"/>
    <s v="Garden Grove"/>
    <d v="2025-10-17T00:00:00"/>
    <m/>
    <d v="2028-08-07T00:00:00"/>
    <x v="193"/>
    <n v="1700"/>
    <n v="125.93"/>
    <x v="1"/>
    <m/>
    <m/>
  </r>
  <r>
    <s v="Optimum"/>
    <s v="% 2028 - (AUG/SEP) Del Prado HOA (Tract 8965)-(3 Year Plan)"/>
    <s v="Laguna Niguel"/>
    <d v="2026-03-11T00:00:00"/>
    <m/>
    <d v="2028-08-07T00:00:00"/>
    <x v="194"/>
    <n v="45190"/>
    <n v="1673.7"/>
    <x v="0"/>
    <m/>
    <s v="Removals"/>
  </r>
  <r>
    <s v="BHE Management"/>
    <s v="[TREATMENT] (S) 2028 - (AUG/SEP) Carissa Neighorbood Association - (Koelreuteria Treatment Plan)"/>
    <s v="Irvine"/>
    <d v="2025-08-18T00:00:00"/>
    <m/>
    <d v="2028-09-29T00:00:00"/>
    <x v="195"/>
    <n v="2000"/>
    <n v="0"/>
    <x v="0"/>
    <m/>
    <s v="Removals"/>
  </r>
  <r>
    <s v="Centennial"/>
    <s v="2028 - PARK(OCT/DEC) Bella Terra Park - (3 Year Treatment Plan)"/>
    <s v="Huntington Beach"/>
    <d v="2026-07-09T00:00:00"/>
    <m/>
    <d v="2028-10-02T00:00:00"/>
    <x v="196"/>
    <n v="671"/>
    <n v="0"/>
    <x v="1"/>
    <m/>
    <m/>
  </r>
  <r>
    <s v="Keystone Pacific Property Management, LL"/>
    <s v="%? (S) 2028 - (OCT/DEC) Willow Glen Serrano HOA - (4 Year Plan)"/>
    <s v="Lake Forest"/>
    <d v="2025-08-27T00:00:00"/>
    <m/>
    <d v="2028-10-02T00:00:00"/>
    <x v="196"/>
    <n v="3590"/>
    <n v="132.96"/>
    <x v="0"/>
    <m/>
    <s v="Removals"/>
  </r>
  <r>
    <s v="Warmington Properties, Inc."/>
    <s v="2028 - (Oct/Dec) Alicia Business Center (97) (GPS) - (4 Year Plan)"/>
    <s v="Mission Viejo"/>
    <d v="2026-06-05T00:00:00"/>
    <m/>
    <d v="2028-10-02T00:00:00"/>
    <x v="196"/>
    <n v="5060"/>
    <n v="0"/>
    <x v="0"/>
    <m/>
    <s v="Removals"/>
  </r>
  <r>
    <s v="Brown and Company Mgmt. Services"/>
    <s v="8% (S) 2028 - (OCT/DEC) Sycamore Plaza - (4 Year Plan)"/>
    <s v="Lake Forest"/>
    <d v="2025-12-17T00:00:00"/>
    <m/>
    <d v="2028-10-02T00:00:00"/>
    <x v="197"/>
    <n v="7265"/>
    <n v="134.54"/>
    <x v="0"/>
    <m/>
    <m/>
  </r>
  <r>
    <s v="Centennial"/>
    <s v="2028 - PAD(OCT/DEC) Bella Terra Pad - (3 Year Treatment Plan)Revised"/>
    <s v="Huntington Beach"/>
    <d v="2026-07-09T00:00:00"/>
    <m/>
    <d v="2028-10-03T00:00:00"/>
    <x v="197"/>
    <n v="722"/>
    <n v="0"/>
    <x v="1"/>
    <m/>
    <s v="Removals"/>
  </r>
  <r>
    <s v="BHE Management"/>
    <s v="5% (S) 2028 - (OCT/DEC) Carissa Neighorbood Association - (4 Year Plan)"/>
    <s v="Irvine"/>
    <d v="2025-08-18T00:00:00"/>
    <m/>
    <d v="2028-10-02T00:00:00"/>
    <x v="198"/>
    <n v="9545"/>
    <n v="117.84"/>
    <x v="0"/>
    <m/>
    <s v="Removals"/>
  </r>
  <r>
    <s v="Centennial"/>
    <s v="2028 - MALL(OCT/DEC) Bella Terra Mall - (3 Year Treatment Plan)Discounted"/>
    <s v="Huntington Beach"/>
    <d v="2026-07-09T00:00:00"/>
    <m/>
    <d v="2028-10-04T00:00:00"/>
    <x v="198"/>
    <n v="16896"/>
    <n v="0"/>
    <x v="1"/>
    <m/>
    <m/>
  </r>
  <r>
    <s v="Optimum"/>
    <s v="8% (S) 2028 - (OCT/DEC) Woodbridge Parkway Maint. Assoc. - (3 Year Plan)"/>
    <s v="Irvine"/>
    <d v="2025-09-30T00:00:00"/>
    <m/>
    <d v="2028-10-03T00:00:00"/>
    <x v="198"/>
    <n v="6881"/>
    <n v="143.34"/>
    <x v="4"/>
    <m/>
    <s v="Removals"/>
  </r>
  <r>
    <s v="Seabreeze Management Company"/>
    <s v="5%? (S) 2028 - (OCT/JAN) Vista de Oro Homeowners Association - (3 Year Plan)"/>
    <s v="Aliso Viejo"/>
    <d v="2025-09-15T00:00:00"/>
    <m/>
    <d v="2028-10-02T00:00:00"/>
    <x v="198"/>
    <n v="8200"/>
    <n v="113.89"/>
    <x v="0"/>
    <m/>
    <s v="Removals"/>
  </r>
  <r>
    <s v="Keystone Pacific Property Management, LL"/>
    <s v="8% (S) 2028 - (OCT/DEC) Monarch Bay - (4 Year Plan)"/>
    <s v="Dana Point"/>
    <d v="2025-12-02T00:00:00"/>
    <m/>
    <d v="2028-10-05T00:00:00"/>
    <x v="199"/>
    <n v="2000"/>
    <n v="74.069999999999993"/>
    <x v="0"/>
    <m/>
    <s v="Removals"/>
  </r>
  <r>
    <s v="Warmington Properties, Inc."/>
    <s v="2028 - (OCT/DEC) Alicia Center Company (Honali) (98) - (3 Year Plan)"/>
    <s v="Laguna Hills"/>
    <d v="2026-06-05T00:00:00"/>
    <m/>
    <d v="2028-10-07T00:00:00"/>
    <x v="200"/>
    <n v="5680"/>
    <n v="0"/>
    <x v="0"/>
    <m/>
    <m/>
  </r>
  <r>
    <s v="BHE Management"/>
    <s v="2028 (Oct/Dec) Lux Community Association - (3 Year Plan)"/>
    <s v="Irvine"/>
    <d v="2026-03-24T00:00:00"/>
    <m/>
    <d v="2028-10-09T00:00:00"/>
    <x v="201"/>
    <n v="4383"/>
    <n v="487.03"/>
    <x v="4"/>
    <m/>
    <s v="Removals"/>
  </r>
  <r>
    <s v="Centennial"/>
    <s v="% 2028 - PAD(OCT/DEC) Bella Terra Pad (3 Year Plan)"/>
    <s v="Huntington Beach"/>
    <d v="2026-07-09T00:00:00"/>
    <m/>
    <d v="2028-10-09T00:00:00"/>
    <x v="201"/>
    <n v="1245"/>
    <n v="155.63"/>
    <x v="1"/>
    <m/>
    <s v="Removals"/>
  </r>
  <r>
    <s v="Centennial"/>
    <s v="% 2028 - PARK(OCT/DEC) Bella Terra Park (3 Year Plan)"/>
    <s v="Huntington Beach"/>
    <d v="2026-07-09T00:00:00"/>
    <m/>
    <d v="2028-10-09T00:00:00"/>
    <x v="201"/>
    <n v="910"/>
    <n v="151.66999999999999"/>
    <x v="1"/>
    <m/>
    <s v="Removals"/>
  </r>
  <r>
    <s v="BHE Management"/>
    <s v="8% (S) 2028 - (OCT/DEC) Montara Neighborhood Association - (3 Year Plan)"/>
    <s v="Irvine"/>
    <d v="2025-10-13T00:00:00"/>
    <m/>
    <d v="2028-10-05T00:00:00"/>
    <x v="202"/>
    <n v="12760"/>
    <n v="132.91999999999999"/>
    <x v="4"/>
    <m/>
    <s v="Removals"/>
  </r>
  <r>
    <s v="Centennial"/>
    <s v="% 2028 - MALL(OCT/DEC) Bella Terra Mall (3 Year Plan)"/>
    <s v="Huntington Beach"/>
    <d v="2026-07-09T00:00:00"/>
    <m/>
    <d v="2028-10-09T00:00:00"/>
    <x v="202"/>
    <n v="5930"/>
    <n v="123.54"/>
    <x v="1"/>
    <m/>
    <s v="Removals"/>
  </r>
  <r>
    <s v="Warmington Properties, Inc."/>
    <s v="2028 - (Oct/Dec) Bayport Jeronimo Assoc., LP (52) - (3 Year Plan) Revised"/>
    <s v="Mission Viejo"/>
    <d v="2026-07-08T00:00:00"/>
    <m/>
    <d v="2028-10-09T00:00:00"/>
    <x v="202"/>
    <n v="6795"/>
    <n v="755"/>
    <x v="0"/>
    <m/>
    <s v="Removals"/>
  </r>
  <r>
    <s v="Seabreeze Management Company"/>
    <s v="% 2028 - (Oct/Dec)Caserta II Neighborhood Association - (3 Year Plan)"/>
    <s v="Irvine"/>
    <d v="2026-04-09T00:00:00"/>
    <m/>
    <d v="2028-10-12T00:00:00"/>
    <x v="203"/>
    <n v="13370"/>
    <n v="1485.56"/>
    <x v="4"/>
    <m/>
    <m/>
  </r>
  <r>
    <s v="BHE Management"/>
    <s v="% 2028 - (OCT/DEC) C2E Townhomes Community - (4 Year Plan)"/>
    <s v="Irvine"/>
    <d v="2026-04-07T00:00:00"/>
    <m/>
    <d v="2028-11-01T00:00:00"/>
    <x v="204"/>
    <n v="5020"/>
    <n v="185.93"/>
    <x v="4"/>
    <m/>
    <s v="Removals"/>
  </r>
  <r>
    <s v="Optimum"/>
    <s v="% 2029 - (JAN/MAR) Del Prado HOA (Tract 8965)-(3 Year Plan)"/>
    <s v="Laguna Niguel"/>
    <d v="2026-03-11T00:00:00"/>
    <m/>
    <d v="2029-01-02T00:00:00"/>
    <x v="205"/>
    <n v="2500"/>
    <n v="277.77999999999997"/>
    <x v="0"/>
    <m/>
    <s v="Removals"/>
  </r>
  <r>
    <s v="Optimum"/>
    <s v="2029 - (Removals) Villavante Community Association - (4 Year Removal Plan)"/>
    <s v="Rancho Santa Margarita"/>
    <d v="2026-02-16T00:00:00"/>
    <m/>
    <d v="2029-01-01T00:00:00"/>
    <x v="205"/>
    <n v="6100"/>
    <n v="677.78"/>
    <x v="0"/>
    <s v="Removals"/>
    <s v="Removals"/>
  </r>
  <r>
    <s v="Revolve Property Management"/>
    <s v="2029 - (Jan/Apr)Amalfi Hills Community Association - (3 Year Plan)"/>
    <s v="Yorba Linda"/>
    <d v="2026-05-22T00:00:00"/>
    <m/>
    <d v="2029-01-01T00:00:00"/>
    <x v="206"/>
    <n v="14239"/>
    <n v="131.84"/>
    <x v="1"/>
    <m/>
    <s v="Removals"/>
  </r>
  <r>
    <s v="Seabreeze Management Company"/>
    <s v="% 2029 - (JAN/MAR) Laguna Audubon 1 - (3 Year Plan)"/>
    <s v="Aliso Viejo"/>
    <d v="2026-02-11T00:00:00"/>
    <m/>
    <d v="2029-01-01T00:00:00"/>
    <x v="207"/>
    <n v="21414"/>
    <n v="793.11"/>
    <x v="0"/>
    <m/>
    <s v="Removals"/>
  </r>
  <r>
    <s v="Seabreeze Management Company"/>
    <s v="% 2029 - (JAN/APR) Tierra Linda HOA (TILI) - (4 Year Plan)"/>
    <s v="Rancho Santa Margarita"/>
    <d v="2026-03-23T00:00:00"/>
    <m/>
    <d v="2029-01-08T00:00:00"/>
    <x v="208"/>
    <n v="15691"/>
    <n v="1743.39"/>
    <x v="0"/>
    <m/>
    <s v="Removals"/>
  </r>
  <r>
    <s v="Powerstone Property Management"/>
    <s v="2029 - (APR/JUN) Sendero Community Assoc - (WO 12601-3570, 4 Year Plan)"/>
    <s v="Irvine"/>
    <d v="2026-06-23T00:00:00"/>
    <m/>
    <d v="2029-04-02T00:00:00"/>
    <x v="209"/>
    <n v="2830"/>
    <n v="0"/>
    <x v="0"/>
    <m/>
    <m/>
  </r>
  <r>
    <s v="Pacific West Asset Management"/>
    <s v="% 2029 - (APR/JUN) H Bizctr San Clemente OA - (3 Year Plan)"/>
    <s v="San Clemente"/>
    <d v="2026-04-16T00:00:00"/>
    <m/>
    <d v="2029-04-02T00:00:00"/>
    <x v="210"/>
    <n v="7090"/>
    <n v="131.30000000000001"/>
    <x v="0"/>
    <m/>
    <s v="Removals"/>
  </r>
  <r>
    <s v="Keystone Pacific Property Management, LL"/>
    <s v="% 2029 - (Apr/Jun) St. Augustine I - (4 Year Plan)"/>
    <s v="Huntington Beach"/>
    <d v="2026-05-01T00:00:00"/>
    <m/>
    <d v="2029-04-02T00:00:00"/>
    <x v="211"/>
    <n v="13810"/>
    <n v="127.87"/>
    <x v="1"/>
    <m/>
    <m/>
  </r>
  <r>
    <s v="Platinum Management Group"/>
    <s v="2029 - (Apr/Jun) La Vista At Laguna Niguel - (3 Year Plan)"/>
    <s v="Laguna Niguel"/>
    <d v="2026-07-23T00:00:00"/>
    <m/>
    <d v="2029-04-05T00:00:00"/>
    <x v="212"/>
    <n v="18930"/>
    <n v="0"/>
    <x v="0"/>
    <m/>
    <s v="Removals"/>
  </r>
  <r>
    <s v="Revolve Property Management"/>
    <s v="2029 - (May/Jun) Amalfi Hills Community Association - (3 Year Plan)"/>
    <s v="Yorba Linda"/>
    <d v="2026-05-22T00:00:00"/>
    <m/>
    <d v="2029-05-02T00:00:00"/>
    <x v="213"/>
    <n v="4782"/>
    <n v="177.11"/>
    <x v="1"/>
    <m/>
    <s v="Removals"/>
  </r>
  <r>
    <s v="BHE Management"/>
    <s v="% 2029 - (AUG/SEP) C2E Townhomes Community - (4 Year Plan)"/>
    <s v="Irvine"/>
    <d v="2026-04-07T00:00:00"/>
    <m/>
    <d v="2029-08-01T00:00:00"/>
    <x v="214"/>
    <n v="2535"/>
    <n v="0"/>
    <x v="4"/>
    <m/>
    <s v="Removals"/>
  </r>
  <r>
    <s v="Revolve Property Management"/>
    <s v="2029 - (Jul/Sep)Amalfi Hills Community Association - (3 Year Plan)"/>
    <s v="Yorba Linda"/>
    <d v="2026-05-22T00:00:00"/>
    <m/>
    <d v="2029-08-01T00:00:00"/>
    <x v="214"/>
    <n v="4666"/>
    <n v="172.8"/>
    <x v="1"/>
    <m/>
    <s v="Removals"/>
  </r>
  <r>
    <s v="Warmington Properties, Inc."/>
    <s v="2029 - (Oct/Dec) Alicia Business Center (97) (GPS) - (4 Year Plan)"/>
    <s v="Mission Viejo"/>
    <d v="2026-06-05T00:00:00"/>
    <m/>
    <d v="2029-10-01T00:00:00"/>
    <x v="215"/>
    <n v="3950"/>
    <n v="0"/>
    <x v="0"/>
    <m/>
    <s v="Removals"/>
  </r>
  <r>
    <s v="Warmington Properties, Inc."/>
    <s v="2029 - (OCT/DEC) Alicia Center Company (Honali) (98) - (3 Year Plan)"/>
    <s v="Laguna Hills"/>
    <d v="2026-06-05T00:00:00"/>
    <m/>
    <d v="2029-10-06T00:00:00"/>
    <x v="216"/>
    <n v="6455"/>
    <n v="0"/>
    <x v="0"/>
    <m/>
    <m/>
  </r>
  <r>
    <s v="BHE Management"/>
    <s v="% 2029 - (OCT/DEC) C2E Townhomes Community - (4 Year Plan)"/>
    <s v="Irvine"/>
    <d v="2026-04-07T00:00:00"/>
    <m/>
    <d v="2029-11-01T00:00:00"/>
    <x v="217"/>
    <n v="3800"/>
    <n v="0"/>
    <x v="4"/>
    <m/>
    <s v="Removal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2FCC3-BBC2-42A7-984D-AAF07057722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7" firstHeaderRow="1" firstDataRow="2" firstDataCol="1"/>
  <pivotFields count="15">
    <pivotField showAll="0"/>
    <pivotField showAll="0"/>
    <pivotField showAll="0"/>
    <pivotField numFmtId="14" showAll="0"/>
    <pivotField showAll="0"/>
    <pivotField numFmtId="14" showAll="0"/>
    <pivotField axis="axisRow" numFmtId="14" showAll="0">
      <items count="2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dataField="1" showAll="0"/>
    <pivotField showAll="0"/>
    <pivotField axis="axisCol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x="3"/>
        <item x="4"/>
        <item sd="0" x="5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4">
    <field x="14"/>
    <field x="13"/>
    <field x="12"/>
    <field x="6"/>
  </rowFields>
  <rowItems count="13">
    <i>
      <x v="1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>
      <x v="3"/>
    </i>
    <i>
      <x v="4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Est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7CB48-E1D2-4EB0-B456-0579118A8E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268">
        <item m="1" x="259"/>
        <item m="1" x="260"/>
        <item m="1" x="261"/>
        <item m="1" x="266"/>
        <item m="1" x="265"/>
        <item m="1" x="264"/>
        <item m="1" x="263"/>
        <item m="1" x="2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dataField="1" showAll="0"/>
    <pivotField showAll="0"/>
    <pivotField axis="axisCol" showAll="0">
      <items count="8">
        <item x="1"/>
        <item x="2"/>
        <item x="4"/>
        <item m="1" x="6"/>
        <item x="3"/>
        <item x="0"/>
        <item x="5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1"/>
        <item sd="0" x="2"/>
        <item x="3"/>
        <item x="4"/>
        <item sd="0" x="5"/>
        <item x="0"/>
        <item t="default"/>
      </items>
    </pivotField>
    <pivotField axis="axisRow" showAll="0">
      <items count="6">
        <item x="1"/>
        <item h="1" sd="0" x="2"/>
        <item h="1" sd="0" x="3"/>
        <item h="1" sd="0" x="4"/>
        <item h="1" x="0"/>
        <item t="default"/>
      </items>
    </pivotField>
  </pivotFields>
  <rowFields count="4">
    <field x="14"/>
    <field x="13"/>
    <field x="12"/>
    <field x="6"/>
  </rowFields>
  <rowItems count="9">
    <i>
      <x/>
    </i>
    <i r="1">
      <x v="2"/>
    </i>
    <i r="2">
      <x v="8"/>
    </i>
    <i r="2">
      <x v="9"/>
    </i>
    <i r="1">
      <x v="3"/>
    </i>
    <i r="2">
      <x v="10"/>
    </i>
    <i r="2">
      <x v="11"/>
    </i>
    <i r="2">
      <x v="12"/>
    </i>
    <i t="grand">
      <x/>
    </i>
  </rowItems>
  <colFields count="1">
    <field x="9"/>
  </colFields>
  <colItems count="6">
    <i>
      <x/>
    </i>
    <i>
      <x v="1"/>
    </i>
    <i>
      <x v="2"/>
    </i>
    <i>
      <x v="4"/>
    </i>
    <i>
      <x v="5"/>
    </i>
    <i t="grand">
      <x/>
    </i>
  </colItems>
  <dataFields count="1">
    <dataField name="Sum of Est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73AB-1CA0-4245-87F2-DC91D93F5EB4}">
  <sheetPr codeName="Sheet1"/>
  <dimension ref="B1:L21"/>
  <sheetViews>
    <sheetView view="pageBreakPreview" zoomScale="130" zoomScaleNormal="130" zoomScaleSheetLayoutView="130" workbookViewId="0">
      <pane ySplit="1" topLeftCell="A7" activePane="bottomLeft" state="frozen"/>
      <selection activeCell="R8" sqref="R8"/>
      <selection pane="bottomLeft" activeCell="R8" sqref="R8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</cols>
  <sheetData>
    <row r="1" spans="2:12" ht="24.95" customHeight="1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12" t="s">
        <v>130</v>
      </c>
      <c r="I1" s="12" t="s">
        <v>76</v>
      </c>
      <c r="J1" s="16" t="s">
        <v>54</v>
      </c>
      <c r="L1" s="24">
        <v>45493</v>
      </c>
    </row>
    <row r="2" spans="2:12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" si="1">SUM(L3:L5)</f>
        <v>3385874.4299999997</v>
      </c>
    </row>
    <row r="3" spans="2:12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</row>
    <row r="4" spans="2:12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</row>
    <row r="5" spans="2:12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</row>
    <row r="6" spans="2:12" ht="24.95" customHeight="1" x14ac:dyDescent="0.25">
      <c r="B6" s="9" t="s">
        <v>51</v>
      </c>
      <c r="C6" s="7">
        <f t="shared" ref="C6:J6" si="4">SUM(C7:C9)</f>
        <v>678726.08000000007</v>
      </c>
      <c r="D6" s="7">
        <f t="shared" si="4"/>
        <v>1462690.27</v>
      </c>
      <c r="E6" s="7">
        <f t="shared" si="4"/>
        <v>292608</v>
      </c>
      <c r="F6" s="7">
        <f t="shared" si="4"/>
        <v>489272.25</v>
      </c>
      <c r="G6" s="7">
        <f t="shared" si="4"/>
        <v>1077784.4099999999</v>
      </c>
      <c r="H6" s="13">
        <f t="shared" si="4"/>
        <v>4001081.01</v>
      </c>
      <c r="I6" s="13">
        <f t="shared" si="4"/>
        <v>1669836.55</v>
      </c>
      <c r="J6" s="17">
        <f t="shared" si="4"/>
        <v>5670917.5599999996</v>
      </c>
      <c r="L6" s="13">
        <f>SUM(L7:L9)</f>
        <v>3895688.7</v>
      </c>
    </row>
    <row r="7" spans="2:12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5">SUM(C7:G7)</f>
        <v>1192737.69</v>
      </c>
      <c r="I7" s="14">
        <v>443467.22</v>
      </c>
      <c r="J7" s="18">
        <f t="shared" ref="J7:J9" si="6">SUM(H7:I7)</f>
        <v>1636204.91</v>
      </c>
      <c r="L7" s="14">
        <v>1061097.27</v>
      </c>
    </row>
    <row r="8" spans="2:12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5"/>
        <v>1569379.5</v>
      </c>
      <c r="I8" s="14">
        <v>437987.23</v>
      </c>
      <c r="J8" s="18">
        <f t="shared" si="6"/>
        <v>2007366.73</v>
      </c>
      <c r="K8" s="4"/>
      <c r="L8" s="14">
        <v>1507193.88</v>
      </c>
    </row>
    <row r="9" spans="2:12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5"/>
        <v>1238963.8199999998</v>
      </c>
      <c r="I9" s="14">
        <v>788382.10000000009</v>
      </c>
      <c r="J9" s="18">
        <f t="shared" si="6"/>
        <v>2027345.9199999999</v>
      </c>
      <c r="L9" s="14">
        <v>1327397.55</v>
      </c>
    </row>
    <row r="10" spans="2:12" ht="24.95" customHeight="1" x14ac:dyDescent="0.25">
      <c r="B10" s="9" t="s">
        <v>52</v>
      </c>
      <c r="C10" s="7">
        <f>SUM(C11:C14)</f>
        <v>459361.32</v>
      </c>
      <c r="D10" s="7">
        <f t="shared" ref="D10:J10" si="7">SUM(D11:D14)</f>
        <v>593861.05000000005</v>
      </c>
      <c r="E10" s="7">
        <f t="shared" si="7"/>
        <v>81435</v>
      </c>
      <c r="F10" s="7">
        <f t="shared" si="7"/>
        <v>263444</v>
      </c>
      <c r="G10" s="7">
        <f t="shared" si="7"/>
        <v>1366785.9</v>
      </c>
      <c r="H10" s="13">
        <f t="shared" si="7"/>
        <v>2764887.27</v>
      </c>
      <c r="I10" s="13">
        <f t="shared" si="7"/>
        <v>2296448.0318181817</v>
      </c>
      <c r="J10" s="17">
        <f t="shared" si="7"/>
        <v>5061335.3018181818</v>
      </c>
      <c r="K10" s="4"/>
      <c r="L10" s="13">
        <f>SUM(L11:L14)</f>
        <v>2523970.7999999998</v>
      </c>
    </row>
    <row r="11" spans="2:12" ht="24.95" customHeight="1" x14ac:dyDescent="0.25">
      <c r="B11" s="8" t="s">
        <v>557</v>
      </c>
      <c r="C11" s="5">
        <v>152247.32</v>
      </c>
      <c r="D11" s="5">
        <v>90488.05</v>
      </c>
      <c r="E11" s="5">
        <v>10810</v>
      </c>
      <c r="F11" s="5">
        <v>39455</v>
      </c>
      <c r="G11" s="5">
        <v>232557.9</v>
      </c>
      <c r="H11" s="14">
        <f t="shared" ref="H11:H14" si="8">SUM(C11:G11)</f>
        <v>525558.27</v>
      </c>
      <c r="I11" s="14">
        <v>179547.14499999999</v>
      </c>
      <c r="J11" s="18">
        <f t="shared" ref="J11:J14" si="9">SUM(H11:I11)</f>
        <v>705105.41500000004</v>
      </c>
      <c r="L11" s="14">
        <v>793600.8</v>
      </c>
    </row>
    <row r="12" spans="2:12" ht="24.95" customHeight="1" x14ac:dyDescent="0.25">
      <c r="B12" s="8" t="s">
        <v>80</v>
      </c>
      <c r="C12" s="5">
        <v>119864</v>
      </c>
      <c r="D12" s="5">
        <v>103182</v>
      </c>
      <c r="E12" s="5">
        <v>60165</v>
      </c>
      <c r="F12" s="5">
        <v>65118</v>
      </c>
      <c r="G12" s="5">
        <v>491443</v>
      </c>
      <c r="H12" s="14">
        <f t="shared" si="8"/>
        <v>839772</v>
      </c>
      <c r="I12" s="14">
        <v>372442.57</v>
      </c>
      <c r="J12" s="18">
        <f t="shared" si="9"/>
        <v>1212214.57</v>
      </c>
      <c r="L12" s="14">
        <v>564022</v>
      </c>
    </row>
    <row r="13" spans="2:12" ht="24.95" customHeight="1" x14ac:dyDescent="0.25">
      <c r="B13" s="8" t="s">
        <v>81</v>
      </c>
      <c r="C13" s="5">
        <v>84135</v>
      </c>
      <c r="D13" s="5">
        <v>385961</v>
      </c>
      <c r="E13" s="5">
        <v>10460</v>
      </c>
      <c r="F13" s="5">
        <v>144171</v>
      </c>
      <c r="G13" s="5">
        <v>563135</v>
      </c>
      <c r="H13" s="14">
        <f t="shared" si="8"/>
        <v>1187862</v>
      </c>
      <c r="I13" s="14">
        <v>972070.56340909074</v>
      </c>
      <c r="J13" s="18">
        <f t="shared" si="9"/>
        <v>2159932.563409091</v>
      </c>
      <c r="L13" s="14">
        <v>712221</v>
      </c>
    </row>
    <row r="14" spans="2:12" ht="24.95" customHeight="1" x14ac:dyDescent="0.25">
      <c r="B14" s="8" t="s">
        <v>82</v>
      </c>
      <c r="C14" s="5">
        <v>103115</v>
      </c>
      <c r="D14" s="5">
        <v>14230</v>
      </c>
      <c r="E14" s="5"/>
      <c r="F14" s="5">
        <v>14700</v>
      </c>
      <c r="G14" s="5">
        <v>79650</v>
      </c>
      <c r="H14" s="14">
        <f t="shared" si="8"/>
        <v>211695</v>
      </c>
      <c r="I14" s="14">
        <v>772387.7534090908</v>
      </c>
      <c r="J14" s="18">
        <f t="shared" si="9"/>
        <v>984082.7534090908</v>
      </c>
      <c r="L14" s="14">
        <v>454127</v>
      </c>
    </row>
    <row r="15" spans="2:12" ht="24.95" customHeight="1" x14ac:dyDescent="0.25">
      <c r="B15" s="9" t="s">
        <v>53</v>
      </c>
      <c r="C15" s="7">
        <f>SUM(C16:C18)</f>
        <v>209164</v>
      </c>
      <c r="D15" s="7">
        <f>SUM(D16:D18)</f>
        <v>325642</v>
      </c>
      <c r="E15" s="7"/>
      <c r="F15" s="7">
        <f>SUM(F16:F18)</f>
        <v>193892</v>
      </c>
      <c r="G15" s="7">
        <f>SUM(G16:G18)</f>
        <v>629198</v>
      </c>
      <c r="H15" s="13">
        <f>SUM(H16:H18)</f>
        <v>1490926</v>
      </c>
      <c r="I15" s="13">
        <f>SUM(I16:I18)</f>
        <v>1999705.124393939</v>
      </c>
      <c r="J15" s="17">
        <f>SUM(J16:J18)</f>
        <v>3490631.1243939395</v>
      </c>
      <c r="L15" s="13">
        <f>SUM(L16:L18)</f>
        <v>1074593</v>
      </c>
    </row>
    <row r="16" spans="2:12" ht="24.95" customHeight="1" x14ac:dyDescent="0.25">
      <c r="B16" s="8" t="s">
        <v>83</v>
      </c>
      <c r="C16" s="5">
        <v>152916</v>
      </c>
      <c r="D16" s="5">
        <v>272822</v>
      </c>
      <c r="E16" s="5">
        <v>86435</v>
      </c>
      <c r="F16" s="5">
        <v>142522</v>
      </c>
      <c r="G16" s="5">
        <v>126089</v>
      </c>
      <c r="H16" s="14">
        <f t="shared" ref="H16:H18" si="10">SUM(C16:G16)</f>
        <v>780784</v>
      </c>
      <c r="I16" s="14">
        <v>693124.37479797972</v>
      </c>
      <c r="J16" s="18">
        <f t="shared" ref="J16:J18" si="11">SUM(H16:I16)</f>
        <v>1473908.3747979798</v>
      </c>
      <c r="L16" s="14">
        <v>886662</v>
      </c>
    </row>
    <row r="17" spans="2:12" ht="24.95" customHeight="1" x14ac:dyDescent="0.25">
      <c r="B17" s="8" t="s">
        <v>84</v>
      </c>
      <c r="C17" s="5">
        <v>56248</v>
      </c>
      <c r="D17" s="5">
        <v>42314</v>
      </c>
      <c r="E17" s="5">
        <v>46595</v>
      </c>
      <c r="F17" s="5">
        <v>51370</v>
      </c>
      <c r="G17" s="5">
        <v>170099</v>
      </c>
      <c r="H17" s="14">
        <f t="shared" si="10"/>
        <v>366626</v>
      </c>
      <c r="I17" s="14">
        <v>653290.37479797972</v>
      </c>
      <c r="J17" s="18">
        <f t="shared" si="11"/>
        <v>1019916.3747979797</v>
      </c>
      <c r="L17" s="14">
        <v>129416</v>
      </c>
    </row>
    <row r="18" spans="2:12" ht="24.95" customHeight="1" x14ac:dyDescent="0.25">
      <c r="B18" s="8" t="s">
        <v>85</v>
      </c>
      <c r="C18" s="5"/>
      <c r="D18" s="5">
        <v>10506</v>
      </c>
      <c r="E18" s="5"/>
      <c r="F18" s="5"/>
      <c r="G18" s="5">
        <v>333010</v>
      </c>
      <c r="H18" s="14">
        <f t="shared" si="10"/>
        <v>343516</v>
      </c>
      <c r="I18" s="14">
        <v>653290.37479797972</v>
      </c>
      <c r="J18" s="18">
        <f t="shared" si="11"/>
        <v>996806.37479797972</v>
      </c>
      <c r="L18" s="14">
        <v>58515</v>
      </c>
    </row>
    <row r="19" spans="2:12" ht="24.95" customHeight="1" x14ac:dyDescent="0.25">
      <c r="B19" s="10" t="s">
        <v>131</v>
      </c>
      <c r="C19" s="6">
        <f>SUM(C3:C5,C7:C9,C11)</f>
        <v>1606679.1700000002</v>
      </c>
      <c r="D19" s="6">
        <f t="shared" ref="D19:J19" si="12">SUM(D3:D5,D7:D9,D11)</f>
        <v>2063021.68</v>
      </c>
      <c r="E19" s="6">
        <f t="shared" si="12"/>
        <v>330017.25</v>
      </c>
      <c r="F19" s="6">
        <f t="shared" si="12"/>
        <v>782023.5</v>
      </c>
      <c r="G19" s="6">
        <f t="shared" si="12"/>
        <v>2856645.2600000002</v>
      </c>
      <c r="H19" s="15">
        <f t="shared" si="12"/>
        <v>7638386.8599999994</v>
      </c>
      <c r="I19" s="15">
        <f t="shared" si="12"/>
        <v>3758389.3350000004</v>
      </c>
      <c r="J19" s="15">
        <f t="shared" si="12"/>
        <v>11396776.195</v>
      </c>
      <c r="L19" s="15">
        <f t="shared" ref="L19" si="13">SUM(L3:L5,L7:L9,L11)</f>
        <v>8075163.9299999988</v>
      </c>
    </row>
    <row r="20" spans="2:12" ht="24.95" customHeight="1" x14ac:dyDescent="0.25">
      <c r="B20" s="10" t="s">
        <v>132</v>
      </c>
      <c r="C20" s="6">
        <f>SUM(C16:C18,C12:C14)</f>
        <v>516278</v>
      </c>
      <c r="D20" s="6">
        <f t="shared" ref="D20:J20" si="14">SUM(D16:D18,D12:D14)</f>
        <v>829015</v>
      </c>
      <c r="E20" s="6">
        <f t="shared" si="14"/>
        <v>203655</v>
      </c>
      <c r="F20" s="6">
        <f t="shared" si="14"/>
        <v>417881</v>
      </c>
      <c r="G20" s="6">
        <f t="shared" si="14"/>
        <v>1763426</v>
      </c>
      <c r="H20" s="15">
        <f t="shared" si="14"/>
        <v>3730255</v>
      </c>
      <c r="I20" s="15">
        <f t="shared" si="14"/>
        <v>4116606.0112121203</v>
      </c>
      <c r="J20" s="15">
        <f t="shared" si="14"/>
        <v>7846861.0112121208</v>
      </c>
      <c r="L20" s="15">
        <f t="shared" ref="L20" si="15">SUM(L16:L18,L12:L14)</f>
        <v>2804963</v>
      </c>
    </row>
    <row r="21" spans="2:12" ht="24.95" customHeight="1" x14ac:dyDescent="0.25">
      <c r="B21" s="19" t="s">
        <v>133</v>
      </c>
      <c r="C21" s="6">
        <f>SUM(C19:C20)</f>
        <v>2122957.17</v>
      </c>
      <c r="D21" s="6">
        <f t="shared" ref="D21:J21" si="16">SUM(D19:D20)</f>
        <v>2892036.6799999997</v>
      </c>
      <c r="E21" s="6">
        <f t="shared" si="16"/>
        <v>533672.25</v>
      </c>
      <c r="F21" s="6">
        <f t="shared" si="16"/>
        <v>1199904.5</v>
      </c>
      <c r="G21" s="6">
        <f t="shared" si="16"/>
        <v>4620071.26</v>
      </c>
      <c r="H21" s="20">
        <f t="shared" si="16"/>
        <v>11368641.859999999</v>
      </c>
      <c r="I21" s="20">
        <f t="shared" si="16"/>
        <v>7874995.3462121207</v>
      </c>
      <c r="J21" s="20">
        <f t="shared" si="16"/>
        <v>19243637.206212122</v>
      </c>
      <c r="L21" s="20">
        <f t="shared" ref="L21" si="17">SUM(L19:L20)</f>
        <v>10880126.93</v>
      </c>
    </row>
  </sheetData>
  <printOptions horizontalCentered="1"/>
  <pageMargins left="0.7" right="0.7" top="1.25" bottom="0.75" header="0.3" footer="0.3"/>
  <pageSetup scale="86" orientation="landscape" r:id="rId1"/>
  <headerFooter>
    <oddHeader xml:space="preserve">&amp;C&amp;"Arial Black,Regular"&amp;16SALES REPORT
&amp;12 2024 COMPLETED + SOLD </oddHeader>
    <oddFooter>&amp;L&amp;10&amp;F&amp;R&amp;10&amp;D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A48DB-3AE7-4405-A51A-1F4030B1A1D4}">
  <sheetPr codeName="Sheet2"/>
  <dimension ref="B1:L21"/>
  <sheetViews>
    <sheetView view="pageBreakPreview" zoomScale="130" zoomScaleNormal="130" zoomScaleSheetLayoutView="130" workbookViewId="0">
      <pane ySplit="1" topLeftCell="A7" activePane="bottomLeft" state="frozen"/>
      <selection activeCell="R8" sqref="R8"/>
      <selection pane="bottomLeft" activeCell="R8" sqref="R8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</cols>
  <sheetData>
    <row r="1" spans="2:12" ht="24.95" customHeight="1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12" t="s">
        <v>130</v>
      </c>
      <c r="I1" s="12" t="s">
        <v>76</v>
      </c>
      <c r="J1" s="16" t="s">
        <v>54</v>
      </c>
      <c r="L1" s="24">
        <v>45131</v>
      </c>
    </row>
    <row r="2" spans="2:12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" si="1">SUM(L3:L5)</f>
        <v>3385874.4299999997</v>
      </c>
    </row>
    <row r="3" spans="2:12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</row>
    <row r="4" spans="2:12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</row>
    <row r="5" spans="2:12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</row>
    <row r="6" spans="2:12" ht="24.95" customHeight="1" x14ac:dyDescent="0.25">
      <c r="B6" s="9" t="s">
        <v>51</v>
      </c>
      <c r="C6" s="7">
        <f t="shared" ref="C6:J6" si="4">SUM(C7:C9)</f>
        <v>678726.08000000007</v>
      </c>
      <c r="D6" s="7">
        <f t="shared" si="4"/>
        <v>1462690.27</v>
      </c>
      <c r="E6" s="7">
        <f t="shared" si="4"/>
        <v>292608</v>
      </c>
      <c r="F6" s="7">
        <f t="shared" si="4"/>
        <v>489272.25</v>
      </c>
      <c r="G6" s="7">
        <f t="shared" si="4"/>
        <v>1077784.4099999999</v>
      </c>
      <c r="H6" s="13">
        <f t="shared" si="4"/>
        <v>4001081.01</v>
      </c>
      <c r="I6" s="13">
        <f t="shared" si="4"/>
        <v>1669836.55</v>
      </c>
      <c r="J6" s="17">
        <f t="shared" si="4"/>
        <v>5670917.5599999996</v>
      </c>
      <c r="L6" s="13">
        <f>SUM(L7:L9)</f>
        <v>3895688.7</v>
      </c>
    </row>
    <row r="7" spans="2:12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5">SUM(C7:G7)</f>
        <v>1192737.69</v>
      </c>
      <c r="I7" s="14">
        <v>443467.22</v>
      </c>
      <c r="J7" s="18">
        <f t="shared" ref="J7:J9" si="6">SUM(H7:I7)</f>
        <v>1636204.91</v>
      </c>
      <c r="L7" s="14">
        <v>1061097.27</v>
      </c>
    </row>
    <row r="8" spans="2:12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5"/>
        <v>1569379.5</v>
      </c>
      <c r="I8" s="14">
        <v>437987.23</v>
      </c>
      <c r="J8" s="18">
        <f t="shared" si="6"/>
        <v>2007366.73</v>
      </c>
      <c r="K8" s="4"/>
      <c r="L8" s="14">
        <v>1507193.88</v>
      </c>
    </row>
    <row r="9" spans="2:12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5"/>
        <v>1238963.8199999998</v>
      </c>
      <c r="I9" s="14">
        <v>788382.10000000009</v>
      </c>
      <c r="J9" s="18">
        <f t="shared" si="6"/>
        <v>2027345.9199999999</v>
      </c>
      <c r="L9" s="14">
        <v>1327397.55</v>
      </c>
    </row>
    <row r="10" spans="2:12" ht="24.95" customHeight="1" x14ac:dyDescent="0.25">
      <c r="B10" s="9" t="s">
        <v>52</v>
      </c>
      <c r="C10" s="7">
        <f>SUM(C11:C14)</f>
        <v>499621.32</v>
      </c>
      <c r="D10" s="7">
        <f t="shared" ref="D10:J10" si="7">SUM(D11:D14)</f>
        <v>618425.80000000005</v>
      </c>
      <c r="E10" s="7">
        <f t="shared" si="7"/>
        <v>83180</v>
      </c>
      <c r="F10" s="7">
        <f t="shared" si="7"/>
        <v>237967</v>
      </c>
      <c r="G10" s="7">
        <f t="shared" si="7"/>
        <v>1510979.15</v>
      </c>
      <c r="H10" s="13">
        <f t="shared" si="7"/>
        <v>2950173.27</v>
      </c>
      <c r="I10" s="13">
        <f t="shared" si="7"/>
        <v>2296448.0318181817</v>
      </c>
      <c r="J10" s="17">
        <f t="shared" si="7"/>
        <v>5246621.3018181827</v>
      </c>
      <c r="K10" s="4"/>
      <c r="L10" s="13">
        <f>SUM(L11:L14)</f>
        <v>2754636.15</v>
      </c>
    </row>
    <row r="11" spans="2:12" ht="24.95" customHeight="1" x14ac:dyDescent="0.25">
      <c r="B11" s="8" t="s">
        <v>557</v>
      </c>
      <c r="C11" s="5">
        <v>198142.32</v>
      </c>
      <c r="D11" s="5">
        <v>135125.79999999999</v>
      </c>
      <c r="E11" s="5">
        <v>52765</v>
      </c>
      <c r="F11" s="5">
        <v>46055</v>
      </c>
      <c r="G11" s="5">
        <v>478171.15</v>
      </c>
      <c r="H11" s="14">
        <f t="shared" ref="H11:H14" si="8">SUM(C11:G11)</f>
        <v>910259.27</v>
      </c>
      <c r="I11" s="14">
        <v>179547.14499999999</v>
      </c>
      <c r="J11" s="18">
        <f t="shared" ref="J11:J14" si="9">SUM(H11:I11)</f>
        <v>1089806.415</v>
      </c>
      <c r="L11" s="14">
        <v>1024266.15</v>
      </c>
    </row>
    <row r="12" spans="2:12" ht="24.95" customHeight="1" x14ac:dyDescent="0.25">
      <c r="B12" s="8" t="s">
        <v>80</v>
      </c>
      <c r="C12" s="5">
        <v>73429</v>
      </c>
      <c r="D12" s="5">
        <v>25260</v>
      </c>
      <c r="E12" s="5">
        <v>19955</v>
      </c>
      <c r="F12" s="5">
        <v>60980</v>
      </c>
      <c r="G12" s="5">
        <v>264840</v>
      </c>
      <c r="H12" s="14">
        <f t="shared" si="8"/>
        <v>444464</v>
      </c>
      <c r="I12" s="14">
        <v>372442.57</v>
      </c>
      <c r="J12" s="18">
        <f t="shared" si="9"/>
        <v>816906.57000000007</v>
      </c>
      <c r="L12" s="14">
        <v>564022</v>
      </c>
    </row>
    <row r="13" spans="2:12" ht="24.95" customHeight="1" x14ac:dyDescent="0.25">
      <c r="B13" s="8" t="s">
        <v>81</v>
      </c>
      <c r="C13" s="5">
        <v>101618</v>
      </c>
      <c r="D13" s="5">
        <v>443810</v>
      </c>
      <c r="E13" s="5">
        <v>7765</v>
      </c>
      <c r="F13" s="5">
        <v>116232</v>
      </c>
      <c r="G13" s="5">
        <v>595473</v>
      </c>
      <c r="H13" s="14">
        <f t="shared" si="8"/>
        <v>1264898</v>
      </c>
      <c r="I13" s="14">
        <v>972070.56340909074</v>
      </c>
      <c r="J13" s="18">
        <f t="shared" si="9"/>
        <v>2236968.563409091</v>
      </c>
      <c r="L13" s="14">
        <v>712221</v>
      </c>
    </row>
    <row r="14" spans="2:12" ht="24.95" customHeight="1" x14ac:dyDescent="0.25">
      <c r="B14" s="8" t="s">
        <v>82</v>
      </c>
      <c r="C14" s="5">
        <v>126432</v>
      </c>
      <c r="D14" s="5">
        <v>14230</v>
      </c>
      <c r="E14" s="5">
        <v>2695</v>
      </c>
      <c r="F14" s="5">
        <v>14700</v>
      </c>
      <c r="G14" s="5">
        <v>172495</v>
      </c>
      <c r="H14" s="14">
        <f t="shared" si="8"/>
        <v>330552</v>
      </c>
      <c r="I14" s="14">
        <v>772387.7534090908</v>
      </c>
      <c r="J14" s="18">
        <f t="shared" si="9"/>
        <v>1102939.7534090909</v>
      </c>
      <c r="L14" s="14">
        <v>454127</v>
      </c>
    </row>
    <row r="15" spans="2:12" ht="24.95" customHeight="1" x14ac:dyDescent="0.25">
      <c r="B15" s="9" t="s">
        <v>53</v>
      </c>
      <c r="C15" s="7">
        <f>SUM(C16:C18)</f>
        <v>219654</v>
      </c>
      <c r="D15" s="7">
        <f>SUM(D16:D18)</f>
        <v>333020</v>
      </c>
      <c r="E15" s="7"/>
      <c r="F15" s="7">
        <f>SUM(F16:F18)</f>
        <v>189162</v>
      </c>
      <c r="G15" s="7">
        <f>SUM(G16:G18)</f>
        <v>633928</v>
      </c>
      <c r="H15" s="13">
        <f>SUM(H16:H18)</f>
        <v>1508794</v>
      </c>
      <c r="I15" s="13">
        <f>SUM(I16:I18)</f>
        <v>1999705.124393939</v>
      </c>
      <c r="J15" s="17">
        <f>SUM(J16:J18)</f>
        <v>3508499.1243939395</v>
      </c>
      <c r="L15" s="13">
        <f>SUM(L16:L18)</f>
        <v>1074593</v>
      </c>
    </row>
    <row r="16" spans="2:12" ht="24.95" customHeight="1" x14ac:dyDescent="0.25">
      <c r="B16" s="8" t="s">
        <v>83</v>
      </c>
      <c r="C16" s="5">
        <v>163406</v>
      </c>
      <c r="D16" s="5">
        <v>271492</v>
      </c>
      <c r="E16" s="5">
        <v>86435</v>
      </c>
      <c r="F16" s="5">
        <v>142522</v>
      </c>
      <c r="G16" s="5">
        <v>126089</v>
      </c>
      <c r="H16" s="14">
        <f t="shared" ref="H16:H18" si="10">SUM(C16:G16)</f>
        <v>789944</v>
      </c>
      <c r="I16" s="14">
        <v>693124.37479797972</v>
      </c>
      <c r="J16" s="18">
        <f t="shared" ref="J16:J18" si="11">SUM(H16:I16)</f>
        <v>1483068.3747979798</v>
      </c>
      <c r="L16" s="14">
        <v>886662</v>
      </c>
    </row>
    <row r="17" spans="2:12" ht="24.95" customHeight="1" x14ac:dyDescent="0.25">
      <c r="B17" s="8" t="s">
        <v>84</v>
      </c>
      <c r="C17" s="5">
        <v>56248</v>
      </c>
      <c r="D17" s="5">
        <v>51022</v>
      </c>
      <c r="E17" s="5">
        <v>46595</v>
      </c>
      <c r="F17" s="5">
        <v>46640</v>
      </c>
      <c r="G17" s="5">
        <v>174829</v>
      </c>
      <c r="H17" s="14">
        <f t="shared" si="10"/>
        <v>375334</v>
      </c>
      <c r="I17" s="14">
        <v>653290.37479797972</v>
      </c>
      <c r="J17" s="18">
        <f t="shared" si="11"/>
        <v>1028624.3747979797</v>
      </c>
      <c r="L17" s="14">
        <v>129416</v>
      </c>
    </row>
    <row r="18" spans="2:12" ht="24.95" customHeight="1" x14ac:dyDescent="0.25">
      <c r="B18" s="8" t="s">
        <v>85</v>
      </c>
      <c r="C18" s="5"/>
      <c r="D18" s="5">
        <v>10506</v>
      </c>
      <c r="E18" s="5"/>
      <c r="F18" s="5"/>
      <c r="G18" s="5">
        <v>333010</v>
      </c>
      <c r="H18" s="14">
        <f t="shared" si="10"/>
        <v>343516</v>
      </c>
      <c r="I18" s="14">
        <v>653290.37479797972</v>
      </c>
      <c r="J18" s="18">
        <f t="shared" si="11"/>
        <v>996806.37479797972</v>
      </c>
      <c r="L18" s="14">
        <v>58515</v>
      </c>
    </row>
    <row r="19" spans="2:12" ht="24.95" customHeight="1" x14ac:dyDescent="0.25">
      <c r="B19" s="10" t="s">
        <v>131</v>
      </c>
      <c r="C19" s="6">
        <f>SUM(C3:C5,C7:C9,C11)</f>
        <v>1652574.1700000002</v>
      </c>
      <c r="D19" s="6">
        <f t="shared" ref="D19:J19" si="12">SUM(D3:D5,D7:D9,D11)</f>
        <v>2107659.4299999997</v>
      </c>
      <c r="E19" s="6">
        <f t="shared" si="12"/>
        <v>371972.25</v>
      </c>
      <c r="F19" s="6">
        <f t="shared" si="12"/>
        <v>788623.5</v>
      </c>
      <c r="G19" s="6">
        <f t="shared" si="12"/>
        <v>3102258.5100000002</v>
      </c>
      <c r="H19" s="15">
        <f t="shared" si="12"/>
        <v>8023087.8599999994</v>
      </c>
      <c r="I19" s="15">
        <f t="shared" si="12"/>
        <v>3758389.3350000004</v>
      </c>
      <c r="J19" s="15">
        <f t="shared" si="12"/>
        <v>11781477.195</v>
      </c>
      <c r="L19" s="15">
        <f t="shared" ref="L19" si="13">SUM(L3:L5,L7:L9,L11)</f>
        <v>8305829.2799999993</v>
      </c>
    </row>
    <row r="20" spans="2:12" ht="24.95" customHeight="1" x14ac:dyDescent="0.25">
      <c r="B20" s="10" t="s">
        <v>132</v>
      </c>
      <c r="C20" s="6">
        <f>SUM(C16:C18,C12:C14)</f>
        <v>521133</v>
      </c>
      <c r="D20" s="6">
        <f t="shared" ref="D20:J20" si="14">SUM(D16:D18,D12:D14)</f>
        <v>816320</v>
      </c>
      <c r="E20" s="6">
        <f t="shared" si="14"/>
        <v>163445</v>
      </c>
      <c r="F20" s="6">
        <f t="shared" si="14"/>
        <v>381074</v>
      </c>
      <c r="G20" s="6">
        <f t="shared" si="14"/>
        <v>1666736</v>
      </c>
      <c r="H20" s="15">
        <f t="shared" si="14"/>
        <v>3548708</v>
      </c>
      <c r="I20" s="15">
        <f t="shared" si="14"/>
        <v>4116606.0112121203</v>
      </c>
      <c r="J20" s="15">
        <f t="shared" si="14"/>
        <v>7665314.0112121217</v>
      </c>
      <c r="L20" s="15">
        <f t="shared" ref="L20" si="15">SUM(L16:L18,L12:L14)</f>
        <v>2804963</v>
      </c>
    </row>
    <row r="21" spans="2:12" ht="24.95" customHeight="1" x14ac:dyDescent="0.25">
      <c r="B21" s="19" t="s">
        <v>133</v>
      </c>
      <c r="C21" s="6">
        <f>SUM(C19:C20)</f>
        <v>2173707.17</v>
      </c>
      <c r="D21" s="6">
        <f t="shared" ref="D21:J21" si="16">SUM(D19:D20)</f>
        <v>2923979.4299999997</v>
      </c>
      <c r="E21" s="6">
        <f t="shared" si="16"/>
        <v>535417.25</v>
      </c>
      <c r="F21" s="6">
        <f t="shared" si="16"/>
        <v>1169697.5</v>
      </c>
      <c r="G21" s="6">
        <f t="shared" si="16"/>
        <v>4768994.51</v>
      </c>
      <c r="H21" s="20">
        <f t="shared" si="16"/>
        <v>11571795.859999999</v>
      </c>
      <c r="I21" s="20">
        <f t="shared" si="16"/>
        <v>7874995.3462121207</v>
      </c>
      <c r="J21" s="20">
        <f t="shared" si="16"/>
        <v>19446791.206212122</v>
      </c>
      <c r="L21" s="20">
        <f t="shared" ref="L21" si="17">SUM(L19:L20)</f>
        <v>11110792.279999999</v>
      </c>
    </row>
  </sheetData>
  <printOptions horizontalCentered="1"/>
  <pageMargins left="0.7" right="0.7" top="1.25" bottom="0.75" header="0.3" footer="0.3"/>
  <pageSetup scale="86" orientation="landscape" r:id="rId1"/>
  <headerFooter>
    <oddHeader xml:space="preserve">&amp;C&amp;"Arial Black,Regular"&amp;16SALES REPORT
&amp;12 2024 COMPLETED + SOLD </oddHeader>
    <oddFooter>&amp;L&amp;10&amp;F&amp;R&amp;10&amp;D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2965-3870-4C8A-AECA-C2E4710275D2}">
  <sheetPr codeName="Sheet3"/>
  <dimension ref="B1:L21"/>
  <sheetViews>
    <sheetView view="pageBreakPreview" zoomScale="130" zoomScaleNormal="130" zoomScaleSheetLayoutView="130" workbookViewId="0">
      <pane ySplit="1" topLeftCell="A5" activePane="bottomLeft" state="frozen"/>
      <selection activeCell="R8" sqref="R8"/>
      <selection pane="bottomLeft" activeCell="R8" sqref="R8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</cols>
  <sheetData>
    <row r="1" spans="2:12" ht="24.95" customHeight="1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12" t="s">
        <v>130</v>
      </c>
      <c r="I1" s="12" t="s">
        <v>76</v>
      </c>
      <c r="J1" s="16" t="s">
        <v>54</v>
      </c>
      <c r="L1" s="24">
        <v>45141</v>
      </c>
    </row>
    <row r="2" spans="2:12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" si="1">SUM(L3:L5)</f>
        <v>3385874.4299999997</v>
      </c>
    </row>
    <row r="3" spans="2:12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</row>
    <row r="4" spans="2:12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</row>
    <row r="5" spans="2:12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</row>
    <row r="6" spans="2:12" ht="24.95" customHeight="1" x14ac:dyDescent="0.25">
      <c r="B6" s="9" t="s">
        <v>51</v>
      </c>
      <c r="C6" s="7">
        <f t="shared" ref="C6:J6" si="4">SUM(C7:C9)</f>
        <v>678726.08000000007</v>
      </c>
      <c r="D6" s="7">
        <f t="shared" si="4"/>
        <v>1462690.27</v>
      </c>
      <c r="E6" s="7">
        <f t="shared" si="4"/>
        <v>292608</v>
      </c>
      <c r="F6" s="7">
        <f t="shared" si="4"/>
        <v>489272.25</v>
      </c>
      <c r="G6" s="7">
        <f t="shared" si="4"/>
        <v>1077784.4099999999</v>
      </c>
      <c r="H6" s="13">
        <f t="shared" si="4"/>
        <v>4001081.01</v>
      </c>
      <c r="I6" s="13">
        <f t="shared" si="4"/>
        <v>1669836.55</v>
      </c>
      <c r="J6" s="17">
        <f t="shared" si="4"/>
        <v>5670917.5599999996</v>
      </c>
      <c r="L6" s="13">
        <f>SUM(L7:L9)</f>
        <v>3895688.7</v>
      </c>
    </row>
    <row r="7" spans="2:12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5">SUM(C7:G7)</f>
        <v>1192737.69</v>
      </c>
      <c r="I7" s="14">
        <v>443467.22</v>
      </c>
      <c r="J7" s="18">
        <f t="shared" ref="J7:J9" si="6">SUM(H7:I7)</f>
        <v>1636204.91</v>
      </c>
      <c r="L7" s="14">
        <v>1061097.27</v>
      </c>
    </row>
    <row r="8" spans="2:12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5"/>
        <v>1569379.5</v>
      </c>
      <c r="I8" s="14">
        <v>437987.23</v>
      </c>
      <c r="J8" s="18">
        <f t="shared" si="6"/>
        <v>2007366.73</v>
      </c>
      <c r="K8" s="4"/>
      <c r="L8" s="14">
        <v>1507193.88</v>
      </c>
    </row>
    <row r="9" spans="2:12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5"/>
        <v>1238963.8199999998</v>
      </c>
      <c r="I9" s="14">
        <v>788382.10000000009</v>
      </c>
      <c r="J9" s="18">
        <f t="shared" si="6"/>
        <v>2027345.9199999999</v>
      </c>
      <c r="L9" s="14">
        <v>1327397.55</v>
      </c>
    </row>
    <row r="10" spans="2:12" ht="24.95" customHeight="1" x14ac:dyDescent="0.25">
      <c r="B10" s="9" t="s">
        <v>52</v>
      </c>
      <c r="C10" s="7">
        <f>SUM(C11:C14)</f>
        <v>535771.52</v>
      </c>
      <c r="D10" s="7">
        <f t="shared" ref="D10:J10" si="7">SUM(D11:D14)</f>
        <v>639142.55000000005</v>
      </c>
      <c r="E10" s="7">
        <f t="shared" si="7"/>
        <v>83305</v>
      </c>
      <c r="F10" s="7">
        <f t="shared" si="7"/>
        <v>237842</v>
      </c>
      <c r="G10" s="7">
        <f t="shared" si="7"/>
        <v>1372371.24</v>
      </c>
      <c r="H10" s="13">
        <f t="shared" si="7"/>
        <v>2868432.31</v>
      </c>
      <c r="I10" s="13">
        <f t="shared" si="7"/>
        <v>2296448.0318181817</v>
      </c>
      <c r="J10" s="17">
        <f t="shared" si="7"/>
        <v>5164880.3418181818</v>
      </c>
      <c r="K10" s="4"/>
      <c r="L10" s="13">
        <f>SUM(L11:L14)</f>
        <v>2774533.15</v>
      </c>
    </row>
    <row r="11" spans="2:12" ht="24.95" customHeight="1" x14ac:dyDescent="0.25">
      <c r="B11" s="8" t="s">
        <v>557</v>
      </c>
      <c r="C11" s="5">
        <v>269571.52</v>
      </c>
      <c r="D11" s="5">
        <v>155505.54999999999</v>
      </c>
      <c r="E11" s="5">
        <v>53685</v>
      </c>
      <c r="F11" s="5">
        <v>100127</v>
      </c>
      <c r="G11" s="5">
        <v>542434.24</v>
      </c>
      <c r="H11" s="14">
        <f t="shared" ref="H11:H14" si="8">SUM(C11:G11)</f>
        <v>1121323.31</v>
      </c>
      <c r="I11" s="14">
        <v>179547.14499999999</v>
      </c>
      <c r="J11" s="18">
        <f t="shared" ref="J11:J14" si="9">SUM(H11:I11)</f>
        <v>1300870.4550000001</v>
      </c>
      <c r="L11" s="14">
        <v>1024266.15</v>
      </c>
    </row>
    <row r="12" spans="2:12" ht="24.95" customHeight="1" x14ac:dyDescent="0.25">
      <c r="B12" s="8" t="s">
        <v>80</v>
      </c>
      <c r="C12" s="5">
        <v>11135</v>
      </c>
      <c r="D12" s="5">
        <v>7625</v>
      </c>
      <c r="E12" s="5">
        <v>19035</v>
      </c>
      <c r="F12" s="5"/>
      <c r="G12" s="5">
        <v>200114</v>
      </c>
      <c r="H12" s="14">
        <f t="shared" si="8"/>
        <v>237909</v>
      </c>
      <c r="I12" s="14">
        <v>372442.57</v>
      </c>
      <c r="J12" s="18">
        <f t="shared" si="9"/>
        <v>610351.57000000007</v>
      </c>
      <c r="L12" s="14">
        <v>4890</v>
      </c>
    </row>
    <row r="13" spans="2:12" ht="24.95" customHeight="1" x14ac:dyDescent="0.25">
      <c r="B13" s="8" t="s">
        <v>81</v>
      </c>
      <c r="C13" s="5">
        <v>127578</v>
      </c>
      <c r="D13" s="5">
        <v>453287</v>
      </c>
      <c r="E13" s="5">
        <v>7890</v>
      </c>
      <c r="F13" s="5">
        <v>123015</v>
      </c>
      <c r="G13" s="5">
        <v>512578</v>
      </c>
      <c r="H13" s="14">
        <f t="shared" si="8"/>
        <v>1224348</v>
      </c>
      <c r="I13" s="14">
        <v>972070.56340909074</v>
      </c>
      <c r="J13" s="18">
        <f t="shared" si="9"/>
        <v>2196418.563409091</v>
      </c>
      <c r="L13" s="14">
        <v>1219940</v>
      </c>
    </row>
    <row r="14" spans="2:12" ht="24.95" customHeight="1" x14ac:dyDescent="0.25">
      <c r="B14" s="8" t="s">
        <v>82</v>
      </c>
      <c r="C14" s="5">
        <v>127487</v>
      </c>
      <c r="D14" s="5">
        <v>22725</v>
      </c>
      <c r="E14" s="5">
        <v>2695</v>
      </c>
      <c r="F14" s="5">
        <v>14700</v>
      </c>
      <c r="G14" s="5">
        <v>117245</v>
      </c>
      <c r="H14" s="14">
        <f t="shared" si="8"/>
        <v>284852</v>
      </c>
      <c r="I14" s="14">
        <v>772387.7534090908</v>
      </c>
      <c r="J14" s="18">
        <f t="shared" si="9"/>
        <v>1057239.7534090909</v>
      </c>
      <c r="L14" s="14">
        <v>525437</v>
      </c>
    </row>
    <row r="15" spans="2:12" ht="24.95" customHeight="1" x14ac:dyDescent="0.25">
      <c r="B15" s="9" t="s">
        <v>53</v>
      </c>
      <c r="C15" s="7">
        <f>SUM(C16:C18)</f>
        <v>207309</v>
      </c>
      <c r="D15" s="7">
        <f>SUM(D16:D18)</f>
        <v>333020</v>
      </c>
      <c r="E15" s="7"/>
      <c r="F15" s="7">
        <f>SUM(F16:F18)</f>
        <v>189162</v>
      </c>
      <c r="G15" s="7">
        <f>SUM(G16:G18)</f>
        <v>729188</v>
      </c>
      <c r="H15" s="13">
        <f>SUM(H16:H18)</f>
        <v>1591709</v>
      </c>
      <c r="I15" s="13">
        <f>SUM(I16:I18)</f>
        <v>1999705.124393939</v>
      </c>
      <c r="J15" s="17">
        <f>SUM(J16:J18)</f>
        <v>3591414.1243939395</v>
      </c>
      <c r="L15" s="13">
        <f>SUM(L16:L18)</f>
        <v>1198637</v>
      </c>
    </row>
    <row r="16" spans="2:12" ht="24.95" customHeight="1" x14ac:dyDescent="0.25">
      <c r="B16" s="8" t="s">
        <v>83</v>
      </c>
      <c r="C16" s="5">
        <v>148268</v>
      </c>
      <c r="D16" s="5">
        <v>271492</v>
      </c>
      <c r="E16" s="5">
        <v>86435</v>
      </c>
      <c r="F16" s="5">
        <v>142522</v>
      </c>
      <c r="G16" s="5">
        <v>226079</v>
      </c>
      <c r="H16" s="14">
        <f t="shared" ref="H16:H18" si="10">SUM(C16:G16)</f>
        <v>874796</v>
      </c>
      <c r="I16" s="14">
        <v>693124.37479797972</v>
      </c>
      <c r="J16" s="18">
        <f t="shared" ref="J16:J18" si="11">SUM(H16:I16)</f>
        <v>1567920.3747979798</v>
      </c>
      <c r="L16" s="14">
        <v>951585</v>
      </c>
    </row>
    <row r="17" spans="2:12" ht="24.95" customHeight="1" x14ac:dyDescent="0.25">
      <c r="B17" s="8" t="s">
        <v>84</v>
      </c>
      <c r="C17" s="5">
        <v>59041</v>
      </c>
      <c r="D17" s="5">
        <v>51022</v>
      </c>
      <c r="E17" s="5">
        <v>46595</v>
      </c>
      <c r="F17" s="5">
        <v>46640</v>
      </c>
      <c r="G17" s="5">
        <v>170099</v>
      </c>
      <c r="H17" s="14">
        <f t="shared" si="10"/>
        <v>373397</v>
      </c>
      <c r="I17" s="14">
        <v>653290.37479797972</v>
      </c>
      <c r="J17" s="18">
        <f t="shared" si="11"/>
        <v>1026687.3747979797</v>
      </c>
      <c r="L17" s="14">
        <v>227842</v>
      </c>
    </row>
    <row r="18" spans="2:12" ht="24.95" customHeight="1" x14ac:dyDescent="0.25">
      <c r="B18" s="8" t="s">
        <v>85</v>
      </c>
      <c r="C18" s="5"/>
      <c r="D18" s="5">
        <v>10506</v>
      </c>
      <c r="E18" s="5"/>
      <c r="F18" s="5"/>
      <c r="G18" s="5">
        <v>333010</v>
      </c>
      <c r="H18" s="14">
        <f t="shared" si="10"/>
        <v>343516</v>
      </c>
      <c r="I18" s="14">
        <v>653290.37479797972</v>
      </c>
      <c r="J18" s="18">
        <f t="shared" si="11"/>
        <v>996806.37479797972</v>
      </c>
      <c r="L18" s="14">
        <v>19210</v>
      </c>
    </row>
    <row r="19" spans="2:12" ht="24.95" customHeight="1" x14ac:dyDescent="0.25">
      <c r="B19" s="10" t="s">
        <v>131</v>
      </c>
      <c r="C19" s="6">
        <f>SUM(C3:C5,C7:C9,C11)</f>
        <v>1724003.37</v>
      </c>
      <c r="D19" s="6">
        <f t="shared" ref="D19:J19" si="12">SUM(D3:D5,D7:D9,D11)</f>
        <v>2128039.1799999997</v>
      </c>
      <c r="E19" s="6">
        <f t="shared" si="12"/>
        <v>372892.25</v>
      </c>
      <c r="F19" s="6">
        <f t="shared" si="12"/>
        <v>842695.5</v>
      </c>
      <c r="G19" s="6">
        <f t="shared" si="12"/>
        <v>3166521.6000000006</v>
      </c>
      <c r="H19" s="15">
        <f t="shared" si="12"/>
        <v>8234151.9000000004</v>
      </c>
      <c r="I19" s="15">
        <f t="shared" si="12"/>
        <v>3758389.3350000004</v>
      </c>
      <c r="J19" s="15">
        <f t="shared" si="12"/>
        <v>11992541.234999999</v>
      </c>
      <c r="L19" s="15">
        <f t="shared" ref="L19" si="13">SUM(L3:L5,L7:L9,L11)</f>
        <v>8305829.2799999993</v>
      </c>
    </row>
    <row r="20" spans="2:12" ht="24.95" customHeight="1" x14ac:dyDescent="0.25">
      <c r="B20" s="10" t="s">
        <v>132</v>
      </c>
      <c r="C20" s="6">
        <f>SUM(C16:C18,C12:C14)</f>
        <v>473509</v>
      </c>
      <c r="D20" s="6">
        <f t="shared" ref="D20:J20" si="14">SUM(D16:D18,D12:D14)</f>
        <v>816657</v>
      </c>
      <c r="E20" s="6">
        <f t="shared" si="14"/>
        <v>162650</v>
      </c>
      <c r="F20" s="6">
        <f t="shared" si="14"/>
        <v>326877</v>
      </c>
      <c r="G20" s="6">
        <f t="shared" si="14"/>
        <v>1559125</v>
      </c>
      <c r="H20" s="15">
        <f t="shared" si="14"/>
        <v>3338818</v>
      </c>
      <c r="I20" s="15">
        <f t="shared" si="14"/>
        <v>4116606.0112121203</v>
      </c>
      <c r="J20" s="15">
        <f t="shared" si="14"/>
        <v>7455424.0112121217</v>
      </c>
      <c r="L20" s="15">
        <f t="shared" ref="L20" si="15">SUM(L16:L18,L12:L14)</f>
        <v>2948904</v>
      </c>
    </row>
    <row r="21" spans="2:12" ht="24.95" customHeight="1" x14ac:dyDescent="0.25">
      <c r="B21" s="19" t="s">
        <v>133</v>
      </c>
      <c r="C21" s="6">
        <f>SUM(C19:C20)</f>
        <v>2197512.37</v>
      </c>
      <c r="D21" s="6">
        <f t="shared" ref="D21:J21" si="16">SUM(D19:D20)</f>
        <v>2944696.1799999997</v>
      </c>
      <c r="E21" s="6">
        <f t="shared" si="16"/>
        <v>535542.25</v>
      </c>
      <c r="F21" s="6">
        <f t="shared" si="16"/>
        <v>1169572.5</v>
      </c>
      <c r="G21" s="6">
        <f t="shared" si="16"/>
        <v>4725646.6000000006</v>
      </c>
      <c r="H21" s="20">
        <f t="shared" si="16"/>
        <v>11572969.9</v>
      </c>
      <c r="I21" s="20">
        <f t="shared" si="16"/>
        <v>7874995.3462121207</v>
      </c>
      <c r="J21" s="20">
        <f t="shared" si="16"/>
        <v>19447965.246212121</v>
      </c>
      <c r="L21" s="20">
        <f t="shared" ref="L21" si="17">SUM(L19:L20)</f>
        <v>11254733.279999999</v>
      </c>
    </row>
  </sheetData>
  <printOptions horizontalCentered="1"/>
  <pageMargins left="0.7" right="0.7" top="1.25" bottom="0.75" header="0.3" footer="0.3"/>
  <pageSetup scale="86" orientation="landscape" r:id="rId1"/>
  <headerFooter>
    <oddHeader xml:space="preserve">&amp;C&amp;"Arial Black,Regular"&amp;16SALES REPORT
&amp;12 2024 COMPLETED + SOLD </oddHeader>
    <oddFooter>&amp;L&amp;10&amp;F&amp;R&amp;10&amp;D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D912-5803-497D-8286-680CEECB2B85}">
  <sheetPr codeName="Sheet4"/>
  <dimension ref="B1:N21"/>
  <sheetViews>
    <sheetView view="pageBreakPreview" zoomScale="130" zoomScaleNormal="130" zoomScaleSheetLayoutView="130" workbookViewId="0">
      <pane ySplit="1" topLeftCell="A11" activePane="bottomLeft" state="frozen"/>
      <selection activeCell="R8" sqref="R8"/>
      <selection pane="bottomLeft" activeCell="R8" sqref="R8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  <col min="13" max="14" width="16.85546875" hidden="1" customWidth="1"/>
  </cols>
  <sheetData>
    <row r="1" spans="2:14" ht="30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12" t="s">
        <v>130</v>
      </c>
      <c r="I1" s="12" t="s">
        <v>76</v>
      </c>
      <c r="J1" s="16" t="s">
        <v>54</v>
      </c>
      <c r="L1" s="25" t="s">
        <v>767</v>
      </c>
      <c r="M1" s="25" t="s">
        <v>768</v>
      </c>
      <c r="N1" s="25" t="s">
        <v>769</v>
      </c>
    </row>
    <row r="2" spans="2:14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:N2" si="1">SUM(L3:L5)</f>
        <v>3385874.4299999997</v>
      </c>
      <c r="M2" s="13">
        <f t="shared" si="1"/>
        <v>3385874.4299999997</v>
      </c>
      <c r="N2" s="17">
        <f t="shared" si="1"/>
        <v>6771748.8599999994</v>
      </c>
    </row>
    <row r="3" spans="2:14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  <c r="M3" s="14">
        <v>1007796.81</v>
      </c>
      <c r="N3" s="18">
        <f>SUM(L3:M3)</f>
        <v>2015593.62</v>
      </c>
    </row>
    <row r="4" spans="2:14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  <c r="M4" s="14">
        <v>1256089.45</v>
      </c>
      <c r="N4" s="18">
        <f t="shared" ref="N4:N5" si="4">SUM(L4:M4)</f>
        <v>2512178.9</v>
      </c>
    </row>
    <row r="5" spans="2:14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  <c r="M5" s="14">
        <v>1121988.17</v>
      </c>
      <c r="N5" s="18">
        <f t="shared" si="4"/>
        <v>2243976.34</v>
      </c>
    </row>
    <row r="6" spans="2:14" ht="24.95" customHeight="1" x14ac:dyDescent="0.25">
      <c r="B6" s="9" t="s">
        <v>51</v>
      </c>
      <c r="C6" s="7">
        <f t="shared" ref="C6:J6" si="5">SUM(C7:C9)</f>
        <v>678726.08000000007</v>
      </c>
      <c r="D6" s="7">
        <f t="shared" si="5"/>
        <v>1462690.27</v>
      </c>
      <c r="E6" s="7">
        <f t="shared" si="5"/>
        <v>292608</v>
      </c>
      <c r="F6" s="7">
        <f t="shared" si="5"/>
        <v>489272.25</v>
      </c>
      <c r="G6" s="7">
        <f t="shared" si="5"/>
        <v>1077784.4099999999</v>
      </c>
      <c r="H6" s="13">
        <f t="shared" si="5"/>
        <v>4001081.01</v>
      </c>
      <c r="I6" s="13">
        <f t="shared" si="5"/>
        <v>1669836.55</v>
      </c>
      <c r="J6" s="17">
        <f t="shared" si="5"/>
        <v>5670917.5599999996</v>
      </c>
      <c r="L6" s="13">
        <f>SUM(L7:L9)</f>
        <v>3895688.7</v>
      </c>
      <c r="M6" s="13">
        <f>SUM(M7:M9)</f>
        <v>3895688.7</v>
      </c>
      <c r="N6" s="17">
        <f t="shared" ref="N6" si="6">SUM(N7:N9)</f>
        <v>7791377.4000000004</v>
      </c>
    </row>
    <row r="7" spans="2:14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7">SUM(C7:G7)</f>
        <v>1192737.69</v>
      </c>
      <c r="I7" s="14">
        <v>443467.22</v>
      </c>
      <c r="J7" s="18">
        <f t="shared" ref="J7:J9" si="8">SUM(H7:I7)</f>
        <v>1636204.91</v>
      </c>
      <c r="L7" s="14">
        <v>1061097.27</v>
      </c>
      <c r="M7" s="14">
        <v>1061097.27</v>
      </c>
      <c r="N7" s="18">
        <f t="shared" ref="N7:N9" si="9">SUM(L7:M7)</f>
        <v>2122194.54</v>
      </c>
    </row>
    <row r="8" spans="2:14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7"/>
        <v>1569379.5</v>
      </c>
      <c r="I8" s="14">
        <v>437987.23</v>
      </c>
      <c r="J8" s="18">
        <f t="shared" si="8"/>
        <v>2007366.73</v>
      </c>
      <c r="K8" s="4"/>
      <c r="L8" s="14">
        <v>1507193.88</v>
      </c>
      <c r="M8" s="14">
        <v>1507193.88</v>
      </c>
      <c r="N8" s="18">
        <f t="shared" si="9"/>
        <v>3014387.76</v>
      </c>
    </row>
    <row r="9" spans="2:14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7"/>
        <v>1238963.8199999998</v>
      </c>
      <c r="I9" s="14">
        <v>788382.10000000009</v>
      </c>
      <c r="J9" s="18">
        <f t="shared" si="8"/>
        <v>2027345.9199999999</v>
      </c>
      <c r="L9" s="14">
        <v>1327397.55</v>
      </c>
      <c r="M9" s="14">
        <v>1327397.55</v>
      </c>
      <c r="N9" s="18">
        <f t="shared" si="9"/>
        <v>2654795.1</v>
      </c>
    </row>
    <row r="10" spans="2:14" ht="24.95" customHeight="1" x14ac:dyDescent="0.25">
      <c r="B10" s="9" t="s">
        <v>52</v>
      </c>
      <c r="C10" s="7">
        <f>SUM(C11:C14)</f>
        <v>569323.52000000002</v>
      </c>
      <c r="D10" s="7">
        <f t="shared" ref="D10:J10" si="10">SUM(D11:D14)</f>
        <v>677725.65</v>
      </c>
      <c r="E10" s="7">
        <f t="shared" si="10"/>
        <v>96753</v>
      </c>
      <c r="F10" s="7">
        <f t="shared" si="10"/>
        <v>237842</v>
      </c>
      <c r="G10" s="7">
        <f t="shared" si="10"/>
        <v>1731926.77</v>
      </c>
      <c r="H10" s="13">
        <f t="shared" si="10"/>
        <v>3313570.94</v>
      </c>
      <c r="I10" s="13">
        <f t="shared" si="10"/>
        <v>2296448.0318181817</v>
      </c>
      <c r="J10" s="17">
        <f t="shared" si="10"/>
        <v>5610018.9718181826</v>
      </c>
      <c r="K10" s="4"/>
      <c r="L10" s="13">
        <f>SUM(L11:L14)</f>
        <v>2941744.87</v>
      </c>
      <c r="M10" s="13">
        <f>SUM(M11:M14)</f>
        <v>2941744.87</v>
      </c>
      <c r="N10" s="17">
        <f t="shared" ref="N10" si="11">SUM(N11:N14)</f>
        <v>5883489.7400000002</v>
      </c>
    </row>
    <row r="11" spans="2:14" ht="24.95" customHeight="1" x14ac:dyDescent="0.25">
      <c r="B11" s="8" t="s">
        <v>557</v>
      </c>
      <c r="C11" s="5">
        <v>269571.52</v>
      </c>
      <c r="D11" s="5">
        <v>155505.54999999999</v>
      </c>
      <c r="E11" s="5">
        <v>53685</v>
      </c>
      <c r="F11" s="5">
        <v>100127</v>
      </c>
      <c r="G11" s="5">
        <v>542434.24</v>
      </c>
      <c r="H11" s="14">
        <f t="shared" ref="H11:H14" si="12">SUM(C11:G11)</f>
        <v>1121323.31</v>
      </c>
      <c r="I11" s="14">
        <v>179547.14499999999</v>
      </c>
      <c r="J11" s="18">
        <f t="shared" ref="J11:J14" si="13">SUM(H11:I11)</f>
        <v>1300870.4550000001</v>
      </c>
      <c r="L11" s="14">
        <v>1024266.15</v>
      </c>
      <c r="M11" s="14">
        <v>1024266.15</v>
      </c>
      <c r="N11" s="18">
        <f t="shared" ref="N11:N14" si="14">SUM(L11:M11)</f>
        <v>2048532.3</v>
      </c>
    </row>
    <row r="12" spans="2:14" ht="24.95" customHeight="1" x14ac:dyDescent="0.25">
      <c r="B12" s="8" t="s">
        <v>681</v>
      </c>
      <c r="C12" s="5">
        <v>13885</v>
      </c>
      <c r="D12" s="5">
        <v>113968.1</v>
      </c>
      <c r="E12" s="5">
        <v>19160</v>
      </c>
      <c r="F12" s="5">
        <v>225</v>
      </c>
      <c r="G12" s="5">
        <v>148006.53</v>
      </c>
      <c r="H12" s="14">
        <f t="shared" si="12"/>
        <v>295244.63</v>
      </c>
      <c r="I12" s="14">
        <v>372442.57</v>
      </c>
      <c r="J12" s="18">
        <f t="shared" si="13"/>
        <v>667687.19999999995</v>
      </c>
      <c r="L12" s="14">
        <v>591931.72</v>
      </c>
      <c r="M12" s="14">
        <v>591931.72</v>
      </c>
      <c r="N12" s="18">
        <f t="shared" si="14"/>
        <v>1183863.44</v>
      </c>
    </row>
    <row r="13" spans="2:14" ht="24.95" customHeight="1" x14ac:dyDescent="0.25">
      <c r="B13" s="8" t="s">
        <v>81</v>
      </c>
      <c r="C13" s="5">
        <v>149600</v>
      </c>
      <c r="D13" s="5">
        <v>303120</v>
      </c>
      <c r="E13" s="5">
        <v>21213</v>
      </c>
      <c r="F13" s="5">
        <v>106643</v>
      </c>
      <c r="G13" s="5">
        <v>823156</v>
      </c>
      <c r="H13" s="14">
        <f t="shared" si="12"/>
        <v>1403732</v>
      </c>
      <c r="I13" s="14">
        <v>972070.56340909074</v>
      </c>
      <c r="J13" s="18">
        <f t="shared" si="13"/>
        <v>2375802.563409091</v>
      </c>
      <c r="L13" s="14">
        <v>922542</v>
      </c>
      <c r="M13" s="14">
        <v>922542</v>
      </c>
      <c r="N13" s="18">
        <f t="shared" si="14"/>
        <v>1845084</v>
      </c>
    </row>
    <row r="14" spans="2:14" ht="24.95" customHeight="1" x14ac:dyDescent="0.25">
      <c r="B14" s="8" t="s">
        <v>82</v>
      </c>
      <c r="C14" s="5">
        <v>136267</v>
      </c>
      <c r="D14" s="5">
        <v>105132</v>
      </c>
      <c r="E14" s="5">
        <v>2695</v>
      </c>
      <c r="F14" s="5">
        <v>30847</v>
      </c>
      <c r="G14" s="5">
        <v>218330</v>
      </c>
      <c r="H14" s="14">
        <f t="shared" si="12"/>
        <v>493271</v>
      </c>
      <c r="I14" s="14">
        <v>772387.7534090908</v>
      </c>
      <c r="J14" s="18">
        <f t="shared" si="13"/>
        <v>1265658.7534090909</v>
      </c>
      <c r="L14" s="14">
        <v>403005</v>
      </c>
      <c r="M14" s="14">
        <v>403005</v>
      </c>
      <c r="N14" s="18">
        <f t="shared" si="14"/>
        <v>806010</v>
      </c>
    </row>
    <row r="15" spans="2:14" ht="24.95" customHeight="1" x14ac:dyDescent="0.25">
      <c r="B15" s="9" t="s">
        <v>53</v>
      </c>
      <c r="C15" s="7">
        <f>SUM(C16:C18)</f>
        <v>211779</v>
      </c>
      <c r="D15" s="7">
        <f>SUM(D16:D18)</f>
        <v>394168</v>
      </c>
      <c r="E15" s="7"/>
      <c r="F15" s="7">
        <f>SUM(F16:F18)</f>
        <v>190157</v>
      </c>
      <c r="G15" s="7">
        <f>SUM(G16:G18)</f>
        <v>816133</v>
      </c>
      <c r="H15" s="13">
        <f>SUM(H16:H18)</f>
        <v>1745267</v>
      </c>
      <c r="I15" s="13">
        <f>SUM(I16:I18)</f>
        <v>1999705.124393939</v>
      </c>
      <c r="J15" s="17">
        <f>SUM(J16:J18)</f>
        <v>3744972.1243939395</v>
      </c>
      <c r="L15" s="13">
        <f>SUM(L16:L18)</f>
        <v>1448486</v>
      </c>
      <c r="M15" s="13">
        <f>SUM(M16:M18)</f>
        <v>1448486</v>
      </c>
      <c r="N15" s="17">
        <f>SUM(N16:N18)</f>
        <v>2896972</v>
      </c>
    </row>
    <row r="16" spans="2:14" ht="24.95" customHeight="1" x14ac:dyDescent="0.25">
      <c r="B16" s="8" t="s">
        <v>83</v>
      </c>
      <c r="C16" s="5">
        <v>139798</v>
      </c>
      <c r="D16" s="5">
        <v>293904</v>
      </c>
      <c r="E16" s="5">
        <v>86435</v>
      </c>
      <c r="F16" s="5">
        <v>143517</v>
      </c>
      <c r="G16" s="5">
        <v>225809</v>
      </c>
      <c r="H16" s="14">
        <f t="shared" ref="H16:H18" si="15">SUM(C16:G16)</f>
        <v>889463</v>
      </c>
      <c r="I16" s="14">
        <v>693124.37479797972</v>
      </c>
      <c r="J16" s="18">
        <f t="shared" ref="J16:J18" si="16">SUM(H16:I16)</f>
        <v>1582587.3747979798</v>
      </c>
      <c r="L16" s="14">
        <v>1081439</v>
      </c>
      <c r="M16" s="14">
        <v>1081439</v>
      </c>
      <c r="N16" s="18">
        <f t="shared" ref="N16:N18" si="17">SUM(L16:M16)</f>
        <v>2162878</v>
      </c>
    </row>
    <row r="17" spans="2:14" ht="24.95" customHeight="1" x14ac:dyDescent="0.25">
      <c r="B17" s="8" t="s">
        <v>84</v>
      </c>
      <c r="C17" s="5">
        <v>71981</v>
      </c>
      <c r="D17" s="5">
        <v>89758</v>
      </c>
      <c r="E17" s="5">
        <v>46595</v>
      </c>
      <c r="F17" s="5">
        <v>46640</v>
      </c>
      <c r="G17" s="5">
        <v>260904</v>
      </c>
      <c r="H17" s="14">
        <f t="shared" si="15"/>
        <v>515878</v>
      </c>
      <c r="I17" s="14">
        <v>653290.37479797972</v>
      </c>
      <c r="J17" s="18">
        <f t="shared" si="16"/>
        <v>1169168.3747979798</v>
      </c>
      <c r="L17" s="14">
        <v>347837</v>
      </c>
      <c r="M17" s="14">
        <v>347837</v>
      </c>
      <c r="N17" s="18">
        <f t="shared" si="17"/>
        <v>695674</v>
      </c>
    </row>
    <row r="18" spans="2:14" ht="24.95" customHeight="1" x14ac:dyDescent="0.25">
      <c r="B18" s="8" t="s">
        <v>85</v>
      </c>
      <c r="C18" s="5"/>
      <c r="D18" s="5">
        <v>10506</v>
      </c>
      <c r="E18" s="5"/>
      <c r="F18" s="5"/>
      <c r="G18" s="5">
        <v>329420</v>
      </c>
      <c r="H18" s="14">
        <f t="shared" si="15"/>
        <v>339926</v>
      </c>
      <c r="I18" s="14">
        <v>653290.37479797972</v>
      </c>
      <c r="J18" s="18">
        <f t="shared" si="16"/>
        <v>993216.37479797972</v>
      </c>
      <c r="L18" s="14">
        <v>19210</v>
      </c>
      <c r="M18" s="14">
        <v>19210</v>
      </c>
      <c r="N18" s="18">
        <f t="shared" si="17"/>
        <v>38420</v>
      </c>
    </row>
    <row r="19" spans="2:14" ht="24.95" customHeight="1" x14ac:dyDescent="0.25">
      <c r="B19" s="10" t="s">
        <v>131</v>
      </c>
      <c r="C19" s="6">
        <f>SUM(C3:C5,C7:C9,C11:C12)</f>
        <v>1737888.37</v>
      </c>
      <c r="D19" s="6">
        <f t="shared" ref="D19:H19" si="18">SUM(D3:D5,D7:D9,D11:D12)</f>
        <v>2242007.2799999998</v>
      </c>
      <c r="E19" s="6">
        <f t="shared" si="18"/>
        <v>392052.25</v>
      </c>
      <c r="F19" s="6">
        <f t="shared" si="18"/>
        <v>842920.5</v>
      </c>
      <c r="G19" s="6">
        <f t="shared" si="18"/>
        <v>3314528.1300000004</v>
      </c>
      <c r="H19" s="15">
        <f t="shared" si="18"/>
        <v>8529396.5300000012</v>
      </c>
      <c r="I19" s="15">
        <f t="shared" ref="I19:J19" si="19">SUM(I3:I5,I7:I9,I11)</f>
        <v>3758389.3350000004</v>
      </c>
      <c r="J19" s="15">
        <f t="shared" si="19"/>
        <v>11992541.234999999</v>
      </c>
      <c r="L19" s="15">
        <f t="shared" ref="L19:M19" si="20">SUM(L3:L5,L7:L9,L11:L12)</f>
        <v>8897761</v>
      </c>
      <c r="M19" s="15">
        <f t="shared" si="20"/>
        <v>8897761</v>
      </c>
      <c r="N19" s="15">
        <f t="shared" ref="N19" si="21">SUM(N3:N5,N7:N9,N11)</f>
        <v>16611658.559999999</v>
      </c>
    </row>
    <row r="20" spans="2:14" ht="24.95" customHeight="1" x14ac:dyDescent="0.25">
      <c r="B20" s="10" t="s">
        <v>132</v>
      </c>
      <c r="C20" s="6">
        <f>SUM(C16:C18,C13:C14)</f>
        <v>497646</v>
      </c>
      <c r="D20" s="6">
        <f t="shared" ref="D20:H20" si="22">SUM(D16:D18,D13:D14)</f>
        <v>802420</v>
      </c>
      <c r="E20" s="6">
        <f t="shared" si="22"/>
        <v>156938</v>
      </c>
      <c r="F20" s="6">
        <f t="shared" si="22"/>
        <v>327647</v>
      </c>
      <c r="G20" s="6">
        <f t="shared" si="22"/>
        <v>1857619</v>
      </c>
      <c r="H20" s="15">
        <f t="shared" si="22"/>
        <v>3642270</v>
      </c>
      <c r="I20" s="15">
        <f t="shared" ref="I20:J20" si="23">SUM(I16:I18,I12:I14)</f>
        <v>4116606.0112121203</v>
      </c>
      <c r="J20" s="15">
        <f t="shared" si="23"/>
        <v>8054120.6412121207</v>
      </c>
      <c r="L20" s="15">
        <f>SUM(L16:L18,L13:L14)</f>
        <v>2774033</v>
      </c>
      <c r="M20" s="15">
        <f>SUM(M16:M18,M13:M14)</f>
        <v>2774033</v>
      </c>
      <c r="N20" s="15">
        <f t="shared" ref="N20" si="24">SUM(N16:N18,N12:N14)</f>
        <v>6731929.4399999995</v>
      </c>
    </row>
    <row r="21" spans="2:14" ht="24.95" customHeight="1" x14ac:dyDescent="0.25">
      <c r="B21" s="19" t="s">
        <v>133</v>
      </c>
      <c r="C21" s="6">
        <f>SUM(C19:C20)</f>
        <v>2235534.37</v>
      </c>
      <c r="D21" s="6">
        <f t="shared" ref="D21:J21" si="25">SUM(D19:D20)</f>
        <v>3044427.28</v>
      </c>
      <c r="E21" s="6">
        <f t="shared" si="25"/>
        <v>548990.25</v>
      </c>
      <c r="F21" s="6">
        <f t="shared" si="25"/>
        <v>1170567.5</v>
      </c>
      <c r="G21" s="6">
        <f t="shared" si="25"/>
        <v>5172147.1300000008</v>
      </c>
      <c r="H21" s="20">
        <f t="shared" si="25"/>
        <v>12171666.530000001</v>
      </c>
      <c r="I21" s="20">
        <f t="shared" si="25"/>
        <v>7874995.3462121207</v>
      </c>
      <c r="J21" s="20">
        <f t="shared" si="25"/>
        <v>20046661.87621212</v>
      </c>
      <c r="L21" s="20">
        <f t="shared" ref="L21:N21" si="26">SUM(L19:L20)</f>
        <v>11671794</v>
      </c>
      <c r="M21" s="20">
        <f t="shared" si="26"/>
        <v>11671794</v>
      </c>
      <c r="N21" s="20">
        <f t="shared" si="26"/>
        <v>23343588</v>
      </c>
    </row>
  </sheetData>
  <printOptions horizontalCentered="1"/>
  <pageMargins left="0.7" right="0.7" top="1.25" bottom="0.75" header="0.3" footer="0.3"/>
  <pageSetup scale="58" orientation="landscape" r:id="rId1"/>
  <headerFooter>
    <oddHeader xml:space="preserve">&amp;C&amp;"Arial Black,Regular"&amp;16SALES REPORT
&amp;12 2024 COMPLETED + SOLD </oddHeader>
    <oddFooter>&amp;L&amp;10&amp;F&amp;R&amp;10&amp;D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947E-B9F7-4077-8387-627E28AF300F}">
  <sheetPr codeName="Sheet5"/>
  <dimension ref="B1:N21"/>
  <sheetViews>
    <sheetView view="pageBreakPreview" zoomScale="130" zoomScaleNormal="130" zoomScaleSheetLayoutView="130" workbookViewId="0">
      <pane ySplit="1" topLeftCell="A9" activePane="bottomLeft" state="frozen"/>
      <selection activeCell="Q17" sqref="Q17"/>
      <selection pane="bottomLeft" activeCell="Q17" sqref="Q17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  <col min="13" max="14" width="16.85546875" hidden="1" customWidth="1"/>
  </cols>
  <sheetData>
    <row r="1" spans="2:14" ht="30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25" t="s">
        <v>771</v>
      </c>
      <c r="I1" s="12" t="s">
        <v>76</v>
      </c>
      <c r="J1" s="16" t="s">
        <v>54</v>
      </c>
      <c r="L1" s="25" t="s">
        <v>770</v>
      </c>
      <c r="M1" s="25" t="s">
        <v>768</v>
      </c>
      <c r="N1" s="26" t="s">
        <v>769</v>
      </c>
    </row>
    <row r="2" spans="2:14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:N2" si="1">SUM(L3:L5)</f>
        <v>3385874.4299999997</v>
      </c>
      <c r="M2" s="13">
        <f t="shared" si="1"/>
        <v>2107631.5699999998</v>
      </c>
      <c r="N2" s="17">
        <f t="shared" si="1"/>
        <v>5493506</v>
      </c>
    </row>
    <row r="3" spans="2:14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  <c r="M3" s="14">
        <v>719306.96</v>
      </c>
      <c r="N3" s="18">
        <f>SUM(L3:M3)</f>
        <v>1727103.77</v>
      </c>
    </row>
    <row r="4" spans="2:14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  <c r="M4" s="14">
        <v>667244.06999999995</v>
      </c>
      <c r="N4" s="18">
        <f t="shared" ref="N4:N5" si="4">SUM(L4:M4)</f>
        <v>1923333.52</v>
      </c>
    </row>
    <row r="5" spans="2:14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  <c r="M5" s="14">
        <v>721080.54</v>
      </c>
      <c r="N5" s="18">
        <f t="shared" si="4"/>
        <v>1843068.71</v>
      </c>
    </row>
    <row r="6" spans="2:14" ht="24.95" customHeight="1" x14ac:dyDescent="0.25">
      <c r="B6" s="9" t="s">
        <v>51</v>
      </c>
      <c r="C6" s="7">
        <f t="shared" ref="C6:J6" si="5">SUM(C7:C9)</f>
        <v>678726.08000000007</v>
      </c>
      <c r="D6" s="7">
        <f t="shared" si="5"/>
        <v>1462690.27</v>
      </c>
      <c r="E6" s="7">
        <f t="shared" si="5"/>
        <v>292608</v>
      </c>
      <c r="F6" s="7">
        <f t="shared" si="5"/>
        <v>489272.25</v>
      </c>
      <c r="G6" s="7">
        <f t="shared" si="5"/>
        <v>1077784.4099999999</v>
      </c>
      <c r="H6" s="13">
        <f t="shared" si="5"/>
        <v>4001081.01</v>
      </c>
      <c r="I6" s="13">
        <f t="shared" si="5"/>
        <v>1669836.55</v>
      </c>
      <c r="J6" s="17">
        <f t="shared" si="5"/>
        <v>5670917.5599999996</v>
      </c>
      <c r="L6" s="13">
        <f>SUM(L7:L9)</f>
        <v>3895688.7</v>
      </c>
      <c r="M6" s="13">
        <f>SUM(M7:M9)</f>
        <v>2273779.17</v>
      </c>
      <c r="N6" s="17">
        <f t="shared" ref="N6" si="6">SUM(N7:N9)</f>
        <v>6169467.8700000001</v>
      </c>
    </row>
    <row r="7" spans="2:14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7">SUM(C7:G7)</f>
        <v>1192737.69</v>
      </c>
      <c r="I7" s="14">
        <v>443467.22</v>
      </c>
      <c r="J7" s="18">
        <f t="shared" ref="J7:J9" si="8">SUM(H7:I7)</f>
        <v>1636204.91</v>
      </c>
      <c r="L7" s="14">
        <v>1061097.27</v>
      </c>
      <c r="M7" s="14">
        <v>847637.33</v>
      </c>
      <c r="N7" s="18">
        <f t="shared" ref="N7:N9" si="9">SUM(L7:M7)</f>
        <v>1908734.6</v>
      </c>
    </row>
    <row r="8" spans="2:14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7"/>
        <v>1569379.5</v>
      </c>
      <c r="I8" s="14">
        <v>437987.23</v>
      </c>
      <c r="J8" s="18">
        <f t="shared" si="8"/>
        <v>2007366.73</v>
      </c>
      <c r="K8" s="4"/>
      <c r="L8" s="14">
        <v>1507193.88</v>
      </c>
      <c r="M8" s="14">
        <v>743961.64</v>
      </c>
      <c r="N8" s="18">
        <f t="shared" si="9"/>
        <v>2251155.52</v>
      </c>
    </row>
    <row r="9" spans="2:14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7"/>
        <v>1238963.8199999998</v>
      </c>
      <c r="I9" s="14">
        <v>788382.10000000009</v>
      </c>
      <c r="J9" s="18">
        <f t="shared" si="8"/>
        <v>2027345.9199999999</v>
      </c>
      <c r="L9" s="14">
        <v>1327397.55</v>
      </c>
      <c r="M9" s="14">
        <v>682180.2</v>
      </c>
      <c r="N9" s="18">
        <f t="shared" si="9"/>
        <v>2009577.75</v>
      </c>
    </row>
    <row r="10" spans="2:14" ht="24.95" customHeight="1" x14ac:dyDescent="0.25">
      <c r="B10" s="9" t="s">
        <v>52</v>
      </c>
      <c r="C10" s="7">
        <f>SUM(C11:C14)</f>
        <v>580158.52</v>
      </c>
      <c r="D10" s="7">
        <f t="shared" ref="D10:J10" si="10">SUM(D11:D14)</f>
        <v>722070.06</v>
      </c>
      <c r="E10" s="7">
        <f t="shared" si="10"/>
        <v>167483</v>
      </c>
      <c r="F10" s="7">
        <f t="shared" si="10"/>
        <v>253224</v>
      </c>
      <c r="G10" s="7">
        <f t="shared" si="10"/>
        <v>1751191.46</v>
      </c>
      <c r="H10" s="13">
        <f t="shared" si="10"/>
        <v>3474127.04</v>
      </c>
      <c r="I10" s="13">
        <f t="shared" si="10"/>
        <v>2311807.1500000004</v>
      </c>
      <c r="J10" s="17">
        <f t="shared" si="10"/>
        <v>5785934.1899999995</v>
      </c>
      <c r="K10" s="4"/>
      <c r="L10" s="13">
        <f>SUM(L11:L14)</f>
        <v>3196599.12</v>
      </c>
      <c r="M10" s="13">
        <f>SUM(M11:M14)</f>
        <v>3116968.33</v>
      </c>
      <c r="N10" s="17">
        <f t="shared" ref="N10" si="11">SUM(N11:N14)</f>
        <v>6313567.4500000002</v>
      </c>
    </row>
    <row r="11" spans="2:14" ht="24.95" customHeight="1" x14ac:dyDescent="0.25">
      <c r="B11" s="8" t="s">
        <v>557</v>
      </c>
      <c r="C11" s="5">
        <v>269571.52</v>
      </c>
      <c r="D11" s="5">
        <v>155505.54999999999</v>
      </c>
      <c r="E11" s="5">
        <v>53685</v>
      </c>
      <c r="F11" s="5">
        <v>100127</v>
      </c>
      <c r="G11" s="5">
        <v>542434.24</v>
      </c>
      <c r="H11" s="14">
        <f t="shared" ref="H11:H14" si="12">SUM(C11:G11)</f>
        <v>1121323.31</v>
      </c>
      <c r="I11" s="14">
        <v>565882.46000000008</v>
      </c>
      <c r="J11" s="18">
        <f t="shared" ref="J11:J14" si="13">SUM(H11:I11)</f>
        <v>1687205.77</v>
      </c>
      <c r="L11" s="14">
        <v>1024266.15</v>
      </c>
      <c r="M11" s="14">
        <v>653049.48</v>
      </c>
      <c r="N11" s="18">
        <f t="shared" ref="N11:N14" si="14">SUM(L11:M11)</f>
        <v>1677315.63</v>
      </c>
    </row>
    <row r="12" spans="2:14" ht="24.95" customHeight="1" x14ac:dyDescent="0.25">
      <c r="B12" s="8" t="s">
        <v>681</v>
      </c>
      <c r="C12" s="5">
        <v>29111</v>
      </c>
      <c r="D12" s="5">
        <v>151885.51</v>
      </c>
      <c r="E12" s="5">
        <v>19160</v>
      </c>
      <c r="F12" s="5">
        <v>9970</v>
      </c>
      <c r="G12" s="5">
        <v>290753.21999999997</v>
      </c>
      <c r="H12" s="14">
        <f t="shared" si="12"/>
        <v>500879.73</v>
      </c>
      <c r="I12" s="14">
        <v>230956.13</v>
      </c>
      <c r="J12" s="18">
        <f t="shared" si="13"/>
        <v>731835.86</v>
      </c>
      <c r="L12" s="14">
        <v>804185.97</v>
      </c>
      <c r="M12" s="14">
        <v>250804.99</v>
      </c>
      <c r="N12" s="18">
        <f t="shared" si="14"/>
        <v>1054990.96</v>
      </c>
    </row>
    <row r="13" spans="2:14" ht="24.95" customHeight="1" x14ac:dyDescent="0.25">
      <c r="B13" s="8" t="s">
        <v>81</v>
      </c>
      <c r="C13" s="5">
        <v>131658</v>
      </c>
      <c r="D13" s="5">
        <v>255421</v>
      </c>
      <c r="E13" s="5">
        <v>21213</v>
      </c>
      <c r="F13" s="5">
        <v>71370</v>
      </c>
      <c r="G13" s="5">
        <v>437556</v>
      </c>
      <c r="H13" s="14">
        <f t="shared" si="12"/>
        <v>917218</v>
      </c>
      <c r="I13" s="14">
        <v>670108.06000000006</v>
      </c>
      <c r="J13" s="18">
        <f t="shared" si="13"/>
        <v>1587326.06</v>
      </c>
      <c r="L13" s="14">
        <v>877646</v>
      </c>
      <c r="M13" s="14">
        <v>623887.32999999996</v>
      </c>
      <c r="N13" s="18">
        <f t="shared" si="14"/>
        <v>1501533.33</v>
      </c>
    </row>
    <row r="14" spans="2:14" ht="24.95" customHeight="1" x14ac:dyDescent="0.25">
      <c r="B14" s="8" t="s">
        <v>82</v>
      </c>
      <c r="C14" s="5">
        <v>149818</v>
      </c>
      <c r="D14" s="5">
        <v>159258</v>
      </c>
      <c r="E14" s="5">
        <v>73425</v>
      </c>
      <c r="F14" s="5">
        <v>71757</v>
      </c>
      <c r="G14" s="5">
        <v>480448</v>
      </c>
      <c r="H14" s="14">
        <f t="shared" si="12"/>
        <v>934706</v>
      </c>
      <c r="I14" s="14">
        <v>844860.5</v>
      </c>
      <c r="J14" s="18">
        <f t="shared" si="13"/>
        <v>1779566.5</v>
      </c>
      <c r="L14" s="14">
        <v>490501</v>
      </c>
      <c r="M14" s="14">
        <v>1589226.53</v>
      </c>
      <c r="N14" s="18">
        <f t="shared" si="14"/>
        <v>2079727.53</v>
      </c>
    </row>
    <row r="15" spans="2:14" ht="24.95" customHeight="1" x14ac:dyDescent="0.25">
      <c r="B15" s="9" t="s">
        <v>53</v>
      </c>
      <c r="C15" s="7">
        <f>SUM(C16:C18)</f>
        <v>223216</v>
      </c>
      <c r="D15" s="7">
        <f>SUM(D16:D18)</f>
        <v>405356</v>
      </c>
      <c r="E15" s="7"/>
      <c r="F15" s="7">
        <f>SUM(F16:F18)</f>
        <v>175217</v>
      </c>
      <c r="G15" s="7">
        <f>SUM(G16:G18)</f>
        <v>831073</v>
      </c>
      <c r="H15" s="13">
        <f>SUM(H16:H18)</f>
        <v>1811490</v>
      </c>
      <c r="I15" s="13">
        <f>SUM(I16:I18)</f>
        <v>1923426.5666666664</v>
      </c>
      <c r="J15" s="17">
        <f>SUM(J16:J18)</f>
        <v>3734916.566666666</v>
      </c>
      <c r="L15" s="13">
        <f>SUM(L16:L18)</f>
        <v>1375177</v>
      </c>
      <c r="M15" s="13">
        <f>SUM(M16:M18)</f>
        <v>1951906.78</v>
      </c>
      <c r="N15" s="17">
        <f>SUM(N16:N18)</f>
        <v>3327083.7800000003</v>
      </c>
    </row>
    <row r="16" spans="2:14" ht="24.95" customHeight="1" x14ac:dyDescent="0.25">
      <c r="B16" s="8" t="s">
        <v>83</v>
      </c>
      <c r="C16" s="5">
        <v>151235</v>
      </c>
      <c r="D16" s="5">
        <v>277953</v>
      </c>
      <c r="E16" s="5">
        <v>130033</v>
      </c>
      <c r="F16" s="5">
        <v>119305</v>
      </c>
      <c r="G16" s="5">
        <v>240749</v>
      </c>
      <c r="H16" s="14">
        <f t="shared" ref="H16:H18" si="15">SUM(C16:G16)</f>
        <v>919275</v>
      </c>
      <c r="I16" s="14">
        <v>678564.85555555543</v>
      </c>
      <c r="J16" s="18">
        <f t="shared" ref="J16:J18" si="16">SUM(H16:I16)</f>
        <v>1597839.8555555553</v>
      </c>
      <c r="L16" s="14">
        <v>954226</v>
      </c>
      <c r="M16" s="14">
        <v>779512.26</v>
      </c>
      <c r="N16" s="18">
        <f t="shared" ref="N16:N18" si="17">SUM(L16:M16)</f>
        <v>1733738.26</v>
      </c>
    </row>
    <row r="17" spans="2:14" ht="24.95" customHeight="1" x14ac:dyDescent="0.25">
      <c r="B17" s="8" t="s">
        <v>84</v>
      </c>
      <c r="C17" s="5">
        <v>71981</v>
      </c>
      <c r="D17" s="5">
        <v>116897</v>
      </c>
      <c r="E17" s="5">
        <v>46595</v>
      </c>
      <c r="F17" s="5">
        <v>55912</v>
      </c>
      <c r="G17" s="5">
        <v>260904</v>
      </c>
      <c r="H17" s="14">
        <f t="shared" si="15"/>
        <v>552289</v>
      </c>
      <c r="I17" s="14">
        <v>622522.85555555543</v>
      </c>
      <c r="J17" s="18">
        <f t="shared" si="16"/>
        <v>1174811.8555555553</v>
      </c>
      <c r="L17" s="14">
        <v>401741</v>
      </c>
      <c r="M17" s="14">
        <v>586197.26</v>
      </c>
      <c r="N17" s="18">
        <f t="shared" si="17"/>
        <v>987938.26</v>
      </c>
    </row>
    <row r="18" spans="2:14" ht="24.95" customHeight="1" x14ac:dyDescent="0.25">
      <c r="B18" s="8" t="s">
        <v>85</v>
      </c>
      <c r="C18" s="5"/>
      <c r="D18" s="5">
        <v>10506</v>
      </c>
      <c r="E18" s="5"/>
      <c r="F18" s="5"/>
      <c r="G18" s="5">
        <v>329420</v>
      </c>
      <c r="H18" s="14">
        <f t="shared" si="15"/>
        <v>339926</v>
      </c>
      <c r="I18" s="14">
        <v>622338.85555555543</v>
      </c>
      <c r="J18" s="18">
        <f t="shared" si="16"/>
        <v>962264.85555555543</v>
      </c>
      <c r="L18" s="14">
        <v>19210</v>
      </c>
      <c r="M18" s="14">
        <v>586197.26</v>
      </c>
      <c r="N18" s="18">
        <f t="shared" si="17"/>
        <v>605407.26</v>
      </c>
    </row>
    <row r="19" spans="2:14" ht="24.95" customHeight="1" x14ac:dyDescent="0.25">
      <c r="B19" s="10" t="s">
        <v>131</v>
      </c>
      <c r="C19" s="6">
        <f>SUM(C3:C5,C7:C9,C11:C12)</f>
        <v>1753114.37</v>
      </c>
      <c r="D19" s="6">
        <f t="shared" ref="D19:H19" si="18">SUM(D3:D5,D7:D9,D11:D12)</f>
        <v>2279924.6899999995</v>
      </c>
      <c r="E19" s="6">
        <f t="shared" si="18"/>
        <v>392052.25</v>
      </c>
      <c r="F19" s="6">
        <f t="shared" si="18"/>
        <v>852665.5</v>
      </c>
      <c r="G19" s="6">
        <f t="shared" si="18"/>
        <v>3457274.8200000003</v>
      </c>
      <c r="H19" s="15">
        <f t="shared" si="18"/>
        <v>8735031.6300000008</v>
      </c>
      <c r="I19" s="15">
        <f>SUM(I3:I5,I7:I9,I11:I12)</f>
        <v>4375680.78</v>
      </c>
      <c r="J19" s="15">
        <f>SUM(J3:J5,J7:J9,J11:J12)</f>
        <v>13110712.409999998</v>
      </c>
      <c r="L19" s="15">
        <f t="shared" ref="L19:M19" si="19">SUM(L3:L5,L7:L9,L11:L12)</f>
        <v>9110015.25</v>
      </c>
      <c r="M19" s="15">
        <f t="shared" si="19"/>
        <v>5285265.2100000009</v>
      </c>
      <c r="N19" s="15">
        <f>SUM(N3:N5,N7:N9,N11:N12)</f>
        <v>14395280.460000001</v>
      </c>
    </row>
    <row r="20" spans="2:14" ht="24.95" customHeight="1" x14ac:dyDescent="0.25">
      <c r="B20" s="10" t="s">
        <v>132</v>
      </c>
      <c r="C20" s="6">
        <f>SUM(C16:C18,C13:C14)</f>
        <v>504692</v>
      </c>
      <c r="D20" s="6">
        <f t="shared" ref="D20:H20" si="20">SUM(D16:D18,D13:D14)</f>
        <v>820035</v>
      </c>
      <c r="E20" s="6">
        <f t="shared" si="20"/>
        <v>271266</v>
      </c>
      <c r="F20" s="6">
        <f t="shared" si="20"/>
        <v>318344</v>
      </c>
      <c r="G20" s="6">
        <f t="shared" si="20"/>
        <v>1749077</v>
      </c>
      <c r="H20" s="15">
        <f t="shared" si="20"/>
        <v>3663414</v>
      </c>
      <c r="I20" s="15">
        <f>SUM(I16:I18,I13:I14)</f>
        <v>3438395.1266666665</v>
      </c>
      <c r="J20" s="15">
        <f>SUM(J16:J18,J13:J14)</f>
        <v>7101809.126666666</v>
      </c>
      <c r="L20" s="15">
        <f>SUM(L16:L18,L13:L14)</f>
        <v>2743324</v>
      </c>
      <c r="M20" s="15">
        <f>SUM(M16:M18,M13:M14)</f>
        <v>4165020.6399999997</v>
      </c>
      <c r="N20" s="15">
        <f>SUM(N16:N18,N13:N14)</f>
        <v>6908344.6400000006</v>
      </c>
    </row>
    <row r="21" spans="2:14" ht="24.95" customHeight="1" x14ac:dyDescent="0.25">
      <c r="B21" s="19" t="s">
        <v>133</v>
      </c>
      <c r="C21" s="6">
        <f>SUM(C19:C20)</f>
        <v>2257806.37</v>
      </c>
      <c r="D21" s="6">
        <f t="shared" ref="D21:J21" si="21">SUM(D19:D20)</f>
        <v>3099959.6899999995</v>
      </c>
      <c r="E21" s="6">
        <f t="shared" si="21"/>
        <v>663318.25</v>
      </c>
      <c r="F21" s="6">
        <f t="shared" si="21"/>
        <v>1171009.5</v>
      </c>
      <c r="G21" s="6">
        <f t="shared" si="21"/>
        <v>5206351.82</v>
      </c>
      <c r="H21" s="20">
        <f t="shared" si="21"/>
        <v>12398445.630000001</v>
      </c>
      <c r="I21" s="20">
        <f t="shared" si="21"/>
        <v>7814075.9066666663</v>
      </c>
      <c r="J21" s="20">
        <f t="shared" si="21"/>
        <v>20212521.536666665</v>
      </c>
      <c r="L21" s="20">
        <f t="shared" ref="L21:N21" si="22">SUM(L19:L20)</f>
        <v>11853339.25</v>
      </c>
      <c r="M21" s="20">
        <f t="shared" si="22"/>
        <v>9450285.8500000015</v>
      </c>
      <c r="N21" s="20">
        <f t="shared" si="22"/>
        <v>21303625.100000001</v>
      </c>
    </row>
  </sheetData>
  <printOptions horizontalCentered="1"/>
  <pageMargins left="0.7" right="0.7" top="1.25" bottom="0.75" header="0.3" footer="0.3"/>
  <pageSetup scale="58" orientation="landscape" r:id="rId1"/>
  <headerFooter>
    <oddHeader xml:space="preserve">&amp;C&amp;"Arial Black,Regular"&amp;16SALES REPORT
&amp;12 2024 COMPLETED + SOLD </oddHeader>
    <oddFooter>&amp;L&amp;10&amp;F&amp;R&amp;10&amp;D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10A0-4772-42DC-A500-5FB3DF262367}">
  <sheetPr codeName="Sheet6"/>
  <dimension ref="B1:N21"/>
  <sheetViews>
    <sheetView view="pageBreakPreview" zoomScale="130" zoomScaleNormal="130" zoomScaleSheetLayoutView="130" workbookViewId="0">
      <pane ySplit="1" topLeftCell="A9" activePane="bottomLeft" state="frozen"/>
      <selection activeCell="Q17" sqref="Q17"/>
      <selection pane="bottomLeft" activeCell="Q17" sqref="Q17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  <col min="13" max="14" width="16.85546875" hidden="1" customWidth="1"/>
  </cols>
  <sheetData>
    <row r="1" spans="2:14" ht="30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25" t="s">
        <v>772</v>
      </c>
      <c r="I1" s="12" t="s">
        <v>76</v>
      </c>
      <c r="J1" s="16" t="s">
        <v>54</v>
      </c>
      <c r="L1" s="25" t="s">
        <v>773</v>
      </c>
      <c r="M1" s="25" t="s">
        <v>768</v>
      </c>
      <c r="N1" s="26" t="s">
        <v>769</v>
      </c>
    </row>
    <row r="2" spans="2:14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:N2" si="1">SUM(L3:L5)</f>
        <v>3385874.4299999997</v>
      </c>
      <c r="M2" s="13">
        <f t="shared" si="1"/>
        <v>2107631.5699999998</v>
      </c>
      <c r="N2" s="17">
        <f t="shared" si="1"/>
        <v>5493506</v>
      </c>
    </row>
    <row r="3" spans="2:14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  <c r="M3" s="14">
        <v>719306.96</v>
      </c>
      <c r="N3" s="18">
        <f>SUM(L3:M3)</f>
        <v>1727103.77</v>
      </c>
    </row>
    <row r="4" spans="2:14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  <c r="M4" s="14">
        <v>667244.06999999995</v>
      </c>
      <c r="N4" s="18">
        <f t="shared" ref="N4:N5" si="4">SUM(L4:M4)</f>
        <v>1923333.52</v>
      </c>
    </row>
    <row r="5" spans="2:14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  <c r="M5" s="14">
        <v>721080.54</v>
      </c>
      <c r="N5" s="18">
        <f t="shared" si="4"/>
        <v>1843068.71</v>
      </c>
    </row>
    <row r="6" spans="2:14" ht="24.95" customHeight="1" x14ac:dyDescent="0.25">
      <c r="B6" s="9" t="s">
        <v>51</v>
      </c>
      <c r="C6" s="7">
        <f t="shared" ref="C6:J6" si="5">SUM(C7:C9)</f>
        <v>678726.08000000007</v>
      </c>
      <c r="D6" s="7">
        <f t="shared" si="5"/>
        <v>1462690.27</v>
      </c>
      <c r="E6" s="7">
        <f t="shared" si="5"/>
        <v>292608</v>
      </c>
      <c r="F6" s="7">
        <f t="shared" si="5"/>
        <v>489272.25</v>
      </c>
      <c r="G6" s="7">
        <f t="shared" si="5"/>
        <v>1077784.4099999999</v>
      </c>
      <c r="H6" s="13">
        <f t="shared" si="5"/>
        <v>4001081.01</v>
      </c>
      <c r="I6" s="13">
        <f t="shared" si="5"/>
        <v>1669836.55</v>
      </c>
      <c r="J6" s="17">
        <f t="shared" si="5"/>
        <v>5670917.5599999996</v>
      </c>
      <c r="L6" s="13">
        <f>SUM(L7:L9)</f>
        <v>3895688.7</v>
      </c>
      <c r="M6" s="13">
        <f>SUM(M7:M9)</f>
        <v>2273779.17</v>
      </c>
      <c r="N6" s="17">
        <f t="shared" ref="N6" si="6">SUM(N7:N9)</f>
        <v>6169467.8700000001</v>
      </c>
    </row>
    <row r="7" spans="2:14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7">SUM(C7:G7)</f>
        <v>1192737.69</v>
      </c>
      <c r="I7" s="14">
        <v>443467.22</v>
      </c>
      <c r="J7" s="18">
        <f t="shared" ref="J7:J9" si="8">SUM(H7:I7)</f>
        <v>1636204.91</v>
      </c>
      <c r="L7" s="14">
        <v>1061097.27</v>
      </c>
      <c r="M7" s="14">
        <v>847637.33</v>
      </c>
      <c r="N7" s="18">
        <f t="shared" ref="N7:N9" si="9">SUM(L7:M7)</f>
        <v>1908734.6</v>
      </c>
    </row>
    <row r="8" spans="2:14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7"/>
        <v>1569379.5</v>
      </c>
      <c r="I8" s="14">
        <v>437987.23</v>
      </c>
      <c r="J8" s="18">
        <f t="shared" si="8"/>
        <v>2007366.73</v>
      </c>
      <c r="K8" s="4"/>
      <c r="L8" s="14">
        <v>1507193.88</v>
      </c>
      <c r="M8" s="14">
        <v>743961.64</v>
      </c>
      <c r="N8" s="18">
        <f t="shared" si="9"/>
        <v>2251155.52</v>
      </c>
    </row>
    <row r="9" spans="2:14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7"/>
        <v>1238963.8199999998</v>
      </c>
      <c r="I9" s="14">
        <v>788382.10000000009</v>
      </c>
      <c r="J9" s="18">
        <f t="shared" si="8"/>
        <v>2027345.9199999999</v>
      </c>
      <c r="L9" s="14">
        <v>1327397.55</v>
      </c>
      <c r="M9" s="14">
        <v>682180.2</v>
      </c>
      <c r="N9" s="18">
        <f t="shared" si="9"/>
        <v>2009577.75</v>
      </c>
    </row>
    <row r="10" spans="2:14" ht="24.95" customHeight="1" x14ac:dyDescent="0.25">
      <c r="B10" s="9" t="s">
        <v>52</v>
      </c>
      <c r="C10" s="7">
        <f>SUM(C11:C14)</f>
        <v>663133.27</v>
      </c>
      <c r="D10" s="7">
        <f t="shared" ref="D10:J10" si="10">SUM(D11:D14)</f>
        <v>733929.06</v>
      </c>
      <c r="E10" s="7">
        <f t="shared" si="10"/>
        <v>176392.75</v>
      </c>
      <c r="F10" s="7">
        <f t="shared" si="10"/>
        <v>241549</v>
      </c>
      <c r="G10" s="7">
        <f t="shared" si="10"/>
        <v>2067246.8599999999</v>
      </c>
      <c r="H10" s="13">
        <f t="shared" si="10"/>
        <v>3882250.94</v>
      </c>
      <c r="I10" s="13">
        <f t="shared" si="10"/>
        <v>2311807.1500000004</v>
      </c>
      <c r="J10" s="17">
        <f t="shared" si="10"/>
        <v>6194058.0899999999</v>
      </c>
      <c r="K10" s="4"/>
      <c r="L10" s="13">
        <f>SUM(L11:L14)</f>
        <v>3257661.12</v>
      </c>
      <c r="M10" s="13">
        <f>SUM(M11:M14)</f>
        <v>3116968.33</v>
      </c>
      <c r="N10" s="17">
        <f t="shared" ref="N10" si="11">SUM(N11:N14)</f>
        <v>6374629.4500000002</v>
      </c>
    </row>
    <row r="11" spans="2:14" ht="24.95" customHeight="1" x14ac:dyDescent="0.25">
      <c r="B11" s="8" t="s">
        <v>557</v>
      </c>
      <c r="C11" s="5">
        <v>269571.52</v>
      </c>
      <c r="D11" s="5">
        <v>155505.54999999999</v>
      </c>
      <c r="E11" s="5">
        <v>53685</v>
      </c>
      <c r="F11" s="5">
        <v>100127</v>
      </c>
      <c r="G11" s="5">
        <v>542434.24</v>
      </c>
      <c r="H11" s="14">
        <f t="shared" ref="H11:H14" si="12">SUM(C11:G11)</f>
        <v>1121323.31</v>
      </c>
      <c r="I11" s="14">
        <v>565882.46000000008</v>
      </c>
      <c r="J11" s="18">
        <f t="shared" ref="J11:J14" si="13">SUM(H11:I11)</f>
        <v>1687205.77</v>
      </c>
      <c r="L11" s="14">
        <v>1024266.15</v>
      </c>
      <c r="M11" s="14">
        <v>653049.48</v>
      </c>
      <c r="N11" s="18">
        <f t="shared" ref="N11:N14" si="14">SUM(L11:M11)</f>
        <v>1677315.63</v>
      </c>
    </row>
    <row r="12" spans="2:14" ht="24.95" customHeight="1" x14ac:dyDescent="0.25">
      <c r="B12" s="8" t="s">
        <v>681</v>
      </c>
      <c r="C12" s="5">
        <v>63592.75</v>
      </c>
      <c r="D12" s="5">
        <v>262600.51</v>
      </c>
      <c r="E12" s="5">
        <v>40372.75</v>
      </c>
      <c r="F12" s="5">
        <v>24450</v>
      </c>
      <c r="G12" s="5">
        <v>406849.62</v>
      </c>
      <c r="H12" s="14">
        <f t="shared" si="12"/>
        <v>797865.63</v>
      </c>
      <c r="I12" s="14">
        <v>230956.13</v>
      </c>
      <c r="J12" s="18">
        <f t="shared" si="13"/>
        <v>1028821.76</v>
      </c>
      <c r="L12" s="14">
        <v>994655.97</v>
      </c>
      <c r="M12" s="14">
        <v>250804.99</v>
      </c>
      <c r="N12" s="18">
        <f t="shared" si="14"/>
        <v>1245460.96</v>
      </c>
    </row>
    <row r="13" spans="2:14" ht="24.95" customHeight="1" x14ac:dyDescent="0.25">
      <c r="B13" s="8" t="s">
        <v>81</v>
      </c>
      <c r="C13" s="5">
        <v>119642</v>
      </c>
      <c r="D13" s="5">
        <v>127556</v>
      </c>
      <c r="E13" s="5"/>
      <c r="F13" s="5">
        <v>64682</v>
      </c>
      <c r="G13" s="5">
        <v>396025</v>
      </c>
      <c r="H13" s="14">
        <f t="shared" si="12"/>
        <v>707905</v>
      </c>
      <c r="I13" s="14">
        <v>670108.06000000006</v>
      </c>
      <c r="J13" s="18">
        <f t="shared" si="13"/>
        <v>1378013.06</v>
      </c>
      <c r="L13" s="14">
        <v>681054</v>
      </c>
      <c r="M13" s="14">
        <v>623887.32999999996</v>
      </c>
      <c r="N13" s="18">
        <f t="shared" si="14"/>
        <v>1304941.33</v>
      </c>
    </row>
    <row r="14" spans="2:14" ht="24.95" customHeight="1" x14ac:dyDescent="0.25">
      <c r="B14" s="8" t="s">
        <v>82</v>
      </c>
      <c r="C14" s="5">
        <v>210327</v>
      </c>
      <c r="D14" s="5">
        <v>188267</v>
      </c>
      <c r="E14" s="5">
        <v>82335</v>
      </c>
      <c r="F14" s="5">
        <v>52290</v>
      </c>
      <c r="G14" s="5">
        <v>721938</v>
      </c>
      <c r="H14" s="14">
        <f t="shared" si="12"/>
        <v>1255157</v>
      </c>
      <c r="I14" s="14">
        <v>844860.5</v>
      </c>
      <c r="J14" s="18">
        <f t="shared" si="13"/>
        <v>2100017.5</v>
      </c>
      <c r="L14" s="14">
        <v>557685</v>
      </c>
      <c r="M14" s="14">
        <v>1589226.53</v>
      </c>
      <c r="N14" s="18">
        <f t="shared" si="14"/>
        <v>2146911.5300000003</v>
      </c>
    </row>
    <row r="15" spans="2:14" ht="24.95" customHeight="1" x14ac:dyDescent="0.25">
      <c r="B15" s="9" t="s">
        <v>53</v>
      </c>
      <c r="C15" s="7">
        <f>SUM(C16:C18)</f>
        <v>283183</v>
      </c>
      <c r="D15" s="7">
        <f>SUM(D16:D18)</f>
        <v>455686</v>
      </c>
      <c r="E15" s="7"/>
      <c r="F15" s="7">
        <f>SUM(F16:F18)</f>
        <v>177459</v>
      </c>
      <c r="G15" s="7">
        <f>SUM(G16:G18)</f>
        <v>370878</v>
      </c>
      <c r="H15" s="13">
        <f>SUM(H16:H18)</f>
        <v>1463834</v>
      </c>
      <c r="I15" s="13">
        <f>SUM(I16:I18)</f>
        <v>1923426.5666666664</v>
      </c>
      <c r="J15" s="17">
        <f>SUM(J16:J18)</f>
        <v>3387260.566666666</v>
      </c>
      <c r="L15" s="13">
        <f>SUM(L16:L18)</f>
        <v>1515166</v>
      </c>
      <c r="M15" s="13">
        <f>SUM(M16:M18)</f>
        <v>1951906.78</v>
      </c>
      <c r="N15" s="17">
        <f>SUM(N16:N18)</f>
        <v>3467072.7800000003</v>
      </c>
    </row>
    <row r="16" spans="2:14" ht="24.95" customHeight="1" x14ac:dyDescent="0.25">
      <c r="B16" s="8" t="s">
        <v>83</v>
      </c>
      <c r="C16" s="5">
        <v>211202</v>
      </c>
      <c r="D16" s="5">
        <v>295922</v>
      </c>
      <c r="E16" s="5">
        <v>128683</v>
      </c>
      <c r="F16" s="5">
        <v>144192</v>
      </c>
      <c r="G16" s="5">
        <v>239994</v>
      </c>
      <c r="H16" s="14">
        <f t="shared" ref="H16:H18" si="15">SUM(C16:G16)</f>
        <v>1019993</v>
      </c>
      <c r="I16" s="14">
        <v>678564.85555555543</v>
      </c>
      <c r="J16" s="18">
        <f t="shared" ref="J16:J18" si="16">SUM(H16:I16)</f>
        <v>1698557.8555555553</v>
      </c>
      <c r="L16" s="14">
        <v>1094855</v>
      </c>
      <c r="M16" s="14">
        <v>779512.26</v>
      </c>
      <c r="N16" s="18">
        <f t="shared" ref="N16:N18" si="17">SUM(L16:M16)</f>
        <v>1874367.26</v>
      </c>
    </row>
    <row r="17" spans="2:14" ht="24.95" customHeight="1" x14ac:dyDescent="0.25">
      <c r="B17" s="8" t="s">
        <v>84</v>
      </c>
      <c r="C17" s="5">
        <v>71981</v>
      </c>
      <c r="D17" s="5">
        <v>149258</v>
      </c>
      <c r="E17" s="5">
        <v>47945</v>
      </c>
      <c r="F17" s="5">
        <v>33267</v>
      </c>
      <c r="G17" s="5">
        <v>114084</v>
      </c>
      <c r="H17" s="14">
        <f t="shared" si="15"/>
        <v>416535</v>
      </c>
      <c r="I17" s="14">
        <v>622522.85555555543</v>
      </c>
      <c r="J17" s="18">
        <f t="shared" si="16"/>
        <v>1039057.8555555554</v>
      </c>
      <c r="L17" s="14">
        <v>401101</v>
      </c>
      <c r="M17" s="14">
        <v>586197.26</v>
      </c>
      <c r="N17" s="18">
        <f t="shared" si="17"/>
        <v>987298.26</v>
      </c>
    </row>
    <row r="18" spans="2:14" ht="24.95" customHeight="1" x14ac:dyDescent="0.25">
      <c r="B18" s="8" t="s">
        <v>85</v>
      </c>
      <c r="C18" s="5"/>
      <c r="D18" s="5">
        <v>10506</v>
      </c>
      <c r="E18" s="5"/>
      <c r="F18" s="5"/>
      <c r="G18" s="5">
        <v>16800</v>
      </c>
      <c r="H18" s="14">
        <f t="shared" si="15"/>
        <v>27306</v>
      </c>
      <c r="I18" s="14">
        <v>622338.85555555543</v>
      </c>
      <c r="J18" s="18">
        <f t="shared" si="16"/>
        <v>649644.85555555543</v>
      </c>
      <c r="L18" s="14">
        <v>19210</v>
      </c>
      <c r="M18" s="14">
        <v>586197.26</v>
      </c>
      <c r="N18" s="18">
        <f t="shared" si="17"/>
        <v>605407.26</v>
      </c>
    </row>
    <row r="19" spans="2:14" ht="24.95" customHeight="1" x14ac:dyDescent="0.25">
      <c r="B19" s="10" t="s">
        <v>131</v>
      </c>
      <c r="C19" s="6">
        <f>SUM(C3:C5,C7:C9,C11:C12)</f>
        <v>1787596.12</v>
      </c>
      <c r="D19" s="6">
        <f t="shared" ref="D19:H19" si="18">SUM(D3:D5,D7:D9,D11:D12)</f>
        <v>2390639.6899999995</v>
      </c>
      <c r="E19" s="6">
        <f t="shared" si="18"/>
        <v>413265</v>
      </c>
      <c r="F19" s="6">
        <f t="shared" si="18"/>
        <v>867145.5</v>
      </c>
      <c r="G19" s="6">
        <f t="shared" si="18"/>
        <v>3573371.2200000007</v>
      </c>
      <c r="H19" s="15">
        <f t="shared" si="18"/>
        <v>9032017.5300000012</v>
      </c>
      <c r="I19" s="15">
        <f>SUM(I3:I5,I7:I9,I11:I12)</f>
        <v>4375680.78</v>
      </c>
      <c r="J19" s="15">
        <f>SUM(J3:J5,J7:J9,J11:J12)</f>
        <v>13407698.309999999</v>
      </c>
      <c r="L19" s="15">
        <f t="shared" ref="L19:M19" si="19">SUM(L3:L5,L7:L9,L11:L12)</f>
        <v>9300485.25</v>
      </c>
      <c r="M19" s="15">
        <f t="shared" si="19"/>
        <v>5285265.2100000009</v>
      </c>
      <c r="N19" s="15">
        <f>SUM(N3:N5,N7:N9,N11:N12)</f>
        <v>14585750.460000001</v>
      </c>
    </row>
    <row r="20" spans="2:14" ht="24.95" customHeight="1" x14ac:dyDescent="0.25">
      <c r="B20" s="10" t="s">
        <v>132</v>
      </c>
      <c r="C20" s="6">
        <f>SUM(C16:C18,C13:C14)</f>
        <v>613152</v>
      </c>
      <c r="D20" s="6">
        <f t="shared" ref="D20:H20" si="20">SUM(D16:D18,D13:D14)</f>
        <v>771509</v>
      </c>
      <c r="E20" s="6">
        <f t="shared" si="20"/>
        <v>258963</v>
      </c>
      <c r="F20" s="6">
        <f t="shared" si="20"/>
        <v>294431</v>
      </c>
      <c r="G20" s="6">
        <f t="shared" si="20"/>
        <v>1488841</v>
      </c>
      <c r="H20" s="15">
        <f t="shared" si="20"/>
        <v>3426896</v>
      </c>
      <c r="I20" s="15">
        <f>SUM(I16:I18,I13:I14)</f>
        <v>3438395.1266666665</v>
      </c>
      <c r="J20" s="15">
        <f>SUM(J16:J18,J13:J14)</f>
        <v>6865291.126666666</v>
      </c>
      <c r="L20" s="15">
        <f>SUM(L16:L18,L13:L14)</f>
        <v>2753905</v>
      </c>
      <c r="M20" s="15">
        <f>SUM(M16:M18,M13:M14)</f>
        <v>4165020.6399999997</v>
      </c>
      <c r="N20" s="15">
        <f>SUM(N16:N18,N13:N14)</f>
        <v>6918925.6400000006</v>
      </c>
    </row>
    <row r="21" spans="2:14" ht="24.95" customHeight="1" x14ac:dyDescent="0.25">
      <c r="B21" s="19" t="s">
        <v>133</v>
      </c>
      <c r="C21" s="6">
        <f>SUM(C19:C20)</f>
        <v>2400748.12</v>
      </c>
      <c r="D21" s="6">
        <f t="shared" ref="D21:J21" si="21">SUM(D19:D20)</f>
        <v>3162148.6899999995</v>
      </c>
      <c r="E21" s="6">
        <f t="shared" si="21"/>
        <v>672228</v>
      </c>
      <c r="F21" s="6">
        <f t="shared" si="21"/>
        <v>1161576.5</v>
      </c>
      <c r="G21" s="6">
        <f t="shared" si="21"/>
        <v>5062212.2200000007</v>
      </c>
      <c r="H21" s="20">
        <f t="shared" si="21"/>
        <v>12458913.530000001</v>
      </c>
      <c r="I21" s="20">
        <f t="shared" si="21"/>
        <v>7814075.9066666663</v>
      </c>
      <c r="J21" s="20">
        <f t="shared" si="21"/>
        <v>20272989.436666664</v>
      </c>
      <c r="L21" s="20">
        <f t="shared" ref="L21:N21" si="22">SUM(L19:L20)</f>
        <v>12054390.25</v>
      </c>
      <c r="M21" s="20">
        <f t="shared" si="22"/>
        <v>9450285.8500000015</v>
      </c>
      <c r="N21" s="20">
        <f t="shared" si="22"/>
        <v>21504676.100000001</v>
      </c>
    </row>
  </sheetData>
  <printOptions horizontalCentered="1"/>
  <pageMargins left="0.7" right="0.7" top="1.25" bottom="0.75" header="0.3" footer="0.3"/>
  <pageSetup scale="58" orientation="landscape" r:id="rId1"/>
  <headerFooter>
    <oddHeader xml:space="preserve">&amp;C&amp;"Arial Black,Regular"&amp;16SALES REPORT
&amp;12 2024 COMPLETED + SOLD </oddHeader>
    <oddFooter>&amp;L&amp;10&amp;F&amp;R&amp;10&amp;D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C3C9-EBA3-4C20-90B2-1C43FEB8E2D4}">
  <sheetPr codeName="Sheet7"/>
  <dimension ref="B1:N21"/>
  <sheetViews>
    <sheetView view="pageBreakPreview" zoomScale="130" zoomScaleNormal="130" zoomScaleSheetLayoutView="130" workbookViewId="0">
      <pane ySplit="1" topLeftCell="A5" activePane="bottomLeft" state="frozen"/>
      <selection activeCell="Q17" sqref="Q17"/>
      <selection pane="bottomLeft" activeCell="Q17" sqref="Q17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  <col min="13" max="14" width="16.85546875" hidden="1" customWidth="1"/>
  </cols>
  <sheetData>
    <row r="1" spans="2:14" ht="30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25" t="s">
        <v>775</v>
      </c>
      <c r="I1" s="12" t="s">
        <v>76</v>
      </c>
      <c r="J1" s="16" t="s">
        <v>54</v>
      </c>
      <c r="L1" s="25" t="s">
        <v>774</v>
      </c>
      <c r="M1" s="25" t="s">
        <v>768</v>
      </c>
      <c r="N1" s="26" t="s">
        <v>769</v>
      </c>
    </row>
    <row r="2" spans="2:14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:N2" si="1">SUM(L3:L5)</f>
        <v>3385874.4299999997</v>
      </c>
      <c r="M2" s="13">
        <f t="shared" si="1"/>
        <v>2107631.5699999998</v>
      </c>
      <c r="N2" s="17">
        <f t="shared" si="1"/>
        <v>5493506</v>
      </c>
    </row>
    <row r="3" spans="2:14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  <c r="M3" s="14">
        <v>719306.96</v>
      </c>
      <c r="N3" s="18">
        <f>SUM(L3:M3)</f>
        <v>1727103.77</v>
      </c>
    </row>
    <row r="4" spans="2:14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  <c r="M4" s="14">
        <v>667244.06999999995</v>
      </c>
      <c r="N4" s="18">
        <f t="shared" ref="N4:N5" si="4">SUM(L4:M4)</f>
        <v>1923333.52</v>
      </c>
    </row>
    <row r="5" spans="2:14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  <c r="M5" s="14">
        <v>721080.54</v>
      </c>
      <c r="N5" s="18">
        <f t="shared" si="4"/>
        <v>1843068.71</v>
      </c>
    </row>
    <row r="6" spans="2:14" ht="24.95" customHeight="1" x14ac:dyDescent="0.25">
      <c r="B6" s="9" t="s">
        <v>51</v>
      </c>
      <c r="C6" s="7">
        <f t="shared" ref="C6:J6" si="5">SUM(C7:C9)</f>
        <v>678726.08000000007</v>
      </c>
      <c r="D6" s="7">
        <f t="shared" si="5"/>
        <v>1462690.27</v>
      </c>
      <c r="E6" s="7">
        <f t="shared" si="5"/>
        <v>292608</v>
      </c>
      <c r="F6" s="7">
        <f t="shared" si="5"/>
        <v>489272.25</v>
      </c>
      <c r="G6" s="7">
        <f t="shared" si="5"/>
        <v>1077784.4099999999</v>
      </c>
      <c r="H6" s="13">
        <f t="shared" si="5"/>
        <v>4001081.01</v>
      </c>
      <c r="I6" s="13">
        <f t="shared" si="5"/>
        <v>1669836.55</v>
      </c>
      <c r="J6" s="17">
        <f t="shared" si="5"/>
        <v>5670917.5599999996</v>
      </c>
      <c r="L6" s="13">
        <f>SUM(L7:L9)</f>
        <v>3895688.7</v>
      </c>
      <c r="M6" s="13">
        <f>SUM(M7:M9)</f>
        <v>2273779.17</v>
      </c>
      <c r="N6" s="17">
        <f t="shared" ref="N6" si="6">SUM(N7:N9)</f>
        <v>6169467.8700000001</v>
      </c>
    </row>
    <row r="7" spans="2:14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7">SUM(C7:G7)</f>
        <v>1192737.69</v>
      </c>
      <c r="I7" s="14">
        <v>443467.22</v>
      </c>
      <c r="J7" s="18">
        <f t="shared" ref="J7:J9" si="8">SUM(H7:I7)</f>
        <v>1636204.91</v>
      </c>
      <c r="L7" s="14">
        <v>1061097.27</v>
      </c>
      <c r="M7" s="14">
        <v>847637.33</v>
      </c>
      <c r="N7" s="18">
        <f t="shared" ref="N7:N9" si="9">SUM(L7:M7)</f>
        <v>1908734.6</v>
      </c>
    </row>
    <row r="8" spans="2:14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7"/>
        <v>1569379.5</v>
      </c>
      <c r="I8" s="14">
        <v>437987.23</v>
      </c>
      <c r="J8" s="18">
        <f t="shared" si="8"/>
        <v>2007366.73</v>
      </c>
      <c r="K8" s="4"/>
      <c r="L8" s="14">
        <v>1507193.88</v>
      </c>
      <c r="M8" s="14">
        <v>743961.64</v>
      </c>
      <c r="N8" s="18">
        <f t="shared" si="9"/>
        <v>2251155.52</v>
      </c>
    </row>
    <row r="9" spans="2:14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7"/>
        <v>1238963.8199999998</v>
      </c>
      <c r="I9" s="14">
        <v>788382.10000000009</v>
      </c>
      <c r="J9" s="18">
        <f t="shared" si="8"/>
        <v>2027345.9199999999</v>
      </c>
      <c r="L9" s="14">
        <v>1327397.55</v>
      </c>
      <c r="M9" s="14">
        <v>682180.2</v>
      </c>
      <c r="N9" s="18">
        <f t="shared" si="9"/>
        <v>2009577.75</v>
      </c>
    </row>
    <row r="10" spans="2:14" ht="24.95" customHeight="1" x14ac:dyDescent="0.25">
      <c r="B10" s="9" t="s">
        <v>52</v>
      </c>
      <c r="C10" s="7">
        <f>SUM(C11:C14)</f>
        <v>622227.27</v>
      </c>
      <c r="D10" s="7">
        <f t="shared" ref="D10:J10" si="10">SUM(D11:D14)</f>
        <v>800307.31</v>
      </c>
      <c r="E10" s="7">
        <f t="shared" si="10"/>
        <v>176392.75</v>
      </c>
      <c r="F10" s="7">
        <f t="shared" si="10"/>
        <v>230296.5</v>
      </c>
      <c r="G10" s="7">
        <f t="shared" si="10"/>
        <v>2047871.8399999999</v>
      </c>
      <c r="H10" s="13">
        <f t="shared" si="10"/>
        <v>3877095.67</v>
      </c>
      <c r="I10" s="13">
        <f t="shared" si="10"/>
        <v>2311807.1500000004</v>
      </c>
      <c r="J10" s="17">
        <f t="shared" si="10"/>
        <v>6188902.8200000003</v>
      </c>
      <c r="K10" s="4"/>
      <c r="L10" s="13">
        <f>SUM(L11:L14)</f>
        <v>3320914.12</v>
      </c>
      <c r="M10" s="13">
        <f>SUM(M11:M14)</f>
        <v>3116968.33</v>
      </c>
      <c r="N10" s="17">
        <f t="shared" ref="N10" si="11">SUM(N11:N14)</f>
        <v>6437882.4500000002</v>
      </c>
    </row>
    <row r="11" spans="2:14" ht="24.95" customHeight="1" x14ac:dyDescent="0.25">
      <c r="B11" s="8" t="s">
        <v>557</v>
      </c>
      <c r="C11" s="5">
        <v>269571.52</v>
      </c>
      <c r="D11" s="5">
        <v>155505.54999999999</v>
      </c>
      <c r="E11" s="5">
        <v>53685</v>
      </c>
      <c r="F11" s="5">
        <v>100127</v>
      </c>
      <c r="G11" s="5">
        <v>542434.24</v>
      </c>
      <c r="H11" s="14">
        <f t="shared" ref="H11:H14" si="12">SUM(C11:G11)</f>
        <v>1121323.31</v>
      </c>
      <c r="I11" s="14">
        <v>565882.46000000008</v>
      </c>
      <c r="J11" s="18">
        <f t="shared" ref="J11:J14" si="13">SUM(H11:I11)</f>
        <v>1687205.77</v>
      </c>
      <c r="L11" s="14">
        <v>1024266.15</v>
      </c>
      <c r="M11" s="14">
        <v>653049.48</v>
      </c>
      <c r="N11" s="18">
        <f t="shared" ref="N11:N14" si="14">SUM(L11:M11)</f>
        <v>1677315.63</v>
      </c>
    </row>
    <row r="12" spans="2:14" ht="24.95" customHeight="1" x14ac:dyDescent="0.25">
      <c r="B12" s="8" t="s">
        <v>681</v>
      </c>
      <c r="C12" s="5">
        <v>102567.75</v>
      </c>
      <c r="D12" s="5">
        <v>352750.76</v>
      </c>
      <c r="E12" s="5">
        <v>40372.75</v>
      </c>
      <c r="F12" s="5">
        <v>29647.5</v>
      </c>
      <c r="G12" s="5">
        <v>426856.6</v>
      </c>
      <c r="H12" s="14">
        <f t="shared" si="12"/>
        <v>952195.36</v>
      </c>
      <c r="I12" s="14">
        <v>230956.13</v>
      </c>
      <c r="J12" s="18">
        <f t="shared" si="13"/>
        <v>1183151.49</v>
      </c>
      <c r="L12" s="14">
        <v>1155599.97</v>
      </c>
      <c r="M12" s="14">
        <v>250804.99</v>
      </c>
      <c r="N12" s="18">
        <f t="shared" si="14"/>
        <v>1406404.96</v>
      </c>
    </row>
    <row r="13" spans="2:14" ht="24.95" customHeight="1" x14ac:dyDescent="0.25">
      <c r="B13" s="8" t="s">
        <v>81</v>
      </c>
      <c r="C13" s="5">
        <v>79417</v>
      </c>
      <c r="D13" s="5">
        <v>61476</v>
      </c>
      <c r="E13" s="5"/>
      <c r="F13" s="5">
        <v>48232</v>
      </c>
      <c r="G13" s="5">
        <v>375943</v>
      </c>
      <c r="H13" s="14">
        <f t="shared" si="12"/>
        <v>565068</v>
      </c>
      <c r="I13" s="14">
        <v>670108.06000000006</v>
      </c>
      <c r="J13" s="18">
        <f t="shared" si="13"/>
        <v>1235176.06</v>
      </c>
      <c r="L13" s="14">
        <v>586117</v>
      </c>
      <c r="M13" s="14">
        <v>623887.32999999996</v>
      </c>
      <c r="N13" s="18">
        <f t="shared" si="14"/>
        <v>1210004.33</v>
      </c>
    </row>
    <row r="14" spans="2:14" ht="24.95" customHeight="1" x14ac:dyDescent="0.25">
      <c r="B14" s="8" t="s">
        <v>82</v>
      </c>
      <c r="C14" s="5">
        <v>170671</v>
      </c>
      <c r="D14" s="5">
        <v>230575</v>
      </c>
      <c r="E14" s="5">
        <v>82335</v>
      </c>
      <c r="F14" s="5">
        <v>52290</v>
      </c>
      <c r="G14" s="5">
        <v>702638</v>
      </c>
      <c r="H14" s="14">
        <f t="shared" si="12"/>
        <v>1238509</v>
      </c>
      <c r="I14" s="14">
        <v>844860.5</v>
      </c>
      <c r="J14" s="18">
        <f t="shared" si="13"/>
        <v>2083369.5</v>
      </c>
      <c r="L14" s="14">
        <v>554931</v>
      </c>
      <c r="M14" s="14">
        <v>1589226.53</v>
      </c>
      <c r="N14" s="18">
        <f t="shared" si="14"/>
        <v>2144157.5300000003</v>
      </c>
    </row>
    <row r="15" spans="2:14" ht="24.95" customHeight="1" x14ac:dyDescent="0.25">
      <c r="B15" s="9" t="s">
        <v>53</v>
      </c>
      <c r="C15" s="7">
        <f>SUM(C16:C18)</f>
        <v>353674</v>
      </c>
      <c r="D15" s="7">
        <f>SUM(D16:D18)</f>
        <v>455686</v>
      </c>
      <c r="E15" s="7"/>
      <c r="F15" s="7">
        <f>SUM(F16:F18)</f>
        <v>177459</v>
      </c>
      <c r="G15" s="7">
        <f>SUM(G16:G18)</f>
        <v>380433</v>
      </c>
      <c r="H15" s="13">
        <f>SUM(H16:H18)</f>
        <v>1549105</v>
      </c>
      <c r="I15" s="13">
        <f>SUM(I16:I18)</f>
        <v>1923426.5666666664</v>
      </c>
      <c r="J15" s="17">
        <f>SUM(J16:J18)</f>
        <v>3472531.566666666</v>
      </c>
      <c r="L15" s="13">
        <f>SUM(L16:L18)</f>
        <v>1556606</v>
      </c>
      <c r="M15" s="13">
        <f>SUM(M16:M18)</f>
        <v>1951906.78</v>
      </c>
      <c r="N15" s="17">
        <f>SUM(N16:N18)</f>
        <v>3508512.7800000003</v>
      </c>
    </row>
    <row r="16" spans="2:14" ht="24.95" customHeight="1" x14ac:dyDescent="0.25">
      <c r="B16" s="8" t="s">
        <v>83</v>
      </c>
      <c r="C16" s="5">
        <v>270968</v>
      </c>
      <c r="D16" s="5">
        <v>295922</v>
      </c>
      <c r="E16" s="5">
        <v>133908</v>
      </c>
      <c r="F16" s="5">
        <v>144192</v>
      </c>
      <c r="G16" s="5">
        <v>249549</v>
      </c>
      <c r="H16" s="14">
        <f t="shared" ref="H16:H18" si="15">SUM(C16:G16)</f>
        <v>1094539</v>
      </c>
      <c r="I16" s="14">
        <v>678564.85555555543</v>
      </c>
      <c r="J16" s="18">
        <f t="shared" ref="J16:J18" si="16">SUM(H16:I16)</f>
        <v>1773103.8555555553</v>
      </c>
      <c r="L16" s="14">
        <v>1116920</v>
      </c>
      <c r="M16" s="14">
        <v>779512.26</v>
      </c>
      <c r="N16" s="18">
        <f t="shared" ref="N16:N18" si="17">SUM(L16:M16)</f>
        <v>1896432.26</v>
      </c>
    </row>
    <row r="17" spans="2:14" ht="24.95" customHeight="1" x14ac:dyDescent="0.25">
      <c r="B17" s="8" t="s">
        <v>84</v>
      </c>
      <c r="C17" s="5">
        <v>79891</v>
      </c>
      <c r="D17" s="5">
        <v>149258</v>
      </c>
      <c r="E17" s="5">
        <v>47945</v>
      </c>
      <c r="F17" s="5">
        <v>33267</v>
      </c>
      <c r="G17" s="5">
        <v>114084</v>
      </c>
      <c r="H17" s="14">
        <f t="shared" si="15"/>
        <v>424445</v>
      </c>
      <c r="I17" s="14">
        <v>622522.85555555543</v>
      </c>
      <c r="J17" s="18">
        <f t="shared" si="16"/>
        <v>1046967.8555555554</v>
      </c>
      <c r="L17" s="14">
        <v>420476</v>
      </c>
      <c r="M17" s="14">
        <v>586197.26</v>
      </c>
      <c r="N17" s="18">
        <f t="shared" si="17"/>
        <v>1006673.26</v>
      </c>
    </row>
    <row r="18" spans="2:14" ht="24.95" customHeight="1" x14ac:dyDescent="0.25">
      <c r="B18" s="8" t="s">
        <v>85</v>
      </c>
      <c r="C18" s="5">
        <v>2815</v>
      </c>
      <c r="D18" s="5">
        <v>10506</v>
      </c>
      <c r="E18" s="5"/>
      <c r="F18" s="5"/>
      <c r="G18" s="5">
        <v>16800</v>
      </c>
      <c r="H18" s="14">
        <f t="shared" si="15"/>
        <v>30121</v>
      </c>
      <c r="I18" s="14">
        <v>622338.85555555543</v>
      </c>
      <c r="J18" s="18">
        <f t="shared" si="16"/>
        <v>652459.85555555543</v>
      </c>
      <c r="L18" s="14">
        <v>19210</v>
      </c>
      <c r="M18" s="14">
        <v>586197.26</v>
      </c>
      <c r="N18" s="18">
        <f t="shared" si="17"/>
        <v>605407.26</v>
      </c>
    </row>
    <row r="19" spans="2:14" ht="24.95" customHeight="1" x14ac:dyDescent="0.25">
      <c r="B19" s="10" t="s">
        <v>131</v>
      </c>
      <c r="C19" s="6">
        <f>SUM(C3:C5,C7:C9,C11:C12)</f>
        <v>1826571.12</v>
      </c>
      <c r="D19" s="6">
        <f t="shared" ref="D19:H19" si="18">SUM(D3:D5,D7:D9,D11:D12)</f>
        <v>2480789.9399999995</v>
      </c>
      <c r="E19" s="6">
        <f t="shared" si="18"/>
        <v>413265</v>
      </c>
      <c r="F19" s="6">
        <f t="shared" si="18"/>
        <v>872343</v>
      </c>
      <c r="G19" s="6">
        <f t="shared" si="18"/>
        <v>3593378.2000000007</v>
      </c>
      <c r="H19" s="15">
        <f t="shared" si="18"/>
        <v>9186347.2599999998</v>
      </c>
      <c r="I19" s="15">
        <f>SUM(I3:I5,I7:I9,I11:I12)</f>
        <v>4375680.78</v>
      </c>
      <c r="J19" s="15">
        <f>SUM(J3:J5,J7:J9,J11:J12)</f>
        <v>13562028.039999999</v>
      </c>
      <c r="L19" s="15">
        <f t="shared" ref="L19:M19" si="19">SUM(L3:L5,L7:L9,L11:L12)</f>
        <v>9461429.25</v>
      </c>
      <c r="M19" s="15">
        <f t="shared" si="19"/>
        <v>5285265.2100000009</v>
      </c>
      <c r="N19" s="15">
        <f>SUM(N3:N5,N7:N9,N11:N12)</f>
        <v>14746694.460000001</v>
      </c>
    </row>
    <row r="20" spans="2:14" ht="24.95" customHeight="1" x14ac:dyDescent="0.25">
      <c r="B20" s="10" t="s">
        <v>132</v>
      </c>
      <c r="C20" s="6">
        <f>SUM(C16:C18,C13:C14)</f>
        <v>603762</v>
      </c>
      <c r="D20" s="6">
        <f t="shared" ref="D20:H20" si="20">SUM(D16:D18,D13:D14)</f>
        <v>747737</v>
      </c>
      <c r="E20" s="6">
        <f t="shared" si="20"/>
        <v>264188</v>
      </c>
      <c r="F20" s="6">
        <f t="shared" si="20"/>
        <v>277981</v>
      </c>
      <c r="G20" s="6">
        <f t="shared" si="20"/>
        <v>1459014</v>
      </c>
      <c r="H20" s="15">
        <f t="shared" si="20"/>
        <v>3352682</v>
      </c>
      <c r="I20" s="15">
        <f>SUM(I16:I18,I13:I14)</f>
        <v>3438395.1266666665</v>
      </c>
      <c r="J20" s="15">
        <f>SUM(J16:J18,J13:J14)</f>
        <v>6791077.126666666</v>
      </c>
      <c r="L20" s="15">
        <f>SUM(L16:L18,L13:L14)</f>
        <v>2697654</v>
      </c>
      <c r="M20" s="15">
        <f>SUM(M16:M18,M13:M14)</f>
        <v>4165020.6399999997</v>
      </c>
      <c r="N20" s="15">
        <f>SUM(N16:N18,N13:N14)</f>
        <v>6862674.6400000006</v>
      </c>
    </row>
    <row r="21" spans="2:14" ht="24.95" customHeight="1" x14ac:dyDescent="0.25">
      <c r="B21" s="19" t="s">
        <v>133</v>
      </c>
      <c r="C21" s="6">
        <f>SUM(C19:C20)</f>
        <v>2430333.12</v>
      </c>
      <c r="D21" s="6">
        <f t="shared" ref="D21:J21" si="21">SUM(D19:D20)</f>
        <v>3228526.9399999995</v>
      </c>
      <c r="E21" s="6">
        <f t="shared" si="21"/>
        <v>677453</v>
      </c>
      <c r="F21" s="6">
        <f t="shared" si="21"/>
        <v>1150324</v>
      </c>
      <c r="G21" s="6">
        <f t="shared" si="21"/>
        <v>5052392.2000000011</v>
      </c>
      <c r="H21" s="20">
        <f t="shared" si="21"/>
        <v>12539029.26</v>
      </c>
      <c r="I21" s="20">
        <f t="shared" si="21"/>
        <v>7814075.9066666663</v>
      </c>
      <c r="J21" s="20">
        <f t="shared" si="21"/>
        <v>20353105.166666664</v>
      </c>
      <c r="L21" s="20">
        <f t="shared" ref="L21:N21" si="22">SUM(L19:L20)</f>
        <v>12159083.25</v>
      </c>
      <c r="M21" s="20">
        <f t="shared" si="22"/>
        <v>9450285.8500000015</v>
      </c>
      <c r="N21" s="20">
        <f t="shared" si="22"/>
        <v>21609369.100000001</v>
      </c>
    </row>
  </sheetData>
  <printOptions horizontalCentered="1"/>
  <pageMargins left="0.7" right="0.7" top="1.25" bottom="0.75" header="0.3" footer="0.3"/>
  <pageSetup scale="86" orientation="landscape" r:id="rId1"/>
  <headerFooter>
    <oddHeader xml:space="preserve">&amp;C&amp;"Arial Black,Regular"&amp;16SALES REPORT
&amp;12 2024 COMPLETED + SOLD </oddHeader>
    <oddFooter>&amp;L&amp;10&amp;F&amp;R&amp;10&amp;D</oddFooter>
  </headerFooter>
  <colBreaks count="1" manualBreakCount="1">
    <brk id="12" max="2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0461-114E-4796-9A9C-E207B068C1BE}">
  <sheetPr codeName="Sheet8"/>
  <dimension ref="B1:N21"/>
  <sheetViews>
    <sheetView view="pageBreakPreview" zoomScale="130" zoomScaleNormal="130" zoomScaleSheetLayoutView="130" workbookViewId="0">
      <pane ySplit="1" topLeftCell="A7" activePane="bottomLeft" state="frozen"/>
      <selection activeCell="Q17" sqref="Q17"/>
      <selection pane="bottomLeft" activeCell="Q17" sqref="Q17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  <col min="13" max="14" width="16.85546875" hidden="1" customWidth="1"/>
  </cols>
  <sheetData>
    <row r="1" spans="2:14" ht="30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25" t="s">
        <v>777</v>
      </c>
      <c r="I1" s="12" t="s">
        <v>76</v>
      </c>
      <c r="J1" s="16" t="s">
        <v>54</v>
      </c>
      <c r="L1" s="25" t="s">
        <v>778</v>
      </c>
      <c r="M1" s="25" t="s">
        <v>768</v>
      </c>
      <c r="N1" s="26" t="s">
        <v>769</v>
      </c>
    </row>
    <row r="2" spans="2:14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:N2" si="1">SUM(L3:L5)</f>
        <v>3385874.4299999997</v>
      </c>
      <c r="M2" s="13">
        <f t="shared" si="1"/>
        <v>2107631.5699999998</v>
      </c>
      <c r="N2" s="17">
        <f t="shared" si="1"/>
        <v>5493506</v>
      </c>
    </row>
    <row r="3" spans="2:14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  <c r="M3" s="14">
        <v>719306.96</v>
      </c>
      <c r="N3" s="18">
        <f>SUM(L3:M3)</f>
        <v>1727103.77</v>
      </c>
    </row>
    <row r="4" spans="2:14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  <c r="M4" s="14">
        <v>667244.06999999995</v>
      </c>
      <c r="N4" s="18">
        <f t="shared" ref="N4:N5" si="4">SUM(L4:M4)</f>
        <v>1923333.52</v>
      </c>
    </row>
    <row r="5" spans="2:14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  <c r="M5" s="14">
        <v>721080.54</v>
      </c>
      <c r="N5" s="18">
        <f t="shared" si="4"/>
        <v>1843068.71</v>
      </c>
    </row>
    <row r="6" spans="2:14" ht="24.95" customHeight="1" x14ac:dyDescent="0.25">
      <c r="B6" s="9" t="s">
        <v>51</v>
      </c>
      <c r="C6" s="7">
        <f t="shared" ref="C6:J6" si="5">SUM(C7:C9)</f>
        <v>678726.08000000007</v>
      </c>
      <c r="D6" s="7">
        <f t="shared" si="5"/>
        <v>1462690.27</v>
      </c>
      <c r="E6" s="7">
        <f t="shared" si="5"/>
        <v>292608</v>
      </c>
      <c r="F6" s="7">
        <f t="shared" si="5"/>
        <v>489272.25</v>
      </c>
      <c r="G6" s="7">
        <f t="shared" si="5"/>
        <v>1077784.4099999999</v>
      </c>
      <c r="H6" s="13">
        <f t="shared" si="5"/>
        <v>4001081.01</v>
      </c>
      <c r="I6" s="13">
        <f t="shared" si="5"/>
        <v>1669836.55</v>
      </c>
      <c r="J6" s="17">
        <f t="shared" si="5"/>
        <v>5670917.5599999996</v>
      </c>
      <c r="L6" s="13">
        <f>SUM(L7:L9)</f>
        <v>3895688.7</v>
      </c>
      <c r="M6" s="13">
        <f>SUM(M7:M9)</f>
        <v>2273779.17</v>
      </c>
      <c r="N6" s="17">
        <f t="shared" ref="N6" si="6">SUM(N7:N9)</f>
        <v>6169467.8700000001</v>
      </c>
    </row>
    <row r="7" spans="2:14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7">SUM(C7:G7)</f>
        <v>1192737.69</v>
      </c>
      <c r="I7" s="14">
        <v>443467.22</v>
      </c>
      <c r="J7" s="18">
        <f t="shared" ref="J7:J9" si="8">SUM(H7:I7)</f>
        <v>1636204.91</v>
      </c>
      <c r="L7" s="14">
        <v>1061097.27</v>
      </c>
      <c r="M7" s="14">
        <v>847637.33</v>
      </c>
      <c r="N7" s="18">
        <f t="shared" ref="N7:N9" si="9">SUM(L7:M7)</f>
        <v>1908734.6</v>
      </c>
    </row>
    <row r="8" spans="2:14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7"/>
        <v>1569379.5</v>
      </c>
      <c r="I8" s="14">
        <v>437987.23</v>
      </c>
      <c r="J8" s="18">
        <f t="shared" si="8"/>
        <v>2007366.73</v>
      </c>
      <c r="K8" s="4"/>
      <c r="L8" s="14">
        <v>1507193.88</v>
      </c>
      <c r="M8" s="14">
        <v>743961.64</v>
      </c>
      <c r="N8" s="18">
        <f t="shared" si="9"/>
        <v>2251155.52</v>
      </c>
    </row>
    <row r="9" spans="2:14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7"/>
        <v>1238963.8199999998</v>
      </c>
      <c r="I9" s="14">
        <v>788382.10000000009</v>
      </c>
      <c r="J9" s="18">
        <f t="shared" si="8"/>
        <v>2027345.9199999999</v>
      </c>
      <c r="L9" s="14">
        <v>1327397.55</v>
      </c>
      <c r="M9" s="14">
        <v>682180.2</v>
      </c>
      <c r="N9" s="18">
        <f t="shared" si="9"/>
        <v>2009577.75</v>
      </c>
    </row>
    <row r="10" spans="2:14" ht="24.95" customHeight="1" x14ac:dyDescent="0.25">
      <c r="B10" s="9" t="s">
        <v>52</v>
      </c>
      <c r="C10" s="7">
        <f>SUM(C11:C14)</f>
        <v>604964.52</v>
      </c>
      <c r="D10" s="7">
        <f t="shared" ref="D10:J10" si="10">SUM(D11:D14)</f>
        <v>801586.31</v>
      </c>
      <c r="E10" s="7">
        <f t="shared" si="10"/>
        <v>176392.75</v>
      </c>
      <c r="F10" s="7">
        <f t="shared" si="10"/>
        <v>230171.5</v>
      </c>
      <c r="G10" s="7">
        <f t="shared" si="10"/>
        <v>2109015.8899999997</v>
      </c>
      <c r="H10" s="13">
        <f t="shared" si="10"/>
        <v>3922130.9699999997</v>
      </c>
      <c r="I10" s="13">
        <f t="shared" si="10"/>
        <v>2311807.1500000004</v>
      </c>
      <c r="J10" s="17">
        <f t="shared" si="10"/>
        <v>6233938.1200000001</v>
      </c>
      <c r="K10" s="4"/>
      <c r="L10" s="13">
        <f>SUM(L11:L14)</f>
        <v>3590175.5300000003</v>
      </c>
      <c r="M10" s="13">
        <f>SUM(M11:M14)</f>
        <v>3116968.33</v>
      </c>
      <c r="N10" s="17">
        <f t="shared" ref="N10" si="11">SUM(N11:N14)</f>
        <v>6707143.8600000003</v>
      </c>
    </row>
    <row r="11" spans="2:14" ht="24.95" customHeight="1" x14ac:dyDescent="0.25">
      <c r="B11" s="8" t="s">
        <v>557</v>
      </c>
      <c r="C11" s="5">
        <v>269571.52</v>
      </c>
      <c r="D11" s="5">
        <v>155505.54999999999</v>
      </c>
      <c r="E11" s="5">
        <v>53685</v>
      </c>
      <c r="F11" s="5">
        <v>100127</v>
      </c>
      <c r="G11" s="5">
        <v>542434.24</v>
      </c>
      <c r="H11" s="14">
        <f t="shared" ref="H11:H14" si="12">SUM(C11:G11)</f>
        <v>1121323.31</v>
      </c>
      <c r="I11" s="14">
        <v>565882.46000000008</v>
      </c>
      <c r="J11" s="18">
        <f t="shared" ref="J11:J14" si="13">SUM(H11:I11)</f>
        <v>1687205.77</v>
      </c>
      <c r="L11" s="14">
        <v>1024266.15</v>
      </c>
      <c r="M11" s="14">
        <v>653049.48</v>
      </c>
      <c r="N11" s="18">
        <f t="shared" ref="N11:N14" si="14">SUM(L11:M11)</f>
        <v>1677315.63</v>
      </c>
    </row>
    <row r="12" spans="2:14" ht="24.95" customHeight="1" x14ac:dyDescent="0.25">
      <c r="B12" s="8" t="s">
        <v>681</v>
      </c>
      <c r="C12" s="5">
        <v>102567.75</v>
      </c>
      <c r="D12" s="5">
        <v>352750.76</v>
      </c>
      <c r="E12" s="5">
        <v>40372.75</v>
      </c>
      <c r="F12" s="5">
        <v>29647.5</v>
      </c>
      <c r="G12" s="5">
        <v>426856.6</v>
      </c>
      <c r="H12" s="14">
        <f t="shared" si="12"/>
        <v>952195.36</v>
      </c>
      <c r="I12" s="14">
        <v>230956.13</v>
      </c>
      <c r="J12" s="18">
        <f t="shared" si="13"/>
        <v>1183151.49</v>
      </c>
      <c r="L12" s="14">
        <v>1155599.97</v>
      </c>
      <c r="M12" s="14">
        <v>250804.99</v>
      </c>
      <c r="N12" s="18">
        <f t="shared" si="14"/>
        <v>1406404.96</v>
      </c>
    </row>
    <row r="13" spans="2:14" ht="24.95" customHeight="1" x14ac:dyDescent="0.25">
      <c r="B13" s="8" t="s">
        <v>776</v>
      </c>
      <c r="C13" s="5">
        <v>69223.25</v>
      </c>
      <c r="D13" s="5">
        <v>40058</v>
      </c>
      <c r="E13" s="5"/>
      <c r="F13" s="5">
        <v>20390</v>
      </c>
      <c r="G13" s="5">
        <v>118847.05</v>
      </c>
      <c r="H13" s="14">
        <f t="shared" si="12"/>
        <v>248518.3</v>
      </c>
      <c r="I13" s="14">
        <v>670108.06000000006</v>
      </c>
      <c r="J13" s="18">
        <f t="shared" si="13"/>
        <v>918626.3600000001</v>
      </c>
      <c r="L13" s="14">
        <v>506662.41</v>
      </c>
      <c r="M13" s="14">
        <v>623887.32999999996</v>
      </c>
      <c r="N13" s="18">
        <f t="shared" si="14"/>
        <v>1130549.74</v>
      </c>
    </row>
    <row r="14" spans="2:14" ht="24.95" customHeight="1" x14ac:dyDescent="0.25">
      <c r="B14" s="8" t="s">
        <v>82</v>
      </c>
      <c r="C14" s="5">
        <v>163602</v>
      </c>
      <c r="D14" s="5">
        <v>253272</v>
      </c>
      <c r="E14" s="5">
        <v>82335</v>
      </c>
      <c r="F14" s="5">
        <v>80007</v>
      </c>
      <c r="G14" s="5">
        <v>1020878</v>
      </c>
      <c r="H14" s="14">
        <f t="shared" si="12"/>
        <v>1600094</v>
      </c>
      <c r="I14" s="14">
        <v>844860.5</v>
      </c>
      <c r="J14" s="18">
        <f t="shared" si="13"/>
        <v>2444954.5</v>
      </c>
      <c r="L14" s="14">
        <v>903647</v>
      </c>
      <c r="M14" s="14">
        <v>1589226.53</v>
      </c>
      <c r="N14" s="18">
        <f t="shared" si="14"/>
        <v>2492873.5300000003</v>
      </c>
    </row>
    <row r="15" spans="2:14" ht="24.95" customHeight="1" x14ac:dyDescent="0.25">
      <c r="B15" s="9" t="s">
        <v>53</v>
      </c>
      <c r="C15" s="7">
        <f>SUM(C16:C18)</f>
        <v>387550</v>
      </c>
      <c r="D15" s="7">
        <f>SUM(D16:D18)</f>
        <v>524689</v>
      </c>
      <c r="E15" s="7"/>
      <c r="F15" s="7">
        <f>SUM(F16:F18)</f>
        <v>179244</v>
      </c>
      <c r="G15" s="7">
        <f>SUM(G16:G18)</f>
        <v>480520</v>
      </c>
      <c r="H15" s="13">
        <f>SUM(H16:H18)</f>
        <v>1768521</v>
      </c>
      <c r="I15" s="13">
        <f>SUM(I16:I18)</f>
        <v>1923426.5666666664</v>
      </c>
      <c r="J15" s="17">
        <f>SUM(J16:J18)</f>
        <v>3691947.566666666</v>
      </c>
      <c r="L15" s="13">
        <f>SUM(L16:L18)</f>
        <v>1634924</v>
      </c>
      <c r="M15" s="13">
        <f>SUM(M16:M18)</f>
        <v>1951906.78</v>
      </c>
      <c r="N15" s="17">
        <f>SUM(N16:N18)</f>
        <v>3586830.7800000003</v>
      </c>
    </row>
    <row r="16" spans="2:14" ht="24.95" customHeight="1" x14ac:dyDescent="0.25">
      <c r="B16" s="8" t="s">
        <v>83</v>
      </c>
      <c r="C16" s="5">
        <v>291159</v>
      </c>
      <c r="D16" s="5">
        <v>350225</v>
      </c>
      <c r="E16" s="5">
        <v>142958</v>
      </c>
      <c r="F16" s="5">
        <v>136973</v>
      </c>
      <c r="G16" s="5">
        <v>319581</v>
      </c>
      <c r="H16" s="14">
        <f t="shared" ref="H16:H18" si="15">SUM(C16:G16)</f>
        <v>1240896</v>
      </c>
      <c r="I16" s="14">
        <v>678564.85555555543</v>
      </c>
      <c r="J16" s="18">
        <f t="shared" ref="J16:J18" si="16">SUM(H16:I16)</f>
        <v>1919460.8555555553</v>
      </c>
      <c r="L16" s="14">
        <v>1007533</v>
      </c>
      <c r="M16" s="14">
        <v>779512.26</v>
      </c>
      <c r="N16" s="18">
        <f t="shared" ref="N16:N18" si="17">SUM(L16:M16)</f>
        <v>1787045.26</v>
      </c>
    </row>
    <row r="17" spans="2:14" ht="24.95" customHeight="1" x14ac:dyDescent="0.25">
      <c r="B17" s="8" t="s">
        <v>84</v>
      </c>
      <c r="C17" s="5">
        <v>93576</v>
      </c>
      <c r="D17" s="5">
        <v>163958</v>
      </c>
      <c r="E17" s="5">
        <v>53560</v>
      </c>
      <c r="F17" s="5">
        <v>42271</v>
      </c>
      <c r="G17" s="5">
        <v>144139</v>
      </c>
      <c r="H17" s="14">
        <f t="shared" si="15"/>
        <v>497504</v>
      </c>
      <c r="I17" s="14">
        <v>622522.85555555543</v>
      </c>
      <c r="J17" s="18">
        <f t="shared" si="16"/>
        <v>1120026.8555555553</v>
      </c>
      <c r="L17" s="14">
        <v>527601</v>
      </c>
      <c r="M17" s="14">
        <v>586197.26</v>
      </c>
      <c r="N17" s="18">
        <f t="shared" si="17"/>
        <v>1113798.26</v>
      </c>
    </row>
    <row r="18" spans="2:14" ht="24.95" customHeight="1" x14ac:dyDescent="0.25">
      <c r="B18" s="8" t="s">
        <v>85</v>
      </c>
      <c r="C18" s="5">
        <v>2815</v>
      </c>
      <c r="D18" s="5">
        <v>10506</v>
      </c>
      <c r="E18" s="5"/>
      <c r="F18" s="5"/>
      <c r="G18" s="5">
        <v>16800</v>
      </c>
      <c r="H18" s="14">
        <f t="shared" si="15"/>
        <v>30121</v>
      </c>
      <c r="I18" s="14">
        <v>622338.85555555543</v>
      </c>
      <c r="J18" s="18">
        <f t="shared" si="16"/>
        <v>652459.85555555543</v>
      </c>
      <c r="L18" s="14">
        <v>99790</v>
      </c>
      <c r="M18" s="14">
        <v>586197.26</v>
      </c>
      <c r="N18" s="18">
        <f t="shared" si="17"/>
        <v>685987.26</v>
      </c>
    </row>
    <row r="19" spans="2:14" ht="24.95" customHeight="1" x14ac:dyDescent="0.25">
      <c r="B19" s="10" t="s">
        <v>131</v>
      </c>
      <c r="C19" s="6">
        <f>SUM(C3:C5,C7:C9,C11:C12)</f>
        <v>1826571.12</v>
      </c>
      <c r="D19" s="6">
        <f t="shared" ref="D19:H19" si="18">SUM(D3:D5,D7:D9,D11:D12)</f>
        <v>2480789.9399999995</v>
      </c>
      <c r="E19" s="6">
        <f t="shared" si="18"/>
        <v>413265</v>
      </c>
      <c r="F19" s="6">
        <f t="shared" si="18"/>
        <v>872343</v>
      </c>
      <c r="G19" s="6">
        <f t="shared" si="18"/>
        <v>3593378.2000000007</v>
      </c>
      <c r="H19" s="15">
        <f t="shared" si="18"/>
        <v>9186347.2599999998</v>
      </c>
      <c r="I19" s="15">
        <f>SUM(I3:I5,I7:I9,I11:I12)</f>
        <v>4375680.78</v>
      </c>
      <c r="J19" s="15">
        <f>SUM(J3:J5,J7:J9,J11:J12)</f>
        <v>13562028.039999999</v>
      </c>
      <c r="L19" s="15">
        <f t="shared" ref="L19:M19" si="19">SUM(L3:L5,L7:L9,L11:L12)</f>
        <v>9461429.25</v>
      </c>
      <c r="M19" s="15">
        <f t="shared" si="19"/>
        <v>5285265.2100000009</v>
      </c>
      <c r="N19" s="15">
        <f>SUM(N3:N5,N7:N9,N11:N12)</f>
        <v>14746694.460000001</v>
      </c>
    </row>
    <row r="20" spans="2:14" ht="24.95" customHeight="1" x14ac:dyDescent="0.25">
      <c r="B20" s="10" t="s">
        <v>132</v>
      </c>
      <c r="C20" s="6">
        <f>SUM(C16:C18,C13:C14)</f>
        <v>620375.25</v>
      </c>
      <c r="D20" s="6">
        <f t="shared" ref="D20:H20" si="20">SUM(D16:D18,D13:D14)</f>
        <v>818019</v>
      </c>
      <c r="E20" s="6">
        <f t="shared" si="20"/>
        <v>278853</v>
      </c>
      <c r="F20" s="6">
        <f t="shared" si="20"/>
        <v>279641</v>
      </c>
      <c r="G20" s="6">
        <f t="shared" si="20"/>
        <v>1620245.05</v>
      </c>
      <c r="H20" s="15">
        <f t="shared" si="20"/>
        <v>3617133.3</v>
      </c>
      <c r="I20" s="15">
        <f>SUM(I16:I18,I13:I14)</f>
        <v>3438395.1266666665</v>
      </c>
      <c r="J20" s="15">
        <f>SUM(J16:J18,J13:J14)</f>
        <v>7055528.4266666658</v>
      </c>
      <c r="L20" s="15">
        <f>SUM(L16:L18,L13:L14)</f>
        <v>3045233.41</v>
      </c>
      <c r="M20" s="15">
        <f>SUM(M16:M18,M13:M14)</f>
        <v>4165020.6399999997</v>
      </c>
      <c r="N20" s="15">
        <f>SUM(N16:N18,N13:N14)</f>
        <v>7210254.0500000007</v>
      </c>
    </row>
    <row r="21" spans="2:14" ht="24.95" customHeight="1" x14ac:dyDescent="0.25">
      <c r="B21" s="19" t="s">
        <v>133</v>
      </c>
      <c r="C21" s="6">
        <f>SUM(C19:C20)</f>
        <v>2446946.37</v>
      </c>
      <c r="D21" s="6">
        <f t="shared" ref="D21:J21" si="21">SUM(D19:D20)</f>
        <v>3298808.9399999995</v>
      </c>
      <c r="E21" s="6">
        <f t="shared" si="21"/>
        <v>692118</v>
      </c>
      <c r="F21" s="6">
        <f t="shared" si="21"/>
        <v>1151984</v>
      </c>
      <c r="G21" s="6">
        <f t="shared" si="21"/>
        <v>5213623.2500000009</v>
      </c>
      <c r="H21" s="20">
        <f t="shared" si="21"/>
        <v>12803480.559999999</v>
      </c>
      <c r="I21" s="20">
        <f t="shared" si="21"/>
        <v>7814075.9066666663</v>
      </c>
      <c r="J21" s="20">
        <f t="shared" si="21"/>
        <v>20617556.466666665</v>
      </c>
      <c r="L21" s="20">
        <f t="shared" ref="L21:N21" si="22">SUM(L19:L20)</f>
        <v>12506662.66</v>
      </c>
      <c r="M21" s="20">
        <f t="shared" si="22"/>
        <v>9450285.8500000015</v>
      </c>
      <c r="N21" s="20">
        <f t="shared" si="22"/>
        <v>21956948.510000002</v>
      </c>
    </row>
  </sheetData>
  <printOptions horizontalCentered="1"/>
  <pageMargins left="0.7" right="0.7" top="1.25" bottom="0.75" header="0.3" footer="0.3"/>
  <pageSetup scale="86" orientation="landscape" r:id="rId1"/>
  <headerFooter>
    <oddHeader xml:space="preserve">&amp;C&amp;"Arial Black,Regular"&amp;16SALES REPORT
&amp;12 2024 COMPLETED + SOLD </oddHeader>
    <oddFooter>&amp;L&amp;10&amp;F&amp;R&amp;10&amp;D</oddFooter>
  </headerFooter>
  <colBreaks count="1" manualBreakCount="1">
    <brk id="12" max="2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E040-1B71-4F84-BB0A-F65022507417}">
  <sheetPr codeName="Sheet9"/>
  <dimension ref="B1:P21"/>
  <sheetViews>
    <sheetView view="pageBreakPreview" zoomScale="130" zoomScaleNormal="130" zoomScaleSheetLayoutView="130" workbookViewId="0">
      <pane ySplit="1" topLeftCell="A7" activePane="bottomLeft" state="frozen"/>
      <selection pane="bottomLeft" activeCell="R14" sqref="R14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  <col min="13" max="14" width="16.85546875" hidden="1" customWidth="1"/>
    <col min="16" max="16" width="12" bestFit="1" customWidth="1"/>
  </cols>
  <sheetData>
    <row r="1" spans="2:16" ht="30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25" t="s">
        <v>783</v>
      </c>
      <c r="I1" s="25" t="s">
        <v>779</v>
      </c>
      <c r="J1" s="25" t="s">
        <v>782</v>
      </c>
      <c r="L1" s="25" t="s">
        <v>784</v>
      </c>
      <c r="M1" s="25" t="s">
        <v>780</v>
      </c>
      <c r="N1" s="26" t="s">
        <v>781</v>
      </c>
    </row>
    <row r="2" spans="2:16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:N2" si="1">SUM(L3:L5)</f>
        <v>3385874.4299999997</v>
      </c>
      <c r="M2" s="13">
        <f t="shared" si="1"/>
        <v>2107631.5699999998</v>
      </c>
      <c r="N2" s="17">
        <f t="shared" si="1"/>
        <v>5493506</v>
      </c>
    </row>
    <row r="3" spans="2:16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  <c r="M3" s="14">
        <v>719306.96</v>
      </c>
      <c r="N3" s="18">
        <f>SUM(L3:M3)</f>
        <v>1727103.77</v>
      </c>
    </row>
    <row r="4" spans="2:16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  <c r="M4" s="14">
        <v>667244.06999999995</v>
      </c>
      <c r="N4" s="18">
        <f t="shared" ref="N4:N5" si="4">SUM(L4:M4)</f>
        <v>1923333.52</v>
      </c>
    </row>
    <row r="5" spans="2:16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  <c r="M5" s="14">
        <v>721080.54</v>
      </c>
      <c r="N5" s="18">
        <f t="shared" si="4"/>
        <v>1843068.71</v>
      </c>
    </row>
    <row r="6" spans="2:16" ht="24.95" customHeight="1" x14ac:dyDescent="0.25">
      <c r="B6" s="9" t="s">
        <v>51</v>
      </c>
      <c r="C6" s="7">
        <f t="shared" ref="C6:J6" si="5">SUM(C7:C9)</f>
        <v>678726.08000000007</v>
      </c>
      <c r="D6" s="7">
        <f t="shared" si="5"/>
        <v>1462690.27</v>
      </c>
      <c r="E6" s="7">
        <f t="shared" si="5"/>
        <v>292608</v>
      </c>
      <c r="F6" s="7">
        <f t="shared" si="5"/>
        <v>489272.25</v>
      </c>
      <c r="G6" s="7">
        <f t="shared" si="5"/>
        <v>1077784.4099999999</v>
      </c>
      <c r="H6" s="13">
        <f t="shared" si="5"/>
        <v>4001081.01</v>
      </c>
      <c r="I6" s="13">
        <f t="shared" si="5"/>
        <v>1669836.55</v>
      </c>
      <c r="J6" s="17">
        <f t="shared" si="5"/>
        <v>5670917.5599999996</v>
      </c>
      <c r="L6" s="13">
        <f>SUM(L7:L9)</f>
        <v>3895688.7</v>
      </c>
      <c r="M6" s="13">
        <f>SUM(M7:M9)</f>
        <v>2273779.17</v>
      </c>
      <c r="N6" s="17">
        <f t="shared" ref="N6" si="6">SUM(N7:N9)</f>
        <v>6169467.8700000001</v>
      </c>
    </row>
    <row r="7" spans="2:16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7">SUM(C7:G7)</f>
        <v>1192737.69</v>
      </c>
      <c r="I7" s="14">
        <v>443467.22</v>
      </c>
      <c r="J7" s="18">
        <f t="shared" ref="J7:J9" si="8">SUM(H7:I7)</f>
        <v>1636204.91</v>
      </c>
      <c r="L7" s="14">
        <v>1061097.27</v>
      </c>
      <c r="M7" s="14">
        <v>847637.33</v>
      </c>
      <c r="N7" s="18">
        <f t="shared" ref="N7:N9" si="9">SUM(L7:M7)</f>
        <v>1908734.6</v>
      </c>
    </row>
    <row r="8" spans="2:16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7"/>
        <v>1569379.5</v>
      </c>
      <c r="I8" s="14">
        <v>437987.23</v>
      </c>
      <c r="J8" s="18">
        <f t="shared" si="8"/>
        <v>2007366.73</v>
      </c>
      <c r="K8" s="4"/>
      <c r="L8" s="14">
        <v>1507193.88</v>
      </c>
      <c r="M8" s="14">
        <v>743961.64</v>
      </c>
      <c r="N8" s="18">
        <f t="shared" si="9"/>
        <v>2251155.52</v>
      </c>
    </row>
    <row r="9" spans="2:16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7"/>
        <v>1238963.8199999998</v>
      </c>
      <c r="I9" s="14">
        <v>788382.10000000009</v>
      </c>
      <c r="J9" s="18">
        <f t="shared" si="8"/>
        <v>2027345.9199999999</v>
      </c>
      <c r="L9" s="14">
        <v>1327397.55</v>
      </c>
      <c r="M9" s="14">
        <v>682180.2</v>
      </c>
      <c r="N9" s="18">
        <f t="shared" si="9"/>
        <v>2009577.75</v>
      </c>
    </row>
    <row r="10" spans="2:16" ht="24.95" customHeight="1" x14ac:dyDescent="0.25">
      <c r="B10" s="9" t="s">
        <v>52</v>
      </c>
      <c r="C10" s="7">
        <f>SUM(C11:C14)</f>
        <v>614675.77</v>
      </c>
      <c r="D10" s="7">
        <f t="shared" ref="D10:J10" si="10">SUM(D11:D14)</f>
        <v>814821.88</v>
      </c>
      <c r="E10" s="7">
        <f t="shared" si="10"/>
        <v>177822.75</v>
      </c>
      <c r="F10" s="7">
        <f t="shared" si="10"/>
        <v>215004.5</v>
      </c>
      <c r="G10" s="7">
        <f t="shared" si="10"/>
        <v>2142308.08</v>
      </c>
      <c r="H10" s="13">
        <f t="shared" si="10"/>
        <v>3964632.98</v>
      </c>
      <c r="I10" s="13">
        <f t="shared" si="10"/>
        <v>2064655.4849999999</v>
      </c>
      <c r="J10" s="17">
        <f t="shared" si="10"/>
        <v>6029288.4649999999</v>
      </c>
      <c r="K10" s="4"/>
      <c r="L10" s="13">
        <f>SUM(L11:L14)</f>
        <v>3951647.44</v>
      </c>
      <c r="M10" s="13">
        <f>SUM(M11:M14)</f>
        <v>2043273.19</v>
      </c>
      <c r="N10" s="17">
        <f t="shared" ref="N10" si="11">SUM(N11:N14)</f>
        <v>5994920.629999999</v>
      </c>
    </row>
    <row r="11" spans="2:16" ht="24.95" customHeight="1" x14ac:dyDescent="0.25">
      <c r="B11" s="8" t="s">
        <v>557</v>
      </c>
      <c r="C11" s="5">
        <v>269571.52</v>
      </c>
      <c r="D11" s="5">
        <v>155505.54999999999</v>
      </c>
      <c r="E11" s="5">
        <v>53685</v>
      </c>
      <c r="F11" s="5">
        <v>100127</v>
      </c>
      <c r="G11" s="5">
        <v>542434.24</v>
      </c>
      <c r="H11" s="14">
        <f t="shared" ref="H11:H14" si="12">SUM(C11:G11)</f>
        <v>1121323.31</v>
      </c>
      <c r="I11" s="14">
        <v>565882.46000000008</v>
      </c>
      <c r="J11" s="18">
        <f t="shared" ref="J11:J14" si="13">SUM(H11:I11)</f>
        <v>1687205.77</v>
      </c>
      <c r="L11" s="14">
        <v>1024266.15</v>
      </c>
      <c r="M11" s="14">
        <v>576009.1</v>
      </c>
      <c r="N11" s="18">
        <f t="shared" ref="N11:N14" si="14">SUM(L11:M11)</f>
        <v>1600275.25</v>
      </c>
    </row>
    <row r="12" spans="2:16" ht="24.95" customHeight="1" x14ac:dyDescent="0.25">
      <c r="B12" s="8" t="s">
        <v>681</v>
      </c>
      <c r="C12" s="5">
        <v>102567.75</v>
      </c>
      <c r="D12" s="5">
        <v>352750.76</v>
      </c>
      <c r="E12" s="5">
        <v>40372.75</v>
      </c>
      <c r="F12" s="5">
        <v>29647.5</v>
      </c>
      <c r="G12" s="5">
        <v>426856.6</v>
      </c>
      <c r="H12" s="14">
        <f t="shared" si="12"/>
        <v>952195.36</v>
      </c>
      <c r="I12" s="14">
        <v>684590.88</v>
      </c>
      <c r="J12" s="18">
        <f t="shared" si="13"/>
        <v>1636786.24</v>
      </c>
      <c r="L12" s="14">
        <v>1155599.97</v>
      </c>
      <c r="M12" s="14">
        <v>519160.85</v>
      </c>
      <c r="N12" s="18">
        <f t="shared" si="14"/>
        <v>1674760.8199999998</v>
      </c>
    </row>
    <row r="13" spans="2:16" ht="24.95" customHeight="1" x14ac:dyDescent="0.25">
      <c r="B13" s="8" t="s">
        <v>776</v>
      </c>
      <c r="C13" s="5">
        <v>158684.5</v>
      </c>
      <c r="D13" s="5">
        <v>166238.57</v>
      </c>
      <c r="E13" s="5">
        <v>11735</v>
      </c>
      <c r="F13" s="5">
        <v>62467</v>
      </c>
      <c r="G13" s="5">
        <v>632243.24</v>
      </c>
      <c r="H13" s="14">
        <f t="shared" si="12"/>
        <v>1031368.31</v>
      </c>
      <c r="I13" s="14">
        <v>215628.7</v>
      </c>
      <c r="J13" s="18">
        <f t="shared" si="13"/>
        <v>1246997.01</v>
      </c>
      <c r="L13" s="14">
        <v>1046331.32</v>
      </c>
      <c r="M13" s="14">
        <v>379241.3</v>
      </c>
      <c r="N13" s="18">
        <f t="shared" si="14"/>
        <v>1425572.6199999999</v>
      </c>
    </row>
    <row r="14" spans="2:16" ht="24.95" customHeight="1" x14ac:dyDescent="0.25">
      <c r="B14" s="8" t="s">
        <v>82</v>
      </c>
      <c r="C14" s="5">
        <v>83852</v>
      </c>
      <c r="D14" s="5">
        <v>140327</v>
      </c>
      <c r="E14" s="5">
        <v>72030</v>
      </c>
      <c r="F14" s="5">
        <v>22763</v>
      </c>
      <c r="G14" s="5">
        <v>540774</v>
      </c>
      <c r="H14" s="14">
        <f t="shared" si="12"/>
        <v>859746</v>
      </c>
      <c r="I14" s="14">
        <v>598553.44499999995</v>
      </c>
      <c r="J14" s="18">
        <f t="shared" si="13"/>
        <v>1458299.4449999998</v>
      </c>
      <c r="L14" s="14">
        <v>725450</v>
      </c>
      <c r="M14" s="14">
        <v>568861.93999999994</v>
      </c>
      <c r="N14" s="18">
        <f t="shared" si="14"/>
        <v>1294311.94</v>
      </c>
      <c r="P14" s="4"/>
    </row>
    <row r="15" spans="2:16" ht="24.95" customHeight="1" x14ac:dyDescent="0.25">
      <c r="B15" s="9" t="s">
        <v>53</v>
      </c>
      <c r="C15" s="7">
        <f>SUM(C16:C18)</f>
        <v>434493</v>
      </c>
      <c r="D15" s="7">
        <f>SUM(D16:D18)</f>
        <v>615538</v>
      </c>
      <c r="E15" s="7"/>
      <c r="F15" s="7">
        <f>SUM(F16:F18)</f>
        <v>185481</v>
      </c>
      <c r="G15" s="7">
        <f>SUM(G16:G18)</f>
        <v>1365914</v>
      </c>
      <c r="H15" s="13">
        <f>SUM(H16:H18)</f>
        <v>2809229</v>
      </c>
      <c r="I15" s="13">
        <f>SUM(I16:I18)</f>
        <v>2415764.6005555554</v>
      </c>
      <c r="J15" s="17">
        <f>SUM(J16:J18)</f>
        <v>5224993.6005555559</v>
      </c>
      <c r="L15" s="13">
        <f>SUM(L16:L18)</f>
        <v>1913211</v>
      </c>
      <c r="M15" s="13">
        <f>SUM(M16:M18)</f>
        <v>2191426.17</v>
      </c>
      <c r="N15" s="17">
        <f>SUM(N16:N18)</f>
        <v>4104637.17</v>
      </c>
    </row>
    <row r="16" spans="2:16" ht="24.95" customHeight="1" x14ac:dyDescent="0.25">
      <c r="B16" s="8" t="s">
        <v>83</v>
      </c>
      <c r="C16" s="5">
        <v>269439</v>
      </c>
      <c r="D16" s="5">
        <v>374413</v>
      </c>
      <c r="E16" s="5">
        <v>120088</v>
      </c>
      <c r="F16" s="5">
        <v>143210</v>
      </c>
      <c r="G16" s="5">
        <v>302461</v>
      </c>
      <c r="H16" s="14">
        <f t="shared" ref="H16:H18" si="15">SUM(C16:G16)</f>
        <v>1209611</v>
      </c>
      <c r="I16" s="14">
        <v>764496.70166666666</v>
      </c>
      <c r="J16" s="18">
        <f t="shared" ref="J16:J18" si="16">SUM(H16:I16)</f>
        <v>1974107.7016666667</v>
      </c>
      <c r="L16" s="14">
        <v>1154065</v>
      </c>
      <c r="M16" s="14">
        <v>809121.16999999993</v>
      </c>
      <c r="N16" s="18">
        <f t="shared" ref="N16:N18" si="17">SUM(L16:M16)</f>
        <v>1963186.17</v>
      </c>
    </row>
    <row r="17" spans="2:14" ht="24.95" customHeight="1" x14ac:dyDescent="0.25">
      <c r="B17" s="8" t="s">
        <v>84</v>
      </c>
      <c r="C17" s="5">
        <v>162239</v>
      </c>
      <c r="D17" s="5">
        <v>230619</v>
      </c>
      <c r="E17" s="5">
        <v>53895</v>
      </c>
      <c r="F17" s="5">
        <v>42271</v>
      </c>
      <c r="G17" s="5">
        <v>430461</v>
      </c>
      <c r="H17" s="14">
        <f t="shared" si="15"/>
        <v>919485</v>
      </c>
      <c r="I17" s="14">
        <v>988480.69944444438</v>
      </c>
      <c r="J17" s="18">
        <f t="shared" si="16"/>
        <v>1907965.6994444444</v>
      </c>
      <c r="L17" s="14">
        <v>567893</v>
      </c>
      <c r="M17" s="14">
        <v>762754.2699999999</v>
      </c>
      <c r="N17" s="18">
        <f t="shared" si="17"/>
        <v>1330647.27</v>
      </c>
    </row>
    <row r="18" spans="2:14" ht="24.95" customHeight="1" x14ac:dyDescent="0.25">
      <c r="B18" s="8" t="s">
        <v>85</v>
      </c>
      <c r="C18" s="5">
        <v>2815</v>
      </c>
      <c r="D18" s="5">
        <v>10506</v>
      </c>
      <c r="E18" s="5">
        <v>33820</v>
      </c>
      <c r="F18" s="5"/>
      <c r="G18" s="5">
        <v>632992</v>
      </c>
      <c r="H18" s="14">
        <f t="shared" si="15"/>
        <v>680133</v>
      </c>
      <c r="I18" s="14">
        <v>662787.19944444438</v>
      </c>
      <c r="J18" s="18">
        <f t="shared" si="16"/>
        <v>1342920.1994444444</v>
      </c>
      <c r="L18" s="14">
        <v>191253</v>
      </c>
      <c r="M18" s="14">
        <v>619550.73</v>
      </c>
      <c r="N18" s="18">
        <f t="shared" si="17"/>
        <v>810803.73</v>
      </c>
    </row>
    <row r="19" spans="2:14" ht="24.95" customHeight="1" x14ac:dyDescent="0.25">
      <c r="B19" s="10" t="s">
        <v>131</v>
      </c>
      <c r="C19" s="6">
        <f>SUM(C3:C5,C7:C9,C11:C13)</f>
        <v>1985255.62</v>
      </c>
      <c r="D19" s="6">
        <f t="shared" ref="D19:N19" si="18">SUM(D3:D5,D7:D9,D11:D13)</f>
        <v>2647028.5099999993</v>
      </c>
      <c r="E19" s="6">
        <f t="shared" si="18"/>
        <v>425000</v>
      </c>
      <c r="F19" s="6">
        <f t="shared" si="18"/>
        <v>934810</v>
      </c>
      <c r="G19" s="6">
        <f t="shared" si="18"/>
        <v>4225621.4400000004</v>
      </c>
      <c r="H19" s="15">
        <f t="shared" si="18"/>
        <v>10217715.57</v>
      </c>
      <c r="I19" s="15">
        <f t="shared" si="18"/>
        <v>5044944.2300000004</v>
      </c>
      <c r="J19" s="15">
        <f t="shared" si="18"/>
        <v>15262659.799999999</v>
      </c>
      <c r="L19" s="15">
        <f t="shared" si="18"/>
        <v>10507760.57</v>
      </c>
      <c r="M19" s="15">
        <f t="shared" si="18"/>
        <v>5855821.9899999993</v>
      </c>
      <c r="N19" s="15">
        <f t="shared" si="18"/>
        <v>16363582.559999999</v>
      </c>
    </row>
    <row r="20" spans="2:14" ht="24.95" customHeight="1" x14ac:dyDescent="0.25">
      <c r="B20" s="10" t="s">
        <v>132</v>
      </c>
      <c r="C20" s="6">
        <f>SUM(C16:C18,C14)</f>
        <v>518345</v>
      </c>
      <c r="D20" s="6">
        <f t="shared" ref="D20:N20" si="19">SUM(D16:D18,D14)</f>
        <v>755865</v>
      </c>
      <c r="E20" s="6">
        <f t="shared" si="19"/>
        <v>279833</v>
      </c>
      <c r="F20" s="6">
        <f t="shared" si="19"/>
        <v>208244</v>
      </c>
      <c r="G20" s="6">
        <f t="shared" si="19"/>
        <v>1906688</v>
      </c>
      <c r="H20" s="15">
        <f t="shared" si="19"/>
        <v>3668975</v>
      </c>
      <c r="I20" s="15">
        <f t="shared" si="19"/>
        <v>3014318.0455555553</v>
      </c>
      <c r="J20" s="15">
        <f t="shared" si="19"/>
        <v>6683293.0455555562</v>
      </c>
      <c r="L20" s="15">
        <f t="shared" si="19"/>
        <v>2638661</v>
      </c>
      <c r="M20" s="15">
        <f t="shared" si="19"/>
        <v>2760288.11</v>
      </c>
      <c r="N20" s="15">
        <f t="shared" si="19"/>
        <v>5398949.1099999994</v>
      </c>
    </row>
    <row r="21" spans="2:14" ht="24.95" customHeight="1" x14ac:dyDescent="0.25">
      <c r="B21" s="19" t="s">
        <v>133</v>
      </c>
      <c r="C21" s="6">
        <f>SUM(C19:C20)</f>
        <v>2503600.62</v>
      </c>
      <c r="D21" s="6">
        <f t="shared" ref="D21:J21" si="20">SUM(D19:D20)</f>
        <v>3402893.5099999993</v>
      </c>
      <c r="E21" s="6">
        <f t="shared" si="20"/>
        <v>704833</v>
      </c>
      <c r="F21" s="6">
        <f t="shared" si="20"/>
        <v>1143054</v>
      </c>
      <c r="G21" s="6">
        <f t="shared" si="20"/>
        <v>6132309.4400000004</v>
      </c>
      <c r="H21" s="20">
        <f t="shared" si="20"/>
        <v>13886690.57</v>
      </c>
      <c r="I21" s="20">
        <f t="shared" si="20"/>
        <v>8059262.2755555557</v>
      </c>
      <c r="J21" s="20">
        <f t="shared" si="20"/>
        <v>21945952.845555555</v>
      </c>
      <c r="L21" s="20">
        <f t="shared" ref="L21:N21" si="21">SUM(L19:L20)</f>
        <v>13146421.57</v>
      </c>
      <c r="M21" s="20">
        <f t="shared" si="21"/>
        <v>8616110.0999999996</v>
      </c>
      <c r="N21" s="20">
        <f t="shared" si="21"/>
        <v>21762531.669999998</v>
      </c>
    </row>
  </sheetData>
  <printOptions horizontalCentered="1"/>
  <pageMargins left="0.7" right="0.7" top="1.25" bottom="0.75" header="0.3" footer="0.3"/>
  <pageSetup scale="86" orientation="landscape" r:id="rId1"/>
  <headerFooter>
    <oddHeader xml:space="preserve">&amp;C&amp;"Arial Black,Regular"&amp;16SALES REPORT
&amp;12 2024 COMPLETED + SOLD </oddHeader>
    <oddFooter>&amp;L&amp;10&amp;F&amp;R&amp;10&amp;D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6A06-8447-49E5-A63F-B3A95B1938AF}">
  <sheetPr codeName="Sheet10"/>
  <dimension ref="B1:P21"/>
  <sheetViews>
    <sheetView view="pageBreakPreview" zoomScale="130" zoomScaleNormal="130" zoomScaleSheetLayoutView="130" workbookViewId="0">
      <pane ySplit="1" topLeftCell="A9" activePane="bottomLeft" state="frozen"/>
      <selection pane="bottomLeft" activeCell="R17" sqref="R17"/>
    </sheetView>
  </sheetViews>
  <sheetFormatPr defaultRowHeight="15" x14ac:dyDescent="0.25"/>
  <cols>
    <col min="1" max="1" width="0.85546875" customWidth="1"/>
    <col min="2" max="2" width="21.42578125" bestFit="1" customWidth="1"/>
    <col min="3" max="8" width="16.85546875" customWidth="1"/>
    <col min="9" max="10" width="16.85546875" hidden="1" customWidth="1"/>
    <col min="11" max="11" width="1.5703125" customWidth="1"/>
    <col min="12" max="12" width="16.85546875" customWidth="1"/>
    <col min="13" max="14" width="16.85546875" hidden="1" customWidth="1"/>
    <col min="16" max="16" width="12" bestFit="1" customWidth="1"/>
  </cols>
  <sheetData>
    <row r="1" spans="2:16" ht="30" x14ac:dyDescent="0.25">
      <c r="B1" s="11" t="s">
        <v>59</v>
      </c>
      <c r="C1" s="11" t="s">
        <v>91</v>
      </c>
      <c r="D1" s="11" t="s">
        <v>60</v>
      </c>
      <c r="E1" s="11" t="s">
        <v>129</v>
      </c>
      <c r="F1" s="11" t="s">
        <v>602</v>
      </c>
      <c r="G1" s="11" t="s">
        <v>94</v>
      </c>
      <c r="H1" s="25" t="s">
        <v>786</v>
      </c>
      <c r="I1" s="25" t="s">
        <v>779</v>
      </c>
      <c r="J1" s="25" t="s">
        <v>782</v>
      </c>
      <c r="L1" s="25" t="s">
        <v>787</v>
      </c>
      <c r="M1" s="25" t="s">
        <v>780</v>
      </c>
      <c r="N1" s="26" t="s">
        <v>781</v>
      </c>
    </row>
    <row r="2" spans="2:16" ht="24.95" customHeight="1" x14ac:dyDescent="0.25">
      <c r="B2" s="9" t="s">
        <v>50</v>
      </c>
      <c r="C2" s="7">
        <f t="shared" ref="C2:J2" si="0">SUM(C3:C5)</f>
        <v>775705.77</v>
      </c>
      <c r="D2" s="7">
        <f t="shared" si="0"/>
        <v>509843.36</v>
      </c>
      <c r="E2" s="7">
        <f t="shared" si="0"/>
        <v>26599.25</v>
      </c>
      <c r="F2" s="7">
        <f t="shared" si="0"/>
        <v>253296.25</v>
      </c>
      <c r="G2" s="7">
        <f t="shared" si="0"/>
        <v>1546302.9500000002</v>
      </c>
      <c r="H2" s="13">
        <f t="shared" si="0"/>
        <v>3111747.58</v>
      </c>
      <c r="I2" s="13">
        <f t="shared" si="0"/>
        <v>1909005.6400000001</v>
      </c>
      <c r="J2" s="17">
        <f t="shared" si="0"/>
        <v>5020753.22</v>
      </c>
      <c r="L2" s="13">
        <f t="shared" ref="L2:N2" si="1">SUM(L3:L5)</f>
        <v>3385874.4299999997</v>
      </c>
      <c r="M2" s="13">
        <f t="shared" si="1"/>
        <v>2107631.5699999998</v>
      </c>
      <c r="N2" s="17">
        <f t="shared" si="1"/>
        <v>5493506</v>
      </c>
    </row>
    <row r="3" spans="2:16" ht="24.95" customHeight="1" x14ac:dyDescent="0.25">
      <c r="B3" s="8" t="s">
        <v>77</v>
      </c>
      <c r="C3" s="5">
        <v>244558.27000000002</v>
      </c>
      <c r="D3" s="5">
        <v>242625.49</v>
      </c>
      <c r="E3" s="5"/>
      <c r="F3" s="5">
        <v>132389.25</v>
      </c>
      <c r="G3" s="5">
        <v>677547.8</v>
      </c>
      <c r="H3" s="14">
        <f>SUM(C3:G3)</f>
        <v>1297120.81</v>
      </c>
      <c r="I3" s="14">
        <v>598057.52000000014</v>
      </c>
      <c r="J3" s="18">
        <f>SUM(H3:I3)</f>
        <v>1895178.33</v>
      </c>
      <c r="L3" s="14">
        <v>1007796.81</v>
      </c>
      <c r="M3" s="14">
        <v>719306.96</v>
      </c>
      <c r="N3" s="18">
        <f>SUM(L3:M3)</f>
        <v>1727103.77</v>
      </c>
    </row>
    <row r="4" spans="2:16" ht="24.95" customHeight="1" x14ac:dyDescent="0.25">
      <c r="B4" s="8" t="s">
        <v>95</v>
      </c>
      <c r="C4" s="5">
        <v>207620.75</v>
      </c>
      <c r="D4" s="5">
        <v>114800.37</v>
      </c>
      <c r="E4" s="5"/>
      <c r="F4" s="5">
        <v>65517</v>
      </c>
      <c r="G4" s="5">
        <v>307917.65000000002</v>
      </c>
      <c r="H4" s="14">
        <f t="shared" ref="H4:H5" si="2">SUM(C4:G4)</f>
        <v>695855.77</v>
      </c>
      <c r="I4" s="14">
        <v>678532.49</v>
      </c>
      <c r="J4" s="18">
        <f t="shared" ref="J4:J5" si="3">SUM(H4:I4)</f>
        <v>1374388.26</v>
      </c>
      <c r="L4" s="14">
        <v>1256089.45</v>
      </c>
      <c r="M4" s="14">
        <v>667244.06999999995</v>
      </c>
      <c r="N4" s="18">
        <f t="shared" ref="N4:N5" si="4">SUM(L4:M4)</f>
        <v>1923333.52</v>
      </c>
    </row>
    <row r="5" spans="2:16" ht="24.95" customHeight="1" x14ac:dyDescent="0.25">
      <c r="B5" s="8" t="s">
        <v>96</v>
      </c>
      <c r="C5" s="5">
        <v>323526.75</v>
      </c>
      <c r="D5" s="5">
        <v>152417.5</v>
      </c>
      <c r="E5" s="5">
        <v>26599.25</v>
      </c>
      <c r="F5" s="5">
        <v>55390</v>
      </c>
      <c r="G5" s="5">
        <v>560837.5</v>
      </c>
      <c r="H5" s="14">
        <f t="shared" si="2"/>
        <v>1118771</v>
      </c>
      <c r="I5" s="14">
        <v>632415.63</v>
      </c>
      <c r="J5" s="18">
        <f t="shared" si="3"/>
        <v>1751186.63</v>
      </c>
      <c r="L5" s="14">
        <v>1121988.17</v>
      </c>
      <c r="M5" s="14">
        <v>721080.54</v>
      </c>
      <c r="N5" s="18">
        <f t="shared" si="4"/>
        <v>1843068.71</v>
      </c>
    </row>
    <row r="6" spans="2:16" ht="24.95" customHeight="1" x14ac:dyDescent="0.25">
      <c r="B6" s="9" t="s">
        <v>51</v>
      </c>
      <c r="C6" s="7">
        <f t="shared" ref="C6:J6" si="5">SUM(C7:C9)</f>
        <v>678726.08000000007</v>
      </c>
      <c r="D6" s="7">
        <f t="shared" si="5"/>
        <v>1462690.27</v>
      </c>
      <c r="E6" s="7">
        <f t="shared" si="5"/>
        <v>292608</v>
      </c>
      <c r="F6" s="7">
        <f t="shared" si="5"/>
        <v>489272.25</v>
      </c>
      <c r="G6" s="7">
        <f t="shared" si="5"/>
        <v>1077784.4099999999</v>
      </c>
      <c r="H6" s="13">
        <f t="shared" si="5"/>
        <v>4001081.01</v>
      </c>
      <c r="I6" s="13">
        <f t="shared" si="5"/>
        <v>1669836.55</v>
      </c>
      <c r="J6" s="17">
        <f t="shared" si="5"/>
        <v>5670917.5599999996</v>
      </c>
      <c r="L6" s="13">
        <f>SUM(L7:L9)</f>
        <v>3895688.7</v>
      </c>
      <c r="M6" s="13">
        <f>SUM(M7:M9)</f>
        <v>2273779.17</v>
      </c>
      <c r="N6" s="17">
        <f t="shared" ref="N6" si="6">SUM(N7:N9)</f>
        <v>6169467.8700000001</v>
      </c>
    </row>
    <row r="7" spans="2:16" ht="24.95" customHeight="1" x14ac:dyDescent="0.25">
      <c r="B7" s="8" t="s">
        <v>105</v>
      </c>
      <c r="C7" s="5">
        <v>170214.5</v>
      </c>
      <c r="D7" s="5">
        <v>450594.75</v>
      </c>
      <c r="E7" s="5">
        <v>107723.75</v>
      </c>
      <c r="F7" s="5">
        <v>134338.25</v>
      </c>
      <c r="G7" s="5">
        <v>329866.44</v>
      </c>
      <c r="H7" s="14">
        <f t="shared" ref="H7:H9" si="7">SUM(C7:G7)</f>
        <v>1192737.69</v>
      </c>
      <c r="I7" s="14">
        <v>443467.22</v>
      </c>
      <c r="J7" s="18">
        <f t="shared" ref="J7:J9" si="8">SUM(H7:I7)</f>
        <v>1636204.91</v>
      </c>
      <c r="L7" s="14">
        <v>1061097.27</v>
      </c>
      <c r="M7" s="14">
        <v>847637.33</v>
      </c>
      <c r="N7" s="18">
        <f t="shared" ref="N7:N9" si="9">SUM(L7:M7)</f>
        <v>1908734.6</v>
      </c>
    </row>
    <row r="8" spans="2:16" ht="24.95" customHeight="1" x14ac:dyDescent="0.25">
      <c r="B8" s="8" t="s">
        <v>348</v>
      </c>
      <c r="C8" s="5">
        <v>302539.33</v>
      </c>
      <c r="D8" s="5">
        <v>678194.42</v>
      </c>
      <c r="E8" s="5">
        <v>135315.5</v>
      </c>
      <c r="F8" s="5">
        <v>219184.75</v>
      </c>
      <c r="G8" s="5">
        <v>234145.5</v>
      </c>
      <c r="H8" s="14">
        <f t="shared" si="7"/>
        <v>1569379.5</v>
      </c>
      <c r="I8" s="14">
        <v>437987.23</v>
      </c>
      <c r="J8" s="18">
        <f t="shared" si="8"/>
        <v>2007366.73</v>
      </c>
      <c r="K8" s="4"/>
      <c r="L8" s="14">
        <v>1507193.88</v>
      </c>
      <c r="M8" s="14">
        <v>743961.64</v>
      </c>
      <c r="N8" s="18">
        <f t="shared" si="9"/>
        <v>2251155.52</v>
      </c>
    </row>
    <row r="9" spans="2:16" ht="24.95" customHeight="1" x14ac:dyDescent="0.25">
      <c r="B9" s="8" t="s">
        <v>464</v>
      </c>
      <c r="C9" s="5">
        <v>205972.25</v>
      </c>
      <c r="D9" s="5">
        <v>333901.09999999998</v>
      </c>
      <c r="E9" s="5">
        <v>49568.75</v>
      </c>
      <c r="F9" s="5">
        <v>135749.25</v>
      </c>
      <c r="G9" s="5">
        <v>513772.47</v>
      </c>
      <c r="H9" s="14">
        <f t="shared" si="7"/>
        <v>1238963.8199999998</v>
      </c>
      <c r="I9" s="14">
        <v>788382.10000000009</v>
      </c>
      <c r="J9" s="18">
        <f t="shared" si="8"/>
        <v>2027345.9199999999</v>
      </c>
      <c r="L9" s="14">
        <v>1327397.55</v>
      </c>
      <c r="M9" s="14">
        <v>682180.2</v>
      </c>
      <c r="N9" s="18">
        <f t="shared" si="9"/>
        <v>2009577.75</v>
      </c>
    </row>
    <row r="10" spans="2:16" ht="24.95" customHeight="1" x14ac:dyDescent="0.25">
      <c r="B10" s="9" t="s">
        <v>52</v>
      </c>
      <c r="C10" s="7">
        <f>SUM(C11:C14)</f>
        <v>611825.77</v>
      </c>
      <c r="D10" s="7">
        <f t="shared" ref="D10:J10" si="10">SUM(D11:D14)</f>
        <v>793515.29</v>
      </c>
      <c r="E10" s="7">
        <f t="shared" si="10"/>
        <v>170914.75</v>
      </c>
      <c r="F10" s="7">
        <f t="shared" si="10"/>
        <v>311925.95</v>
      </c>
      <c r="G10" s="7">
        <f t="shared" si="10"/>
        <v>2034216.08</v>
      </c>
      <c r="H10" s="13">
        <f t="shared" si="10"/>
        <v>3922397.84</v>
      </c>
      <c r="I10" s="13">
        <f t="shared" si="10"/>
        <v>2064655.4849999999</v>
      </c>
      <c r="J10" s="17">
        <f t="shared" si="10"/>
        <v>5987053.3249999993</v>
      </c>
      <c r="K10" s="4"/>
      <c r="L10" s="13">
        <f>SUM(L11:L14)</f>
        <v>3991270.69</v>
      </c>
      <c r="M10" s="13">
        <f>SUM(M11:M14)</f>
        <v>2043273.19</v>
      </c>
      <c r="N10" s="17">
        <f t="shared" ref="N10" si="11">SUM(N11:N14)</f>
        <v>6034543.879999999</v>
      </c>
    </row>
    <row r="11" spans="2:16" ht="24.95" customHeight="1" x14ac:dyDescent="0.25">
      <c r="B11" s="8" t="s">
        <v>557</v>
      </c>
      <c r="C11" s="5">
        <v>269571.52</v>
      </c>
      <c r="D11" s="5">
        <v>155505.54999999999</v>
      </c>
      <c r="E11" s="5">
        <v>53685</v>
      </c>
      <c r="F11" s="5">
        <v>100127</v>
      </c>
      <c r="G11" s="5">
        <v>542434.24</v>
      </c>
      <c r="H11" s="14">
        <f t="shared" ref="H11:H14" si="12">SUM(C11:G11)</f>
        <v>1121323.31</v>
      </c>
      <c r="I11" s="14">
        <v>565882.46000000008</v>
      </c>
      <c r="J11" s="18">
        <f t="shared" ref="J11:J14" si="13">SUM(H11:I11)</f>
        <v>1687205.77</v>
      </c>
      <c r="L11" s="14">
        <v>1024266.15</v>
      </c>
      <c r="M11" s="14">
        <v>576009.1</v>
      </c>
      <c r="N11" s="18">
        <f t="shared" ref="N11:N14" si="14">SUM(L11:M11)</f>
        <v>1600275.25</v>
      </c>
    </row>
    <row r="12" spans="2:16" ht="24.95" customHeight="1" x14ac:dyDescent="0.25">
      <c r="B12" s="8" t="s">
        <v>681</v>
      </c>
      <c r="C12" s="5">
        <v>102567.75</v>
      </c>
      <c r="D12" s="5">
        <v>352750.76</v>
      </c>
      <c r="E12" s="5">
        <v>40372.75</v>
      </c>
      <c r="F12" s="5">
        <v>29647.5</v>
      </c>
      <c r="G12" s="5">
        <v>426856.6</v>
      </c>
      <c r="H12" s="14">
        <f t="shared" si="12"/>
        <v>952195.36</v>
      </c>
      <c r="I12" s="14">
        <v>684590.88</v>
      </c>
      <c r="J12" s="18">
        <f t="shared" si="13"/>
        <v>1636786.24</v>
      </c>
      <c r="L12" s="14">
        <v>1155599.97</v>
      </c>
      <c r="M12" s="14">
        <v>519160.85</v>
      </c>
      <c r="N12" s="18">
        <f t="shared" si="14"/>
        <v>1674760.8199999998</v>
      </c>
    </row>
    <row r="13" spans="2:16" ht="24.95" customHeight="1" x14ac:dyDescent="0.25">
      <c r="B13" s="8" t="s">
        <v>776</v>
      </c>
      <c r="C13" s="5">
        <v>162454.5</v>
      </c>
      <c r="D13" s="5">
        <v>194139.98</v>
      </c>
      <c r="E13" s="5">
        <v>11965</v>
      </c>
      <c r="F13" s="5">
        <v>176983.45</v>
      </c>
      <c r="G13" s="5">
        <v>651623.24</v>
      </c>
      <c r="H13" s="14">
        <f t="shared" si="12"/>
        <v>1197166.17</v>
      </c>
      <c r="I13" s="14">
        <v>215628.7</v>
      </c>
      <c r="J13" s="18">
        <f t="shared" si="13"/>
        <v>1412794.8699999999</v>
      </c>
      <c r="L13" s="14">
        <v>1320267.5699999998</v>
      </c>
      <c r="M13" s="14">
        <v>379241.3</v>
      </c>
      <c r="N13" s="18">
        <f t="shared" si="14"/>
        <v>1699508.8699999999</v>
      </c>
    </row>
    <row r="14" spans="2:16" ht="24.95" customHeight="1" x14ac:dyDescent="0.25">
      <c r="B14" s="8" t="s">
        <v>82</v>
      </c>
      <c r="C14" s="5">
        <v>77232</v>
      </c>
      <c r="D14" s="5">
        <v>91119</v>
      </c>
      <c r="E14" s="5">
        <v>64892</v>
      </c>
      <c r="F14" s="5">
        <v>5168</v>
      </c>
      <c r="G14" s="5">
        <v>413302</v>
      </c>
      <c r="H14" s="14">
        <f t="shared" si="12"/>
        <v>651713</v>
      </c>
      <c r="I14" s="14">
        <v>598553.44499999995</v>
      </c>
      <c r="J14" s="18">
        <f t="shared" si="13"/>
        <v>1250266.4449999998</v>
      </c>
      <c r="L14" s="14">
        <v>491137</v>
      </c>
      <c r="M14" s="14">
        <v>568861.93999999994</v>
      </c>
      <c r="N14" s="18">
        <f t="shared" si="14"/>
        <v>1059998.94</v>
      </c>
      <c r="P14" s="4"/>
    </row>
    <row r="15" spans="2:16" ht="24.95" customHeight="1" x14ac:dyDescent="0.25">
      <c r="B15" s="9" t="s">
        <v>53</v>
      </c>
      <c r="C15" s="7">
        <f>SUM(C16:C18)</f>
        <v>532790</v>
      </c>
      <c r="D15" s="7">
        <f>SUM(D16:D18)</f>
        <v>645135</v>
      </c>
      <c r="E15" s="7"/>
      <c r="F15" s="7">
        <f>SUM(F16:F18)</f>
        <v>183696</v>
      </c>
      <c r="G15" s="7">
        <f>SUM(G16:G18)</f>
        <v>1444189</v>
      </c>
      <c r="H15" s="13">
        <f>SUM(H16:H18)</f>
        <v>3039881</v>
      </c>
      <c r="I15" s="13">
        <f>SUM(I16:I18)</f>
        <v>2415764.6005555554</v>
      </c>
      <c r="J15" s="17">
        <f>SUM(J16:J18)</f>
        <v>5455645.6005555559</v>
      </c>
      <c r="L15" s="13">
        <f>SUM(L16:L18)</f>
        <v>1740856</v>
      </c>
      <c r="M15" s="13">
        <f>SUM(M16:M18)</f>
        <v>2191426.17</v>
      </c>
      <c r="N15" s="17">
        <f>SUM(N16:N18)</f>
        <v>3932282.17</v>
      </c>
    </row>
    <row r="16" spans="2:16" ht="24.95" customHeight="1" x14ac:dyDescent="0.25">
      <c r="B16" s="8" t="s">
        <v>83</v>
      </c>
      <c r="C16" s="5">
        <v>255898</v>
      </c>
      <c r="D16" s="5">
        <v>291934</v>
      </c>
      <c r="E16" s="5">
        <v>105451</v>
      </c>
      <c r="F16" s="5">
        <v>150429</v>
      </c>
      <c r="G16" s="5">
        <v>474311</v>
      </c>
      <c r="H16" s="14">
        <f t="shared" ref="H16:H18" si="15">SUM(C16:G16)</f>
        <v>1278023</v>
      </c>
      <c r="I16" s="14">
        <v>764496.70166666666</v>
      </c>
      <c r="J16" s="18">
        <f t="shared" ref="J16:J18" si="16">SUM(H16:I16)</f>
        <v>2042519.7016666667</v>
      </c>
      <c r="L16" s="14">
        <v>1161832</v>
      </c>
      <c r="M16" s="14">
        <v>809121.16999999993</v>
      </c>
      <c r="N16" s="18">
        <f t="shared" ref="N16:N18" si="17">SUM(L16:M16)</f>
        <v>1970953.17</v>
      </c>
    </row>
    <row r="17" spans="2:14" ht="24.95" customHeight="1" x14ac:dyDescent="0.25">
      <c r="B17" s="8" t="s">
        <v>84</v>
      </c>
      <c r="C17" s="5">
        <v>218627</v>
      </c>
      <c r="D17" s="5">
        <v>266998</v>
      </c>
      <c r="E17" s="5">
        <v>94800</v>
      </c>
      <c r="F17" s="5">
        <v>33267</v>
      </c>
      <c r="G17" s="5">
        <v>370070</v>
      </c>
      <c r="H17" s="14">
        <f t="shared" si="15"/>
        <v>983762</v>
      </c>
      <c r="I17" s="14">
        <v>988480.69944444438</v>
      </c>
      <c r="J17" s="18">
        <f t="shared" si="16"/>
        <v>1972242.6994444444</v>
      </c>
      <c r="L17" s="14">
        <v>371139</v>
      </c>
      <c r="M17" s="14">
        <v>762754.2699999999</v>
      </c>
      <c r="N17" s="18">
        <f t="shared" si="17"/>
        <v>1133893.27</v>
      </c>
    </row>
    <row r="18" spans="2:14" ht="24.95" customHeight="1" x14ac:dyDescent="0.25">
      <c r="B18" s="8" t="s">
        <v>85</v>
      </c>
      <c r="C18" s="5">
        <v>58265</v>
      </c>
      <c r="D18" s="5">
        <v>86203</v>
      </c>
      <c r="E18" s="5">
        <v>33820</v>
      </c>
      <c r="F18" s="5"/>
      <c r="G18" s="5">
        <v>599808</v>
      </c>
      <c r="H18" s="14">
        <f t="shared" si="15"/>
        <v>778096</v>
      </c>
      <c r="I18" s="14">
        <v>662787.19944444438</v>
      </c>
      <c r="J18" s="18">
        <f t="shared" si="16"/>
        <v>1440883.1994444444</v>
      </c>
      <c r="L18" s="14">
        <v>207885</v>
      </c>
      <c r="M18" s="14">
        <v>619550.73</v>
      </c>
      <c r="N18" s="18">
        <f t="shared" si="17"/>
        <v>827435.73</v>
      </c>
    </row>
    <row r="19" spans="2:14" ht="24.95" customHeight="1" x14ac:dyDescent="0.25">
      <c r="B19" s="10" t="s">
        <v>131</v>
      </c>
      <c r="C19" s="6">
        <f>SUM(C3:C5,C7:C9,C11:C13)</f>
        <v>1989025.62</v>
      </c>
      <c r="D19" s="6">
        <f t="shared" ref="D19:N19" si="18">SUM(D3:D5,D7:D9,D11:D13)</f>
        <v>2674929.9199999995</v>
      </c>
      <c r="E19" s="6">
        <f t="shared" si="18"/>
        <v>425230</v>
      </c>
      <c r="F19" s="6">
        <f t="shared" si="18"/>
        <v>1049326.45</v>
      </c>
      <c r="G19" s="6">
        <f t="shared" si="18"/>
        <v>4245001.4400000004</v>
      </c>
      <c r="H19" s="15">
        <f t="shared" si="18"/>
        <v>10383513.43</v>
      </c>
      <c r="I19" s="15">
        <f t="shared" si="18"/>
        <v>5044944.2300000004</v>
      </c>
      <c r="J19" s="15">
        <f t="shared" si="18"/>
        <v>15428457.659999998</v>
      </c>
      <c r="L19" s="15">
        <f t="shared" si="18"/>
        <v>10781696.82</v>
      </c>
      <c r="M19" s="15">
        <f t="shared" si="18"/>
        <v>5855821.9899999993</v>
      </c>
      <c r="N19" s="15">
        <f t="shared" si="18"/>
        <v>16637518.809999999</v>
      </c>
    </row>
    <row r="20" spans="2:14" ht="24.95" customHeight="1" x14ac:dyDescent="0.25">
      <c r="B20" s="10" t="s">
        <v>132</v>
      </c>
      <c r="C20" s="6">
        <f>SUM(C16:C18,C14)</f>
        <v>610022</v>
      </c>
      <c r="D20" s="6">
        <f t="shared" ref="D20:N20" si="19">SUM(D16:D18,D14)</f>
        <v>736254</v>
      </c>
      <c r="E20" s="6">
        <f t="shared" si="19"/>
        <v>298963</v>
      </c>
      <c r="F20" s="6">
        <f t="shared" si="19"/>
        <v>188864</v>
      </c>
      <c r="G20" s="6">
        <f t="shared" si="19"/>
        <v>1857491</v>
      </c>
      <c r="H20" s="15">
        <f t="shared" si="19"/>
        <v>3691594</v>
      </c>
      <c r="I20" s="15">
        <f t="shared" si="19"/>
        <v>3014318.0455555553</v>
      </c>
      <c r="J20" s="15">
        <f t="shared" si="19"/>
        <v>6705912.0455555562</v>
      </c>
      <c r="L20" s="15">
        <f t="shared" si="19"/>
        <v>2231993</v>
      </c>
      <c r="M20" s="15">
        <f t="shared" si="19"/>
        <v>2760288.11</v>
      </c>
      <c r="N20" s="15">
        <f t="shared" si="19"/>
        <v>4992281.1099999994</v>
      </c>
    </row>
    <row r="21" spans="2:14" ht="24.95" customHeight="1" x14ac:dyDescent="0.25">
      <c r="B21" s="19" t="s">
        <v>133</v>
      </c>
      <c r="C21" s="6">
        <f>SUM(C19:C20)</f>
        <v>2599047.62</v>
      </c>
      <c r="D21" s="6">
        <f t="shared" ref="D21:J21" si="20">SUM(D19:D20)</f>
        <v>3411183.9199999995</v>
      </c>
      <c r="E21" s="6">
        <f t="shared" si="20"/>
        <v>724193</v>
      </c>
      <c r="F21" s="6">
        <f t="shared" si="20"/>
        <v>1238190.45</v>
      </c>
      <c r="G21" s="6">
        <f t="shared" si="20"/>
        <v>6102492.4400000004</v>
      </c>
      <c r="H21" s="20">
        <f t="shared" si="20"/>
        <v>14075107.43</v>
      </c>
      <c r="I21" s="20">
        <f t="shared" si="20"/>
        <v>8059262.2755555557</v>
      </c>
      <c r="J21" s="20">
        <f t="shared" si="20"/>
        <v>22134369.705555554</v>
      </c>
      <c r="L21" s="20">
        <f t="shared" ref="L21:N21" si="21">SUM(L19:L20)</f>
        <v>13013689.82</v>
      </c>
      <c r="M21" s="20">
        <f t="shared" si="21"/>
        <v>8616110.0999999996</v>
      </c>
      <c r="N21" s="20">
        <f t="shared" si="21"/>
        <v>21629799.919999998</v>
      </c>
    </row>
  </sheetData>
  <printOptions horizontalCentered="1"/>
  <pageMargins left="0.7" right="0.7" top="1.25" bottom="0.75" header="0.3" footer="0.3"/>
  <pageSetup scale="86" orientation="landscape" r:id="rId1"/>
  <headerFooter>
    <oddHeader xml:space="preserve">&amp;C&amp;"Arial Black,Regular"&amp;16SALES REPORT
&amp;12 2024 COMPLETED + SOLD </oddHeader>
    <oddFooter>&amp;L&amp;10&amp;F&amp;R&amp;10&amp;D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2D1A-4130-4EEF-AEE5-1C00E1AE3DFF}">
  <sheetPr codeName="Sheet11"/>
  <dimension ref="A1:N21"/>
  <sheetViews>
    <sheetView view="pageBreakPreview" zoomScale="130" zoomScaleNormal="130" zoomScaleSheetLayoutView="130" workbookViewId="0">
      <pane ySplit="1" topLeftCell="A2" activePane="bottomLeft" state="frozen"/>
      <selection activeCell="Q14" sqref="Q14"/>
      <selection pane="bottomLeft" activeCell="O13" sqref="O13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8" width="16.85546875" customWidth="1"/>
    <col min="9" max="10" width="16.85546875" hidden="1" customWidth="1"/>
    <col min="11" max="11" width="1.5703125" customWidth="1"/>
    <col min="12" max="12" width="16.85546875" customWidth="1"/>
    <col min="13" max="14" width="16.85546875" hidden="1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874</v>
      </c>
      <c r="I1" s="25" t="s">
        <v>795</v>
      </c>
      <c r="J1" s="25" t="s">
        <v>796</v>
      </c>
      <c r="L1" s="25" t="s">
        <v>875</v>
      </c>
      <c r="M1" s="25" t="s">
        <v>798</v>
      </c>
      <c r="N1" s="28" t="s">
        <v>799</v>
      </c>
    </row>
    <row r="2" spans="1:14" ht="24.95" customHeight="1" x14ac:dyDescent="0.25">
      <c r="A2" s="9" t="s">
        <v>50</v>
      </c>
      <c r="B2" s="7">
        <f t="shared" ref="B2:J2" si="0">SUM(B3:B6)</f>
        <v>252096.98</v>
      </c>
      <c r="C2" s="7">
        <f t="shared" si="0"/>
        <v>795847.78</v>
      </c>
      <c r="D2" s="7">
        <f t="shared" si="0"/>
        <v>1590876</v>
      </c>
      <c r="E2" s="7">
        <f t="shared" si="0"/>
        <v>0</v>
      </c>
      <c r="F2" s="7">
        <f t="shared" si="0"/>
        <v>1230523.83</v>
      </c>
      <c r="H2" s="13">
        <f t="shared" si="0"/>
        <v>3869344.59</v>
      </c>
      <c r="I2" s="13">
        <f t="shared" si="0"/>
        <v>1931441.9</v>
      </c>
      <c r="J2" s="17">
        <f t="shared" si="0"/>
        <v>5800786.4900000002</v>
      </c>
      <c r="L2" s="13">
        <f t="shared" ref="L2:N2" si="1">SUM(L3:L6)</f>
        <v>2942120.26</v>
      </c>
      <c r="M2" s="13">
        <f t="shared" si="1"/>
        <v>1650230.5899999999</v>
      </c>
      <c r="N2" s="17">
        <f t="shared" si="1"/>
        <v>4592350.8499999996</v>
      </c>
    </row>
    <row r="3" spans="1:14" ht="24.95" customHeight="1" x14ac:dyDescent="0.25">
      <c r="A3" s="8" t="s">
        <v>77</v>
      </c>
      <c r="B3" s="5">
        <v>84173.98000000001</v>
      </c>
      <c r="C3" s="5">
        <v>59957.78</v>
      </c>
      <c r="D3" s="5">
        <v>83410</v>
      </c>
      <c r="E3" s="5">
        <v>0</v>
      </c>
      <c r="F3" s="5">
        <v>299823.82999999996</v>
      </c>
      <c r="H3" s="14">
        <f>SUM(B3:F3)</f>
        <v>527365.59</v>
      </c>
      <c r="I3" s="14">
        <v>264301.42</v>
      </c>
      <c r="J3" s="18">
        <f>SUM(H3:I3)</f>
        <v>791667.01</v>
      </c>
      <c r="L3" s="14">
        <v>533459.26</v>
      </c>
      <c r="M3" s="14">
        <v>238883.46</v>
      </c>
      <c r="N3" s="18">
        <f>SUM(L3:M3)</f>
        <v>772342.72</v>
      </c>
    </row>
    <row r="4" spans="1:14" ht="24.95" customHeight="1" x14ac:dyDescent="0.25">
      <c r="A4" s="8" t="s">
        <v>790</v>
      </c>
      <c r="B4" s="5">
        <v>21872</v>
      </c>
      <c r="C4" s="5">
        <v>485454</v>
      </c>
      <c r="D4" s="5">
        <v>1225858</v>
      </c>
      <c r="E4" s="5"/>
      <c r="F4" s="5">
        <v>712209</v>
      </c>
      <c r="H4" s="14">
        <f>SUM(B4:F4)</f>
        <v>2445393</v>
      </c>
      <c r="I4" s="14">
        <v>386332.28</v>
      </c>
      <c r="J4" s="18">
        <f>SUM(H4:I4)</f>
        <v>2831725.2800000003</v>
      </c>
      <c r="L4" s="14">
        <v>1241984</v>
      </c>
      <c r="M4" s="14">
        <v>358325.18</v>
      </c>
      <c r="N4" s="18">
        <f>SUM(L4:M4)</f>
        <v>1600309.18</v>
      </c>
    </row>
    <row r="5" spans="1:14" ht="24.95" customHeight="1" x14ac:dyDescent="0.25">
      <c r="A5" s="8" t="s">
        <v>791</v>
      </c>
      <c r="B5" s="5">
        <v>88105</v>
      </c>
      <c r="C5" s="5">
        <v>145459</v>
      </c>
      <c r="D5" s="5">
        <v>114182</v>
      </c>
      <c r="E5" s="5"/>
      <c r="F5" s="5">
        <v>188223</v>
      </c>
      <c r="H5" s="14">
        <f t="shared" ref="H5:H6" si="2">SUM(B5:F5)</f>
        <v>535969</v>
      </c>
      <c r="I5" s="14">
        <v>645089.11</v>
      </c>
      <c r="J5" s="18">
        <f t="shared" ref="J5:J6" si="3">SUM(H5:I5)</f>
        <v>1181058.1099999999</v>
      </c>
      <c r="L5" s="14">
        <v>587421</v>
      </c>
      <c r="M5" s="14">
        <v>520261.37</v>
      </c>
      <c r="N5" s="18">
        <f t="shared" ref="N5:N6" si="4">SUM(L5:M5)</f>
        <v>1107682.3700000001</v>
      </c>
    </row>
    <row r="6" spans="1:14" ht="24.95" customHeight="1" x14ac:dyDescent="0.25">
      <c r="A6" s="8" t="s">
        <v>792</v>
      </c>
      <c r="B6" s="5">
        <v>57946</v>
      </c>
      <c r="C6" s="5">
        <v>104977</v>
      </c>
      <c r="D6" s="5">
        <v>167426</v>
      </c>
      <c r="E6" s="5"/>
      <c r="F6" s="5">
        <v>30268</v>
      </c>
      <c r="H6" s="14">
        <f t="shared" si="2"/>
        <v>360617</v>
      </c>
      <c r="I6" s="14">
        <v>635719.09</v>
      </c>
      <c r="J6" s="18">
        <f t="shared" si="3"/>
        <v>996336.09</v>
      </c>
      <c r="L6" s="14">
        <v>579256</v>
      </c>
      <c r="M6" s="14">
        <v>532760.57999999996</v>
      </c>
      <c r="N6" s="18">
        <f t="shared" si="4"/>
        <v>1112016.58</v>
      </c>
    </row>
    <row r="7" spans="1:14" ht="24.95" customHeight="1" x14ac:dyDescent="0.25">
      <c r="A7" s="9" t="s">
        <v>51</v>
      </c>
      <c r="B7" s="7">
        <f t="shared" ref="B7:J7" si="5">SUM(B8:B10)</f>
        <v>87057</v>
      </c>
      <c r="C7" s="7">
        <f t="shared" si="5"/>
        <v>616058</v>
      </c>
      <c r="D7" s="7">
        <f t="shared" si="5"/>
        <v>22670</v>
      </c>
      <c r="E7" s="7">
        <f t="shared" si="5"/>
        <v>0</v>
      </c>
      <c r="F7" s="7">
        <f t="shared" si="5"/>
        <v>338506</v>
      </c>
      <c r="H7" s="13">
        <f t="shared" si="5"/>
        <v>1064291</v>
      </c>
      <c r="I7" s="13">
        <f t="shared" si="5"/>
        <v>1734340.0499999998</v>
      </c>
      <c r="J7" s="17">
        <f t="shared" si="5"/>
        <v>2798631.0500000003</v>
      </c>
      <c r="L7" s="13">
        <f>SUM(L8:L10)</f>
        <v>1188047</v>
      </c>
      <c r="M7" s="13">
        <f>SUM(M8:M10)</f>
        <v>919701.74</v>
      </c>
      <c r="N7" s="17">
        <f t="shared" ref="N7" si="6">SUM(N8:N10)</f>
        <v>2107748.7400000002</v>
      </c>
    </row>
    <row r="8" spans="1:14" ht="24.95" customHeight="1" x14ac:dyDescent="0.25">
      <c r="A8" s="8" t="s">
        <v>78</v>
      </c>
      <c r="B8" s="5">
        <v>51734</v>
      </c>
      <c r="C8" s="5">
        <v>500196</v>
      </c>
      <c r="D8" s="5">
        <v>19970</v>
      </c>
      <c r="E8" s="5"/>
      <c r="F8" s="5">
        <v>275273</v>
      </c>
      <c r="H8" s="14">
        <f t="shared" ref="H8:H10" si="7">SUM(B8:F8)</f>
        <v>847173</v>
      </c>
      <c r="I8" s="14">
        <v>578811.35</v>
      </c>
      <c r="J8" s="18">
        <f t="shared" ref="J8:J10" si="8">SUM(H8:I8)</f>
        <v>1425984.35</v>
      </c>
      <c r="L8" s="14">
        <v>719492</v>
      </c>
      <c r="M8" s="14">
        <v>403468.58</v>
      </c>
      <c r="N8" s="18">
        <f t="shared" ref="N8:N10" si="9">SUM(L8:M8)</f>
        <v>1122960.58</v>
      </c>
    </row>
    <row r="9" spans="1:14" ht="24.95" customHeight="1" x14ac:dyDescent="0.25">
      <c r="A9" s="8" t="s">
        <v>79</v>
      </c>
      <c r="B9" s="5">
        <v>20338</v>
      </c>
      <c r="C9" s="5">
        <v>103272</v>
      </c>
      <c r="D9" s="5">
        <v>1800</v>
      </c>
      <c r="E9" s="5"/>
      <c r="F9" s="5">
        <v>59348</v>
      </c>
      <c r="G9" s="4"/>
      <c r="H9" s="14">
        <f t="shared" si="7"/>
        <v>184758</v>
      </c>
      <c r="I9" s="14">
        <v>577764.35</v>
      </c>
      <c r="J9" s="18">
        <f t="shared" si="8"/>
        <v>762522.35</v>
      </c>
      <c r="K9" s="4"/>
      <c r="L9" s="14">
        <v>251917</v>
      </c>
      <c r="M9" s="14">
        <v>309218.58</v>
      </c>
      <c r="N9" s="18">
        <f t="shared" si="9"/>
        <v>561135.58000000007</v>
      </c>
    </row>
    <row r="10" spans="1:14" ht="24.95" customHeight="1" x14ac:dyDescent="0.25">
      <c r="A10" s="8" t="s">
        <v>128</v>
      </c>
      <c r="B10" s="5">
        <v>14985</v>
      </c>
      <c r="C10" s="5">
        <v>12590</v>
      </c>
      <c r="D10" s="5">
        <v>900</v>
      </c>
      <c r="E10" s="5"/>
      <c r="F10" s="5">
        <v>3885</v>
      </c>
      <c r="H10" s="14">
        <f t="shared" si="7"/>
        <v>32360</v>
      </c>
      <c r="I10" s="14">
        <v>577764.35</v>
      </c>
      <c r="J10" s="18">
        <f t="shared" si="8"/>
        <v>610124.35</v>
      </c>
      <c r="L10" s="14">
        <v>216638</v>
      </c>
      <c r="M10" s="14">
        <v>207014.58</v>
      </c>
      <c r="N10" s="18">
        <f t="shared" si="9"/>
        <v>423652.57999999996</v>
      </c>
    </row>
    <row r="11" spans="1:14" ht="24.95" customHeight="1" x14ac:dyDescent="0.25">
      <c r="A11" s="9" t="s">
        <v>52</v>
      </c>
      <c r="B11" s="7">
        <f t="shared" ref="B11:J11" si="10">SUM(B12:B14)</f>
        <v>37630</v>
      </c>
      <c r="C11" s="7">
        <f t="shared" si="10"/>
        <v>192881</v>
      </c>
      <c r="D11" s="7">
        <f t="shared" si="10"/>
        <v>138839</v>
      </c>
      <c r="E11" s="7">
        <f t="shared" si="10"/>
        <v>0</v>
      </c>
      <c r="F11" s="7">
        <f t="shared" si="10"/>
        <v>320194</v>
      </c>
      <c r="G11" s="4"/>
      <c r="H11" s="13">
        <f t="shared" si="10"/>
        <v>689544</v>
      </c>
      <c r="I11" s="13">
        <f t="shared" si="10"/>
        <v>1908031.25</v>
      </c>
      <c r="J11" s="17">
        <f t="shared" si="10"/>
        <v>2597575.25</v>
      </c>
      <c r="K11" s="4"/>
      <c r="L11" s="13">
        <f>SUM(L12:L14)</f>
        <v>581786</v>
      </c>
      <c r="M11" s="13">
        <f>SUM(M12:M14)</f>
        <v>1396068.2999999998</v>
      </c>
      <c r="N11" s="17">
        <f>SUM(N12:N14)</f>
        <v>1977854.2999999998</v>
      </c>
    </row>
    <row r="12" spans="1:14" ht="24.95" customHeight="1" x14ac:dyDescent="0.25">
      <c r="A12" s="8" t="s">
        <v>80</v>
      </c>
      <c r="B12" s="5">
        <v>3150</v>
      </c>
      <c r="C12" s="5">
        <v>72276</v>
      </c>
      <c r="D12" s="5">
        <v>136139</v>
      </c>
      <c r="E12" s="5"/>
      <c r="F12" s="5">
        <v>248255</v>
      </c>
      <c r="H12" s="14">
        <f t="shared" ref="H12:H14" si="11">SUM(B12:F12)</f>
        <v>459820</v>
      </c>
      <c r="I12" s="14">
        <v>642100.06999999995</v>
      </c>
      <c r="J12" s="18">
        <f t="shared" ref="J12:J14" si="12">SUM(H12:I12)</f>
        <v>1101920.0699999998</v>
      </c>
      <c r="L12" s="14">
        <v>337170</v>
      </c>
      <c r="M12" s="14">
        <v>465356.1</v>
      </c>
      <c r="N12" s="18">
        <f t="shared" ref="N12:N14" si="13">SUM(L12:M12)</f>
        <v>802526.1</v>
      </c>
    </row>
    <row r="13" spans="1:14" ht="24.95" customHeight="1" x14ac:dyDescent="0.25">
      <c r="A13" s="8" t="s">
        <v>81</v>
      </c>
      <c r="B13" s="5">
        <v>34480</v>
      </c>
      <c r="C13" s="5">
        <v>110451</v>
      </c>
      <c r="D13" s="5">
        <v>1800</v>
      </c>
      <c r="E13" s="5"/>
      <c r="F13" s="5">
        <v>71939</v>
      </c>
      <c r="H13" s="14">
        <f t="shared" si="11"/>
        <v>218670</v>
      </c>
      <c r="I13" s="14">
        <v>609467.27</v>
      </c>
      <c r="J13" s="18">
        <f t="shared" si="12"/>
        <v>828137.27</v>
      </c>
      <c r="L13" s="14">
        <v>206518</v>
      </c>
      <c r="M13" s="14">
        <v>465356.1</v>
      </c>
      <c r="N13" s="18">
        <f t="shared" si="13"/>
        <v>671874.1</v>
      </c>
    </row>
    <row r="14" spans="1:14" ht="24.95" customHeight="1" x14ac:dyDescent="0.25">
      <c r="A14" s="8" t="s">
        <v>82</v>
      </c>
      <c r="B14" s="5"/>
      <c r="C14" s="5">
        <v>10154</v>
      </c>
      <c r="D14" s="5">
        <v>900</v>
      </c>
      <c r="E14" s="5"/>
      <c r="F14" s="5"/>
      <c r="H14" s="14">
        <f t="shared" si="11"/>
        <v>11054</v>
      </c>
      <c r="I14" s="14">
        <v>656463.91</v>
      </c>
      <c r="J14" s="18">
        <f t="shared" si="12"/>
        <v>667517.91</v>
      </c>
      <c r="L14" s="14">
        <v>38098</v>
      </c>
      <c r="M14" s="14">
        <v>465356.1</v>
      </c>
      <c r="N14" s="18">
        <f t="shared" si="13"/>
        <v>503454.1</v>
      </c>
    </row>
    <row r="15" spans="1:14" ht="24.95" customHeight="1" x14ac:dyDescent="0.25">
      <c r="A15" s="9" t="s">
        <v>53</v>
      </c>
      <c r="B15" s="7">
        <f>SUM(B16:B18)</f>
        <v>79441</v>
      </c>
      <c r="C15" s="7">
        <f>SUM(C16:C18)</f>
        <v>319031</v>
      </c>
      <c r="D15" s="7">
        <f>SUM(D16:D18)</f>
        <v>2700</v>
      </c>
      <c r="E15" s="7">
        <f>SUM(E16:E18)</f>
        <v>0</v>
      </c>
      <c r="F15" s="7">
        <f>SUM(F16:F18)</f>
        <v>461459</v>
      </c>
      <c r="H15" s="13">
        <f>SUM(H16:H18)</f>
        <v>862631</v>
      </c>
      <c r="I15" s="13">
        <f>SUM(I16:I18)</f>
        <v>2311995.5024999999</v>
      </c>
      <c r="J15" s="17">
        <f>SUM(J16:J18)</f>
        <v>3174626.5024999999</v>
      </c>
      <c r="L15" s="13">
        <f>SUM(L16:L18)</f>
        <v>782734</v>
      </c>
      <c r="M15" s="13">
        <f>SUM(M16:M18)</f>
        <v>1396068.2999999998</v>
      </c>
      <c r="N15" s="17">
        <f>SUM(N16:N18)</f>
        <v>2178802.3000000003</v>
      </c>
    </row>
    <row r="16" spans="1:14" ht="24.95" customHeight="1" x14ac:dyDescent="0.25">
      <c r="A16" s="8" t="s">
        <v>83</v>
      </c>
      <c r="B16" s="5">
        <v>56776</v>
      </c>
      <c r="C16" s="5">
        <v>309486</v>
      </c>
      <c r="D16" s="5">
        <v>900</v>
      </c>
      <c r="E16" s="5"/>
      <c r="F16" s="5">
        <v>266552</v>
      </c>
      <c r="H16" s="14">
        <f t="shared" ref="H16:H18" si="14">SUM(B16:F16)</f>
        <v>633714</v>
      </c>
      <c r="I16" s="14">
        <v>770665.16749999998</v>
      </c>
      <c r="J16" s="18">
        <f t="shared" ref="J16:J18" si="15">SUM(H16:I16)</f>
        <v>1404379.1675</v>
      </c>
      <c r="L16" s="14">
        <v>598707</v>
      </c>
      <c r="M16" s="14">
        <v>465356.1</v>
      </c>
      <c r="N16" s="18">
        <f t="shared" ref="N16:N18" si="16">SUM(L16:M16)</f>
        <v>1064063.1000000001</v>
      </c>
    </row>
    <row r="17" spans="1:14" ht="24.95" customHeight="1" x14ac:dyDescent="0.25">
      <c r="A17" s="8" t="s">
        <v>84</v>
      </c>
      <c r="B17" s="5">
        <v>22665</v>
      </c>
      <c r="C17" s="5">
        <v>9545</v>
      </c>
      <c r="D17" s="5">
        <v>900</v>
      </c>
      <c r="E17" s="5"/>
      <c r="F17" s="5">
        <v>104672</v>
      </c>
      <c r="H17" s="14">
        <f t="shared" si="14"/>
        <v>137782</v>
      </c>
      <c r="I17" s="14">
        <v>770665.16749999998</v>
      </c>
      <c r="J17" s="18">
        <f t="shared" si="15"/>
        <v>908447.16749999998</v>
      </c>
      <c r="L17" s="14">
        <v>141003</v>
      </c>
      <c r="M17" s="14">
        <v>465356.1</v>
      </c>
      <c r="N17" s="18">
        <f t="shared" si="16"/>
        <v>606359.1</v>
      </c>
    </row>
    <row r="18" spans="1:14" ht="24.95" customHeight="1" x14ac:dyDescent="0.25">
      <c r="A18" s="8" t="s">
        <v>85</v>
      </c>
      <c r="B18" s="5"/>
      <c r="C18" s="5"/>
      <c r="D18" s="5">
        <v>900</v>
      </c>
      <c r="E18" s="5"/>
      <c r="F18" s="5">
        <v>90235</v>
      </c>
      <c r="H18" s="14">
        <f t="shared" si="14"/>
        <v>91135</v>
      </c>
      <c r="I18" s="14">
        <v>770665.16749999998</v>
      </c>
      <c r="J18" s="18">
        <f t="shared" si="15"/>
        <v>861800.16749999998</v>
      </c>
      <c r="L18" s="14">
        <v>43024</v>
      </c>
      <c r="M18" s="14">
        <v>465356.1</v>
      </c>
      <c r="N18" s="18">
        <f t="shared" si="16"/>
        <v>508380.1</v>
      </c>
    </row>
    <row r="19" spans="1:14" ht="24.95" customHeight="1" x14ac:dyDescent="0.25">
      <c r="A19" s="10" t="s">
        <v>131</v>
      </c>
      <c r="B19" s="6">
        <f>SUM(B3)</f>
        <v>84173.98000000001</v>
      </c>
      <c r="C19" s="6">
        <f t="shared" ref="C19:F19" si="17">SUM(C3)</f>
        <v>59957.78</v>
      </c>
      <c r="D19" s="6">
        <f t="shared" si="17"/>
        <v>83410</v>
      </c>
      <c r="E19" s="6">
        <f t="shared" si="17"/>
        <v>0</v>
      </c>
      <c r="F19" s="6">
        <f t="shared" si="17"/>
        <v>299823.82999999996</v>
      </c>
      <c r="H19" s="15">
        <f t="shared" ref="H19:J19" si="18">SUM(H3)</f>
        <v>527365.59</v>
      </c>
      <c r="I19" s="15">
        <f t="shared" si="18"/>
        <v>264301.42</v>
      </c>
      <c r="J19" s="15">
        <f t="shared" si="18"/>
        <v>791667.01</v>
      </c>
      <c r="L19" s="15">
        <f t="shared" ref="L19:N19" si="19">SUM(L3)</f>
        <v>533459.26</v>
      </c>
      <c r="M19" s="15">
        <f t="shared" si="19"/>
        <v>238883.46</v>
      </c>
      <c r="N19" s="15">
        <f t="shared" si="19"/>
        <v>772342.72</v>
      </c>
    </row>
    <row r="20" spans="1:14" ht="24.95" customHeight="1" x14ac:dyDescent="0.25">
      <c r="A20" s="10" t="s">
        <v>132</v>
      </c>
      <c r="B20" s="6">
        <f>SUM(B4:B6,B8:B10,B12:B14,B16:B18)</f>
        <v>372051</v>
      </c>
      <c r="C20" s="6">
        <f t="shared" ref="C20:F20" si="20">SUM(C4:C6,C8:C10,C12:C14,C16:C18)</f>
        <v>1863860</v>
      </c>
      <c r="D20" s="6">
        <f t="shared" si="20"/>
        <v>1671675</v>
      </c>
      <c r="E20" s="6">
        <f t="shared" si="20"/>
        <v>0</v>
      </c>
      <c r="F20" s="6">
        <f t="shared" si="20"/>
        <v>2050859</v>
      </c>
      <c r="H20" s="15">
        <f t="shared" ref="H20:J20" si="21">SUM(H4:H6,H8:H10,H12:H14,H16:H18)</f>
        <v>5958445</v>
      </c>
      <c r="I20" s="15">
        <f t="shared" si="21"/>
        <v>7621507.2825000007</v>
      </c>
      <c r="J20" s="15">
        <f t="shared" si="21"/>
        <v>13579952.282500001</v>
      </c>
      <c r="L20" s="15">
        <f t="shared" ref="L20:N20" si="22">SUM(L4:L6,L8:L10,L12:L14,L16:L18)</f>
        <v>4961228</v>
      </c>
      <c r="M20" s="15">
        <f t="shared" si="22"/>
        <v>5123185.47</v>
      </c>
      <c r="N20" s="15">
        <f t="shared" si="22"/>
        <v>10084413.469999999</v>
      </c>
    </row>
    <row r="21" spans="1:14" ht="24.95" customHeight="1" x14ac:dyDescent="0.25">
      <c r="A21" s="19" t="s">
        <v>794</v>
      </c>
      <c r="B21" s="6">
        <f>SUM(B19:B20)</f>
        <v>456224.98</v>
      </c>
      <c r="C21" s="6">
        <f t="shared" ref="C21:F21" si="23">SUM(C19:C20)</f>
        <v>1923817.78</v>
      </c>
      <c r="D21" s="6">
        <f t="shared" si="23"/>
        <v>1755085</v>
      </c>
      <c r="E21" s="6">
        <f t="shared" si="23"/>
        <v>0</v>
      </c>
      <c r="F21" s="6">
        <f t="shared" si="23"/>
        <v>2350682.83</v>
      </c>
      <c r="H21" s="20">
        <f t="shared" ref="H21:J21" si="24">SUM(H19:H20)</f>
        <v>6485810.5899999999</v>
      </c>
      <c r="I21" s="20">
        <f t="shared" si="24"/>
        <v>7885808.7025000006</v>
      </c>
      <c r="J21" s="20">
        <f t="shared" si="24"/>
        <v>14371619.2925</v>
      </c>
      <c r="L21" s="20">
        <f t="shared" ref="L21:N21" si="25">SUM(L19:L20)</f>
        <v>5494687.2599999998</v>
      </c>
      <c r="M21" s="20">
        <f t="shared" si="25"/>
        <v>5362068.93</v>
      </c>
      <c r="N21" s="20">
        <f t="shared" si="25"/>
        <v>10856756.189999999</v>
      </c>
    </row>
  </sheetData>
  <printOptions horizontalCentered="1"/>
  <pageMargins left="0.7" right="0.7" top="1.25" bottom="0.75" header="0.3" footer="0.3"/>
  <pageSetup scale="91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969F-51A1-4104-AFC1-C11CC0FCC306}">
  <sheetPr codeName="Sheet24"/>
  <dimension ref="A1:U21"/>
  <sheetViews>
    <sheetView view="pageBreakPreview" zoomScale="130" zoomScaleNormal="130" zoomScaleSheetLayoutView="130" workbookViewId="0">
      <pane ySplit="1" topLeftCell="A9" activePane="bottomLeft" state="frozen"/>
      <selection activeCell="Q14" sqref="Q14"/>
      <selection pane="bottomLeft" activeCell="D25" sqref="D25"/>
    </sheetView>
  </sheetViews>
  <sheetFormatPr defaultRowHeight="15" x14ac:dyDescent="0.25"/>
  <cols>
    <col min="1" max="1" width="21.42578125" customWidth="1"/>
    <col min="2" max="7" width="13.42578125" customWidth="1"/>
    <col min="8" max="8" width="1.5703125" customWidth="1"/>
    <col min="9" max="10" width="14.140625" bestFit="1" customWidth="1"/>
    <col min="11" max="11" width="15.5703125" bestFit="1" customWidth="1"/>
    <col min="12" max="12" width="1.5703125" customWidth="1"/>
    <col min="13" max="14" width="14.140625" bestFit="1" customWidth="1"/>
    <col min="15" max="15" width="15.5703125" bestFit="1" customWidth="1"/>
    <col min="16" max="16" width="1.5703125" customWidth="1"/>
    <col min="17" max="18" width="14.140625" bestFit="1" customWidth="1"/>
    <col min="19" max="19" width="15.5703125" bestFit="1" customWidth="1"/>
    <col min="20" max="20" width="9.140625" customWidth="1"/>
    <col min="21" max="21" width="12" bestFit="1" customWidth="1"/>
  </cols>
  <sheetData>
    <row r="1" spans="1:21" ht="30" x14ac:dyDescent="0.25">
      <c r="A1" s="29" t="s">
        <v>59</v>
      </c>
      <c r="B1" s="29" t="s">
        <v>797</v>
      </c>
      <c r="C1" s="29" t="s">
        <v>91</v>
      </c>
      <c r="D1" s="29" t="s">
        <v>60</v>
      </c>
      <c r="E1" s="29" t="s">
        <v>129</v>
      </c>
      <c r="F1" s="29" t="s">
        <v>805</v>
      </c>
      <c r="G1" s="29" t="s">
        <v>94</v>
      </c>
      <c r="I1" s="25" t="s">
        <v>808</v>
      </c>
      <c r="J1" s="25" t="s">
        <v>807</v>
      </c>
      <c r="K1" s="25" t="s">
        <v>804</v>
      </c>
      <c r="M1" s="25" t="s">
        <v>806</v>
      </c>
      <c r="N1" s="25" t="s">
        <v>810</v>
      </c>
      <c r="O1" s="28" t="s">
        <v>803</v>
      </c>
      <c r="Q1" s="25" t="s">
        <v>809</v>
      </c>
      <c r="R1" s="25" t="s">
        <v>811</v>
      </c>
      <c r="S1" s="28" t="s">
        <v>802</v>
      </c>
    </row>
    <row r="2" spans="1:21" ht="24.95" customHeight="1" x14ac:dyDescent="0.25">
      <c r="A2" s="9" t="s">
        <v>50</v>
      </c>
      <c r="B2" s="7">
        <f t="shared" ref="B2:G2" si="0">SUM(B3:B5)</f>
        <v>223391.75</v>
      </c>
      <c r="C2" s="7">
        <f t="shared" si="0"/>
        <v>671652.05</v>
      </c>
      <c r="D2" s="7">
        <f t="shared" si="0"/>
        <v>1298030.79</v>
      </c>
      <c r="E2" s="7">
        <f t="shared" si="0"/>
        <v>378808.42</v>
      </c>
      <c r="F2" s="7">
        <f t="shared" si="0"/>
        <v>340934.44</v>
      </c>
      <c r="G2" s="7">
        <f t="shared" si="0"/>
        <v>946002.67</v>
      </c>
      <c r="I2" s="13">
        <f>SUM(I3:I5)</f>
        <v>3858820.12</v>
      </c>
      <c r="J2" s="13">
        <f>SUM(J3:J5)</f>
        <v>1822853.6099999999</v>
      </c>
      <c r="K2" s="17">
        <f>SUM(K3:K5)</f>
        <v>5681673.7300000004</v>
      </c>
      <c r="M2" s="13">
        <f>SUM(M3:M5)</f>
        <v>3111747.58</v>
      </c>
      <c r="N2" s="13">
        <f>SUM(N3:N5)</f>
        <v>1909005.6400000001</v>
      </c>
      <c r="O2" s="17">
        <f>SUM(O3:O5)</f>
        <v>5020753.22</v>
      </c>
      <c r="Q2" s="13">
        <f>SUM(Q3:Q5)</f>
        <v>3385874.43</v>
      </c>
      <c r="R2" s="13">
        <f>SUM(R3:R5)</f>
        <v>2107631.5699999998</v>
      </c>
      <c r="S2" s="17">
        <f>SUM(S3:S5)</f>
        <v>5493506</v>
      </c>
    </row>
    <row r="3" spans="1:21" ht="24.95" customHeight="1" x14ac:dyDescent="0.25">
      <c r="A3" s="8" t="s">
        <v>77</v>
      </c>
      <c r="B3" s="5">
        <v>106352.75</v>
      </c>
      <c r="C3" s="5">
        <v>203690.66999999998</v>
      </c>
      <c r="D3" s="5">
        <v>747468.89</v>
      </c>
      <c r="E3" s="5">
        <v>84271.17</v>
      </c>
      <c r="F3" s="5"/>
      <c r="G3" s="5">
        <v>453578.73</v>
      </c>
      <c r="I3" s="14">
        <f>SUM(B3:G3)</f>
        <v>1595362.21</v>
      </c>
      <c r="J3" s="14">
        <v>604506.73</v>
      </c>
      <c r="K3" s="18">
        <f>SUM(I3:J3)</f>
        <v>2199868.94</v>
      </c>
      <c r="M3" s="14">
        <v>1297120.81</v>
      </c>
      <c r="N3" s="14">
        <v>598057.52</v>
      </c>
      <c r="O3" s="18">
        <f>SUM(M3:N3)</f>
        <v>1895178.33</v>
      </c>
      <c r="Q3" s="14">
        <v>1007796.81</v>
      </c>
      <c r="R3" s="14">
        <v>719306.96</v>
      </c>
      <c r="S3" s="18">
        <f>SUM(Q3:R3)</f>
        <v>1727103.77</v>
      </c>
    </row>
    <row r="4" spans="1:21" ht="24.95" customHeight="1" x14ac:dyDescent="0.25">
      <c r="A4" s="8" t="s">
        <v>95</v>
      </c>
      <c r="B4" s="5">
        <v>65516</v>
      </c>
      <c r="C4" s="5">
        <v>170789.95</v>
      </c>
      <c r="D4" s="5">
        <v>226778.6</v>
      </c>
      <c r="E4" s="5">
        <v>120275.25</v>
      </c>
      <c r="F4" s="5">
        <v>234282.94</v>
      </c>
      <c r="G4" s="5">
        <v>300911.68000000005</v>
      </c>
      <c r="I4" s="14">
        <f>SUM(B4:G4)</f>
        <v>1118554.42</v>
      </c>
      <c r="J4" s="14">
        <v>565707.72</v>
      </c>
      <c r="K4" s="18">
        <f>SUM(I4:J4)</f>
        <v>1684262.14</v>
      </c>
      <c r="M4" s="14">
        <v>695855.77</v>
      </c>
      <c r="N4" s="14">
        <v>678532.49</v>
      </c>
      <c r="O4" s="18">
        <f>SUM(M4:N4)</f>
        <v>1374388.26</v>
      </c>
      <c r="Q4" s="14">
        <v>1256089.4500000002</v>
      </c>
      <c r="R4" s="14">
        <v>667244.06999999995</v>
      </c>
      <c r="S4" s="18">
        <f>SUM(Q4:R4)</f>
        <v>1923333.52</v>
      </c>
    </row>
    <row r="5" spans="1:21" ht="24.95" customHeight="1" x14ac:dyDescent="0.25">
      <c r="A5" s="8" t="s">
        <v>96</v>
      </c>
      <c r="B5" s="5">
        <v>51523</v>
      </c>
      <c r="C5" s="5">
        <v>297171.43</v>
      </c>
      <c r="D5" s="5">
        <v>323783.3</v>
      </c>
      <c r="E5" s="5">
        <v>174262</v>
      </c>
      <c r="F5" s="5">
        <v>106651.5</v>
      </c>
      <c r="G5" s="5">
        <v>191512.26</v>
      </c>
      <c r="I5" s="14">
        <f t="shared" ref="I5" si="1">SUM(B5:G5)</f>
        <v>1144903.49</v>
      </c>
      <c r="J5" s="14">
        <v>652639.16</v>
      </c>
      <c r="K5" s="18">
        <f t="shared" ref="K5" si="2">SUM(I5:J5)</f>
        <v>1797542.65</v>
      </c>
      <c r="M5" s="14">
        <v>1118771</v>
      </c>
      <c r="N5" s="14">
        <v>632415.63</v>
      </c>
      <c r="O5" s="18">
        <f t="shared" ref="O5" si="3">SUM(M5:N5)</f>
        <v>1751186.63</v>
      </c>
      <c r="Q5" s="14">
        <v>1121988.17</v>
      </c>
      <c r="R5" s="14">
        <v>721080.54</v>
      </c>
      <c r="S5" s="18">
        <f t="shared" ref="S5" si="4">SUM(Q5:R5)</f>
        <v>1843068.71</v>
      </c>
    </row>
    <row r="6" spans="1:21" ht="24.95" customHeight="1" x14ac:dyDescent="0.25">
      <c r="A6" s="9" t="s">
        <v>51</v>
      </c>
      <c r="B6" s="7">
        <f t="shared" ref="B6:K6" si="5">SUM(B7:B10)</f>
        <v>346707.39</v>
      </c>
      <c r="C6" s="7">
        <f t="shared" si="5"/>
        <v>518382.5</v>
      </c>
      <c r="D6" s="7">
        <f t="shared" si="5"/>
        <v>840306.15</v>
      </c>
      <c r="E6" s="7">
        <f t="shared" si="5"/>
        <v>85372</v>
      </c>
      <c r="F6" s="7">
        <f t="shared" si="5"/>
        <v>8701</v>
      </c>
      <c r="G6" s="7">
        <f t="shared" si="5"/>
        <v>633014.59</v>
      </c>
      <c r="I6" s="13">
        <f t="shared" si="5"/>
        <v>2432483.63</v>
      </c>
      <c r="J6" s="13">
        <f t="shared" si="5"/>
        <v>1510065.2366666675</v>
      </c>
      <c r="K6" s="17">
        <f t="shared" si="5"/>
        <v>3942548.8666666681</v>
      </c>
      <c r="M6" s="13">
        <f>SUM(M7:M10)</f>
        <v>3334976.63</v>
      </c>
      <c r="N6" s="13">
        <f>SUM(N7:N10)</f>
        <v>1117778.1000000001</v>
      </c>
      <c r="O6" s="17">
        <f t="shared" ref="O6" si="6">SUM(O7:O10)</f>
        <v>4452754.7300000004</v>
      </c>
      <c r="Q6" s="13">
        <f>SUM(Q7:Q10)</f>
        <v>2717567.23</v>
      </c>
      <c r="R6" s="13">
        <f>SUM(R7:R10)</f>
        <v>1459991.01</v>
      </c>
      <c r="S6" s="17">
        <f t="shared" ref="S6" si="7">SUM(S7:S10)</f>
        <v>4177558.24</v>
      </c>
    </row>
    <row r="7" spans="1:21" ht="24.95" customHeight="1" x14ac:dyDescent="0.25">
      <c r="A7" s="8" t="s">
        <v>105</v>
      </c>
      <c r="B7" s="5">
        <v>138492.39000000001</v>
      </c>
      <c r="C7" s="5">
        <v>105626.5</v>
      </c>
      <c r="D7" s="5">
        <v>196559.15</v>
      </c>
      <c r="E7" s="5">
        <v>26350</v>
      </c>
      <c r="F7" s="5">
        <v>1323</v>
      </c>
      <c r="G7" s="5">
        <v>140553.59</v>
      </c>
      <c r="I7" s="14">
        <f t="shared" ref="I7:I10" si="8">SUM(B7:G7)</f>
        <v>608904.63</v>
      </c>
      <c r="J7" s="14">
        <v>340996.42</v>
      </c>
      <c r="K7" s="18">
        <f t="shared" ref="K7:K10" si="9">SUM(I7:J7)</f>
        <v>949901.05</v>
      </c>
      <c r="M7" s="14">
        <v>550184.63</v>
      </c>
      <c r="N7" s="14">
        <v>198878.85</v>
      </c>
      <c r="O7" s="18">
        <f t="shared" ref="O7:O10" si="10">SUM(M7:N7)</f>
        <v>749063.48</v>
      </c>
      <c r="Q7" s="14">
        <v>484358.23</v>
      </c>
      <c r="R7" s="14">
        <v>156548.75</v>
      </c>
      <c r="S7" s="18">
        <f t="shared" ref="S7:S10" si="11">SUM(Q7:R7)</f>
        <v>640906.98</v>
      </c>
    </row>
    <row r="8" spans="1:21" ht="24.95" customHeight="1" x14ac:dyDescent="0.25">
      <c r="A8" s="8" t="s">
        <v>78</v>
      </c>
      <c r="B8" s="5">
        <v>162393</v>
      </c>
      <c r="C8" s="5">
        <v>230502</v>
      </c>
      <c r="D8" s="5">
        <v>369678</v>
      </c>
      <c r="E8" s="5">
        <v>16488</v>
      </c>
      <c r="F8" s="5">
        <v>7378</v>
      </c>
      <c r="G8" s="5">
        <v>209739</v>
      </c>
      <c r="I8" s="14">
        <f t="shared" si="8"/>
        <v>996178</v>
      </c>
      <c r="J8" s="14">
        <v>368224.90666666668</v>
      </c>
      <c r="K8" s="18">
        <f t="shared" si="9"/>
        <v>1364402.9066666667</v>
      </c>
      <c r="M8" s="14">
        <v>1032744</v>
      </c>
      <c r="N8" s="14">
        <v>298318.27</v>
      </c>
      <c r="O8" s="18">
        <f t="shared" si="10"/>
        <v>1331062.27</v>
      </c>
      <c r="Q8" s="14">
        <v>760960</v>
      </c>
      <c r="R8" s="14">
        <v>234823.12</v>
      </c>
      <c r="S8" s="18">
        <f t="shared" si="11"/>
        <v>995783.12</v>
      </c>
      <c r="U8" s="4"/>
    </row>
    <row r="9" spans="1:21" ht="24.95" customHeight="1" x14ac:dyDescent="0.25">
      <c r="A9" s="8" t="s">
        <v>79</v>
      </c>
      <c r="B9" s="5">
        <v>37022</v>
      </c>
      <c r="C9" s="5">
        <v>78910</v>
      </c>
      <c r="D9" s="5">
        <v>177429</v>
      </c>
      <c r="E9" s="5">
        <v>34315</v>
      </c>
      <c r="F9" s="5"/>
      <c r="G9" s="5">
        <v>123222</v>
      </c>
      <c r="H9" s="4"/>
      <c r="I9" s="14">
        <f t="shared" si="8"/>
        <v>450898</v>
      </c>
      <c r="J9" s="14">
        <v>410840.63000000047</v>
      </c>
      <c r="K9" s="18">
        <f t="shared" si="9"/>
        <v>861738.63000000047</v>
      </c>
      <c r="L9" s="4"/>
      <c r="M9" s="14">
        <v>1001768</v>
      </c>
      <c r="N9" s="14">
        <v>335079.2</v>
      </c>
      <c r="O9" s="18">
        <f t="shared" si="10"/>
        <v>1336847.2</v>
      </c>
      <c r="P9" s="4"/>
      <c r="Q9" s="14">
        <v>797313</v>
      </c>
      <c r="R9" s="14">
        <v>570344.56999999995</v>
      </c>
      <c r="S9" s="18">
        <f t="shared" si="11"/>
        <v>1367657.5699999998</v>
      </c>
    </row>
    <row r="10" spans="1:21" ht="24.95" customHeight="1" x14ac:dyDescent="0.25">
      <c r="A10" s="8" t="s">
        <v>128</v>
      </c>
      <c r="B10" s="5">
        <v>8800</v>
      </c>
      <c r="C10" s="5">
        <v>103344</v>
      </c>
      <c r="D10" s="5">
        <v>96640</v>
      </c>
      <c r="E10" s="5">
        <v>8219</v>
      </c>
      <c r="F10" s="5"/>
      <c r="G10" s="5">
        <v>159500</v>
      </c>
      <c r="I10" s="14">
        <f t="shared" si="8"/>
        <v>376503</v>
      </c>
      <c r="J10" s="14">
        <v>390003.28000000049</v>
      </c>
      <c r="K10" s="18">
        <f t="shared" si="9"/>
        <v>766506.28000000049</v>
      </c>
      <c r="M10" s="14">
        <v>750280</v>
      </c>
      <c r="N10" s="14">
        <v>285501.78000000003</v>
      </c>
      <c r="O10" s="18">
        <f t="shared" si="10"/>
        <v>1035781.78</v>
      </c>
      <c r="Q10" s="14">
        <v>674936</v>
      </c>
      <c r="R10" s="14">
        <v>498274.57</v>
      </c>
      <c r="S10" s="18">
        <f t="shared" si="11"/>
        <v>1173210.57</v>
      </c>
    </row>
    <row r="11" spans="1:21" ht="24.95" customHeight="1" x14ac:dyDescent="0.25">
      <c r="A11" s="9" t="s">
        <v>52</v>
      </c>
      <c r="B11" s="7">
        <f t="shared" ref="B11:K11" si="12">SUM(B12:B14)</f>
        <v>159048</v>
      </c>
      <c r="C11" s="7">
        <f t="shared" si="12"/>
        <v>200605</v>
      </c>
      <c r="D11" s="7">
        <f t="shared" si="12"/>
        <v>297116</v>
      </c>
      <c r="E11" s="7">
        <f t="shared" si="12"/>
        <v>54135</v>
      </c>
      <c r="F11" s="7">
        <f t="shared" si="12"/>
        <v>0</v>
      </c>
      <c r="G11" s="7">
        <f t="shared" si="12"/>
        <v>80038</v>
      </c>
      <c r="H11" s="4"/>
      <c r="I11" s="13">
        <f t="shared" si="12"/>
        <v>790942</v>
      </c>
      <c r="J11" s="13">
        <f t="shared" si="12"/>
        <v>1755697.9849999999</v>
      </c>
      <c r="K11" s="17">
        <f t="shared" si="12"/>
        <v>2546639.9849999999</v>
      </c>
      <c r="L11" s="4"/>
      <c r="M11" s="13">
        <f>SUM(M12:M14)</f>
        <v>949007</v>
      </c>
      <c r="N11" s="13">
        <f>SUM(N12:N14)</f>
        <v>1558440.87</v>
      </c>
      <c r="O11" s="17">
        <f>SUM(O12:O14)</f>
        <v>2507447.87</v>
      </c>
      <c r="P11" s="4"/>
      <c r="Q11" s="13">
        <f>SUM(Q12:Q14)</f>
        <v>622631</v>
      </c>
      <c r="R11" s="13">
        <f>SUM(R12:R14)</f>
        <v>1924926.0799999998</v>
      </c>
      <c r="S11" s="17">
        <f>SUM(S12:S14)</f>
        <v>2547557.08</v>
      </c>
    </row>
    <row r="12" spans="1:21" ht="24.95" customHeight="1" x14ac:dyDescent="0.25">
      <c r="A12" s="8" t="s">
        <v>80</v>
      </c>
      <c r="B12" s="5">
        <v>44739</v>
      </c>
      <c r="C12" s="5">
        <v>129582</v>
      </c>
      <c r="D12" s="5">
        <v>107049</v>
      </c>
      <c r="E12" s="5">
        <v>32080</v>
      </c>
      <c r="F12" s="5"/>
      <c r="G12" s="5">
        <v>19798</v>
      </c>
      <c r="I12" s="14">
        <f t="shared" ref="I12:I14" si="13">SUM(B12:G12)</f>
        <v>333248</v>
      </c>
      <c r="J12" s="14">
        <v>595747.6283333333</v>
      </c>
      <c r="K12" s="18">
        <f t="shared" ref="K12:K14" si="14">SUM(I12:J12)</f>
        <v>928995.6283333333</v>
      </c>
      <c r="M12" s="14">
        <v>496708</v>
      </c>
      <c r="N12" s="14">
        <v>497978.85</v>
      </c>
      <c r="O12" s="18">
        <f t="shared" ref="O12:O14" si="15">SUM(M12:N12)</f>
        <v>994686.85</v>
      </c>
      <c r="Q12" s="14">
        <v>329556</v>
      </c>
      <c r="R12" s="14">
        <v>562097.93999999994</v>
      </c>
      <c r="S12" s="18">
        <f t="shared" ref="S12:S14" si="16">SUM(Q12:R12)</f>
        <v>891653.94</v>
      </c>
    </row>
    <row r="13" spans="1:21" ht="24.95" customHeight="1" x14ac:dyDescent="0.25">
      <c r="A13" s="8" t="s">
        <v>81</v>
      </c>
      <c r="B13" s="5">
        <v>81309</v>
      </c>
      <c r="C13" s="5">
        <v>31090</v>
      </c>
      <c r="D13" s="5">
        <v>187787</v>
      </c>
      <c r="E13" s="5">
        <v>21155</v>
      </c>
      <c r="F13" s="5"/>
      <c r="G13" s="5">
        <v>32420</v>
      </c>
      <c r="I13" s="14">
        <f t="shared" si="13"/>
        <v>353761</v>
      </c>
      <c r="J13" s="14">
        <v>595747.6283333333</v>
      </c>
      <c r="K13" s="18">
        <f t="shared" si="14"/>
        <v>949508.6283333333</v>
      </c>
      <c r="M13" s="14">
        <v>337955</v>
      </c>
      <c r="N13" s="14">
        <v>496316.51</v>
      </c>
      <c r="O13" s="18">
        <f t="shared" si="15"/>
        <v>834271.51</v>
      </c>
      <c r="Q13" s="14">
        <v>287965</v>
      </c>
      <c r="R13" s="14">
        <v>562097.93999999994</v>
      </c>
      <c r="S13" s="18">
        <f t="shared" si="16"/>
        <v>850062.94</v>
      </c>
    </row>
    <row r="14" spans="1:21" ht="24.95" customHeight="1" x14ac:dyDescent="0.25">
      <c r="A14" s="8" t="s">
        <v>82</v>
      </c>
      <c r="B14" s="5">
        <v>33000</v>
      </c>
      <c r="C14" s="5">
        <v>39933</v>
      </c>
      <c r="D14" s="5">
        <v>2280</v>
      </c>
      <c r="E14" s="5">
        <v>900</v>
      </c>
      <c r="F14" s="5"/>
      <c r="G14" s="5">
        <v>27820</v>
      </c>
      <c r="I14" s="14">
        <f t="shared" si="13"/>
        <v>103933</v>
      </c>
      <c r="J14" s="14">
        <v>564202.72833333327</v>
      </c>
      <c r="K14" s="18">
        <f t="shared" si="14"/>
        <v>668135.72833333327</v>
      </c>
      <c r="M14" s="14">
        <v>114344</v>
      </c>
      <c r="N14" s="14">
        <v>564145.51</v>
      </c>
      <c r="O14" s="18">
        <f t="shared" si="15"/>
        <v>678489.51</v>
      </c>
      <c r="Q14" s="14">
        <v>5110</v>
      </c>
      <c r="R14" s="14">
        <v>800730.2</v>
      </c>
      <c r="S14" s="18">
        <f t="shared" si="16"/>
        <v>805840.2</v>
      </c>
    </row>
    <row r="15" spans="1:21" ht="24.95" customHeight="1" x14ac:dyDescent="0.25">
      <c r="A15" s="9" t="s">
        <v>53</v>
      </c>
      <c r="B15" s="7">
        <f t="shared" ref="B15:G15" si="17">SUM(B16:B18)</f>
        <v>176153</v>
      </c>
      <c r="C15" s="7">
        <f t="shared" si="17"/>
        <v>518091</v>
      </c>
      <c r="D15" s="7">
        <f t="shared" si="17"/>
        <v>290836</v>
      </c>
      <c r="E15" s="7">
        <f t="shared" si="17"/>
        <v>49322</v>
      </c>
      <c r="F15" s="7">
        <f t="shared" si="17"/>
        <v>0</v>
      </c>
      <c r="G15" s="7">
        <f t="shared" si="17"/>
        <v>42145</v>
      </c>
      <c r="I15" s="13">
        <f>SUM(I16:I18)</f>
        <v>1076547</v>
      </c>
      <c r="J15" s="13">
        <f>SUM(J16:J18)</f>
        <v>2079078.0749999997</v>
      </c>
      <c r="K15" s="17">
        <f>SUM(K16:K18)</f>
        <v>3155625.0749999997</v>
      </c>
      <c r="M15" s="13">
        <f>SUM(M16:M18)</f>
        <v>1050973</v>
      </c>
      <c r="N15" s="13">
        <f>SUM(N16:N18)</f>
        <v>1777940.12</v>
      </c>
      <c r="O15" s="17">
        <f>SUM(O16:O18)</f>
        <v>2828913.1199999996</v>
      </c>
      <c r="Q15" s="13">
        <f>SUM(Q16:Q18)</f>
        <v>731940</v>
      </c>
      <c r="R15" s="13">
        <f>SUM(R16:R18)</f>
        <v>1693799.4899999998</v>
      </c>
      <c r="S15" s="17">
        <f>SUM(S16:S18)</f>
        <v>2425739.4900000002</v>
      </c>
    </row>
    <row r="16" spans="1:21" ht="24.95" customHeight="1" x14ac:dyDescent="0.25">
      <c r="A16" s="8" t="s">
        <v>83</v>
      </c>
      <c r="B16" s="5">
        <v>143153</v>
      </c>
      <c r="C16" s="5">
        <v>346527</v>
      </c>
      <c r="D16" s="5">
        <v>220414</v>
      </c>
      <c r="E16" s="5">
        <v>39675</v>
      </c>
      <c r="F16" s="5"/>
      <c r="G16" s="5"/>
      <c r="I16" s="14">
        <f t="shared" ref="I16:I18" si="18">SUM(B16:G16)</f>
        <v>749769</v>
      </c>
      <c r="J16" s="14">
        <v>693026.02499999991</v>
      </c>
      <c r="K16" s="18">
        <f t="shared" ref="K16:K18" si="19">SUM(I16:J16)</f>
        <v>1442795.0249999999</v>
      </c>
      <c r="M16" s="14">
        <v>620759</v>
      </c>
      <c r="N16" s="14">
        <v>620257.81999999995</v>
      </c>
      <c r="O16" s="18">
        <f t="shared" ref="O16:O18" si="20">SUM(M16:N16)</f>
        <v>1241016.8199999998</v>
      </c>
      <c r="Q16" s="14">
        <v>659341</v>
      </c>
      <c r="R16" s="14">
        <v>564599.82999999996</v>
      </c>
      <c r="S16" s="18">
        <f t="shared" ref="S16:S18" si="21">SUM(Q16:R16)</f>
        <v>1223940.83</v>
      </c>
    </row>
    <row r="17" spans="1:19" ht="24.95" customHeight="1" x14ac:dyDescent="0.25">
      <c r="A17" s="8" t="s">
        <v>84</v>
      </c>
      <c r="B17" s="5"/>
      <c r="C17" s="5">
        <v>171564</v>
      </c>
      <c r="D17" s="5">
        <v>34320</v>
      </c>
      <c r="E17" s="5">
        <v>8735</v>
      </c>
      <c r="F17" s="5"/>
      <c r="G17" s="5">
        <v>16340</v>
      </c>
      <c r="I17" s="14">
        <f t="shared" si="18"/>
        <v>230959</v>
      </c>
      <c r="J17" s="14">
        <v>693026.02499999991</v>
      </c>
      <c r="K17" s="18">
        <f t="shared" si="19"/>
        <v>923985.02499999991</v>
      </c>
      <c r="M17" s="14">
        <v>192119</v>
      </c>
      <c r="N17" s="14">
        <v>603591.15</v>
      </c>
      <c r="O17" s="18">
        <f t="shared" si="20"/>
        <v>795710.15</v>
      </c>
      <c r="Q17" s="14">
        <v>72599</v>
      </c>
      <c r="R17" s="14">
        <v>564599.82999999996</v>
      </c>
      <c r="S17" s="18">
        <f t="shared" si="21"/>
        <v>637198.82999999996</v>
      </c>
    </row>
    <row r="18" spans="1:19" ht="24.95" customHeight="1" x14ac:dyDescent="0.25">
      <c r="A18" s="8" t="s">
        <v>85</v>
      </c>
      <c r="B18" s="5">
        <v>33000</v>
      </c>
      <c r="C18" s="5"/>
      <c r="D18" s="5">
        <v>36102</v>
      </c>
      <c r="E18" s="5">
        <v>912</v>
      </c>
      <c r="F18" s="5"/>
      <c r="G18" s="5">
        <v>25805</v>
      </c>
      <c r="I18" s="14">
        <f t="shared" si="18"/>
        <v>95819</v>
      </c>
      <c r="J18" s="14">
        <v>693026.02499999991</v>
      </c>
      <c r="K18" s="18">
        <f t="shared" si="19"/>
        <v>788845.02499999991</v>
      </c>
      <c r="M18" s="14">
        <v>238095</v>
      </c>
      <c r="N18" s="14">
        <v>554091.15</v>
      </c>
      <c r="O18" s="18">
        <f t="shared" si="20"/>
        <v>792186.15</v>
      </c>
      <c r="Q18" s="14"/>
      <c r="R18" s="14">
        <v>564599.82999999996</v>
      </c>
      <c r="S18" s="18">
        <f t="shared" si="21"/>
        <v>564599.82999999996</v>
      </c>
    </row>
    <row r="19" spans="1:19" ht="24.95" customHeight="1" x14ac:dyDescent="0.25">
      <c r="A19" s="10" t="s">
        <v>131</v>
      </c>
      <c r="B19" s="6">
        <f>SUM(B3:B5,B7)</f>
        <v>361884.14</v>
      </c>
      <c r="C19" s="6">
        <f t="shared" ref="C19:G19" si="22">SUM(C3:C5,C7)</f>
        <v>777278.55</v>
      </c>
      <c r="D19" s="6">
        <f t="shared" si="22"/>
        <v>1494589.94</v>
      </c>
      <c r="E19" s="6">
        <f t="shared" si="22"/>
        <v>405158.42</v>
      </c>
      <c r="F19" s="6">
        <f t="shared" si="22"/>
        <v>342257.44</v>
      </c>
      <c r="G19" s="6">
        <f t="shared" si="22"/>
        <v>1086556.26</v>
      </c>
      <c r="I19" s="15">
        <f t="shared" ref="I19:K19" si="23">SUM(I3:I5,I7)</f>
        <v>4467724.75</v>
      </c>
      <c r="J19" s="15">
        <f t="shared" si="23"/>
        <v>2163850.0299999998</v>
      </c>
      <c r="K19" s="15">
        <f t="shared" si="23"/>
        <v>6631574.7800000003</v>
      </c>
      <c r="M19" s="15">
        <f t="shared" ref="M19:O19" si="24">SUM(M3:M5,M7)</f>
        <v>3661932.21</v>
      </c>
      <c r="N19" s="15">
        <f t="shared" si="24"/>
        <v>2107884.4900000002</v>
      </c>
      <c r="O19" s="15">
        <f t="shared" si="24"/>
        <v>5769816.6999999993</v>
      </c>
      <c r="Q19" s="15">
        <f t="shared" ref="Q19:S19" si="25">SUM(Q3:Q5,Q7)</f>
        <v>3870232.66</v>
      </c>
      <c r="R19" s="15">
        <f t="shared" si="25"/>
        <v>2264180.3199999998</v>
      </c>
      <c r="S19" s="15">
        <f t="shared" si="25"/>
        <v>6134412.9800000004</v>
      </c>
    </row>
    <row r="20" spans="1:19" ht="24.95" customHeight="1" x14ac:dyDescent="0.25">
      <c r="A20" s="10" t="s">
        <v>132</v>
      </c>
      <c r="B20" s="6">
        <f>SUM(B8:B10,B12:B14,B16:B18)</f>
        <v>543416</v>
      </c>
      <c r="C20" s="6">
        <f t="shared" ref="C20:G20" si="26">SUM(C8:C10,C12:C14,C16:C18)</f>
        <v>1131452</v>
      </c>
      <c r="D20" s="6">
        <f t="shared" si="26"/>
        <v>1231699</v>
      </c>
      <c r="E20" s="6">
        <f t="shared" si="26"/>
        <v>162479</v>
      </c>
      <c r="F20" s="6">
        <f t="shared" si="26"/>
        <v>7378</v>
      </c>
      <c r="G20" s="6">
        <f t="shared" si="26"/>
        <v>614644</v>
      </c>
      <c r="I20" s="15">
        <f t="shared" ref="I20:K20" si="27">SUM(I8:I10,I12:I14,I16:I18)</f>
        <v>3691068</v>
      </c>
      <c r="J20" s="15">
        <f t="shared" si="27"/>
        <v>5003844.8766666669</v>
      </c>
      <c r="K20" s="15">
        <f t="shared" si="27"/>
        <v>8694912.8766666688</v>
      </c>
      <c r="M20" s="15">
        <f t="shared" ref="M20:O20" si="28">SUM(M8:M10,M12:M14,M16:M18)</f>
        <v>4784772</v>
      </c>
      <c r="N20" s="15">
        <f t="shared" si="28"/>
        <v>4255280.24</v>
      </c>
      <c r="O20" s="15">
        <f t="shared" si="28"/>
        <v>9040052.2400000002</v>
      </c>
      <c r="Q20" s="15">
        <f t="shared" ref="Q20:S20" si="29">SUM(Q8:Q10,Q12:Q14,Q16:Q18)</f>
        <v>3587780</v>
      </c>
      <c r="R20" s="15">
        <f t="shared" si="29"/>
        <v>4922167.83</v>
      </c>
      <c r="S20" s="15">
        <f t="shared" si="29"/>
        <v>8509947.8299999982</v>
      </c>
    </row>
    <row r="21" spans="1:19" ht="24.95" customHeight="1" x14ac:dyDescent="0.25">
      <c r="A21" s="19" t="s">
        <v>794</v>
      </c>
      <c r="B21" s="6">
        <f>SUM(B19:B20)</f>
        <v>905300.14</v>
      </c>
      <c r="C21" s="6">
        <f t="shared" ref="C21:G21" si="30">SUM(C19:C20)</f>
        <v>1908730.55</v>
      </c>
      <c r="D21" s="6">
        <f t="shared" si="30"/>
        <v>2726288.94</v>
      </c>
      <c r="E21" s="6">
        <f t="shared" si="30"/>
        <v>567637.41999999993</v>
      </c>
      <c r="F21" s="6">
        <f t="shared" si="30"/>
        <v>349635.44</v>
      </c>
      <c r="G21" s="6">
        <f t="shared" si="30"/>
        <v>1701200.26</v>
      </c>
      <c r="I21" s="20">
        <f t="shared" ref="I21:K21" si="31">SUM(I19:I20)</f>
        <v>8158792.75</v>
      </c>
      <c r="J21" s="20">
        <f t="shared" si="31"/>
        <v>7167694.9066666663</v>
      </c>
      <c r="K21" s="20">
        <f t="shared" si="31"/>
        <v>15326487.65666667</v>
      </c>
      <c r="M21" s="20">
        <f t="shared" ref="M21:O21" si="32">SUM(M19:M20)</f>
        <v>8446704.2100000009</v>
      </c>
      <c r="N21" s="20">
        <f t="shared" si="32"/>
        <v>6363164.7300000004</v>
      </c>
      <c r="O21" s="20">
        <f t="shared" si="32"/>
        <v>14809868.939999999</v>
      </c>
      <c r="Q21" s="20">
        <f t="shared" ref="Q21:S21" si="33">SUM(Q19:Q20)</f>
        <v>7458012.6600000001</v>
      </c>
      <c r="R21" s="20">
        <f t="shared" si="33"/>
        <v>7186348.1500000004</v>
      </c>
      <c r="S21" s="20">
        <f t="shared" si="33"/>
        <v>14644360.809999999</v>
      </c>
    </row>
  </sheetData>
  <printOptions horizontalCentered="1"/>
  <pageMargins left="0.7" right="0.7" top="1.25" bottom="0.75" header="0.3" footer="0.3"/>
  <pageSetup paperSize="17" scale="83" orientation="landscape" r:id="rId1"/>
  <headerFooter>
    <oddHeader>&amp;C&amp;"Arial Black,Regular"&amp;16SALES REPORT
&amp;12 2025 COMPLETED + SOLD</oddHeader>
    <oddFooter>&amp;L&amp;10&amp;F&amp;R&amp;10&amp;D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6CF9-E140-4483-A2EE-3F88F91F3608}">
  <dimension ref="A1:N21"/>
  <sheetViews>
    <sheetView view="pageBreakPreview" zoomScale="130" zoomScaleNormal="130" zoomScaleSheetLayoutView="130" workbookViewId="0">
      <pane ySplit="1" topLeftCell="A7" activePane="bottomLeft" state="frozen"/>
      <selection activeCell="F3" sqref="F3"/>
      <selection pane="bottomLeft" activeCell="O13" sqref="O13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904</v>
      </c>
      <c r="I1" s="25" t="s">
        <v>876</v>
      </c>
      <c r="J1" s="25" t="s">
        <v>906</v>
      </c>
      <c r="L1" s="25" t="s">
        <v>905</v>
      </c>
      <c r="M1" s="25" t="s">
        <v>877</v>
      </c>
      <c r="N1" s="28" t="s">
        <v>907</v>
      </c>
    </row>
    <row r="2" spans="1:14" ht="24.95" customHeight="1" x14ac:dyDescent="0.25">
      <c r="A2" s="9" t="s">
        <v>50</v>
      </c>
      <c r="B2" s="7">
        <f t="shared" ref="B2:J2" si="0">SUM(B3:B6)</f>
        <v>494008.5</v>
      </c>
      <c r="C2" s="7">
        <f t="shared" si="0"/>
        <v>1036280.73</v>
      </c>
      <c r="D2" s="7">
        <f t="shared" si="0"/>
        <v>112475</v>
      </c>
      <c r="E2" s="7">
        <f t="shared" si="0"/>
        <v>280802.38</v>
      </c>
      <c r="F2" s="7">
        <f t="shared" si="0"/>
        <v>1170890.46</v>
      </c>
      <c r="H2" s="13">
        <f t="shared" si="0"/>
        <v>3094457.07</v>
      </c>
      <c r="I2" s="13">
        <f>SUM(I3:I6)</f>
        <v>2449239.5945584415</v>
      </c>
      <c r="J2" s="17">
        <f t="shared" si="0"/>
        <v>5543696.6645584423</v>
      </c>
      <c r="L2" s="13">
        <f t="shared" ref="L2:N2" si="1">SUM(L3:L6)</f>
        <v>3688846.6799999997</v>
      </c>
      <c r="M2" s="13">
        <f t="shared" si="1"/>
        <v>1989757.2579191923</v>
      </c>
      <c r="N2" s="17">
        <f t="shared" si="1"/>
        <v>5678603.937919192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268145.22000000009</v>
      </c>
      <c r="J3" s="18">
        <f>SUM(H3:I3)</f>
        <v>1475821.85</v>
      </c>
      <c r="L3" s="14">
        <v>1711658.05</v>
      </c>
      <c r="M3" s="14">
        <v>264301.42</v>
      </c>
      <c r="N3" s="18">
        <f>SUM(L3:M3)</f>
        <v>1975959.47</v>
      </c>
    </row>
    <row r="4" spans="1:14" ht="24.95" customHeight="1" x14ac:dyDescent="0.25">
      <c r="A4" s="8" t="s">
        <v>95</v>
      </c>
      <c r="B4" s="5">
        <v>83059.56</v>
      </c>
      <c r="C4" s="5">
        <v>143368.5</v>
      </c>
      <c r="D4" s="5">
        <v>0</v>
      </c>
      <c r="E4" s="5">
        <v>98775.38</v>
      </c>
      <c r="F4" s="5">
        <v>37970</v>
      </c>
      <c r="H4" s="14">
        <f>SUM(B4:F4)</f>
        <v>363173.44</v>
      </c>
      <c r="I4" s="14">
        <v>381114.87333333335</v>
      </c>
      <c r="J4" s="18">
        <f>SUM(H4:I4)</f>
        <v>744288.31333333335</v>
      </c>
      <c r="L4" s="14">
        <v>219938.72999999998</v>
      </c>
      <c r="M4" s="14">
        <v>386332.28</v>
      </c>
      <c r="N4" s="18">
        <f>SUM(L4:M4)</f>
        <v>606271.01</v>
      </c>
    </row>
    <row r="5" spans="1:14" ht="24.95" customHeight="1" x14ac:dyDescent="0.25">
      <c r="A5" s="8" t="s">
        <v>791</v>
      </c>
      <c r="B5" s="5">
        <v>176627</v>
      </c>
      <c r="C5" s="5">
        <v>399768</v>
      </c>
      <c r="D5" s="5">
        <v>4500</v>
      </c>
      <c r="E5" s="5">
        <v>89646</v>
      </c>
      <c r="F5" s="5">
        <v>350129</v>
      </c>
      <c r="H5" s="14">
        <f t="shared" ref="H5:H6" si="2">SUM(B5:F5)</f>
        <v>1020670</v>
      </c>
      <c r="I5" s="14">
        <v>940489.86811255408</v>
      </c>
      <c r="J5" s="18">
        <f>SUM(H5:I5)</f>
        <v>1961159.8681125541</v>
      </c>
      <c r="L5" s="14">
        <v>1346229.9</v>
      </c>
      <c r="M5" s="14">
        <v>670637.83409848507</v>
      </c>
      <c r="N5" s="18">
        <f t="shared" ref="N5:N6" si="3">SUM(L5:M5)</f>
        <v>2016867.734098485</v>
      </c>
    </row>
    <row r="6" spans="1:14" ht="24.95" customHeight="1" x14ac:dyDescent="0.25">
      <c r="A6" s="8" t="s">
        <v>792</v>
      </c>
      <c r="B6" s="5">
        <v>88695</v>
      </c>
      <c r="C6" s="5">
        <v>206026</v>
      </c>
      <c r="D6" s="5"/>
      <c r="E6" s="5">
        <v>77091</v>
      </c>
      <c r="F6" s="5">
        <v>131125</v>
      </c>
      <c r="H6" s="14">
        <f t="shared" si="2"/>
        <v>502937</v>
      </c>
      <c r="I6" s="14">
        <v>859489.63311255409</v>
      </c>
      <c r="J6" s="18">
        <f t="shared" ref="J6" si="4">SUM(H6:I6)</f>
        <v>1362426.633112554</v>
      </c>
      <c r="L6" s="14">
        <v>411020</v>
      </c>
      <c r="M6" s="14">
        <v>668485.7238207073</v>
      </c>
      <c r="N6" s="18">
        <f t="shared" si="3"/>
        <v>1079505.7238207073</v>
      </c>
    </row>
    <row r="7" spans="1:14" ht="24.95" customHeight="1" x14ac:dyDescent="0.25">
      <c r="A7" s="9" t="s">
        <v>51</v>
      </c>
      <c r="B7" s="7">
        <f t="shared" ref="B7:J7" si="5">SUM(B8:B10)</f>
        <v>244872</v>
      </c>
      <c r="C7" s="7">
        <f t="shared" si="5"/>
        <v>725056</v>
      </c>
      <c r="D7" s="7">
        <f t="shared" si="5"/>
        <v>3600</v>
      </c>
      <c r="E7" s="7">
        <f t="shared" si="5"/>
        <v>158514</v>
      </c>
      <c r="F7" s="7">
        <f t="shared" si="5"/>
        <v>256505</v>
      </c>
      <c r="H7" s="13">
        <f t="shared" si="5"/>
        <v>1388547</v>
      </c>
      <c r="I7" s="13">
        <f>SUM(I8:I10)</f>
        <v>1707911.189337662</v>
      </c>
      <c r="J7" s="17">
        <f t="shared" si="5"/>
        <v>3096458.189337662</v>
      </c>
      <c r="L7" s="13">
        <f>SUM(L8:L10)</f>
        <v>1524723</v>
      </c>
      <c r="M7" s="13">
        <f>SUM(M8:M10)</f>
        <v>1832639.9514621219</v>
      </c>
      <c r="N7" s="17">
        <f t="shared" ref="N7" si="6">SUM(N8:N10)</f>
        <v>3357362.9514621217</v>
      </c>
    </row>
    <row r="8" spans="1:14" ht="24.95" customHeight="1" x14ac:dyDescent="0.25">
      <c r="A8" s="8" t="s">
        <v>78</v>
      </c>
      <c r="B8" s="5">
        <v>185445</v>
      </c>
      <c r="C8" s="5">
        <v>602848</v>
      </c>
      <c r="D8" s="5">
        <v>900</v>
      </c>
      <c r="E8" s="5">
        <v>116721</v>
      </c>
      <c r="F8" s="5">
        <v>256505</v>
      </c>
      <c r="H8" s="14">
        <f t="shared" ref="H8:H10" si="7">SUM(B8:F8)</f>
        <v>1162419</v>
      </c>
      <c r="I8" s="14">
        <v>580434.25311255408</v>
      </c>
      <c r="J8" s="18">
        <f t="shared" ref="J8:J10" si="8">SUM(H8:I8)</f>
        <v>1742853.2531125541</v>
      </c>
      <c r="L8" s="14">
        <v>877408</v>
      </c>
      <c r="M8" s="14">
        <v>611577.9838207073</v>
      </c>
      <c r="N8" s="18">
        <f t="shared" ref="N8:N10" si="9">SUM(L8:M8)</f>
        <v>1488985.9838207073</v>
      </c>
    </row>
    <row r="9" spans="1:14" ht="24.95" customHeight="1" x14ac:dyDescent="0.25">
      <c r="A9" s="8" t="s">
        <v>79</v>
      </c>
      <c r="B9" s="5">
        <v>38992</v>
      </c>
      <c r="C9" s="5">
        <v>109618</v>
      </c>
      <c r="D9" s="5">
        <v>1800</v>
      </c>
      <c r="E9" s="5">
        <v>41793</v>
      </c>
      <c r="F9" s="5"/>
      <c r="G9" s="4"/>
      <c r="H9" s="14">
        <f t="shared" si="7"/>
        <v>192203</v>
      </c>
      <c r="I9" s="14">
        <v>563738.46811255405</v>
      </c>
      <c r="J9" s="18">
        <f t="shared" si="8"/>
        <v>755941.46811255405</v>
      </c>
      <c r="K9" s="4"/>
      <c r="L9" s="14">
        <v>433422</v>
      </c>
      <c r="M9" s="14">
        <v>610530.9838207073</v>
      </c>
      <c r="N9" s="18">
        <f t="shared" si="9"/>
        <v>1043952.9838207073</v>
      </c>
    </row>
    <row r="10" spans="1:14" ht="24.95" customHeight="1" x14ac:dyDescent="0.25">
      <c r="A10" s="8" t="s">
        <v>128</v>
      </c>
      <c r="B10" s="5">
        <v>20435</v>
      </c>
      <c r="C10" s="5">
        <v>12590</v>
      </c>
      <c r="D10" s="5">
        <v>900</v>
      </c>
      <c r="E10" s="5"/>
      <c r="F10" s="5"/>
      <c r="H10" s="14">
        <f t="shared" si="7"/>
        <v>33925</v>
      </c>
      <c r="I10" s="14">
        <v>563738.46811255405</v>
      </c>
      <c r="J10" s="18">
        <f t="shared" si="8"/>
        <v>597663.46811255405</v>
      </c>
      <c r="L10" s="14">
        <v>213893</v>
      </c>
      <c r="M10" s="14">
        <v>610530.9838207073</v>
      </c>
      <c r="N10" s="18">
        <f t="shared" si="9"/>
        <v>824423.9838207073</v>
      </c>
    </row>
    <row r="11" spans="1:14" ht="24.95" customHeight="1" x14ac:dyDescent="0.25">
      <c r="A11" s="9" t="s">
        <v>52</v>
      </c>
      <c r="B11" s="7">
        <f t="shared" ref="B11:J11" si="10">SUM(B12:B14)</f>
        <v>86618</v>
      </c>
      <c r="C11" s="7">
        <f t="shared" si="10"/>
        <v>208713</v>
      </c>
      <c r="D11" s="7">
        <f t="shared" si="10"/>
        <v>3600</v>
      </c>
      <c r="E11" s="7">
        <f t="shared" si="10"/>
        <v>57360</v>
      </c>
      <c r="F11" s="7">
        <f t="shared" si="10"/>
        <v>240397</v>
      </c>
      <c r="G11" s="4"/>
      <c r="H11" s="13">
        <f t="shared" si="10"/>
        <v>596688</v>
      </c>
      <c r="I11" s="13">
        <f t="shared" si="10"/>
        <v>1749772.2819805196</v>
      </c>
      <c r="J11" s="17">
        <f t="shared" si="10"/>
        <v>2346460.2819805196</v>
      </c>
      <c r="K11" s="4"/>
      <c r="L11" s="13">
        <f>SUM(L12:L14)</f>
        <v>520303</v>
      </c>
      <c r="M11" s="13">
        <f>SUM(M12:M14)</f>
        <v>1956193.9815277776</v>
      </c>
      <c r="N11" s="17">
        <f>SUM(N12:N14)</f>
        <v>2476496.9815277774</v>
      </c>
    </row>
    <row r="12" spans="1:14" ht="24.95" customHeight="1" x14ac:dyDescent="0.25">
      <c r="A12" s="8" t="s">
        <v>80</v>
      </c>
      <c r="B12" s="5">
        <v>39350</v>
      </c>
      <c r="C12" s="5">
        <v>73748</v>
      </c>
      <c r="D12" s="5">
        <v>900</v>
      </c>
      <c r="E12" s="5">
        <v>16310</v>
      </c>
      <c r="F12" s="5">
        <v>195680</v>
      </c>
      <c r="H12" s="14">
        <f t="shared" ref="H12:H14" si="11">SUM(B12:F12)</f>
        <v>325988</v>
      </c>
      <c r="I12" s="14">
        <v>576952.16542207799</v>
      </c>
      <c r="J12" s="18">
        <f t="shared" ref="J12:J14" si="12">SUM(H12:I12)</f>
        <v>902940.16542207799</v>
      </c>
      <c r="L12" s="14">
        <v>244685</v>
      </c>
      <c r="M12" s="14">
        <v>658154.30847222218</v>
      </c>
      <c r="N12" s="18">
        <f t="shared" ref="N12:N14" si="13">SUM(L12:M12)</f>
        <v>902839.30847222218</v>
      </c>
    </row>
    <row r="13" spans="1:14" ht="24.95" customHeight="1" x14ac:dyDescent="0.25">
      <c r="A13" s="8" t="s">
        <v>81</v>
      </c>
      <c r="B13" s="5">
        <v>47268</v>
      </c>
      <c r="C13" s="5">
        <v>124811</v>
      </c>
      <c r="D13" s="5">
        <v>1800</v>
      </c>
      <c r="E13" s="5">
        <v>41050</v>
      </c>
      <c r="F13" s="5">
        <v>44717</v>
      </c>
      <c r="H13" s="14">
        <f t="shared" si="11"/>
        <v>259646</v>
      </c>
      <c r="I13" s="14">
        <v>576952.16542207799</v>
      </c>
      <c r="J13" s="18">
        <f t="shared" si="12"/>
        <v>836598.16542207799</v>
      </c>
      <c r="L13" s="14">
        <v>227410</v>
      </c>
      <c r="M13" s="14">
        <v>625521.51541666663</v>
      </c>
      <c r="N13" s="18">
        <f t="shared" si="13"/>
        <v>852931.51541666663</v>
      </c>
    </row>
    <row r="14" spans="1:14" ht="24.95" customHeight="1" x14ac:dyDescent="0.25">
      <c r="A14" s="8" t="s">
        <v>82</v>
      </c>
      <c r="B14" s="5"/>
      <c r="C14" s="5">
        <v>10154</v>
      </c>
      <c r="D14" s="5">
        <v>900</v>
      </c>
      <c r="E14" s="5"/>
      <c r="F14" s="5"/>
      <c r="H14" s="14">
        <f t="shared" si="11"/>
        <v>11054</v>
      </c>
      <c r="I14" s="14">
        <v>595867.95113636367</v>
      </c>
      <c r="J14" s="18">
        <f t="shared" si="12"/>
        <v>606921.95113636367</v>
      </c>
      <c r="L14" s="14">
        <v>48208</v>
      </c>
      <c r="M14" s="14">
        <v>672518.15763888881</v>
      </c>
      <c r="N14" s="18">
        <f t="shared" si="13"/>
        <v>720726.15763888881</v>
      </c>
    </row>
    <row r="15" spans="1:14" ht="24.95" customHeight="1" x14ac:dyDescent="0.25">
      <c r="A15" s="9" t="s">
        <v>53</v>
      </c>
      <c r="B15" s="7">
        <f>SUM(B16:B18)</f>
        <v>163341</v>
      </c>
      <c r="C15" s="7">
        <f>SUM(C16:C18)</f>
        <v>327667</v>
      </c>
      <c r="D15" s="7">
        <f>SUM(D16:D18)</f>
        <v>2700</v>
      </c>
      <c r="E15" s="7">
        <f>SUM(E16:E18)</f>
        <v>132266</v>
      </c>
      <c r="F15" s="7">
        <f>SUM(F16:F18)</f>
        <v>227503</v>
      </c>
      <c r="H15" s="13">
        <f>SUM(H16:H18)</f>
        <v>853477</v>
      </c>
      <c r="I15" s="13">
        <f>SUM(I16:I18)</f>
        <v>1787603.853409091</v>
      </c>
      <c r="J15" s="17">
        <f>SUM(J16:J18)</f>
        <v>2641080.853409091</v>
      </c>
      <c r="L15" s="13">
        <f>SUM(L16:L18)</f>
        <v>880324</v>
      </c>
      <c r="M15" s="13">
        <f>SUM(M16:M18)</f>
        <v>2360158.2316666669</v>
      </c>
      <c r="N15" s="17">
        <f>SUM(N16:N18)</f>
        <v>3240482.2316666665</v>
      </c>
    </row>
    <row r="16" spans="1:14" ht="24.95" customHeight="1" x14ac:dyDescent="0.25">
      <c r="A16" s="8" t="s">
        <v>83</v>
      </c>
      <c r="B16" s="5">
        <v>116109</v>
      </c>
      <c r="C16" s="5">
        <v>310857</v>
      </c>
      <c r="D16" s="5">
        <v>900</v>
      </c>
      <c r="E16" s="5">
        <v>129181</v>
      </c>
      <c r="F16" s="5">
        <v>78038</v>
      </c>
      <c r="H16" s="14">
        <f t="shared" ref="H16:H18" si="14">SUM(B16:F16)</f>
        <v>635085</v>
      </c>
      <c r="I16" s="14">
        <v>595867.95113636367</v>
      </c>
      <c r="J16" s="18">
        <f t="shared" ref="J16:J18" si="15">SUM(H16:I16)</f>
        <v>1230952.9511363637</v>
      </c>
      <c r="L16" s="14">
        <v>664047</v>
      </c>
      <c r="M16" s="14">
        <v>786719.4105555556</v>
      </c>
      <c r="N16" s="18">
        <f t="shared" ref="N16:N18" si="16">SUM(L16:M16)</f>
        <v>1450766.4105555555</v>
      </c>
    </row>
    <row r="17" spans="1:14" ht="24.95" customHeight="1" x14ac:dyDescent="0.25">
      <c r="A17" s="8" t="s">
        <v>84</v>
      </c>
      <c r="B17" s="5">
        <v>47232</v>
      </c>
      <c r="C17" s="5">
        <v>16810</v>
      </c>
      <c r="D17" s="5">
        <v>900</v>
      </c>
      <c r="E17" s="5">
        <v>3085</v>
      </c>
      <c r="F17" s="5">
        <v>149465</v>
      </c>
      <c r="H17" s="14">
        <f t="shared" si="14"/>
        <v>217492</v>
      </c>
      <c r="I17" s="14">
        <v>595867.95113636367</v>
      </c>
      <c r="J17" s="18">
        <f t="shared" si="15"/>
        <v>813359.95113636367</v>
      </c>
      <c r="L17" s="14">
        <v>159134</v>
      </c>
      <c r="M17" s="14">
        <v>786719.4105555556</v>
      </c>
      <c r="N17" s="18">
        <f t="shared" si="16"/>
        <v>945853.4105555556</v>
      </c>
    </row>
    <row r="18" spans="1:14" ht="24.95" customHeight="1" x14ac:dyDescent="0.25">
      <c r="A18" s="8" t="s">
        <v>85</v>
      </c>
      <c r="B18" s="5"/>
      <c r="C18" s="5"/>
      <c r="D18" s="5">
        <v>900</v>
      </c>
      <c r="E18" s="5"/>
      <c r="F18" s="5"/>
      <c r="H18" s="14">
        <f t="shared" si="14"/>
        <v>900</v>
      </c>
      <c r="I18" s="14">
        <v>595867.95113636367</v>
      </c>
      <c r="J18" s="18">
        <f t="shared" si="15"/>
        <v>596767.95113636367</v>
      </c>
      <c r="L18" s="14">
        <v>57143</v>
      </c>
      <c r="M18" s="14">
        <v>786719.4105555556</v>
      </c>
      <c r="N18" s="18">
        <f t="shared" si="16"/>
        <v>843862.4105555556</v>
      </c>
    </row>
    <row r="19" spans="1:14" ht="24.95" customHeight="1" x14ac:dyDescent="0.25">
      <c r="A19" s="10" t="s">
        <v>131</v>
      </c>
      <c r="B19" s="6">
        <f>SUM(B3)</f>
        <v>145626.94</v>
      </c>
      <c r="C19" s="6">
        <f t="shared" ref="C19:F19" si="17">SUM(C3)</f>
        <v>287118.23</v>
      </c>
      <c r="D19" s="6">
        <f t="shared" si="17"/>
        <v>107975</v>
      </c>
      <c r="E19" s="6">
        <f t="shared" si="17"/>
        <v>15290</v>
      </c>
      <c r="F19" s="6">
        <f t="shared" si="17"/>
        <v>651666.46</v>
      </c>
      <c r="H19" s="15">
        <f t="shared" ref="H19:J19" si="18">SUM(H3)</f>
        <v>1207676.6299999999</v>
      </c>
      <c r="I19" s="15">
        <f>SUM(I3)</f>
        <v>268145.22000000009</v>
      </c>
      <c r="J19" s="15">
        <f t="shared" si="18"/>
        <v>1475821.85</v>
      </c>
      <c r="L19" s="15">
        <f t="shared" ref="L19:N19" si="19">SUM(L3)</f>
        <v>1711658.05</v>
      </c>
      <c r="M19" s="15">
        <f t="shared" si="19"/>
        <v>264301.42</v>
      </c>
      <c r="N19" s="15">
        <f t="shared" si="19"/>
        <v>1975959.47</v>
      </c>
    </row>
    <row r="20" spans="1:14" ht="24.95" customHeight="1" x14ac:dyDescent="0.25">
      <c r="A20" s="10" t="s">
        <v>132</v>
      </c>
      <c r="B20" s="6">
        <f>SUM(B4:B6,B8:B10,B12:B14,B16:B18)</f>
        <v>843212.56</v>
      </c>
      <c r="C20" s="6">
        <f t="shared" ref="C20:F20" si="20">SUM(C4:C6,C8:C10,C12:C14,C16:C18)</f>
        <v>2010598.5</v>
      </c>
      <c r="D20" s="6">
        <f t="shared" si="20"/>
        <v>14400</v>
      </c>
      <c r="E20" s="6">
        <f t="shared" si="20"/>
        <v>613652.38</v>
      </c>
      <c r="F20" s="6">
        <f t="shared" si="20"/>
        <v>1243629</v>
      </c>
      <c r="H20" s="15">
        <f t="shared" ref="H20:J20" si="21">SUM(H4:H6,H8:H10,H12:H14,H16:H18)</f>
        <v>4725492.4399999995</v>
      </c>
      <c r="I20" s="15">
        <f>SUM(I4:I6,I8:I10,I12:I14,I16:I18)</f>
        <v>7426381.699285714</v>
      </c>
      <c r="J20" s="15">
        <f t="shared" si="21"/>
        <v>12151874.139285715</v>
      </c>
      <c r="L20" s="15">
        <f t="shared" ref="L20:N20" si="22">SUM(L4:L6,L8:L10,L12:L14,L16:L18)</f>
        <v>4902538.63</v>
      </c>
      <c r="M20" s="15">
        <f t="shared" si="22"/>
        <v>7874448.0025757598</v>
      </c>
      <c r="N20" s="15">
        <f t="shared" si="22"/>
        <v>12776986.632575762</v>
      </c>
    </row>
    <row r="21" spans="1:14" ht="24.95" customHeight="1" x14ac:dyDescent="0.25">
      <c r="A21" s="19" t="s">
        <v>794</v>
      </c>
      <c r="B21" s="6">
        <f>SUM(B19:B20)</f>
        <v>988839.5</v>
      </c>
      <c r="C21" s="6">
        <f t="shared" ref="C21:F21" si="23">SUM(C19:C20)</f>
        <v>2297716.73</v>
      </c>
      <c r="D21" s="6">
        <f t="shared" si="23"/>
        <v>122375</v>
      </c>
      <c r="E21" s="6">
        <f t="shared" si="23"/>
        <v>628942.38</v>
      </c>
      <c r="F21" s="6">
        <f t="shared" si="23"/>
        <v>1895295.46</v>
      </c>
      <c r="H21" s="20">
        <f t="shared" ref="H21:J21" si="24">SUM(H19:H20)</f>
        <v>5933169.0699999994</v>
      </c>
      <c r="I21" s="20">
        <f t="shared" si="24"/>
        <v>7694526.9192857137</v>
      </c>
      <c r="J21" s="20">
        <f t="shared" si="24"/>
        <v>13627695.989285715</v>
      </c>
      <c r="L21" s="20">
        <f t="shared" ref="L21:N21" si="25">SUM(L19:L20)</f>
        <v>6614196.6799999997</v>
      </c>
      <c r="M21" s="20">
        <f t="shared" si="25"/>
        <v>8138749.4225757597</v>
      </c>
      <c r="N21" s="20">
        <f t="shared" si="25"/>
        <v>14752946.102575762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FA05-2AFF-41C6-A619-691AB8812D2D}">
  <dimension ref="A1:N21"/>
  <sheetViews>
    <sheetView view="pageBreakPreview" zoomScale="130" zoomScaleNormal="130" zoomScaleSheetLayoutView="130" workbookViewId="0">
      <pane ySplit="1" topLeftCell="A2" activePane="bottomLeft" state="frozen"/>
      <selection activeCell="F3" sqref="F3"/>
      <selection pane="bottomLeft" activeCell="N1" sqref="N1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913</v>
      </c>
      <c r="I1" s="25" t="s">
        <v>876</v>
      </c>
      <c r="J1" s="25" t="s">
        <v>914</v>
      </c>
      <c r="L1" s="25" t="s">
        <v>915</v>
      </c>
      <c r="M1" s="25" t="s">
        <v>877</v>
      </c>
      <c r="N1" s="28" t="s">
        <v>916</v>
      </c>
    </row>
    <row r="2" spans="1:14" ht="24.95" customHeight="1" x14ac:dyDescent="0.25">
      <c r="A2" s="9" t="s">
        <v>50</v>
      </c>
      <c r="B2" s="7">
        <f t="shared" ref="B2:J2" si="0">SUM(B3:B6)</f>
        <v>494228.5</v>
      </c>
      <c r="C2" s="7">
        <f t="shared" si="0"/>
        <v>1007615.98</v>
      </c>
      <c r="D2" s="7">
        <f t="shared" si="0"/>
        <v>111587</v>
      </c>
      <c r="E2" s="7">
        <f t="shared" si="0"/>
        <v>329346.83</v>
      </c>
      <c r="F2" s="7">
        <f t="shared" si="0"/>
        <v>1345997.46</v>
      </c>
      <c r="H2" s="13">
        <f t="shared" si="0"/>
        <v>3288775.77</v>
      </c>
      <c r="I2" s="13">
        <f>SUM(I3:I6)</f>
        <v>2449239.5945584415</v>
      </c>
      <c r="J2" s="17">
        <f t="shared" si="0"/>
        <v>5738015.3645584416</v>
      </c>
      <c r="L2" s="13">
        <f t="shared" ref="L2:N2" si="1">SUM(L3:L6)</f>
        <v>3730420.73</v>
      </c>
      <c r="M2" s="13">
        <f t="shared" si="1"/>
        <v>1989757.2579191923</v>
      </c>
      <c r="N2" s="17">
        <f t="shared" si="1"/>
        <v>5720177.9879191928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268145.22000000009</v>
      </c>
      <c r="J3" s="18">
        <f>SUM(H3:I3)</f>
        <v>1475821.85</v>
      </c>
      <c r="L3" s="14">
        <v>1583892.21</v>
      </c>
      <c r="M3" s="14">
        <v>264301.42</v>
      </c>
      <c r="N3" s="18">
        <f>SUM(L3:M3)</f>
        <v>1848193.63</v>
      </c>
    </row>
    <row r="4" spans="1:14" ht="24.95" customHeight="1" x14ac:dyDescent="0.25">
      <c r="A4" s="8" t="s">
        <v>95</v>
      </c>
      <c r="B4" s="5">
        <v>119694.56</v>
      </c>
      <c r="C4" s="5">
        <v>254278.75</v>
      </c>
      <c r="D4" s="5">
        <v>0</v>
      </c>
      <c r="E4" s="5">
        <v>111231.83</v>
      </c>
      <c r="F4" s="5">
        <v>64005</v>
      </c>
      <c r="H4" s="14">
        <f>SUM(B4:F4)</f>
        <v>549210.14</v>
      </c>
      <c r="I4" s="14">
        <v>381114.87333333335</v>
      </c>
      <c r="J4" s="18">
        <f>SUM(H4:I4)</f>
        <v>930325.01333333342</v>
      </c>
      <c r="L4" s="14">
        <v>631329.52</v>
      </c>
      <c r="M4" s="14">
        <v>386332.28</v>
      </c>
      <c r="N4" s="18">
        <f>SUM(L4:M4)</f>
        <v>1017661.8</v>
      </c>
    </row>
    <row r="5" spans="1:14" ht="24.95" customHeight="1" x14ac:dyDescent="0.25">
      <c r="A5" s="8" t="s">
        <v>791</v>
      </c>
      <c r="B5" s="5">
        <v>121827</v>
      </c>
      <c r="C5" s="5">
        <v>202850</v>
      </c>
      <c r="D5" s="5">
        <v>3600</v>
      </c>
      <c r="E5" s="5">
        <v>103624</v>
      </c>
      <c r="F5" s="5">
        <v>370675</v>
      </c>
      <c r="H5" s="14">
        <f t="shared" ref="H5:H6" si="2">SUM(B5:F5)</f>
        <v>802576</v>
      </c>
      <c r="I5" s="14">
        <v>940489.86811255408</v>
      </c>
      <c r="J5" s="18">
        <f>SUM(H5:I5)</f>
        <v>1743065.8681125541</v>
      </c>
      <c r="L5" s="14">
        <v>611139</v>
      </c>
      <c r="M5" s="14">
        <v>670637.83409848507</v>
      </c>
      <c r="N5" s="18">
        <f t="shared" ref="N5:N6" si="3">SUM(L5:M5)</f>
        <v>1281776.8340984851</v>
      </c>
    </row>
    <row r="6" spans="1:14" ht="24.95" customHeight="1" x14ac:dyDescent="0.25">
      <c r="A6" s="8" t="s">
        <v>792</v>
      </c>
      <c r="B6" s="5">
        <v>107080</v>
      </c>
      <c r="C6" s="5">
        <v>263369</v>
      </c>
      <c r="D6" s="5">
        <v>12</v>
      </c>
      <c r="E6" s="5">
        <v>99201</v>
      </c>
      <c r="F6" s="5">
        <v>259651</v>
      </c>
      <c r="H6" s="14">
        <f t="shared" si="2"/>
        <v>729313</v>
      </c>
      <c r="I6" s="14">
        <v>859489.63311255409</v>
      </c>
      <c r="J6" s="18">
        <f t="shared" ref="J6" si="4">SUM(H6:I6)</f>
        <v>1588802.633112554</v>
      </c>
      <c r="L6" s="14">
        <v>904060</v>
      </c>
      <c r="M6" s="14">
        <v>668485.7238207073</v>
      </c>
      <c r="N6" s="18">
        <f t="shared" si="3"/>
        <v>1572545.7238207073</v>
      </c>
    </row>
    <row r="7" spans="1:14" ht="24.95" customHeight="1" x14ac:dyDescent="0.25">
      <c r="A7" s="9" t="s">
        <v>51</v>
      </c>
      <c r="B7" s="7">
        <f t="shared" ref="B7:J7" si="5">SUM(B8:B10)</f>
        <v>244785</v>
      </c>
      <c r="C7" s="7">
        <f t="shared" si="5"/>
        <v>724898</v>
      </c>
      <c r="D7" s="7">
        <f t="shared" si="5"/>
        <v>3600</v>
      </c>
      <c r="E7" s="7">
        <f t="shared" si="5"/>
        <v>158050</v>
      </c>
      <c r="F7" s="7">
        <f t="shared" si="5"/>
        <v>322993</v>
      </c>
      <c r="H7" s="13">
        <f t="shared" si="5"/>
        <v>1454326</v>
      </c>
      <c r="I7" s="13">
        <f>SUM(I8:I10)</f>
        <v>1707911.189337662</v>
      </c>
      <c r="J7" s="17">
        <f t="shared" si="5"/>
        <v>3162237.189337662</v>
      </c>
      <c r="L7" s="13">
        <f>SUM(L8:L10)</f>
        <v>1639648</v>
      </c>
      <c r="M7" s="13">
        <f>SUM(M8:M10)</f>
        <v>1832639.9514621219</v>
      </c>
      <c r="N7" s="17">
        <f t="shared" ref="N7" si="6">SUM(N8:N10)</f>
        <v>3472287.9514621217</v>
      </c>
    </row>
    <row r="8" spans="1:14" ht="24.95" customHeight="1" x14ac:dyDescent="0.25">
      <c r="A8" s="8" t="s">
        <v>78</v>
      </c>
      <c r="B8" s="5">
        <v>185445</v>
      </c>
      <c r="C8" s="5">
        <v>602690</v>
      </c>
      <c r="D8" s="5">
        <v>900</v>
      </c>
      <c r="E8" s="5">
        <v>114923</v>
      </c>
      <c r="F8" s="5">
        <v>256505</v>
      </c>
      <c r="H8" s="14">
        <f t="shared" ref="H8:H10" si="7">SUM(B8:F8)</f>
        <v>1160463</v>
      </c>
      <c r="I8" s="14">
        <v>580434.25311255408</v>
      </c>
      <c r="J8" s="18">
        <f t="shared" ref="J8:J10" si="8">SUM(H8:I8)</f>
        <v>1740897.2531125541</v>
      </c>
      <c r="L8" s="14">
        <v>970775</v>
      </c>
      <c r="M8" s="14">
        <v>611577.9838207073</v>
      </c>
      <c r="N8" s="18">
        <f t="shared" ref="N8:N10" si="9">SUM(L8:M8)</f>
        <v>1582352.9838207073</v>
      </c>
    </row>
    <row r="9" spans="1:14" ht="24.95" customHeight="1" x14ac:dyDescent="0.25">
      <c r="A9" s="8" t="s">
        <v>79</v>
      </c>
      <c r="B9" s="5">
        <v>38905</v>
      </c>
      <c r="C9" s="5">
        <v>109618</v>
      </c>
      <c r="D9" s="5">
        <v>1800</v>
      </c>
      <c r="E9" s="5">
        <v>42557</v>
      </c>
      <c r="F9" s="5"/>
      <c r="G9" s="4"/>
      <c r="H9" s="14">
        <f t="shared" si="7"/>
        <v>192880</v>
      </c>
      <c r="I9" s="14">
        <v>563738.46811255405</v>
      </c>
      <c r="J9" s="18">
        <f t="shared" si="8"/>
        <v>756618.46811255405</v>
      </c>
      <c r="K9" s="4"/>
      <c r="L9" s="14">
        <v>433805</v>
      </c>
      <c r="M9" s="14">
        <v>610530.9838207073</v>
      </c>
      <c r="N9" s="18">
        <f t="shared" si="9"/>
        <v>1044335.9838207073</v>
      </c>
    </row>
    <row r="10" spans="1:14" ht="24.95" customHeight="1" x14ac:dyDescent="0.25">
      <c r="A10" s="8" t="s">
        <v>128</v>
      </c>
      <c r="B10" s="5">
        <v>20435</v>
      </c>
      <c r="C10" s="5">
        <v>12590</v>
      </c>
      <c r="D10" s="5">
        <v>900</v>
      </c>
      <c r="E10" s="5">
        <v>570</v>
      </c>
      <c r="F10" s="5">
        <v>66488</v>
      </c>
      <c r="H10" s="14">
        <f t="shared" si="7"/>
        <v>100983</v>
      </c>
      <c r="I10" s="14">
        <v>563738.46811255405</v>
      </c>
      <c r="J10" s="18">
        <f t="shared" si="8"/>
        <v>664721.46811255405</v>
      </c>
      <c r="L10" s="14">
        <v>235068</v>
      </c>
      <c r="M10" s="14">
        <v>610530.9838207073</v>
      </c>
      <c r="N10" s="18">
        <f t="shared" si="9"/>
        <v>845598.9838207073</v>
      </c>
    </row>
    <row r="11" spans="1:14" ht="24.95" customHeight="1" x14ac:dyDescent="0.25">
      <c r="A11" s="9" t="s">
        <v>52</v>
      </c>
      <c r="B11" s="7">
        <f t="shared" ref="B11:J11" si="10">SUM(B12:B14)</f>
        <v>86618</v>
      </c>
      <c r="C11" s="7">
        <f t="shared" si="10"/>
        <v>211852</v>
      </c>
      <c r="D11" s="7">
        <f t="shared" si="10"/>
        <v>3600</v>
      </c>
      <c r="E11" s="7">
        <f t="shared" si="10"/>
        <v>56890</v>
      </c>
      <c r="F11" s="7">
        <f t="shared" si="10"/>
        <v>240397</v>
      </c>
      <c r="G11" s="4"/>
      <c r="H11" s="13">
        <f t="shared" si="10"/>
        <v>599357</v>
      </c>
      <c r="I11" s="13">
        <f t="shared" si="10"/>
        <v>1749772.2819805196</v>
      </c>
      <c r="J11" s="17">
        <f t="shared" si="10"/>
        <v>2349129.2819805196</v>
      </c>
      <c r="K11" s="4"/>
      <c r="L11" s="13">
        <f>SUM(L12:L14)</f>
        <v>540139</v>
      </c>
      <c r="M11" s="13">
        <f>SUM(M12:M14)</f>
        <v>1956193.9815277776</v>
      </c>
      <c r="N11" s="17">
        <f>SUM(N12:N14)</f>
        <v>2496332.9815277774</v>
      </c>
    </row>
    <row r="12" spans="1:14" ht="24.95" customHeight="1" x14ac:dyDescent="0.25">
      <c r="A12" s="8" t="s">
        <v>80</v>
      </c>
      <c r="B12" s="5">
        <v>39350</v>
      </c>
      <c r="C12" s="5">
        <v>73748</v>
      </c>
      <c r="D12" s="5">
        <v>900</v>
      </c>
      <c r="E12" s="5">
        <v>16310</v>
      </c>
      <c r="F12" s="5">
        <v>195680</v>
      </c>
      <c r="H12" s="14">
        <f t="shared" ref="H12:H14" si="11">SUM(B12:F12)</f>
        <v>325988</v>
      </c>
      <c r="I12" s="14">
        <v>576952.16542207799</v>
      </c>
      <c r="J12" s="18">
        <f t="shared" ref="J12:J14" si="12">SUM(H12:I12)</f>
        <v>902940.16542207799</v>
      </c>
      <c r="L12" s="14">
        <v>238400</v>
      </c>
      <c r="M12" s="14">
        <v>658154.30847222218</v>
      </c>
      <c r="N12" s="18">
        <f t="shared" ref="N12:N14" si="13">SUM(L12:M12)</f>
        <v>896554.30847222218</v>
      </c>
    </row>
    <row r="13" spans="1:14" ht="24.95" customHeight="1" x14ac:dyDescent="0.25">
      <c r="A13" s="8" t="s">
        <v>81</v>
      </c>
      <c r="B13" s="5">
        <v>47268</v>
      </c>
      <c r="C13" s="5">
        <v>124811</v>
      </c>
      <c r="D13" s="5">
        <v>1800</v>
      </c>
      <c r="E13" s="5">
        <v>40580</v>
      </c>
      <c r="F13" s="5">
        <v>44717</v>
      </c>
      <c r="H13" s="14">
        <f t="shared" si="11"/>
        <v>259176</v>
      </c>
      <c r="I13" s="14">
        <v>576952.16542207799</v>
      </c>
      <c r="J13" s="18">
        <f t="shared" si="12"/>
        <v>836128.16542207799</v>
      </c>
      <c r="L13" s="14">
        <v>253531</v>
      </c>
      <c r="M13" s="14">
        <v>625521.51541666663</v>
      </c>
      <c r="N13" s="18">
        <f t="shared" si="13"/>
        <v>879052.51541666663</v>
      </c>
    </row>
    <row r="14" spans="1:14" ht="24.95" customHeight="1" x14ac:dyDescent="0.25">
      <c r="A14" s="8" t="s">
        <v>82</v>
      </c>
      <c r="B14" s="5"/>
      <c r="C14" s="5">
        <v>13293</v>
      </c>
      <c r="D14" s="5">
        <v>900</v>
      </c>
      <c r="E14" s="5"/>
      <c r="F14" s="5"/>
      <c r="H14" s="14">
        <f t="shared" si="11"/>
        <v>14193</v>
      </c>
      <c r="I14" s="14">
        <v>595867.95113636367</v>
      </c>
      <c r="J14" s="18">
        <f t="shared" si="12"/>
        <v>610060.95113636367</v>
      </c>
      <c r="L14" s="14">
        <v>48208</v>
      </c>
      <c r="M14" s="14">
        <v>672518.15763888881</v>
      </c>
      <c r="N14" s="18">
        <f t="shared" si="13"/>
        <v>720726.15763888881</v>
      </c>
    </row>
    <row r="15" spans="1:14" ht="24.95" customHeight="1" x14ac:dyDescent="0.25">
      <c r="A15" s="9" t="s">
        <v>53</v>
      </c>
      <c r="B15" s="7">
        <f>SUM(B16:B18)</f>
        <v>163341</v>
      </c>
      <c r="C15" s="7">
        <f>SUM(C16:C18)</f>
        <v>333792</v>
      </c>
      <c r="D15" s="7">
        <f>SUM(D16:D18)</f>
        <v>2700</v>
      </c>
      <c r="E15" s="7">
        <f>SUM(E16:E18)</f>
        <v>133951</v>
      </c>
      <c r="F15" s="7">
        <f>SUM(F16:F18)</f>
        <v>227503</v>
      </c>
      <c r="H15" s="13">
        <f>SUM(H16:H18)</f>
        <v>861287</v>
      </c>
      <c r="I15" s="13">
        <f>SUM(I16:I18)</f>
        <v>1787603.853409091</v>
      </c>
      <c r="J15" s="17">
        <f>SUM(J16:J18)</f>
        <v>2648890.853409091</v>
      </c>
      <c r="L15" s="13">
        <f>SUM(L16:L18)</f>
        <v>893664</v>
      </c>
      <c r="M15" s="13">
        <f>SUM(M16:M18)</f>
        <v>2360158.2316666669</v>
      </c>
      <c r="N15" s="17">
        <f>SUM(N16:N18)</f>
        <v>3253822.2316666665</v>
      </c>
    </row>
    <row r="16" spans="1:14" ht="24.95" customHeight="1" x14ac:dyDescent="0.25">
      <c r="A16" s="8" t="s">
        <v>83</v>
      </c>
      <c r="B16" s="5">
        <v>116109</v>
      </c>
      <c r="C16" s="5">
        <v>310448</v>
      </c>
      <c r="D16" s="5">
        <v>900</v>
      </c>
      <c r="E16" s="5">
        <v>130866</v>
      </c>
      <c r="F16" s="5">
        <v>78038</v>
      </c>
      <c r="H16" s="14">
        <f t="shared" ref="H16:H18" si="14">SUM(B16:F16)</f>
        <v>636361</v>
      </c>
      <c r="I16" s="14">
        <v>595867.95113636367</v>
      </c>
      <c r="J16" s="18">
        <f t="shared" ref="J16:J18" si="15">SUM(H16:I16)</f>
        <v>1232228.9511363637</v>
      </c>
      <c r="L16" s="14">
        <v>674037</v>
      </c>
      <c r="M16" s="14">
        <v>786719.4105555556</v>
      </c>
      <c r="N16" s="18">
        <f t="shared" ref="N16:N18" si="16">SUM(L16:M16)</f>
        <v>1460756.4105555555</v>
      </c>
    </row>
    <row r="17" spans="1:14" ht="24.95" customHeight="1" x14ac:dyDescent="0.25">
      <c r="A17" s="8" t="s">
        <v>84</v>
      </c>
      <c r="B17" s="5">
        <v>47232</v>
      </c>
      <c r="C17" s="5">
        <v>23344</v>
      </c>
      <c r="D17" s="5">
        <v>900</v>
      </c>
      <c r="E17" s="5">
        <v>3085</v>
      </c>
      <c r="F17" s="5">
        <v>149465</v>
      </c>
      <c r="H17" s="14">
        <f t="shared" si="14"/>
        <v>224026</v>
      </c>
      <c r="I17" s="14">
        <v>595867.95113636367</v>
      </c>
      <c r="J17" s="18">
        <f t="shared" si="15"/>
        <v>819893.95113636367</v>
      </c>
      <c r="L17" s="14">
        <v>156199</v>
      </c>
      <c r="M17" s="14">
        <v>786719.4105555556</v>
      </c>
      <c r="N17" s="18">
        <f t="shared" si="16"/>
        <v>942918.4105555556</v>
      </c>
    </row>
    <row r="18" spans="1:14" ht="24.95" customHeight="1" x14ac:dyDescent="0.25">
      <c r="A18" s="8" t="s">
        <v>85</v>
      </c>
      <c r="B18" s="5"/>
      <c r="C18" s="5"/>
      <c r="D18" s="5">
        <v>900</v>
      </c>
      <c r="E18" s="5"/>
      <c r="F18" s="5"/>
      <c r="H18" s="14">
        <f t="shared" si="14"/>
        <v>900</v>
      </c>
      <c r="I18" s="14">
        <v>595867.95113636367</v>
      </c>
      <c r="J18" s="18">
        <f t="shared" si="15"/>
        <v>596767.95113636367</v>
      </c>
      <c r="L18" s="14">
        <v>63428</v>
      </c>
      <c r="M18" s="14">
        <v>786719.4105555556</v>
      </c>
      <c r="N18" s="18">
        <f t="shared" si="16"/>
        <v>850147.4105555556</v>
      </c>
    </row>
    <row r="19" spans="1:14" ht="24.95" customHeight="1" x14ac:dyDescent="0.25">
      <c r="A19" s="10" t="s">
        <v>131</v>
      </c>
      <c r="B19" s="6">
        <f>SUM(B3)</f>
        <v>145626.94</v>
      </c>
      <c r="C19" s="6">
        <f t="shared" ref="C19:F19" si="17">SUM(C3)</f>
        <v>287118.23</v>
      </c>
      <c r="D19" s="6">
        <f t="shared" si="17"/>
        <v>107975</v>
      </c>
      <c r="E19" s="6">
        <f t="shared" si="17"/>
        <v>15290</v>
      </c>
      <c r="F19" s="6">
        <f t="shared" si="17"/>
        <v>651666.46</v>
      </c>
      <c r="H19" s="15">
        <f t="shared" ref="H19:J19" si="18">SUM(H3)</f>
        <v>1207676.6299999999</v>
      </c>
      <c r="I19" s="15">
        <f>SUM(I3)</f>
        <v>268145.22000000009</v>
      </c>
      <c r="J19" s="15">
        <f t="shared" si="18"/>
        <v>1475821.85</v>
      </c>
      <c r="L19" s="15">
        <f t="shared" ref="L19:N19" si="19">SUM(L3)</f>
        <v>1583892.21</v>
      </c>
      <c r="M19" s="15">
        <f t="shared" si="19"/>
        <v>264301.42</v>
      </c>
      <c r="N19" s="15">
        <f t="shared" si="19"/>
        <v>1848193.63</v>
      </c>
    </row>
    <row r="20" spans="1:14" ht="24.95" customHeight="1" x14ac:dyDescent="0.25">
      <c r="A20" s="10" t="s">
        <v>132</v>
      </c>
      <c r="B20" s="6">
        <f>SUM(B4:B6,B8:B10,B12:B14,B16:B18)</f>
        <v>843345.56</v>
      </c>
      <c r="C20" s="6">
        <f t="shared" ref="C20:F20" si="20">SUM(C4:C6,C8:C10,C12:C14,C16:C18)</f>
        <v>1991039.75</v>
      </c>
      <c r="D20" s="6">
        <f t="shared" si="20"/>
        <v>13512</v>
      </c>
      <c r="E20" s="6">
        <f t="shared" si="20"/>
        <v>662947.83000000007</v>
      </c>
      <c r="F20" s="6">
        <f t="shared" si="20"/>
        <v>1485224</v>
      </c>
      <c r="H20" s="15">
        <f t="shared" ref="H20:J20" si="21">SUM(H4:H6,H8:H10,H12:H14,H16:H18)</f>
        <v>4996069.1400000006</v>
      </c>
      <c r="I20" s="15">
        <f>SUM(I4:I6,I8:I10,I12:I14,I16:I18)</f>
        <v>7426381.699285714</v>
      </c>
      <c r="J20" s="15">
        <f t="shared" si="21"/>
        <v>12422450.839285716</v>
      </c>
      <c r="L20" s="15">
        <f t="shared" ref="L20:N20" si="22">SUM(L4:L6,L8:L10,L12:L14,L16:L18)</f>
        <v>5219979.5199999996</v>
      </c>
      <c r="M20" s="15">
        <f t="shared" si="22"/>
        <v>7874448.0025757598</v>
      </c>
      <c r="N20" s="15">
        <f t="shared" si="22"/>
        <v>13094427.522575762</v>
      </c>
    </row>
    <row r="21" spans="1:14" ht="24.95" customHeight="1" x14ac:dyDescent="0.25">
      <c r="A21" s="19" t="s">
        <v>794</v>
      </c>
      <c r="B21" s="6">
        <f>SUM(B19:B20)</f>
        <v>988972.5</v>
      </c>
      <c r="C21" s="6">
        <f t="shared" ref="C21:F21" si="23">SUM(C19:C20)</f>
        <v>2278157.98</v>
      </c>
      <c r="D21" s="6">
        <f t="shared" si="23"/>
        <v>121487</v>
      </c>
      <c r="E21" s="6">
        <f t="shared" si="23"/>
        <v>678237.83000000007</v>
      </c>
      <c r="F21" s="6">
        <f t="shared" si="23"/>
        <v>2136890.46</v>
      </c>
      <c r="H21" s="20">
        <f t="shared" ref="H21:J21" si="24">SUM(H19:H20)</f>
        <v>6203745.7700000005</v>
      </c>
      <c r="I21" s="20">
        <f t="shared" si="24"/>
        <v>7694526.9192857137</v>
      </c>
      <c r="J21" s="20">
        <f t="shared" si="24"/>
        <v>13898272.689285716</v>
      </c>
      <c r="L21" s="20">
        <f t="shared" ref="L21:N21" si="25">SUM(L19:L20)</f>
        <v>6803871.7299999995</v>
      </c>
      <c r="M21" s="20">
        <f t="shared" si="25"/>
        <v>8138749.4225757597</v>
      </c>
      <c r="N21" s="20">
        <f t="shared" si="25"/>
        <v>14942621.152575761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8291-E5B7-406B-AB2E-2B4E0E245DF7}">
  <dimension ref="A1:N21"/>
  <sheetViews>
    <sheetView view="pageBreakPreview" zoomScale="130" zoomScaleNormal="130" zoomScaleSheetLayoutView="130" workbookViewId="0">
      <pane ySplit="1" topLeftCell="A9" activePane="bottomLeft" state="frozen"/>
      <selection activeCell="F3" sqref="F3"/>
      <selection pane="bottomLeft" activeCell="L16" sqref="L16:L18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917</v>
      </c>
      <c r="I1" s="25" t="s">
        <v>876</v>
      </c>
      <c r="J1" s="25" t="s">
        <v>919</v>
      </c>
      <c r="L1" s="25" t="s">
        <v>918</v>
      </c>
      <c r="M1" s="25" t="s">
        <v>877</v>
      </c>
      <c r="N1" s="28" t="s">
        <v>920</v>
      </c>
    </row>
    <row r="2" spans="1:14" ht="24.95" customHeight="1" x14ac:dyDescent="0.25">
      <c r="A2" s="9" t="s">
        <v>50</v>
      </c>
      <c r="B2" s="7">
        <f t="shared" ref="B2:J2" si="0">SUM(B3:B6)</f>
        <v>478028</v>
      </c>
      <c r="C2" s="7">
        <f t="shared" si="0"/>
        <v>1120714.48</v>
      </c>
      <c r="D2" s="7">
        <f t="shared" si="0"/>
        <v>715547.5</v>
      </c>
      <c r="E2" s="7">
        <f t="shared" si="0"/>
        <v>190023.39</v>
      </c>
      <c r="F2" s="7">
        <f t="shared" si="0"/>
        <v>1159409.46</v>
      </c>
      <c r="H2" s="13">
        <f t="shared" si="0"/>
        <v>3663722.83</v>
      </c>
      <c r="I2" s="13">
        <f>SUM(I3:I6)</f>
        <v>2449239.5945584415</v>
      </c>
      <c r="J2" s="17">
        <f t="shared" si="0"/>
        <v>6112962.4245584421</v>
      </c>
      <c r="L2" s="13">
        <f t="shared" ref="L2:N2" si="1">SUM(L3:L6)</f>
        <v>3995601.4299999997</v>
      </c>
      <c r="M2" s="13">
        <f t="shared" si="1"/>
        <v>1989757.2579191923</v>
      </c>
      <c r="N2" s="17">
        <f t="shared" si="1"/>
        <v>5985358.687919192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268145.22000000009</v>
      </c>
      <c r="J3" s="18">
        <f>SUM(H3:I3)</f>
        <v>1475821.85</v>
      </c>
      <c r="L3" s="14">
        <v>1583892.21</v>
      </c>
      <c r="M3" s="14">
        <v>264301.42</v>
      </c>
      <c r="N3" s="18">
        <f>SUM(L3:M3)</f>
        <v>1848193.63</v>
      </c>
    </row>
    <row r="4" spans="1:14" ht="24.95" customHeight="1" x14ac:dyDescent="0.25">
      <c r="A4" s="8" t="s">
        <v>95</v>
      </c>
      <c r="B4" s="5">
        <v>130781.06</v>
      </c>
      <c r="C4" s="5">
        <v>466926.25</v>
      </c>
      <c r="D4" s="5">
        <v>199950.5</v>
      </c>
      <c r="E4" s="5">
        <v>171121.39</v>
      </c>
      <c r="F4" s="5">
        <v>106360</v>
      </c>
      <c r="H4" s="14">
        <f>SUM(B4:F4)</f>
        <v>1075139.2000000002</v>
      </c>
      <c r="I4" s="14">
        <v>381114.87333333335</v>
      </c>
      <c r="J4" s="18">
        <f>SUM(H4:I4)</f>
        <v>1456254.0733333335</v>
      </c>
      <c r="L4" s="14">
        <v>738295.22</v>
      </c>
      <c r="M4" s="14">
        <v>386332.28</v>
      </c>
      <c r="N4" s="18">
        <f>SUM(L4:M4)</f>
        <v>1124627.5</v>
      </c>
    </row>
    <row r="5" spans="1:14" ht="24.95" customHeight="1" x14ac:dyDescent="0.25">
      <c r="A5" s="8" t="s">
        <v>791</v>
      </c>
      <c r="B5" s="5">
        <v>96553</v>
      </c>
      <c r="C5" s="5">
        <v>86480</v>
      </c>
      <c r="D5" s="5">
        <v>155731</v>
      </c>
      <c r="E5" s="5">
        <v>900</v>
      </c>
      <c r="F5" s="5">
        <v>203895</v>
      </c>
      <c r="H5" s="14">
        <f t="shared" ref="H5:H6" si="2">SUM(B5:F5)</f>
        <v>543559</v>
      </c>
      <c r="I5" s="14">
        <v>940489.86811255408</v>
      </c>
      <c r="J5" s="18">
        <f>SUM(H5:I5)</f>
        <v>1484048.8681125541</v>
      </c>
      <c r="L5" s="14">
        <v>550927</v>
      </c>
      <c r="M5" s="14">
        <v>670637.83409848507</v>
      </c>
      <c r="N5" s="18">
        <f t="shared" ref="N5:N6" si="3">SUM(L5:M5)</f>
        <v>1221564.8340984851</v>
      </c>
    </row>
    <row r="6" spans="1:14" ht="24.95" customHeight="1" x14ac:dyDescent="0.25">
      <c r="A6" s="8" t="s">
        <v>792</v>
      </c>
      <c r="B6" s="5">
        <v>105067</v>
      </c>
      <c r="C6" s="5">
        <v>280190</v>
      </c>
      <c r="D6" s="5">
        <v>251891</v>
      </c>
      <c r="E6" s="5">
        <v>2712</v>
      </c>
      <c r="F6" s="5">
        <v>197488</v>
      </c>
      <c r="H6" s="14">
        <f t="shared" si="2"/>
        <v>837348</v>
      </c>
      <c r="I6" s="14">
        <v>859489.63311255409</v>
      </c>
      <c r="J6" s="18">
        <f t="shared" ref="J6" si="4">SUM(H6:I6)</f>
        <v>1696837.633112554</v>
      </c>
      <c r="L6" s="14">
        <v>1122487</v>
      </c>
      <c r="M6" s="14">
        <v>668485.7238207073</v>
      </c>
      <c r="N6" s="18">
        <f t="shared" si="3"/>
        <v>1790972.7238207073</v>
      </c>
    </row>
    <row r="7" spans="1:14" ht="24.95" customHeight="1" x14ac:dyDescent="0.25">
      <c r="A7" s="9" t="s">
        <v>51</v>
      </c>
      <c r="B7" s="7">
        <f t="shared" ref="B7:J7" si="5">SUM(B8:B10)</f>
        <v>273441</v>
      </c>
      <c r="C7" s="7">
        <f t="shared" si="5"/>
        <v>835248</v>
      </c>
      <c r="D7" s="7">
        <f t="shared" si="5"/>
        <v>468516</v>
      </c>
      <c r="E7" s="7">
        <f t="shared" si="5"/>
        <v>0</v>
      </c>
      <c r="F7" s="7">
        <f t="shared" si="5"/>
        <v>44230</v>
      </c>
      <c r="H7" s="13">
        <f t="shared" si="5"/>
        <v>1621435</v>
      </c>
      <c r="I7" s="13">
        <f>SUM(I8:I10)</f>
        <v>1707911.189337662</v>
      </c>
      <c r="J7" s="17">
        <f t="shared" si="5"/>
        <v>3329346.189337662</v>
      </c>
      <c r="L7" s="13">
        <f>SUM(L8:L10)</f>
        <v>1614899</v>
      </c>
      <c r="M7" s="13">
        <f>SUM(M8:M10)</f>
        <v>1832639.9514621219</v>
      </c>
      <c r="N7" s="17">
        <f t="shared" ref="N7" si="6">SUM(N8:N10)</f>
        <v>3447538.9514621217</v>
      </c>
    </row>
    <row r="8" spans="1:14" ht="24.95" customHeight="1" x14ac:dyDescent="0.25">
      <c r="A8" s="8" t="s">
        <v>78</v>
      </c>
      <c r="B8" s="5">
        <v>211270</v>
      </c>
      <c r="C8" s="5">
        <v>651870</v>
      </c>
      <c r="D8" s="5">
        <v>354061</v>
      </c>
      <c r="E8" s="5"/>
      <c r="F8" s="5">
        <v>44230</v>
      </c>
      <c r="H8" s="14">
        <f t="shared" ref="H8:H10" si="7">SUM(B8:F8)</f>
        <v>1261431</v>
      </c>
      <c r="I8" s="14">
        <v>580434.25311255408</v>
      </c>
      <c r="J8" s="18">
        <f t="shared" ref="J8:J10" si="8">SUM(H8:I8)</f>
        <v>1841865.2531125541</v>
      </c>
      <c r="L8" s="14">
        <v>913251</v>
      </c>
      <c r="M8" s="14">
        <v>611577.9838207073</v>
      </c>
      <c r="N8" s="18">
        <f t="shared" ref="N8:N10" si="9">SUM(L8:M8)</f>
        <v>1524828.9838207073</v>
      </c>
    </row>
    <row r="9" spans="1:14" ht="24.95" customHeight="1" x14ac:dyDescent="0.25">
      <c r="A9" s="8" t="s">
        <v>79</v>
      </c>
      <c r="B9" s="5">
        <v>40105</v>
      </c>
      <c r="C9" s="5">
        <v>157238</v>
      </c>
      <c r="D9" s="5">
        <v>47397</v>
      </c>
      <c r="E9" s="5"/>
      <c r="F9" s="5"/>
      <c r="G9" s="4"/>
      <c r="H9" s="14">
        <f t="shared" si="7"/>
        <v>244740</v>
      </c>
      <c r="I9" s="14">
        <v>563738.46811255405</v>
      </c>
      <c r="J9" s="18">
        <f t="shared" si="8"/>
        <v>808478.46811255405</v>
      </c>
      <c r="K9" s="4"/>
      <c r="L9" s="14">
        <v>433695</v>
      </c>
      <c r="M9" s="14">
        <v>610530.9838207073</v>
      </c>
      <c r="N9" s="18">
        <f t="shared" si="9"/>
        <v>1044225.9838207073</v>
      </c>
    </row>
    <row r="10" spans="1:14" ht="24.95" customHeight="1" x14ac:dyDescent="0.25">
      <c r="A10" s="8" t="s">
        <v>128</v>
      </c>
      <c r="B10" s="5">
        <v>22066</v>
      </c>
      <c r="C10" s="5">
        <v>26140</v>
      </c>
      <c r="D10" s="5">
        <v>67058</v>
      </c>
      <c r="E10" s="5"/>
      <c r="F10" s="5"/>
      <c r="H10" s="14">
        <f t="shared" si="7"/>
        <v>115264</v>
      </c>
      <c r="I10" s="14">
        <v>563738.46811255405</v>
      </c>
      <c r="J10" s="18">
        <f t="shared" si="8"/>
        <v>679002.46811255405</v>
      </c>
      <c r="L10" s="14">
        <v>267953</v>
      </c>
      <c r="M10" s="14">
        <v>610530.9838207073</v>
      </c>
      <c r="N10" s="18">
        <f t="shared" si="9"/>
        <v>878483.9838207073</v>
      </c>
    </row>
    <row r="11" spans="1:14" ht="24.95" customHeight="1" x14ac:dyDescent="0.25">
      <c r="A11" s="9" t="s">
        <v>52</v>
      </c>
      <c r="B11" s="7">
        <f t="shared" ref="B11:J11" si="10">SUM(B12:B14)</f>
        <v>86618</v>
      </c>
      <c r="C11" s="7">
        <f t="shared" si="10"/>
        <v>234777</v>
      </c>
      <c r="D11" s="7">
        <f t="shared" si="10"/>
        <v>80636</v>
      </c>
      <c r="E11" s="7">
        <f t="shared" si="10"/>
        <v>5400</v>
      </c>
      <c r="F11" s="7">
        <f t="shared" si="10"/>
        <v>223409</v>
      </c>
      <c r="G11" s="4"/>
      <c r="H11" s="13">
        <f t="shared" si="10"/>
        <v>630840</v>
      </c>
      <c r="I11" s="13">
        <f t="shared" si="10"/>
        <v>1749772.2819805196</v>
      </c>
      <c r="J11" s="17">
        <f t="shared" si="10"/>
        <v>2380612.2819805196</v>
      </c>
      <c r="K11" s="4"/>
      <c r="L11" s="13">
        <f>SUM(L12:L14)</f>
        <v>605559</v>
      </c>
      <c r="M11" s="13">
        <f>SUM(M12:M14)</f>
        <v>1956193.9815277776</v>
      </c>
      <c r="N11" s="17">
        <f>SUM(N12:N14)</f>
        <v>2561752.9815277774</v>
      </c>
    </row>
    <row r="12" spans="1:14" ht="24.95" customHeight="1" x14ac:dyDescent="0.25">
      <c r="A12" s="8" t="s">
        <v>80</v>
      </c>
      <c r="B12" s="5">
        <v>39350</v>
      </c>
      <c r="C12" s="5">
        <v>90753</v>
      </c>
      <c r="D12" s="5">
        <v>16310</v>
      </c>
      <c r="E12" s="5">
        <v>1800</v>
      </c>
      <c r="F12" s="5">
        <v>202438</v>
      </c>
      <c r="H12" s="14">
        <f t="shared" ref="H12:H14" si="11">SUM(B12:F12)</f>
        <v>350651</v>
      </c>
      <c r="I12" s="14">
        <v>576952.16542207799</v>
      </c>
      <c r="J12" s="18">
        <f t="shared" ref="J12:J14" si="12">SUM(H12:I12)</f>
        <v>927603.16542207799</v>
      </c>
      <c r="L12" s="14">
        <v>238400</v>
      </c>
      <c r="M12" s="14">
        <v>658154.30847222218</v>
      </c>
      <c r="N12" s="18">
        <f t="shared" ref="N12:N14" si="13">SUM(L12:M12)</f>
        <v>896554.30847222218</v>
      </c>
    </row>
    <row r="13" spans="1:14" ht="24.95" customHeight="1" x14ac:dyDescent="0.25">
      <c r="A13" s="8" t="s">
        <v>81</v>
      </c>
      <c r="B13" s="5">
        <v>47268</v>
      </c>
      <c r="C13" s="5">
        <v>130731</v>
      </c>
      <c r="D13" s="5">
        <v>64326</v>
      </c>
      <c r="E13" s="5">
        <v>1800</v>
      </c>
      <c r="F13" s="5">
        <v>20971</v>
      </c>
      <c r="H13" s="14">
        <f t="shared" si="11"/>
        <v>265096</v>
      </c>
      <c r="I13" s="14">
        <v>576952.16542207799</v>
      </c>
      <c r="J13" s="18">
        <f t="shared" si="12"/>
        <v>842048.16542207799</v>
      </c>
      <c r="L13" s="14">
        <v>285951</v>
      </c>
      <c r="M13" s="14">
        <v>625521.51541666663</v>
      </c>
      <c r="N13" s="18">
        <f t="shared" si="13"/>
        <v>911472.51541666663</v>
      </c>
    </row>
    <row r="14" spans="1:14" ht="24.95" customHeight="1" x14ac:dyDescent="0.25">
      <c r="A14" s="8" t="s">
        <v>82</v>
      </c>
      <c r="B14" s="5"/>
      <c r="C14" s="5">
        <v>13293</v>
      </c>
      <c r="D14" s="5"/>
      <c r="E14" s="5">
        <v>1800</v>
      </c>
      <c r="F14" s="5"/>
      <c r="H14" s="14">
        <f t="shared" si="11"/>
        <v>15093</v>
      </c>
      <c r="I14" s="14">
        <v>595867.95113636367</v>
      </c>
      <c r="J14" s="18">
        <f t="shared" si="12"/>
        <v>610960.95113636367</v>
      </c>
      <c r="L14" s="14">
        <v>81208</v>
      </c>
      <c r="M14" s="14">
        <v>672518.15763888881</v>
      </c>
      <c r="N14" s="18">
        <f t="shared" si="13"/>
        <v>753726.15763888881</v>
      </c>
    </row>
    <row r="15" spans="1:14" ht="24.95" customHeight="1" x14ac:dyDescent="0.25">
      <c r="A15" s="9" t="s">
        <v>53</v>
      </c>
      <c r="B15" s="7">
        <f>SUM(B16:B18)</f>
        <v>164198</v>
      </c>
      <c r="C15" s="7">
        <f>SUM(C16:C18)</f>
        <v>345414</v>
      </c>
      <c r="D15" s="7">
        <f>SUM(D16:D18)</f>
        <v>133951</v>
      </c>
      <c r="E15" s="7">
        <f>SUM(E16:E18)</f>
        <v>5400</v>
      </c>
      <c r="F15" s="7">
        <f>SUM(F16:F18)</f>
        <v>237006</v>
      </c>
      <c r="H15" s="13">
        <f>SUM(H16:H18)</f>
        <v>885969</v>
      </c>
      <c r="I15" s="13">
        <f>SUM(I16:I18)</f>
        <v>1787603.853409091</v>
      </c>
      <c r="J15" s="17">
        <f>SUM(J16:J18)</f>
        <v>2673572.853409091</v>
      </c>
      <c r="L15" s="13">
        <f>SUM(L16:L18)</f>
        <v>942947</v>
      </c>
      <c r="M15" s="13">
        <f>SUM(M16:M18)</f>
        <v>2360158.2316666669</v>
      </c>
      <c r="N15" s="17">
        <f>SUM(N16:N18)</f>
        <v>3303105.2316666665</v>
      </c>
    </row>
    <row r="16" spans="1:14" ht="24.95" customHeight="1" x14ac:dyDescent="0.25">
      <c r="A16" s="8" t="s">
        <v>83</v>
      </c>
      <c r="B16" s="5">
        <v>116109</v>
      </c>
      <c r="C16" s="5">
        <v>321118</v>
      </c>
      <c r="D16" s="5">
        <v>130866</v>
      </c>
      <c r="E16" s="5">
        <v>1800</v>
      </c>
      <c r="F16" s="5">
        <v>87541</v>
      </c>
      <c r="H16" s="14">
        <f t="shared" ref="H16:H18" si="14">SUM(B16:F16)</f>
        <v>657434</v>
      </c>
      <c r="I16" s="14">
        <v>595867.95113636367</v>
      </c>
      <c r="J16" s="18">
        <f t="shared" ref="J16:J18" si="15">SUM(H16:I16)</f>
        <v>1253301.9511363637</v>
      </c>
      <c r="L16" s="14">
        <v>673980</v>
      </c>
      <c r="M16" s="14">
        <v>786719.4105555556</v>
      </c>
      <c r="N16" s="18">
        <f t="shared" ref="N16:N18" si="16">SUM(L16:M16)</f>
        <v>1460699.4105555555</v>
      </c>
    </row>
    <row r="17" spans="1:14" ht="24.95" customHeight="1" x14ac:dyDescent="0.25">
      <c r="A17" s="8" t="s">
        <v>84</v>
      </c>
      <c r="B17" s="5">
        <v>48089</v>
      </c>
      <c r="C17" s="5">
        <v>24296</v>
      </c>
      <c r="D17" s="5">
        <v>3085</v>
      </c>
      <c r="E17" s="5">
        <v>1800</v>
      </c>
      <c r="F17" s="5">
        <v>149465</v>
      </c>
      <c r="H17" s="14">
        <f t="shared" si="14"/>
        <v>226735</v>
      </c>
      <c r="I17" s="14">
        <v>595867.95113636367</v>
      </c>
      <c r="J17" s="18">
        <f t="shared" si="15"/>
        <v>822602.95113636367</v>
      </c>
      <c r="L17" s="14">
        <v>172539</v>
      </c>
      <c r="M17" s="14">
        <v>786719.4105555556</v>
      </c>
      <c r="N17" s="18">
        <f t="shared" si="16"/>
        <v>959258.4105555556</v>
      </c>
    </row>
    <row r="18" spans="1:14" ht="24.95" customHeight="1" x14ac:dyDescent="0.25">
      <c r="A18" s="8" t="s">
        <v>85</v>
      </c>
      <c r="B18" s="5"/>
      <c r="C18" s="5"/>
      <c r="D18" s="5"/>
      <c r="E18" s="5">
        <v>1800</v>
      </c>
      <c r="F18" s="5"/>
      <c r="H18" s="14">
        <f t="shared" si="14"/>
        <v>1800</v>
      </c>
      <c r="I18" s="14">
        <v>595867.95113636367</v>
      </c>
      <c r="J18" s="18">
        <f t="shared" si="15"/>
        <v>597667.95113636367</v>
      </c>
      <c r="L18" s="14">
        <v>96428</v>
      </c>
      <c r="M18" s="14">
        <v>786719.4105555556</v>
      </c>
      <c r="N18" s="18">
        <f t="shared" si="16"/>
        <v>883147.4105555556</v>
      </c>
    </row>
    <row r="19" spans="1:14" ht="24.95" customHeight="1" x14ac:dyDescent="0.25">
      <c r="A19" s="10" t="s">
        <v>131</v>
      </c>
      <c r="B19" s="6">
        <f>SUM(B3)</f>
        <v>145626.94</v>
      </c>
      <c r="C19" s="6">
        <f t="shared" ref="C19:F19" si="17">SUM(C3)</f>
        <v>287118.23</v>
      </c>
      <c r="D19" s="6">
        <f t="shared" si="17"/>
        <v>107975</v>
      </c>
      <c r="E19" s="6">
        <f t="shared" si="17"/>
        <v>15290</v>
      </c>
      <c r="F19" s="6">
        <f t="shared" si="17"/>
        <v>651666.46</v>
      </c>
      <c r="H19" s="15">
        <f t="shared" ref="H19:J19" si="18">SUM(H3)</f>
        <v>1207676.6299999999</v>
      </c>
      <c r="I19" s="15">
        <f>SUM(I3)</f>
        <v>268145.22000000009</v>
      </c>
      <c r="J19" s="15">
        <f t="shared" si="18"/>
        <v>1475821.85</v>
      </c>
      <c r="L19" s="15">
        <f t="shared" ref="L19:N19" si="19">SUM(L3)</f>
        <v>1583892.21</v>
      </c>
      <c r="M19" s="15">
        <f t="shared" si="19"/>
        <v>264301.42</v>
      </c>
      <c r="N19" s="15">
        <f t="shared" si="19"/>
        <v>1848193.63</v>
      </c>
    </row>
    <row r="20" spans="1:14" ht="24.95" customHeight="1" x14ac:dyDescent="0.25">
      <c r="A20" s="10" t="s">
        <v>132</v>
      </c>
      <c r="B20" s="6">
        <f>SUM(B4:B6,B8:B10,B12:B14,B16:B18)</f>
        <v>856658.06</v>
      </c>
      <c r="C20" s="6">
        <f t="shared" ref="C20:F20" si="20">SUM(C4:C6,C8:C10,C12:C14,C16:C18)</f>
        <v>2249035.25</v>
      </c>
      <c r="D20" s="6">
        <f t="shared" si="20"/>
        <v>1290675.5</v>
      </c>
      <c r="E20" s="6">
        <f t="shared" si="20"/>
        <v>185533.39</v>
      </c>
      <c r="F20" s="6">
        <f t="shared" si="20"/>
        <v>1012388</v>
      </c>
      <c r="H20" s="15">
        <f t="shared" ref="H20:J20" si="21">SUM(H4:H6,H8:H10,H12:H14,H16:H18)</f>
        <v>5594290.2000000002</v>
      </c>
      <c r="I20" s="15">
        <f>SUM(I4:I6,I8:I10,I12:I14,I16:I18)</f>
        <v>7426381.699285714</v>
      </c>
      <c r="J20" s="15">
        <f t="shared" si="21"/>
        <v>13020671.899285715</v>
      </c>
      <c r="L20" s="15">
        <f t="shared" ref="L20:N20" si="22">SUM(L4:L6,L8:L10,L12:L14,L16:L18)</f>
        <v>5575114.2199999997</v>
      </c>
      <c r="M20" s="15">
        <f t="shared" si="22"/>
        <v>7874448.0025757598</v>
      </c>
      <c r="N20" s="15">
        <f t="shared" si="22"/>
        <v>13449562.222575761</v>
      </c>
    </row>
    <row r="21" spans="1:14" ht="24.95" customHeight="1" x14ac:dyDescent="0.25">
      <c r="A21" s="19" t="s">
        <v>794</v>
      </c>
      <c r="B21" s="6">
        <f>SUM(B19:B20)</f>
        <v>1002285</v>
      </c>
      <c r="C21" s="6">
        <f t="shared" ref="C21:F21" si="23">SUM(C19:C20)</f>
        <v>2536153.48</v>
      </c>
      <c r="D21" s="6">
        <f t="shared" si="23"/>
        <v>1398650.5</v>
      </c>
      <c r="E21" s="6">
        <f t="shared" si="23"/>
        <v>200823.39</v>
      </c>
      <c r="F21" s="6">
        <f t="shared" si="23"/>
        <v>1664054.46</v>
      </c>
      <c r="H21" s="20">
        <f t="shared" ref="H21:J21" si="24">SUM(H19:H20)</f>
        <v>6801966.8300000001</v>
      </c>
      <c r="I21" s="20">
        <f t="shared" si="24"/>
        <v>7694526.9192857137</v>
      </c>
      <c r="J21" s="20">
        <f t="shared" si="24"/>
        <v>14496493.749285715</v>
      </c>
      <c r="L21" s="20">
        <f t="shared" ref="L21:N21" si="25">SUM(L19:L20)</f>
        <v>7159006.4299999997</v>
      </c>
      <c r="M21" s="20">
        <f t="shared" si="25"/>
        <v>8138749.4225757597</v>
      </c>
      <c r="N21" s="20">
        <f t="shared" si="25"/>
        <v>15297755.85257576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C538-4CE7-40DD-B294-73BF2B8A225F}">
  <dimension ref="A1:N21"/>
  <sheetViews>
    <sheetView view="pageBreakPreview" zoomScale="130" zoomScaleNormal="130" zoomScaleSheetLayoutView="130" workbookViewId="0">
      <pane ySplit="1" topLeftCell="A9" activePane="bottomLeft" state="frozen"/>
      <selection activeCell="F3" sqref="F3"/>
      <selection pane="bottomLeft" activeCell="N23" sqref="N23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936</v>
      </c>
      <c r="I1" s="25" t="s">
        <v>876</v>
      </c>
      <c r="J1" s="25" t="s">
        <v>937</v>
      </c>
      <c r="L1" s="25" t="s">
        <v>938</v>
      </c>
      <c r="M1" s="25" t="s">
        <v>877</v>
      </c>
      <c r="N1" s="28" t="s">
        <v>939</v>
      </c>
    </row>
    <row r="2" spans="1:14" ht="24.95" customHeight="1" x14ac:dyDescent="0.25">
      <c r="A2" s="9" t="s">
        <v>50</v>
      </c>
      <c r="B2" s="7">
        <f t="shared" ref="B2:J2" si="0">SUM(B3:B6)</f>
        <v>552095.69999999995</v>
      </c>
      <c r="C2" s="7">
        <f t="shared" si="0"/>
        <v>1137720.1299999999</v>
      </c>
      <c r="D2" s="7">
        <f t="shared" si="0"/>
        <v>711871.5</v>
      </c>
      <c r="E2" s="7">
        <f t="shared" si="0"/>
        <v>298908.94</v>
      </c>
      <c r="F2" s="7">
        <f t="shared" si="0"/>
        <v>1400016.71</v>
      </c>
      <c r="H2" s="13">
        <f t="shared" si="0"/>
        <v>4100612.98</v>
      </c>
      <c r="I2" s="13">
        <f>SUM(I3:I6)</f>
        <v>2449239.5945584415</v>
      </c>
      <c r="J2" s="17">
        <f t="shared" si="0"/>
        <v>6549852.5745584425</v>
      </c>
      <c r="L2" s="13">
        <f t="shared" ref="L2:N2" si="1">SUM(L3:L6)</f>
        <v>4156973.9699999997</v>
      </c>
      <c r="M2" s="13">
        <f t="shared" si="1"/>
        <v>1989757.2579191923</v>
      </c>
      <c r="N2" s="17">
        <f t="shared" si="1"/>
        <v>6146731.227919193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268145.22000000009</v>
      </c>
      <c r="J3" s="18">
        <f>SUM(H3:I3)</f>
        <v>1475821.85</v>
      </c>
      <c r="L3" s="14">
        <v>1583892.21</v>
      </c>
      <c r="M3" s="14">
        <v>264301.42</v>
      </c>
      <c r="N3" s="18">
        <f>SUM(L3:M3)</f>
        <v>1848193.63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381114.87333333335</v>
      </c>
      <c r="J4" s="18">
        <f>SUM(H4:I4)</f>
        <v>1635802.4133333333</v>
      </c>
      <c r="L4" s="14">
        <v>1065775.72</v>
      </c>
      <c r="M4" s="14">
        <v>386332.28</v>
      </c>
      <c r="N4" s="18">
        <f>SUM(L4:M4)</f>
        <v>1452108</v>
      </c>
    </row>
    <row r="5" spans="1:14" ht="24.95" customHeight="1" x14ac:dyDescent="0.25">
      <c r="A5" s="8" t="s">
        <v>96</v>
      </c>
      <c r="B5" s="5">
        <v>27608.11</v>
      </c>
      <c r="C5" s="5">
        <v>66777.649999999994</v>
      </c>
      <c r="D5" s="5"/>
      <c r="E5" s="5">
        <v>77994.8</v>
      </c>
      <c r="F5" s="5">
        <v>109400.25</v>
      </c>
      <c r="H5" s="14">
        <f t="shared" ref="H5:H6" si="2">SUM(B5:F5)</f>
        <v>281780.81</v>
      </c>
      <c r="I5" s="14">
        <v>940489.86811255408</v>
      </c>
      <c r="J5" s="18">
        <f>SUM(H5:I5)</f>
        <v>1222270.6781125541</v>
      </c>
      <c r="L5" s="14">
        <v>267007.03999999998</v>
      </c>
      <c r="M5" s="14">
        <v>670637.83409848507</v>
      </c>
      <c r="N5" s="18">
        <f t="shared" ref="N5:N6" si="3">SUM(L5:M5)</f>
        <v>937644.8740984851</v>
      </c>
    </row>
    <row r="6" spans="1:14" ht="24.95" customHeight="1" x14ac:dyDescent="0.25">
      <c r="A6" s="8" t="s">
        <v>792</v>
      </c>
      <c r="B6" s="5">
        <v>178860</v>
      </c>
      <c r="C6" s="5">
        <v>312803</v>
      </c>
      <c r="D6" s="5">
        <v>403946</v>
      </c>
      <c r="E6" s="5">
        <v>900</v>
      </c>
      <c r="F6" s="5">
        <v>459959</v>
      </c>
      <c r="H6" s="14">
        <f t="shared" si="2"/>
        <v>1356468</v>
      </c>
      <c r="I6" s="14">
        <v>859489.63311255409</v>
      </c>
      <c r="J6" s="18">
        <f t="shared" ref="J6" si="4">SUM(H6:I6)</f>
        <v>2215957.633112554</v>
      </c>
      <c r="L6" s="14">
        <v>1240299</v>
      </c>
      <c r="M6" s="14">
        <v>668485.7238207073</v>
      </c>
      <c r="N6" s="18">
        <f t="shared" si="3"/>
        <v>1908784.7238207073</v>
      </c>
    </row>
    <row r="7" spans="1:14" ht="24.95" customHeight="1" x14ac:dyDescent="0.25">
      <c r="A7" s="9" t="s">
        <v>51</v>
      </c>
      <c r="B7" s="7">
        <f t="shared" ref="B7:J7" si="5">SUM(B8:B10)</f>
        <v>279518</v>
      </c>
      <c r="C7" s="7">
        <f t="shared" si="5"/>
        <v>801727</v>
      </c>
      <c r="D7" s="7">
        <f t="shared" si="5"/>
        <v>200560</v>
      </c>
      <c r="E7" s="7">
        <f t="shared" si="5"/>
        <v>2700</v>
      </c>
      <c r="F7" s="7">
        <f t="shared" si="5"/>
        <v>112913</v>
      </c>
      <c r="H7" s="13">
        <f t="shared" si="5"/>
        <v>1397418</v>
      </c>
      <c r="I7" s="13">
        <f>SUM(I8:I10)</f>
        <v>1707911.189337662</v>
      </c>
      <c r="J7" s="17">
        <f t="shared" si="5"/>
        <v>3105329.189337662</v>
      </c>
      <c r="L7" s="13">
        <f>SUM(L8:L10)</f>
        <v>1665854</v>
      </c>
      <c r="M7" s="13">
        <f>SUM(M8:M10)</f>
        <v>1832639.9514621219</v>
      </c>
      <c r="N7" s="17">
        <f t="shared" ref="N7" si="6">SUM(N8:N10)</f>
        <v>3498493.9514621217</v>
      </c>
    </row>
    <row r="8" spans="1:14" ht="24.95" customHeight="1" x14ac:dyDescent="0.25">
      <c r="A8" s="8" t="s">
        <v>78</v>
      </c>
      <c r="B8" s="5">
        <v>217482</v>
      </c>
      <c r="C8" s="5">
        <v>522880</v>
      </c>
      <c r="D8" s="5">
        <v>165931</v>
      </c>
      <c r="E8" s="5">
        <v>900</v>
      </c>
      <c r="F8" s="5">
        <v>46425</v>
      </c>
      <c r="H8" s="14">
        <f t="shared" ref="H8:H10" si="7">SUM(B8:F8)</f>
        <v>953618</v>
      </c>
      <c r="I8" s="14">
        <v>580434.25311255408</v>
      </c>
      <c r="J8" s="18">
        <f t="shared" ref="J8:J10" si="8">SUM(H8:I8)</f>
        <v>1534052.2531125541</v>
      </c>
      <c r="L8" s="14">
        <v>923054</v>
      </c>
      <c r="M8" s="14">
        <v>611577.9838207073</v>
      </c>
      <c r="N8" s="18">
        <f t="shared" ref="N8:N10" si="9">SUM(L8:M8)</f>
        <v>1534631.9838207073</v>
      </c>
    </row>
    <row r="9" spans="1:14" ht="24.95" customHeight="1" x14ac:dyDescent="0.25">
      <c r="A9" s="8" t="s">
        <v>79</v>
      </c>
      <c r="B9" s="5">
        <v>39970</v>
      </c>
      <c r="C9" s="5">
        <v>169807</v>
      </c>
      <c r="D9" s="5">
        <v>34629</v>
      </c>
      <c r="E9" s="5">
        <v>900</v>
      </c>
      <c r="F9" s="5"/>
      <c r="G9" s="4"/>
      <c r="H9" s="14">
        <f t="shared" si="7"/>
        <v>245306</v>
      </c>
      <c r="I9" s="14">
        <v>563738.46811255405</v>
      </c>
      <c r="J9" s="18">
        <f t="shared" si="8"/>
        <v>809044.46811255405</v>
      </c>
      <c r="K9" s="4"/>
      <c r="L9" s="14">
        <v>391650</v>
      </c>
      <c r="M9" s="14">
        <v>610530.9838207073</v>
      </c>
      <c r="N9" s="18">
        <f t="shared" si="9"/>
        <v>1002180.9838207073</v>
      </c>
    </row>
    <row r="10" spans="1:14" ht="24.95" customHeight="1" x14ac:dyDescent="0.25">
      <c r="A10" s="8" t="s">
        <v>128</v>
      </c>
      <c r="B10" s="5">
        <v>22066</v>
      </c>
      <c r="C10" s="5">
        <v>109040</v>
      </c>
      <c r="D10" s="5"/>
      <c r="E10" s="5">
        <v>900</v>
      </c>
      <c r="F10" s="5">
        <v>66488</v>
      </c>
      <c r="H10" s="14">
        <f t="shared" si="7"/>
        <v>198494</v>
      </c>
      <c r="I10" s="14">
        <v>563738.46811255405</v>
      </c>
      <c r="J10" s="18">
        <f t="shared" si="8"/>
        <v>762232.46811255405</v>
      </c>
      <c r="L10" s="14">
        <v>351150</v>
      </c>
      <c r="M10" s="14">
        <v>610530.9838207073</v>
      </c>
      <c r="N10" s="18">
        <f t="shared" si="9"/>
        <v>961680.9838207073</v>
      </c>
    </row>
    <row r="11" spans="1:14" ht="24.95" customHeight="1" x14ac:dyDescent="0.25">
      <c r="A11" s="9" t="s">
        <v>52</v>
      </c>
      <c r="B11" s="7">
        <f t="shared" ref="B11:J11" si="10">SUM(B12:B14)</f>
        <v>93908</v>
      </c>
      <c r="C11" s="7">
        <f t="shared" si="10"/>
        <v>221123</v>
      </c>
      <c r="D11" s="7">
        <f t="shared" si="10"/>
        <v>80944</v>
      </c>
      <c r="E11" s="7">
        <f t="shared" si="10"/>
        <v>5412</v>
      </c>
      <c r="F11" s="7">
        <f t="shared" si="10"/>
        <v>30584</v>
      </c>
      <c r="G11" s="4"/>
      <c r="H11" s="13">
        <f t="shared" si="10"/>
        <v>431971</v>
      </c>
      <c r="I11" s="13">
        <f t="shared" si="10"/>
        <v>1749772.2819805196</v>
      </c>
      <c r="J11" s="17">
        <f t="shared" si="10"/>
        <v>2181743.2819805196</v>
      </c>
      <c r="K11" s="4"/>
      <c r="L11" s="13">
        <f>SUM(L12:L14)</f>
        <v>655606</v>
      </c>
      <c r="M11" s="13">
        <f>SUM(M12:M14)</f>
        <v>1956193.9815277776</v>
      </c>
      <c r="N11" s="17">
        <f>SUM(N12:N14)</f>
        <v>2611799.9815277774</v>
      </c>
    </row>
    <row r="12" spans="1:14" ht="24.95" customHeight="1" x14ac:dyDescent="0.25">
      <c r="A12" s="8" t="s">
        <v>80</v>
      </c>
      <c r="B12" s="5">
        <v>39350</v>
      </c>
      <c r="C12" s="5">
        <v>84148</v>
      </c>
      <c r="D12" s="5">
        <v>16310</v>
      </c>
      <c r="E12" s="5">
        <v>1812</v>
      </c>
      <c r="F12" s="5">
        <v>9613</v>
      </c>
      <c r="H12" s="14">
        <f t="shared" ref="H12:H14" si="11">SUM(B12:F12)</f>
        <v>151233</v>
      </c>
      <c r="I12" s="14">
        <v>576952.16542207799</v>
      </c>
      <c r="J12" s="18">
        <f t="shared" ref="J12:J14" si="12">SUM(H12:I12)</f>
        <v>728185.16542207799</v>
      </c>
      <c r="L12" s="14">
        <v>262917</v>
      </c>
      <c r="M12" s="14">
        <v>658154.30847222218</v>
      </c>
      <c r="N12" s="18">
        <f t="shared" ref="N12:N14" si="13">SUM(L12:M12)</f>
        <v>921071.30847222218</v>
      </c>
    </row>
    <row r="13" spans="1:14" ht="24.95" customHeight="1" x14ac:dyDescent="0.25">
      <c r="A13" s="8" t="s">
        <v>81</v>
      </c>
      <c r="B13" s="5">
        <v>54558</v>
      </c>
      <c r="C13" s="5">
        <v>126821</v>
      </c>
      <c r="D13" s="5">
        <v>64634</v>
      </c>
      <c r="E13" s="5">
        <v>1800</v>
      </c>
      <c r="F13" s="5">
        <v>20971</v>
      </c>
      <c r="H13" s="14">
        <f t="shared" si="11"/>
        <v>268784</v>
      </c>
      <c r="I13" s="14">
        <v>576952.16542207799</v>
      </c>
      <c r="J13" s="18">
        <f t="shared" si="12"/>
        <v>845736.16542207799</v>
      </c>
      <c r="L13" s="14">
        <v>300386</v>
      </c>
      <c r="M13" s="14">
        <v>625521.51541666663</v>
      </c>
      <c r="N13" s="18">
        <f t="shared" si="13"/>
        <v>925907.51541666663</v>
      </c>
    </row>
    <row r="14" spans="1:14" ht="24.95" customHeight="1" x14ac:dyDescent="0.25">
      <c r="A14" s="8" t="s">
        <v>82</v>
      </c>
      <c r="B14" s="5"/>
      <c r="C14" s="5">
        <v>10154</v>
      </c>
      <c r="D14" s="5"/>
      <c r="E14" s="5">
        <v>1800</v>
      </c>
      <c r="F14" s="5"/>
      <c r="H14" s="14">
        <f t="shared" si="11"/>
        <v>11954</v>
      </c>
      <c r="I14" s="14">
        <v>595867.95113636367</v>
      </c>
      <c r="J14" s="18">
        <f t="shared" si="12"/>
        <v>607821.95113636367</v>
      </c>
      <c r="L14" s="14">
        <v>92303</v>
      </c>
      <c r="M14" s="14">
        <v>672518.15763888881</v>
      </c>
      <c r="N14" s="18">
        <f t="shared" si="13"/>
        <v>764821.15763888881</v>
      </c>
    </row>
    <row r="15" spans="1:14" ht="24.95" customHeight="1" x14ac:dyDescent="0.25">
      <c r="A15" s="9" t="s">
        <v>53</v>
      </c>
      <c r="B15" s="7">
        <f>SUM(B16:B18)</f>
        <v>184646</v>
      </c>
      <c r="C15" s="7">
        <f>SUM(C16:C18)</f>
        <v>363326</v>
      </c>
      <c r="D15" s="7">
        <f>SUM(D16:D18)</f>
        <v>137145</v>
      </c>
      <c r="E15" s="7">
        <f>SUM(E16:E18)</f>
        <v>5400</v>
      </c>
      <c r="F15" s="7">
        <f>SUM(F16:F18)</f>
        <v>237006</v>
      </c>
      <c r="H15" s="13">
        <f>SUM(H16:H18)</f>
        <v>927523</v>
      </c>
      <c r="I15" s="13">
        <f>SUM(I16:I18)</f>
        <v>1787603.853409091</v>
      </c>
      <c r="J15" s="17">
        <f>SUM(J16:J18)</f>
        <v>2715126.853409091</v>
      </c>
      <c r="L15" s="13">
        <f>SUM(L16:L18)</f>
        <v>977799</v>
      </c>
      <c r="M15" s="13">
        <f>SUM(M16:M18)</f>
        <v>2360158.2316666669</v>
      </c>
      <c r="N15" s="17">
        <f>SUM(N16:N18)</f>
        <v>3337957.2316666665</v>
      </c>
    </row>
    <row r="16" spans="1:14" ht="24.95" customHeight="1" x14ac:dyDescent="0.25">
      <c r="A16" s="8" t="s">
        <v>83</v>
      </c>
      <c r="B16" s="5">
        <v>136557</v>
      </c>
      <c r="C16" s="5">
        <v>310950</v>
      </c>
      <c r="D16" s="5">
        <v>120635</v>
      </c>
      <c r="E16" s="5">
        <v>1800</v>
      </c>
      <c r="F16" s="5">
        <v>87541</v>
      </c>
      <c r="H16" s="14">
        <f t="shared" ref="H16:H18" si="14">SUM(B16:F16)</f>
        <v>657483</v>
      </c>
      <c r="I16" s="14">
        <v>595867.95113636367</v>
      </c>
      <c r="J16" s="18">
        <f t="shared" ref="J16:J18" si="15">SUM(H16:I16)</f>
        <v>1253350.9511363637</v>
      </c>
      <c r="L16" s="14">
        <v>709047</v>
      </c>
      <c r="M16" s="14">
        <v>786719.4105555556</v>
      </c>
      <c r="N16" s="18">
        <f t="shared" ref="N16:N18" si="16">SUM(L16:M16)</f>
        <v>1495766.4105555555</v>
      </c>
    </row>
    <row r="17" spans="1:14" ht="24.95" customHeight="1" x14ac:dyDescent="0.25">
      <c r="A17" s="8" t="s">
        <v>84</v>
      </c>
      <c r="B17" s="5">
        <v>48089</v>
      </c>
      <c r="C17" s="5">
        <v>52376</v>
      </c>
      <c r="D17" s="5">
        <v>16510</v>
      </c>
      <c r="E17" s="5">
        <v>1800</v>
      </c>
      <c r="F17" s="5">
        <v>149465</v>
      </c>
      <c r="H17" s="14">
        <f t="shared" si="14"/>
        <v>268240</v>
      </c>
      <c r="I17" s="14">
        <v>595867.95113636367</v>
      </c>
      <c r="J17" s="18">
        <f t="shared" si="15"/>
        <v>864107.95113636367</v>
      </c>
      <c r="L17" s="14">
        <v>172539</v>
      </c>
      <c r="M17" s="14">
        <v>786719.4105555556</v>
      </c>
      <c r="N17" s="18">
        <f t="shared" si="16"/>
        <v>959258.4105555556</v>
      </c>
    </row>
    <row r="18" spans="1:14" ht="24.95" customHeight="1" x14ac:dyDescent="0.25">
      <c r="A18" s="8" t="s">
        <v>85</v>
      </c>
      <c r="B18" s="5"/>
      <c r="C18" s="5"/>
      <c r="D18" s="5"/>
      <c r="E18" s="5">
        <v>1800</v>
      </c>
      <c r="F18" s="5"/>
      <c r="H18" s="14">
        <f t="shared" si="14"/>
        <v>1800</v>
      </c>
      <c r="I18" s="14">
        <v>595867.95113636367</v>
      </c>
      <c r="J18" s="18">
        <f t="shared" si="15"/>
        <v>597667.95113636367</v>
      </c>
      <c r="L18" s="14">
        <v>96213</v>
      </c>
      <c r="M18" s="14">
        <v>786719.4105555556</v>
      </c>
      <c r="N18" s="18">
        <f t="shared" si="16"/>
        <v>882932.4105555556</v>
      </c>
    </row>
    <row r="19" spans="1:14" ht="24.95" customHeight="1" x14ac:dyDescent="0.25">
      <c r="A19" s="10" t="s">
        <v>131</v>
      </c>
      <c r="B19" s="6">
        <f>SUM(B3:B5)</f>
        <v>373235.69999999995</v>
      </c>
      <c r="C19" s="6">
        <f t="shared" ref="C19:N19" si="17">SUM(C3:C5)</f>
        <v>824917.13</v>
      </c>
      <c r="D19" s="6">
        <f t="shared" si="17"/>
        <v>307925.5</v>
      </c>
      <c r="E19" s="6">
        <f t="shared" si="17"/>
        <v>298008.94</v>
      </c>
      <c r="F19" s="6">
        <f t="shared" si="17"/>
        <v>940057.71</v>
      </c>
      <c r="H19" s="15">
        <f t="shared" si="17"/>
        <v>2744144.98</v>
      </c>
      <c r="I19" s="15">
        <f t="shared" si="17"/>
        <v>1589749.9614458876</v>
      </c>
      <c r="J19" s="15">
        <f t="shared" si="17"/>
        <v>4333894.941445888</v>
      </c>
      <c r="L19" s="15">
        <f t="shared" si="17"/>
        <v>2916674.9699999997</v>
      </c>
      <c r="M19" s="15">
        <f t="shared" si="17"/>
        <v>1321271.534098485</v>
      </c>
      <c r="N19" s="15">
        <f t="shared" si="17"/>
        <v>4237946.5040984852</v>
      </c>
    </row>
    <row r="20" spans="1:14" ht="24.95" customHeight="1" x14ac:dyDescent="0.25">
      <c r="A20" s="10" t="s">
        <v>132</v>
      </c>
      <c r="B20" s="6">
        <f>SUM(B6,B8:B10,B12:B14,B16:B18)</f>
        <v>736932</v>
      </c>
      <c r="C20" s="6">
        <f t="shared" ref="C20:N20" si="18">SUM(C6,C8:C10,C12:C14,C16:C18)</f>
        <v>1698979</v>
      </c>
      <c r="D20" s="6">
        <f t="shared" si="18"/>
        <v>822595</v>
      </c>
      <c r="E20" s="6">
        <f t="shared" si="18"/>
        <v>14412</v>
      </c>
      <c r="F20" s="6">
        <f t="shared" si="18"/>
        <v>840462</v>
      </c>
      <c r="H20" s="15">
        <f t="shared" si="18"/>
        <v>4113380</v>
      </c>
      <c r="I20" s="15">
        <f t="shared" si="18"/>
        <v>6104776.9578398271</v>
      </c>
      <c r="J20" s="15">
        <f t="shared" si="18"/>
        <v>10218156.957839828</v>
      </c>
      <c r="L20" s="15">
        <f t="shared" si="18"/>
        <v>4539558</v>
      </c>
      <c r="M20" s="15">
        <f t="shared" si="18"/>
        <v>6817477.8884772733</v>
      </c>
      <c r="N20" s="15">
        <f t="shared" si="18"/>
        <v>11357035.888477277</v>
      </c>
    </row>
    <row r="21" spans="1:14" ht="24.95" customHeight="1" x14ac:dyDescent="0.25">
      <c r="A21" s="19" t="s">
        <v>794</v>
      </c>
      <c r="B21" s="6">
        <f>SUM(B19:B20)</f>
        <v>1110167.7</v>
      </c>
      <c r="C21" s="6">
        <f t="shared" ref="C21:F21" si="19">SUM(C19:C20)</f>
        <v>2523896.13</v>
      </c>
      <c r="D21" s="6">
        <f t="shared" si="19"/>
        <v>1130520.5</v>
      </c>
      <c r="E21" s="6">
        <f t="shared" si="19"/>
        <v>312420.94</v>
      </c>
      <c r="F21" s="6">
        <f t="shared" si="19"/>
        <v>1780519.71</v>
      </c>
      <c r="H21" s="20">
        <f t="shared" ref="H21:J21" si="20">SUM(H19:H20)</f>
        <v>6857524.9800000004</v>
      </c>
      <c r="I21" s="20">
        <f t="shared" si="20"/>
        <v>7694526.9192857146</v>
      </c>
      <c r="J21" s="20">
        <f t="shared" si="20"/>
        <v>14552051.899285715</v>
      </c>
      <c r="L21" s="20">
        <f t="shared" ref="L21:N21" si="21">SUM(L19:L20)</f>
        <v>7456232.9699999997</v>
      </c>
      <c r="M21" s="20">
        <f t="shared" si="21"/>
        <v>8138749.4225757588</v>
      </c>
      <c r="N21" s="20">
        <f t="shared" si="21"/>
        <v>15594982.392575763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FCFA-B063-4050-B43E-6614DD121AC6}">
  <dimension ref="A1:N21"/>
  <sheetViews>
    <sheetView view="pageBreakPreview" zoomScale="130" zoomScaleNormal="130" zoomScaleSheetLayoutView="130" workbookViewId="0">
      <pane ySplit="1" topLeftCell="A9" activePane="bottomLeft" state="frozen"/>
      <selection activeCell="F3" sqref="F3"/>
      <selection pane="bottomLeft" activeCell="L16" sqref="L16:L18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955</v>
      </c>
      <c r="I1" s="25" t="s">
        <v>876</v>
      </c>
      <c r="J1" s="25" t="s">
        <v>956</v>
      </c>
      <c r="L1" s="25" t="s">
        <v>957</v>
      </c>
      <c r="M1" s="25" t="s">
        <v>877</v>
      </c>
      <c r="N1" s="28" t="s">
        <v>958</v>
      </c>
    </row>
    <row r="2" spans="1:14" ht="24.95" customHeight="1" x14ac:dyDescent="0.25">
      <c r="A2" s="9" t="s">
        <v>50</v>
      </c>
      <c r="B2" s="7">
        <f t="shared" ref="B2:J2" si="0">SUM(B3:B6)</f>
        <v>528389.91999999993</v>
      </c>
      <c r="C2" s="7">
        <f t="shared" si="0"/>
        <v>1069979.1299999999</v>
      </c>
      <c r="D2" s="7">
        <f t="shared" si="0"/>
        <v>308825.5</v>
      </c>
      <c r="E2" s="7">
        <f t="shared" si="0"/>
        <v>470659.64</v>
      </c>
      <c r="F2" s="7">
        <f t="shared" si="0"/>
        <v>1170796.01</v>
      </c>
      <c r="H2" s="13">
        <f t="shared" si="0"/>
        <v>3548650.1999999997</v>
      </c>
      <c r="I2" s="13">
        <f>SUM(I3:I6)</f>
        <v>2449239.5945584415</v>
      </c>
      <c r="J2" s="17">
        <f t="shared" si="0"/>
        <v>5997889.7945584413</v>
      </c>
      <c r="L2" s="13">
        <f t="shared" ref="L2:N2" si="1">SUM(L3:L6)</f>
        <v>4323940.72</v>
      </c>
      <c r="M2" s="13">
        <f t="shared" si="1"/>
        <v>1989757.2579191923</v>
      </c>
      <c r="N2" s="17">
        <f t="shared" si="1"/>
        <v>6313697.977919193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268145.22000000009</v>
      </c>
      <c r="J3" s="18">
        <f>SUM(H3:I3)</f>
        <v>1475821.85</v>
      </c>
      <c r="L3" s="14">
        <v>1595362.21</v>
      </c>
      <c r="M3" s="14">
        <v>264301.42</v>
      </c>
      <c r="N3" s="18">
        <f>SUM(L3:M3)</f>
        <v>1859663.63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381114.87333333335</v>
      </c>
      <c r="J4" s="18">
        <f>SUM(H4:I4)</f>
        <v>1635802.4133333333</v>
      </c>
      <c r="L4" s="14">
        <v>1118554.42</v>
      </c>
      <c r="M4" s="14">
        <v>386332.28</v>
      </c>
      <c r="N4" s="18">
        <f>SUM(L4:M4)</f>
        <v>1504886.7</v>
      </c>
    </row>
    <row r="5" spans="1:14" ht="24.95" customHeight="1" x14ac:dyDescent="0.25">
      <c r="A5" s="8" t="s">
        <v>96</v>
      </c>
      <c r="B5" s="5">
        <v>56040.33</v>
      </c>
      <c r="C5" s="5">
        <v>107555.65</v>
      </c>
      <c r="D5" s="5">
        <v>0</v>
      </c>
      <c r="E5" s="5">
        <v>134127.5</v>
      </c>
      <c r="F5" s="5">
        <v>205537.55</v>
      </c>
      <c r="H5" s="14">
        <f t="shared" ref="H5:H6" si="2">SUM(B5:F5)</f>
        <v>503261.02999999997</v>
      </c>
      <c r="I5" s="14">
        <v>940489.86811255408</v>
      </c>
      <c r="J5" s="18">
        <f>SUM(H5:I5)</f>
        <v>1443750.8981125541</v>
      </c>
      <c r="L5" s="14">
        <v>744157.09</v>
      </c>
      <c r="M5" s="14">
        <v>670637.83409848507</v>
      </c>
      <c r="N5" s="18">
        <f t="shared" ref="N5:N6" si="3">SUM(L5:M5)</f>
        <v>1414794.9240984851</v>
      </c>
    </row>
    <row r="6" spans="1:14" ht="24.95" customHeight="1" x14ac:dyDescent="0.25">
      <c r="A6" s="8" t="s">
        <v>792</v>
      </c>
      <c r="B6" s="5">
        <v>126722</v>
      </c>
      <c r="C6" s="5">
        <v>204284</v>
      </c>
      <c r="D6" s="5">
        <v>900</v>
      </c>
      <c r="E6" s="5">
        <v>116518</v>
      </c>
      <c r="F6" s="5">
        <v>134601</v>
      </c>
      <c r="H6" s="14">
        <f t="shared" si="2"/>
        <v>583025</v>
      </c>
      <c r="I6" s="14">
        <v>859489.63311255409</v>
      </c>
      <c r="J6" s="18">
        <f t="shared" ref="J6" si="4">SUM(H6:I6)</f>
        <v>1442514.633112554</v>
      </c>
      <c r="L6" s="14">
        <v>865867</v>
      </c>
      <c r="M6" s="14">
        <v>668485.7238207073</v>
      </c>
      <c r="N6" s="18">
        <f t="shared" si="3"/>
        <v>1534352.7238207073</v>
      </c>
    </row>
    <row r="7" spans="1:14" ht="24.95" customHeight="1" x14ac:dyDescent="0.25">
      <c r="A7" s="9" t="s">
        <v>51</v>
      </c>
      <c r="B7" s="7">
        <f t="shared" ref="B7:J7" si="5">SUM(B8:B10)</f>
        <v>285571</v>
      </c>
      <c r="C7" s="7">
        <f t="shared" si="5"/>
        <v>992850</v>
      </c>
      <c r="D7" s="7">
        <f t="shared" si="5"/>
        <v>2700</v>
      </c>
      <c r="E7" s="7">
        <f t="shared" si="5"/>
        <v>545959</v>
      </c>
      <c r="F7" s="7">
        <f t="shared" si="5"/>
        <v>195013</v>
      </c>
      <c r="H7" s="13">
        <f t="shared" si="5"/>
        <v>2022093</v>
      </c>
      <c r="I7" s="13">
        <f>SUM(I8:I10)</f>
        <v>1707911.189337662</v>
      </c>
      <c r="J7" s="17">
        <f t="shared" si="5"/>
        <v>3730004.189337662</v>
      </c>
      <c r="L7" s="13">
        <f>SUM(L8:L10)</f>
        <v>1746625</v>
      </c>
      <c r="M7" s="13">
        <f>SUM(M8:M10)</f>
        <v>1832639.9514621219</v>
      </c>
      <c r="N7" s="17">
        <f t="shared" ref="N7" si="6">SUM(N8:N10)</f>
        <v>3579264.9514621217</v>
      </c>
    </row>
    <row r="8" spans="1:14" ht="24.95" customHeight="1" x14ac:dyDescent="0.25">
      <c r="A8" s="8" t="s">
        <v>78</v>
      </c>
      <c r="B8" s="5">
        <v>200058</v>
      </c>
      <c r="C8" s="5">
        <v>458598</v>
      </c>
      <c r="D8" s="5">
        <v>900</v>
      </c>
      <c r="E8" s="5">
        <v>297497</v>
      </c>
      <c r="F8" s="5">
        <v>128525</v>
      </c>
      <c r="H8" s="14">
        <f t="shared" ref="H8:H10" si="7">SUM(B8:F8)</f>
        <v>1085578</v>
      </c>
      <c r="I8" s="14">
        <v>580434.25311255408</v>
      </c>
      <c r="J8" s="18">
        <f t="shared" ref="J8:J10" si="8">SUM(H8:I8)</f>
        <v>1666012.2531125541</v>
      </c>
      <c r="L8" s="14">
        <v>952484</v>
      </c>
      <c r="M8" s="14">
        <v>611577.9838207073</v>
      </c>
      <c r="N8" s="18">
        <f t="shared" ref="N8:N10" si="9">SUM(L8:M8)</f>
        <v>1564061.9838207073</v>
      </c>
    </row>
    <row r="9" spans="1:14" ht="24.95" customHeight="1" x14ac:dyDescent="0.25">
      <c r="A9" s="8" t="s">
        <v>79</v>
      </c>
      <c r="B9" s="5">
        <v>63447</v>
      </c>
      <c r="C9" s="5">
        <v>365222</v>
      </c>
      <c r="D9" s="5">
        <v>900</v>
      </c>
      <c r="E9" s="5">
        <v>49462</v>
      </c>
      <c r="F9" s="5"/>
      <c r="G9" s="4"/>
      <c r="H9" s="14">
        <f t="shared" si="7"/>
        <v>479031</v>
      </c>
      <c r="I9" s="14">
        <v>563738.46811255405</v>
      </c>
      <c r="J9" s="18">
        <f t="shared" si="8"/>
        <v>1042769.4681125541</v>
      </c>
      <c r="K9" s="4"/>
      <c r="L9" s="14">
        <v>442541</v>
      </c>
      <c r="M9" s="14">
        <v>610530.9838207073</v>
      </c>
      <c r="N9" s="18">
        <f t="shared" si="9"/>
        <v>1053071.9838207073</v>
      </c>
    </row>
    <row r="10" spans="1:14" ht="24.95" customHeight="1" x14ac:dyDescent="0.25">
      <c r="A10" s="8" t="s">
        <v>128</v>
      </c>
      <c r="B10" s="5">
        <v>22066</v>
      </c>
      <c r="C10" s="5">
        <v>169030</v>
      </c>
      <c r="D10" s="5">
        <v>900</v>
      </c>
      <c r="E10" s="5">
        <v>199000</v>
      </c>
      <c r="F10" s="5">
        <v>66488</v>
      </c>
      <c r="H10" s="14">
        <f t="shared" si="7"/>
        <v>457484</v>
      </c>
      <c r="I10" s="14">
        <v>563738.46811255405</v>
      </c>
      <c r="J10" s="18">
        <f t="shared" si="8"/>
        <v>1021222.4681125541</v>
      </c>
      <c r="L10" s="14">
        <v>351600</v>
      </c>
      <c r="M10" s="14">
        <v>610530.9838207073</v>
      </c>
      <c r="N10" s="18">
        <f t="shared" si="9"/>
        <v>962130.9838207073</v>
      </c>
    </row>
    <row r="11" spans="1:14" ht="24.95" customHeight="1" x14ac:dyDescent="0.25">
      <c r="A11" s="9" t="s">
        <v>52</v>
      </c>
      <c r="B11" s="7">
        <f t="shared" ref="B11:J11" si="10">SUM(B12:B14)</f>
        <v>93908</v>
      </c>
      <c r="C11" s="7">
        <f t="shared" si="10"/>
        <v>267582</v>
      </c>
      <c r="D11" s="7">
        <f t="shared" si="10"/>
        <v>5412</v>
      </c>
      <c r="E11" s="7">
        <f t="shared" si="10"/>
        <v>93949</v>
      </c>
      <c r="F11" s="7">
        <f t="shared" si="10"/>
        <v>30584</v>
      </c>
      <c r="G11" s="4"/>
      <c r="H11" s="13">
        <f t="shared" si="10"/>
        <v>491435</v>
      </c>
      <c r="I11" s="13">
        <f t="shared" si="10"/>
        <v>1749772.2819805196</v>
      </c>
      <c r="J11" s="17">
        <f t="shared" si="10"/>
        <v>2241207.2819805196</v>
      </c>
      <c r="K11" s="4"/>
      <c r="L11" s="13">
        <f>SUM(L12:L14)</f>
        <v>653406</v>
      </c>
      <c r="M11" s="13">
        <f>SUM(M12:M14)</f>
        <v>1956193.9815277776</v>
      </c>
      <c r="N11" s="17">
        <f>SUM(N12:N14)</f>
        <v>2609599.9815277774</v>
      </c>
    </row>
    <row r="12" spans="1:14" ht="24.95" customHeight="1" x14ac:dyDescent="0.25">
      <c r="A12" s="8" t="s">
        <v>80</v>
      </c>
      <c r="B12" s="5">
        <v>39350</v>
      </c>
      <c r="C12" s="5">
        <v>85307</v>
      </c>
      <c r="D12" s="5">
        <v>1812</v>
      </c>
      <c r="E12" s="5">
        <v>16310</v>
      </c>
      <c r="F12" s="5">
        <v>9613</v>
      </c>
      <c r="H12" s="14">
        <f t="shared" ref="H12:H14" si="11">SUM(B12:F12)</f>
        <v>152392</v>
      </c>
      <c r="I12" s="14">
        <v>576952.16542207799</v>
      </c>
      <c r="J12" s="18">
        <f t="shared" ref="J12:J14" si="12">SUM(H12:I12)</f>
        <v>729344.16542207799</v>
      </c>
      <c r="L12" s="14">
        <v>260717</v>
      </c>
      <c r="M12" s="14">
        <v>658154.30847222218</v>
      </c>
      <c r="N12" s="18">
        <f t="shared" ref="N12:N14" si="13">SUM(L12:M12)</f>
        <v>918871.30847222218</v>
      </c>
    </row>
    <row r="13" spans="1:14" ht="24.95" customHeight="1" x14ac:dyDescent="0.25">
      <c r="A13" s="8" t="s">
        <v>81</v>
      </c>
      <c r="B13" s="5">
        <v>54558</v>
      </c>
      <c r="C13" s="5">
        <v>126931</v>
      </c>
      <c r="D13" s="5">
        <v>1800</v>
      </c>
      <c r="E13" s="5">
        <v>77639</v>
      </c>
      <c r="F13" s="5">
        <v>20971</v>
      </c>
      <c r="H13" s="14">
        <f t="shared" si="11"/>
        <v>281899</v>
      </c>
      <c r="I13" s="14">
        <v>576952.16542207799</v>
      </c>
      <c r="J13" s="18">
        <f t="shared" si="12"/>
        <v>858851.16542207799</v>
      </c>
      <c r="L13" s="14">
        <v>300386</v>
      </c>
      <c r="M13" s="14">
        <v>625521.51541666663</v>
      </c>
      <c r="N13" s="18">
        <f t="shared" si="13"/>
        <v>925907.51541666663</v>
      </c>
    </row>
    <row r="14" spans="1:14" ht="24.95" customHeight="1" x14ac:dyDescent="0.25">
      <c r="A14" s="8" t="s">
        <v>82</v>
      </c>
      <c r="B14" s="5"/>
      <c r="C14" s="5">
        <v>55344</v>
      </c>
      <c r="D14" s="5">
        <v>1800</v>
      </c>
      <c r="E14" s="5"/>
      <c r="F14" s="5"/>
      <c r="H14" s="14">
        <f t="shared" si="11"/>
        <v>57144</v>
      </c>
      <c r="I14" s="14">
        <v>595867.95113636367</v>
      </c>
      <c r="J14" s="18">
        <f t="shared" si="12"/>
        <v>653011.95113636367</v>
      </c>
      <c r="L14" s="14">
        <v>92303</v>
      </c>
      <c r="M14" s="14">
        <v>672518.15763888881</v>
      </c>
      <c r="N14" s="18">
        <f t="shared" si="13"/>
        <v>764821.15763888881</v>
      </c>
    </row>
    <row r="15" spans="1:14" ht="24.95" customHeight="1" x14ac:dyDescent="0.25">
      <c r="A15" s="9" t="s">
        <v>53</v>
      </c>
      <c r="B15" s="7">
        <f>SUM(B16:B18)</f>
        <v>187389</v>
      </c>
      <c r="C15" s="7">
        <f>SUM(C16:C18)</f>
        <v>364061</v>
      </c>
      <c r="D15" s="7">
        <f>SUM(D16:D18)</f>
        <v>5400</v>
      </c>
      <c r="E15" s="7">
        <f>SUM(E16:E18)</f>
        <v>137145</v>
      </c>
      <c r="F15" s="7">
        <f>SUM(F16:F18)</f>
        <v>237861</v>
      </c>
      <c r="H15" s="13">
        <f>SUM(H16:H18)</f>
        <v>931856</v>
      </c>
      <c r="I15" s="13">
        <f>SUM(I16:I18)</f>
        <v>1787603.853409091</v>
      </c>
      <c r="J15" s="17">
        <f>SUM(J16:J18)</f>
        <v>2719459.853409091</v>
      </c>
      <c r="L15" s="13">
        <f>SUM(L16:L18)</f>
        <v>1001789</v>
      </c>
      <c r="M15" s="13">
        <f>SUM(M16:M18)</f>
        <v>2360158.2316666669</v>
      </c>
      <c r="N15" s="17">
        <f>SUM(N16:N18)</f>
        <v>3361947.2316666665</v>
      </c>
    </row>
    <row r="16" spans="1:14" ht="24.95" customHeight="1" x14ac:dyDescent="0.25">
      <c r="A16" s="8" t="s">
        <v>83</v>
      </c>
      <c r="B16" s="5">
        <v>139405</v>
      </c>
      <c r="C16" s="5">
        <v>311685</v>
      </c>
      <c r="D16" s="5">
        <v>1800</v>
      </c>
      <c r="E16" s="5">
        <v>120635</v>
      </c>
      <c r="F16" s="5">
        <v>88601</v>
      </c>
      <c r="H16" s="14">
        <f t="shared" ref="H16:H18" si="14">SUM(B16:F16)</f>
        <v>662126</v>
      </c>
      <c r="I16" s="14">
        <v>595867.95113636367</v>
      </c>
      <c r="J16" s="18">
        <f t="shared" ref="J16:J18" si="15">SUM(H16:I16)</f>
        <v>1257993.9511363637</v>
      </c>
      <c r="L16" s="14">
        <v>733037</v>
      </c>
      <c r="M16" s="14">
        <v>786719.4105555556</v>
      </c>
      <c r="N16" s="18">
        <f t="shared" ref="N16:N18" si="16">SUM(L16:M16)</f>
        <v>1519756.4105555555</v>
      </c>
    </row>
    <row r="17" spans="1:14" ht="24.95" customHeight="1" x14ac:dyDescent="0.25">
      <c r="A17" s="8" t="s">
        <v>84</v>
      </c>
      <c r="B17" s="5">
        <v>47984</v>
      </c>
      <c r="C17" s="5">
        <v>52376</v>
      </c>
      <c r="D17" s="5">
        <v>1800</v>
      </c>
      <c r="E17" s="5">
        <v>16510</v>
      </c>
      <c r="F17" s="5">
        <v>149260</v>
      </c>
      <c r="H17" s="14">
        <f t="shared" si="14"/>
        <v>267930</v>
      </c>
      <c r="I17" s="14">
        <v>595867.95113636367</v>
      </c>
      <c r="J17" s="18">
        <f t="shared" si="15"/>
        <v>863797.95113636367</v>
      </c>
      <c r="L17" s="14">
        <v>172539</v>
      </c>
      <c r="M17" s="14">
        <v>786719.4105555556</v>
      </c>
      <c r="N17" s="18">
        <f t="shared" si="16"/>
        <v>959258.4105555556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14"/>
        <v>1800</v>
      </c>
      <c r="I18" s="14">
        <v>595867.95113636367</v>
      </c>
      <c r="J18" s="18">
        <f t="shared" si="15"/>
        <v>597667.95113636367</v>
      </c>
      <c r="L18" s="14">
        <v>96213</v>
      </c>
      <c r="M18" s="14">
        <v>786719.4105555556</v>
      </c>
      <c r="N18" s="18">
        <f t="shared" si="16"/>
        <v>882932.4105555556</v>
      </c>
    </row>
    <row r="19" spans="1:14" ht="24.95" customHeight="1" x14ac:dyDescent="0.25">
      <c r="A19" s="10" t="s">
        <v>131</v>
      </c>
      <c r="B19" s="6">
        <f>SUM(B3:B5)</f>
        <v>401667.92</v>
      </c>
      <c r="C19" s="6">
        <f t="shared" ref="C19:N19" si="17">SUM(C3:C5)</f>
        <v>865695.13</v>
      </c>
      <c r="D19" s="6">
        <f t="shared" si="17"/>
        <v>307925.5</v>
      </c>
      <c r="E19" s="6">
        <f t="shared" si="17"/>
        <v>354141.64</v>
      </c>
      <c r="F19" s="6">
        <f t="shared" si="17"/>
        <v>1036195.01</v>
      </c>
      <c r="H19" s="15">
        <f t="shared" si="17"/>
        <v>2965625.1999999997</v>
      </c>
      <c r="I19" s="15">
        <f t="shared" si="17"/>
        <v>1589749.9614458876</v>
      </c>
      <c r="J19" s="15">
        <f t="shared" si="17"/>
        <v>4555375.1614458878</v>
      </c>
      <c r="L19" s="15">
        <f t="shared" si="17"/>
        <v>3458073.7199999997</v>
      </c>
      <c r="M19" s="15">
        <f t="shared" si="17"/>
        <v>1321271.534098485</v>
      </c>
      <c r="N19" s="15">
        <f t="shared" si="17"/>
        <v>4779345.2540984852</v>
      </c>
    </row>
    <row r="20" spans="1:14" ht="24.95" customHeight="1" x14ac:dyDescent="0.25">
      <c r="A20" s="10" t="s">
        <v>132</v>
      </c>
      <c r="B20" s="6">
        <f>SUM(B6,B8:B10,B12:B14,B16:B18)</f>
        <v>693590</v>
      </c>
      <c r="C20" s="6">
        <f t="shared" ref="C20:N20" si="18">SUM(C6,C8:C10,C12:C14,C16:C18)</f>
        <v>1828777</v>
      </c>
      <c r="D20" s="6">
        <f t="shared" si="18"/>
        <v>14412</v>
      </c>
      <c r="E20" s="6">
        <f t="shared" si="18"/>
        <v>893571</v>
      </c>
      <c r="F20" s="6">
        <f t="shared" si="18"/>
        <v>598059</v>
      </c>
      <c r="H20" s="15">
        <f t="shared" si="18"/>
        <v>4028409</v>
      </c>
      <c r="I20" s="15">
        <f t="shared" si="18"/>
        <v>6104776.9578398271</v>
      </c>
      <c r="J20" s="15">
        <f t="shared" si="18"/>
        <v>10133185.957839828</v>
      </c>
      <c r="L20" s="15">
        <f t="shared" si="18"/>
        <v>4267687</v>
      </c>
      <c r="M20" s="15">
        <f t="shared" si="18"/>
        <v>6817477.8884772733</v>
      </c>
      <c r="N20" s="15">
        <f t="shared" si="18"/>
        <v>11085164.888477277</v>
      </c>
    </row>
    <row r="21" spans="1:14" ht="24.95" customHeight="1" x14ac:dyDescent="0.25">
      <c r="A21" s="19" t="s">
        <v>794</v>
      </c>
      <c r="B21" s="6">
        <f>SUM(B19:B20)</f>
        <v>1095257.92</v>
      </c>
      <c r="C21" s="6">
        <f t="shared" ref="C21:F21" si="19">SUM(C19:C20)</f>
        <v>2694472.13</v>
      </c>
      <c r="D21" s="6">
        <f t="shared" si="19"/>
        <v>322337.5</v>
      </c>
      <c r="E21" s="6">
        <f t="shared" si="19"/>
        <v>1247712.6400000001</v>
      </c>
      <c r="F21" s="6">
        <f t="shared" si="19"/>
        <v>1634254.01</v>
      </c>
      <c r="H21" s="20">
        <f t="shared" ref="H21:J21" si="20">SUM(H19:H20)</f>
        <v>6994034.1999999993</v>
      </c>
      <c r="I21" s="20">
        <f t="shared" si="20"/>
        <v>7694526.9192857146</v>
      </c>
      <c r="J21" s="20">
        <f t="shared" si="20"/>
        <v>14688561.119285716</v>
      </c>
      <c r="L21" s="20">
        <f t="shared" ref="L21:N21" si="21">SUM(L19:L20)</f>
        <v>7725760.7199999997</v>
      </c>
      <c r="M21" s="20">
        <f t="shared" si="21"/>
        <v>8138749.4225757588</v>
      </c>
      <c r="N21" s="20">
        <f t="shared" si="21"/>
        <v>15864510.142575763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13D6-601B-400A-9B86-494B39EA25C9}">
  <dimension ref="A1:N21"/>
  <sheetViews>
    <sheetView view="pageBreakPreview" zoomScale="130" zoomScaleNormal="130" zoomScaleSheetLayoutView="130" workbookViewId="0">
      <pane ySplit="1" topLeftCell="A9" activePane="bottomLeft" state="frozen"/>
      <selection activeCell="F3" sqref="F3"/>
      <selection pane="bottomLeft" activeCell="L14" sqref="L14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975</v>
      </c>
      <c r="I1" s="25" t="s">
        <v>876</v>
      </c>
      <c r="J1" s="25" t="s">
        <v>976</v>
      </c>
      <c r="L1" s="25" t="s">
        <v>977</v>
      </c>
      <c r="M1" s="25" t="s">
        <v>877</v>
      </c>
      <c r="N1" s="28" t="s">
        <v>978</v>
      </c>
    </row>
    <row r="2" spans="1:14" ht="24.95" customHeight="1" x14ac:dyDescent="0.25">
      <c r="A2" s="9" t="s">
        <v>50</v>
      </c>
      <c r="B2" s="7">
        <f t="shared" ref="B2:J2" si="0">SUM(B3:B6)</f>
        <v>563055.52</v>
      </c>
      <c r="C2" s="7">
        <f t="shared" si="0"/>
        <v>1078799.93</v>
      </c>
      <c r="D2" s="7">
        <f t="shared" si="0"/>
        <v>308825.5</v>
      </c>
      <c r="E2" s="7">
        <f t="shared" si="0"/>
        <v>610532.89</v>
      </c>
      <c r="F2" s="7">
        <f t="shared" si="0"/>
        <v>1118391.71</v>
      </c>
      <c r="H2" s="13">
        <f t="shared" si="0"/>
        <v>3679605.55</v>
      </c>
      <c r="I2" s="13">
        <f>SUM(I3:I6)</f>
        <v>2449239.5945584415</v>
      </c>
      <c r="J2" s="17">
        <f t="shared" si="0"/>
        <v>6128845.1445584409</v>
      </c>
      <c r="L2" s="13">
        <f t="shared" ref="L2:N2" si="1">SUM(L3:L6)</f>
        <v>4304518.3599999994</v>
      </c>
      <c r="M2" s="13">
        <f t="shared" si="1"/>
        <v>1989757.2579191923</v>
      </c>
      <c r="N2" s="17">
        <f t="shared" si="1"/>
        <v>6294275.6179191917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268145.22000000009</v>
      </c>
      <c r="J3" s="18">
        <f>SUM(H3:I3)</f>
        <v>1475821.85</v>
      </c>
      <c r="L3" s="14">
        <v>1595362.21</v>
      </c>
      <c r="M3" s="14">
        <v>264301.42</v>
      </c>
      <c r="N3" s="18">
        <f>SUM(L3:M3)</f>
        <v>1859663.63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381114.87333333335</v>
      </c>
      <c r="J4" s="18">
        <f>SUM(H4:I4)</f>
        <v>1635802.4133333333</v>
      </c>
      <c r="L4" s="14">
        <v>1118554.42</v>
      </c>
      <c r="M4" s="14">
        <v>386332.28</v>
      </c>
      <c r="N4" s="18">
        <f>SUM(L4:M4)</f>
        <v>1504886.7</v>
      </c>
    </row>
    <row r="5" spans="1:14" ht="24.95" customHeight="1" x14ac:dyDescent="0.25">
      <c r="A5" s="8" t="s">
        <v>96</v>
      </c>
      <c r="B5" s="5">
        <v>112049.93</v>
      </c>
      <c r="C5" s="5">
        <v>151269.45000000001</v>
      </c>
      <c r="D5" s="5">
        <v>0</v>
      </c>
      <c r="E5" s="5">
        <v>324151.75</v>
      </c>
      <c r="F5" s="5">
        <v>239864.25</v>
      </c>
      <c r="H5" s="14">
        <f t="shared" ref="H5:H6" si="2">SUM(B5:F5)</f>
        <v>827335.38</v>
      </c>
      <c r="I5" s="14">
        <v>940489.86811255408</v>
      </c>
      <c r="J5" s="18">
        <f>SUM(H5:I5)</f>
        <v>1767825.2481125542</v>
      </c>
      <c r="L5" s="14">
        <v>987004.73</v>
      </c>
      <c r="M5" s="14">
        <v>670637.83409848507</v>
      </c>
      <c r="N5" s="18">
        <f t="shared" ref="N5:N6" si="3">SUM(L5:M5)</f>
        <v>1657642.564098485</v>
      </c>
    </row>
    <row r="6" spans="1:14" ht="24.95" customHeight="1" x14ac:dyDescent="0.25">
      <c r="A6" s="8" t="s">
        <v>792</v>
      </c>
      <c r="B6" s="5">
        <v>105378</v>
      </c>
      <c r="C6" s="5">
        <v>169391</v>
      </c>
      <c r="D6" s="5">
        <v>900</v>
      </c>
      <c r="E6" s="5">
        <v>66367</v>
      </c>
      <c r="F6" s="5">
        <v>47870</v>
      </c>
      <c r="H6" s="14">
        <f t="shared" si="2"/>
        <v>389906</v>
      </c>
      <c r="I6" s="14">
        <v>859489.63311255409</v>
      </c>
      <c r="J6" s="18">
        <f t="shared" ref="J6" si="4">SUM(H6:I6)</f>
        <v>1249395.633112554</v>
      </c>
      <c r="L6" s="14">
        <v>603597</v>
      </c>
      <c r="M6" s="14">
        <v>668485.7238207073</v>
      </c>
      <c r="N6" s="18">
        <f t="shared" si="3"/>
        <v>1272082.7238207073</v>
      </c>
    </row>
    <row r="7" spans="1:14" ht="24.95" customHeight="1" x14ac:dyDescent="0.25">
      <c r="A7" s="9" t="s">
        <v>51</v>
      </c>
      <c r="B7" s="7">
        <f t="shared" ref="B7:J7" si="5">SUM(B8:B10)</f>
        <v>283248</v>
      </c>
      <c r="C7" s="7">
        <f t="shared" si="5"/>
        <v>1073003</v>
      </c>
      <c r="D7" s="7">
        <f t="shared" si="5"/>
        <v>2700</v>
      </c>
      <c r="E7" s="7">
        <f t="shared" si="5"/>
        <v>612184</v>
      </c>
      <c r="F7" s="7">
        <f t="shared" si="5"/>
        <v>157853</v>
      </c>
      <c r="H7" s="13">
        <f t="shared" si="5"/>
        <v>2128988</v>
      </c>
      <c r="I7" s="13">
        <f>SUM(I8:I10)</f>
        <v>1707911.189337662</v>
      </c>
      <c r="J7" s="17">
        <f t="shared" si="5"/>
        <v>3836899.189337662</v>
      </c>
      <c r="L7" s="13">
        <f>SUM(L8:L10)</f>
        <v>1944483</v>
      </c>
      <c r="M7" s="13">
        <f>SUM(M8:M10)</f>
        <v>1832639.9514621219</v>
      </c>
      <c r="N7" s="17">
        <f t="shared" ref="N7" si="6">SUM(N8:N10)</f>
        <v>3777122.9514621217</v>
      </c>
    </row>
    <row r="8" spans="1:14" ht="24.95" customHeight="1" x14ac:dyDescent="0.25">
      <c r="A8" s="8" t="s">
        <v>78</v>
      </c>
      <c r="B8" s="5">
        <v>155959</v>
      </c>
      <c r="C8" s="5">
        <v>511058</v>
      </c>
      <c r="D8" s="5">
        <v>900</v>
      </c>
      <c r="E8" s="5">
        <v>252541</v>
      </c>
      <c r="F8" s="5">
        <v>157853</v>
      </c>
      <c r="H8" s="14">
        <f t="shared" ref="H8:H10" si="7">SUM(B8:F8)</f>
        <v>1078311</v>
      </c>
      <c r="I8" s="14">
        <v>580434.25311255408</v>
      </c>
      <c r="J8" s="18">
        <f t="shared" ref="J8:J10" si="8">SUM(H8:I8)</f>
        <v>1658745.2531125541</v>
      </c>
      <c r="L8" s="14">
        <v>985663</v>
      </c>
      <c r="M8" s="14">
        <v>611577.9838207073</v>
      </c>
      <c r="N8" s="18">
        <f t="shared" ref="N8:N10" si="9">SUM(L8:M8)</f>
        <v>1597240.9838207073</v>
      </c>
    </row>
    <row r="9" spans="1:14" ht="24.95" customHeight="1" x14ac:dyDescent="0.25">
      <c r="A9" s="8" t="s">
        <v>79</v>
      </c>
      <c r="B9" s="5">
        <v>105223</v>
      </c>
      <c r="C9" s="5">
        <v>392915</v>
      </c>
      <c r="D9" s="5">
        <v>900</v>
      </c>
      <c r="E9" s="5">
        <v>94155</v>
      </c>
      <c r="F9" s="5"/>
      <c r="G9" s="4"/>
      <c r="H9" s="14">
        <f t="shared" si="7"/>
        <v>593193</v>
      </c>
      <c r="I9" s="14">
        <v>563738.46811255405</v>
      </c>
      <c r="J9" s="18">
        <f t="shared" si="8"/>
        <v>1156931.4681125539</v>
      </c>
      <c r="K9" s="4"/>
      <c r="L9" s="14">
        <v>613460</v>
      </c>
      <c r="M9" s="14">
        <v>610530.9838207073</v>
      </c>
      <c r="N9" s="18">
        <f t="shared" si="9"/>
        <v>1223990.9838207073</v>
      </c>
    </row>
    <row r="10" spans="1:14" ht="24.95" customHeight="1" x14ac:dyDescent="0.25">
      <c r="A10" s="8" t="s">
        <v>128</v>
      </c>
      <c r="B10" s="5">
        <v>22066</v>
      </c>
      <c r="C10" s="5">
        <v>169030</v>
      </c>
      <c r="D10" s="5">
        <v>900</v>
      </c>
      <c r="E10" s="5">
        <v>265488</v>
      </c>
      <c r="F10" s="5"/>
      <c r="H10" s="14">
        <f t="shared" si="7"/>
        <v>457484</v>
      </c>
      <c r="I10" s="14">
        <v>563738.46811255405</v>
      </c>
      <c r="J10" s="18">
        <f t="shared" si="8"/>
        <v>1021222.4681125541</v>
      </c>
      <c r="L10" s="14">
        <v>345360</v>
      </c>
      <c r="M10" s="14">
        <v>610530.9838207073</v>
      </c>
      <c r="N10" s="18">
        <f t="shared" si="9"/>
        <v>955890.9838207073</v>
      </c>
    </row>
    <row r="11" spans="1:14" ht="24.95" customHeight="1" x14ac:dyDescent="0.25">
      <c r="A11" s="9" t="s">
        <v>52</v>
      </c>
      <c r="B11" s="7">
        <f t="shared" ref="B11:J11" si="10">SUM(B12:B14)</f>
        <v>105826</v>
      </c>
      <c r="C11" s="7">
        <f t="shared" si="10"/>
        <v>269089</v>
      </c>
      <c r="D11" s="7">
        <f t="shared" si="10"/>
        <v>5412</v>
      </c>
      <c r="E11" s="7">
        <f t="shared" si="10"/>
        <v>93949</v>
      </c>
      <c r="F11" s="7">
        <f t="shared" si="10"/>
        <v>30799</v>
      </c>
      <c r="G11" s="4"/>
      <c r="H11" s="13">
        <f t="shared" si="10"/>
        <v>505075</v>
      </c>
      <c r="I11" s="13">
        <f t="shared" si="10"/>
        <v>1749772.2819805196</v>
      </c>
      <c r="J11" s="17">
        <f t="shared" si="10"/>
        <v>2254847.2819805196</v>
      </c>
      <c r="K11" s="4"/>
      <c r="L11" s="13">
        <f>SUM(L12:L14)</f>
        <v>669831</v>
      </c>
      <c r="M11" s="13">
        <f>SUM(M12:M14)</f>
        <v>1956193.9815277776</v>
      </c>
      <c r="N11" s="17">
        <f>SUM(N12:N14)</f>
        <v>2626024.9815277774</v>
      </c>
    </row>
    <row r="12" spans="1:14" ht="24.95" customHeight="1" x14ac:dyDescent="0.25">
      <c r="A12" s="8" t="s">
        <v>80</v>
      </c>
      <c r="B12" s="5">
        <v>39350</v>
      </c>
      <c r="C12" s="5">
        <v>86582</v>
      </c>
      <c r="D12" s="5">
        <v>1812</v>
      </c>
      <c r="E12" s="5">
        <v>16310</v>
      </c>
      <c r="F12" s="5">
        <v>9613</v>
      </c>
      <c r="H12" s="14">
        <f t="shared" ref="H12:H14" si="11">SUM(B12:F12)</f>
        <v>153667</v>
      </c>
      <c r="I12" s="14">
        <v>576952.16542207799</v>
      </c>
      <c r="J12" s="18">
        <f t="shared" ref="J12:J14" si="12">SUM(H12:I12)</f>
        <v>730619.16542207799</v>
      </c>
      <c r="L12" s="14">
        <v>260717</v>
      </c>
      <c r="M12" s="14">
        <v>658154.30847222218</v>
      </c>
      <c r="N12" s="18">
        <f t="shared" ref="N12:N14" si="13">SUM(L12:M12)</f>
        <v>918871.30847222218</v>
      </c>
    </row>
    <row r="13" spans="1:14" ht="24.95" customHeight="1" x14ac:dyDescent="0.25">
      <c r="A13" s="8" t="s">
        <v>81</v>
      </c>
      <c r="B13" s="5">
        <v>66476</v>
      </c>
      <c r="C13" s="5">
        <v>127163</v>
      </c>
      <c r="D13" s="5">
        <v>1800</v>
      </c>
      <c r="E13" s="5">
        <v>77639</v>
      </c>
      <c r="F13" s="5">
        <v>21186</v>
      </c>
      <c r="H13" s="14">
        <f t="shared" si="11"/>
        <v>294264</v>
      </c>
      <c r="I13" s="14">
        <v>576952.16542207799</v>
      </c>
      <c r="J13" s="18">
        <f t="shared" si="12"/>
        <v>871216.16542207799</v>
      </c>
      <c r="L13" s="14">
        <v>318206</v>
      </c>
      <c r="M13" s="14">
        <v>625521.51541666663</v>
      </c>
      <c r="N13" s="18">
        <f t="shared" si="13"/>
        <v>943727.51541666663</v>
      </c>
    </row>
    <row r="14" spans="1:14" ht="24.95" customHeight="1" x14ac:dyDescent="0.25">
      <c r="A14" s="8" t="s">
        <v>82</v>
      </c>
      <c r="B14" s="5"/>
      <c r="C14" s="5">
        <v>55344</v>
      </c>
      <c r="D14" s="5">
        <v>1800</v>
      </c>
      <c r="E14" s="5"/>
      <c r="F14" s="5"/>
      <c r="H14" s="14">
        <f t="shared" si="11"/>
        <v>57144</v>
      </c>
      <c r="I14" s="14">
        <v>595867.95113636367</v>
      </c>
      <c r="J14" s="18">
        <f t="shared" si="12"/>
        <v>653011.95113636367</v>
      </c>
      <c r="L14" s="14">
        <v>90908</v>
      </c>
      <c r="M14" s="14">
        <v>672518.15763888881</v>
      </c>
      <c r="N14" s="18">
        <f t="shared" si="13"/>
        <v>763426.15763888881</v>
      </c>
    </row>
    <row r="15" spans="1:14" ht="24.95" customHeight="1" x14ac:dyDescent="0.25">
      <c r="A15" s="9" t="s">
        <v>53</v>
      </c>
      <c r="B15" s="7">
        <f>SUM(B16:B18)</f>
        <v>187389</v>
      </c>
      <c r="C15" s="7">
        <f>SUM(C16:C18)</f>
        <v>339304</v>
      </c>
      <c r="D15" s="7">
        <f>SUM(D16:D18)</f>
        <v>5400</v>
      </c>
      <c r="E15" s="7">
        <f>SUM(E16:E18)</f>
        <v>149668</v>
      </c>
      <c r="F15" s="7">
        <f>SUM(F16:F18)</f>
        <v>240073</v>
      </c>
      <c r="H15" s="13">
        <f>SUM(H16:H18)</f>
        <v>921834</v>
      </c>
      <c r="I15" s="13">
        <f>SUM(I16:I18)</f>
        <v>1787603.853409091</v>
      </c>
      <c r="J15" s="17">
        <f>SUM(J16:J18)</f>
        <v>2709437.853409091</v>
      </c>
      <c r="L15" s="13">
        <f>SUM(L16:L18)</f>
        <v>1001569</v>
      </c>
      <c r="M15" s="13">
        <f>SUM(M16:M18)</f>
        <v>2360158.2316666669</v>
      </c>
      <c r="N15" s="17">
        <f>SUM(N16:N18)</f>
        <v>3361727.2316666665</v>
      </c>
    </row>
    <row r="16" spans="1:14" ht="24.95" customHeight="1" x14ac:dyDescent="0.25">
      <c r="A16" s="8" t="s">
        <v>83</v>
      </c>
      <c r="B16" s="5">
        <v>139405</v>
      </c>
      <c r="C16" s="5">
        <v>315008</v>
      </c>
      <c r="D16" s="5">
        <v>1800</v>
      </c>
      <c r="E16" s="5">
        <v>133158</v>
      </c>
      <c r="F16" s="5">
        <v>90813</v>
      </c>
      <c r="H16" s="14">
        <f t="shared" ref="H16:H18" si="14">SUM(B16:F16)</f>
        <v>680184</v>
      </c>
      <c r="I16" s="14">
        <v>595867.95113636367</v>
      </c>
      <c r="J16" s="18">
        <f t="shared" ref="J16:J18" si="15">SUM(H16:I16)</f>
        <v>1276051.9511363637</v>
      </c>
      <c r="L16" s="14">
        <v>733037</v>
      </c>
      <c r="M16" s="14">
        <v>786719.4105555556</v>
      </c>
      <c r="N16" s="18">
        <f t="shared" ref="N16:N18" si="16">SUM(L16:M16)</f>
        <v>1519756.4105555555</v>
      </c>
    </row>
    <row r="17" spans="1:14" ht="24.95" customHeight="1" x14ac:dyDescent="0.25">
      <c r="A17" s="8" t="s">
        <v>84</v>
      </c>
      <c r="B17" s="5">
        <v>47984</v>
      </c>
      <c r="C17" s="5">
        <v>24296</v>
      </c>
      <c r="D17" s="5">
        <v>1800</v>
      </c>
      <c r="E17" s="5">
        <v>16510</v>
      </c>
      <c r="F17" s="5">
        <v>149260</v>
      </c>
      <c r="H17" s="14">
        <f t="shared" si="14"/>
        <v>239850</v>
      </c>
      <c r="I17" s="14">
        <v>595867.95113636367</v>
      </c>
      <c r="J17" s="18">
        <f t="shared" si="15"/>
        <v>835717.95113636367</v>
      </c>
      <c r="L17" s="14">
        <v>172319</v>
      </c>
      <c r="M17" s="14">
        <v>786719.4105555556</v>
      </c>
      <c r="N17" s="18">
        <f t="shared" si="16"/>
        <v>959038.4105555556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14"/>
        <v>1800</v>
      </c>
      <c r="I18" s="14">
        <v>595867.95113636367</v>
      </c>
      <c r="J18" s="18">
        <f t="shared" si="15"/>
        <v>597667.95113636367</v>
      </c>
      <c r="L18" s="14">
        <v>96213</v>
      </c>
      <c r="M18" s="14">
        <v>786719.4105555556</v>
      </c>
      <c r="N18" s="18">
        <f t="shared" si="16"/>
        <v>882932.4105555556</v>
      </c>
    </row>
    <row r="19" spans="1:14" ht="24.95" customHeight="1" x14ac:dyDescent="0.25">
      <c r="A19" s="10" t="s">
        <v>131</v>
      </c>
      <c r="B19" s="6">
        <f>SUM(B3:B5)</f>
        <v>457677.51999999996</v>
      </c>
      <c r="C19" s="6">
        <f t="shared" ref="C19:N19" si="17">SUM(C3:C5)</f>
        <v>909408.92999999993</v>
      </c>
      <c r="D19" s="6">
        <f t="shared" si="17"/>
        <v>307925.5</v>
      </c>
      <c r="E19" s="6">
        <f t="shared" si="17"/>
        <v>544165.89</v>
      </c>
      <c r="F19" s="6">
        <f t="shared" si="17"/>
        <v>1070521.71</v>
      </c>
      <c r="H19" s="15">
        <f t="shared" si="17"/>
        <v>3289699.55</v>
      </c>
      <c r="I19" s="15">
        <f t="shared" si="17"/>
        <v>1589749.9614458876</v>
      </c>
      <c r="J19" s="15">
        <f t="shared" si="17"/>
        <v>4879449.5114458874</v>
      </c>
      <c r="L19" s="15">
        <f t="shared" si="17"/>
        <v>3700921.36</v>
      </c>
      <c r="M19" s="15">
        <f t="shared" si="17"/>
        <v>1321271.534098485</v>
      </c>
      <c r="N19" s="15">
        <f t="shared" si="17"/>
        <v>5022192.8940984849</v>
      </c>
    </row>
    <row r="20" spans="1:14" ht="24.95" customHeight="1" x14ac:dyDescent="0.25">
      <c r="A20" s="10" t="s">
        <v>132</v>
      </c>
      <c r="B20" s="6">
        <f>SUM(B6,B8:B10,B12:B14,B16:B18)</f>
        <v>681841</v>
      </c>
      <c r="C20" s="6">
        <f t="shared" ref="C20:N20" si="18">SUM(C6,C8:C10,C12:C14,C16:C18)</f>
        <v>1850787</v>
      </c>
      <c r="D20" s="6">
        <f t="shared" si="18"/>
        <v>14412</v>
      </c>
      <c r="E20" s="6">
        <f t="shared" si="18"/>
        <v>922168</v>
      </c>
      <c r="F20" s="6">
        <f t="shared" si="18"/>
        <v>476595</v>
      </c>
      <c r="H20" s="15">
        <f t="shared" si="18"/>
        <v>3945803</v>
      </c>
      <c r="I20" s="15">
        <f t="shared" si="18"/>
        <v>6104776.9578398271</v>
      </c>
      <c r="J20" s="15">
        <f t="shared" si="18"/>
        <v>10050579.957839828</v>
      </c>
      <c r="L20" s="15">
        <f t="shared" si="18"/>
        <v>4219480</v>
      </c>
      <c r="M20" s="15">
        <f t="shared" si="18"/>
        <v>6817477.8884772733</v>
      </c>
      <c r="N20" s="15">
        <f t="shared" si="18"/>
        <v>11036957.888477277</v>
      </c>
    </row>
    <row r="21" spans="1:14" ht="24.95" customHeight="1" x14ac:dyDescent="0.25">
      <c r="A21" s="19" t="s">
        <v>794</v>
      </c>
      <c r="B21" s="6">
        <f>SUM(B19:B20)</f>
        <v>1139518.52</v>
      </c>
      <c r="C21" s="6">
        <f t="shared" ref="C21:F21" si="19">SUM(C19:C20)</f>
        <v>2760195.9299999997</v>
      </c>
      <c r="D21" s="6">
        <f t="shared" si="19"/>
        <v>322337.5</v>
      </c>
      <c r="E21" s="6">
        <f t="shared" si="19"/>
        <v>1466333.8900000001</v>
      </c>
      <c r="F21" s="6">
        <f t="shared" si="19"/>
        <v>1547116.71</v>
      </c>
      <c r="H21" s="20">
        <f t="shared" ref="H21:J21" si="20">SUM(H19:H20)</f>
        <v>7235502.5499999998</v>
      </c>
      <c r="I21" s="20">
        <f t="shared" si="20"/>
        <v>7694526.9192857146</v>
      </c>
      <c r="J21" s="20">
        <f t="shared" si="20"/>
        <v>14930029.469285715</v>
      </c>
      <c r="L21" s="20">
        <f t="shared" ref="L21:N21" si="21">SUM(L19:L20)</f>
        <v>7920401.3599999994</v>
      </c>
      <c r="M21" s="20">
        <f t="shared" si="21"/>
        <v>8138749.4225757588</v>
      </c>
      <c r="N21" s="20">
        <f t="shared" si="21"/>
        <v>16059150.782575762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6911-EC2E-4E6C-B029-B697C5C50DD2}">
  <dimension ref="A1:N21"/>
  <sheetViews>
    <sheetView view="pageBreakPreview" zoomScale="130" zoomScaleNormal="130" zoomScaleSheetLayoutView="130" workbookViewId="0">
      <pane ySplit="1" topLeftCell="A9" activePane="bottomLeft" state="frozen"/>
      <selection activeCell="F3" sqref="F3"/>
      <selection pane="bottomLeft" activeCell="M21" sqref="M21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1029</v>
      </c>
      <c r="I1" s="25" t="s">
        <v>876</v>
      </c>
      <c r="J1" s="25" t="s">
        <v>1030</v>
      </c>
      <c r="L1" s="25" t="s">
        <v>1031</v>
      </c>
      <c r="M1" s="25" t="s">
        <v>877</v>
      </c>
      <c r="N1" s="28" t="s">
        <v>1032</v>
      </c>
    </row>
    <row r="2" spans="1:14" ht="24.95" customHeight="1" x14ac:dyDescent="0.25">
      <c r="A2" s="9" t="s">
        <v>50</v>
      </c>
      <c r="B2" s="7">
        <f t="shared" ref="B2:J2" si="0">SUM(B3:B6)</f>
        <v>557841.02</v>
      </c>
      <c r="C2" s="7">
        <f t="shared" si="0"/>
        <v>1122813.78</v>
      </c>
      <c r="D2" s="7">
        <f t="shared" si="0"/>
        <v>307925.5</v>
      </c>
      <c r="E2" s="7">
        <f t="shared" si="0"/>
        <v>621054.59000000008</v>
      </c>
      <c r="F2" s="7">
        <f t="shared" si="0"/>
        <v>1111366.96</v>
      </c>
      <c r="H2" s="13">
        <f t="shared" si="0"/>
        <v>3721001.8499999996</v>
      </c>
      <c r="I2" s="13">
        <f>SUM(I3:I6)</f>
        <v>2449239.5945584415</v>
      </c>
      <c r="J2" s="17">
        <f t="shared" si="0"/>
        <v>6170241.4445584416</v>
      </c>
      <c r="L2" s="13">
        <f t="shared" ref="L2:N2" si="1">SUM(L3:L6)</f>
        <v>4304518.3599999994</v>
      </c>
      <c r="M2" s="13">
        <f t="shared" si="1"/>
        <v>1989757.2579191923</v>
      </c>
      <c r="N2" s="17">
        <f t="shared" si="1"/>
        <v>6294275.6179191917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268145.22000000009</v>
      </c>
      <c r="J3" s="18">
        <f>SUM(H3:I3)</f>
        <v>1475821.85</v>
      </c>
      <c r="L3" s="14">
        <v>1595362.21</v>
      </c>
      <c r="M3" s="14">
        <v>264301.42</v>
      </c>
      <c r="N3" s="18">
        <f>SUM(L3:M3)</f>
        <v>1859663.63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381114.87333333335</v>
      </c>
      <c r="J4" s="18">
        <f>SUM(H4:I4)</f>
        <v>1635802.4133333333</v>
      </c>
      <c r="L4" s="14">
        <v>1118554.42</v>
      </c>
      <c r="M4" s="14">
        <v>386332.28</v>
      </c>
      <c r="N4" s="18">
        <f>SUM(L4:M4)</f>
        <v>1504886.7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:H6" si="2">SUM(B5:F5)</f>
        <v>1021449.6799999999</v>
      </c>
      <c r="I5" s="14">
        <v>940489.86811255408</v>
      </c>
      <c r="J5" s="18">
        <f>SUM(H5:I5)</f>
        <v>1961939.548112554</v>
      </c>
      <c r="L5" s="14">
        <v>987004.73</v>
      </c>
      <c r="M5" s="14">
        <v>670637.83409848507</v>
      </c>
      <c r="N5" s="18">
        <f t="shared" ref="N5:N6" si="3">SUM(L5:M5)</f>
        <v>1657642.564098485</v>
      </c>
    </row>
    <row r="6" spans="1:14" ht="24.95" customHeight="1" x14ac:dyDescent="0.25">
      <c r="A6" s="8" t="s">
        <v>792</v>
      </c>
      <c r="B6" s="5">
        <v>77469</v>
      </c>
      <c r="C6" s="5">
        <v>128573</v>
      </c>
      <c r="D6" s="5"/>
      <c r="E6" s="5">
        <v>31146</v>
      </c>
      <c r="F6" s="5">
        <v>0</v>
      </c>
      <c r="H6" s="14">
        <f t="shared" si="2"/>
        <v>237188</v>
      </c>
      <c r="I6" s="14">
        <v>859489.63311255409</v>
      </c>
      <c r="J6" s="18">
        <f t="shared" ref="J6" si="4">SUM(H6:I6)</f>
        <v>1096677.633112554</v>
      </c>
      <c r="L6" s="14">
        <v>603597</v>
      </c>
      <c r="M6" s="14">
        <v>668485.7238207073</v>
      </c>
      <c r="N6" s="18">
        <f t="shared" si="3"/>
        <v>1272082.7238207073</v>
      </c>
    </row>
    <row r="7" spans="1:14" ht="24.95" customHeight="1" x14ac:dyDescent="0.25">
      <c r="A7" s="9" t="s">
        <v>51</v>
      </c>
      <c r="B7" s="7">
        <f t="shared" ref="B7:J7" si="5">SUM(B8:B10)</f>
        <v>307697</v>
      </c>
      <c r="C7" s="7">
        <f t="shared" si="5"/>
        <v>1054384</v>
      </c>
      <c r="D7" s="7">
        <f t="shared" si="5"/>
        <v>2700</v>
      </c>
      <c r="E7" s="7">
        <f t="shared" si="5"/>
        <v>627834</v>
      </c>
      <c r="F7" s="7">
        <f t="shared" si="5"/>
        <v>423826</v>
      </c>
      <c r="H7" s="13">
        <f t="shared" si="5"/>
        <v>2416441</v>
      </c>
      <c r="I7" s="13">
        <f>SUM(I8:I10)</f>
        <v>1707911.189337662</v>
      </c>
      <c r="J7" s="17">
        <f t="shared" si="5"/>
        <v>4124352.189337662</v>
      </c>
      <c r="L7" s="13">
        <f>SUM(L8:L10)</f>
        <v>1944483</v>
      </c>
      <c r="M7" s="13">
        <f>SUM(M8:M10)</f>
        <v>1832639.9514621219</v>
      </c>
      <c r="N7" s="17">
        <f t="shared" ref="N7" si="6">SUM(N8:N10)</f>
        <v>3777122.9514621217</v>
      </c>
    </row>
    <row r="8" spans="1:14" ht="24.95" customHeight="1" x14ac:dyDescent="0.25">
      <c r="A8" s="8" t="s">
        <v>78</v>
      </c>
      <c r="B8" s="5">
        <v>111790</v>
      </c>
      <c r="C8" s="5">
        <v>532461</v>
      </c>
      <c r="D8" s="5">
        <v>900</v>
      </c>
      <c r="E8" s="5">
        <v>253601</v>
      </c>
      <c r="F8" s="5">
        <v>166397</v>
      </c>
      <c r="H8" s="14">
        <f t="shared" ref="H8:H10" si="7">SUM(B8:F8)</f>
        <v>1065149</v>
      </c>
      <c r="I8" s="14">
        <v>580434.25311255408</v>
      </c>
      <c r="J8" s="18">
        <f t="shared" ref="J8:J10" si="8">SUM(H8:I8)</f>
        <v>1645583.2531125541</v>
      </c>
      <c r="L8" s="14">
        <v>985663</v>
      </c>
      <c r="M8" s="14">
        <v>611577.9838207073</v>
      </c>
      <c r="N8" s="18">
        <f t="shared" ref="N8:N10" si="9">SUM(L8:M8)</f>
        <v>1597240.9838207073</v>
      </c>
    </row>
    <row r="9" spans="1:14" ht="24.95" customHeight="1" x14ac:dyDescent="0.25">
      <c r="A9" s="8" t="s">
        <v>79</v>
      </c>
      <c r="B9" s="5">
        <v>146546</v>
      </c>
      <c r="C9" s="5">
        <v>351996</v>
      </c>
      <c r="D9" s="5">
        <v>900</v>
      </c>
      <c r="E9" s="5">
        <v>307745</v>
      </c>
      <c r="F9" s="5">
        <v>257429</v>
      </c>
      <c r="G9" s="4"/>
      <c r="H9" s="14">
        <f t="shared" si="7"/>
        <v>1064616</v>
      </c>
      <c r="I9" s="14">
        <v>563738.46811255405</v>
      </c>
      <c r="J9" s="18">
        <f t="shared" si="8"/>
        <v>1628354.4681125539</v>
      </c>
      <c r="K9" s="4"/>
      <c r="L9" s="14">
        <v>613460</v>
      </c>
      <c r="M9" s="14">
        <v>610530.9838207073</v>
      </c>
      <c r="N9" s="18">
        <f t="shared" si="9"/>
        <v>1223990.9838207073</v>
      </c>
    </row>
    <row r="10" spans="1:14" ht="24.95" customHeight="1" x14ac:dyDescent="0.25">
      <c r="A10" s="8" t="s">
        <v>128</v>
      </c>
      <c r="B10" s="5">
        <v>49361</v>
      </c>
      <c r="C10" s="5">
        <v>169927</v>
      </c>
      <c r="D10" s="5">
        <v>900</v>
      </c>
      <c r="E10" s="5">
        <v>66488</v>
      </c>
      <c r="F10" s="5"/>
      <c r="H10" s="14">
        <f t="shared" si="7"/>
        <v>286676</v>
      </c>
      <c r="I10" s="14">
        <v>563738.46811255405</v>
      </c>
      <c r="J10" s="18">
        <f t="shared" si="8"/>
        <v>850414.46811255405</v>
      </c>
      <c r="L10" s="14">
        <v>345360</v>
      </c>
      <c r="M10" s="14">
        <v>610530.9838207073</v>
      </c>
      <c r="N10" s="18">
        <f t="shared" si="9"/>
        <v>955890.9838207073</v>
      </c>
    </row>
    <row r="11" spans="1:14" ht="24.95" customHeight="1" x14ac:dyDescent="0.25">
      <c r="A11" s="9" t="s">
        <v>52</v>
      </c>
      <c r="B11" s="7">
        <f t="shared" ref="B11:J11" si="10">SUM(B12:B14)</f>
        <v>102676</v>
      </c>
      <c r="C11" s="7">
        <f t="shared" si="10"/>
        <v>269355</v>
      </c>
      <c r="D11" s="7">
        <f t="shared" si="10"/>
        <v>5412</v>
      </c>
      <c r="E11" s="7">
        <f t="shared" si="10"/>
        <v>97881</v>
      </c>
      <c r="F11" s="7">
        <f t="shared" si="10"/>
        <v>227202</v>
      </c>
      <c r="G11" s="4"/>
      <c r="H11" s="13">
        <f t="shared" si="10"/>
        <v>702526</v>
      </c>
      <c r="I11" s="13">
        <f t="shared" si="10"/>
        <v>1749772.2819805196</v>
      </c>
      <c r="J11" s="17">
        <f t="shared" si="10"/>
        <v>2452298.2819805196</v>
      </c>
      <c r="K11" s="4"/>
      <c r="L11" s="13">
        <f>SUM(L12:L14)</f>
        <v>669831</v>
      </c>
      <c r="M11" s="13">
        <f>SUM(M12:M14)</f>
        <v>1956193.9815277776</v>
      </c>
      <c r="N11" s="17">
        <f>SUM(N12:N14)</f>
        <v>2626024.9815277774</v>
      </c>
    </row>
    <row r="12" spans="1:14" ht="24.95" customHeight="1" x14ac:dyDescent="0.25">
      <c r="A12" s="8" t="s">
        <v>80</v>
      </c>
      <c r="B12" s="5">
        <v>36200</v>
      </c>
      <c r="C12" s="5">
        <v>88851</v>
      </c>
      <c r="D12" s="5">
        <v>1812</v>
      </c>
      <c r="E12" s="5">
        <v>19460</v>
      </c>
      <c r="F12" s="5">
        <v>206016</v>
      </c>
      <c r="H12" s="14">
        <f t="shared" ref="H12:H14" si="11">SUM(B12:F12)</f>
        <v>352339</v>
      </c>
      <c r="I12" s="14">
        <v>576952.16542207799</v>
      </c>
      <c r="J12" s="18">
        <f t="shared" ref="J12:J14" si="12">SUM(H12:I12)</f>
        <v>929291.16542207799</v>
      </c>
      <c r="L12" s="14">
        <v>260717</v>
      </c>
      <c r="M12" s="14">
        <v>658154.30847222218</v>
      </c>
      <c r="N12" s="18">
        <f t="shared" ref="N12:N14" si="13">SUM(L12:M12)</f>
        <v>918871.30847222218</v>
      </c>
    </row>
    <row r="13" spans="1:14" ht="24.95" customHeight="1" x14ac:dyDescent="0.25">
      <c r="A13" s="8" t="s">
        <v>81</v>
      </c>
      <c r="B13" s="5">
        <v>66476</v>
      </c>
      <c r="C13" s="5">
        <v>133314</v>
      </c>
      <c r="D13" s="5">
        <v>1800</v>
      </c>
      <c r="E13" s="5">
        <v>78421</v>
      </c>
      <c r="F13" s="5">
        <v>21186</v>
      </c>
      <c r="H13" s="14">
        <f t="shared" si="11"/>
        <v>301197</v>
      </c>
      <c r="I13" s="14">
        <v>576952.16542207799</v>
      </c>
      <c r="J13" s="18">
        <f t="shared" si="12"/>
        <v>878149.16542207799</v>
      </c>
      <c r="L13" s="14">
        <v>318206</v>
      </c>
      <c r="M13" s="14">
        <v>625521.51541666663</v>
      </c>
      <c r="N13" s="18">
        <f t="shared" si="13"/>
        <v>943727.51541666663</v>
      </c>
    </row>
    <row r="14" spans="1:14" ht="24.95" customHeight="1" x14ac:dyDescent="0.25">
      <c r="A14" s="8" t="s">
        <v>82</v>
      </c>
      <c r="B14" s="5"/>
      <c r="C14" s="5">
        <v>47190</v>
      </c>
      <c r="D14" s="5">
        <v>1800</v>
      </c>
      <c r="E14" s="5"/>
      <c r="F14" s="5"/>
      <c r="H14" s="14">
        <f t="shared" si="11"/>
        <v>48990</v>
      </c>
      <c r="I14" s="14">
        <v>595867.95113636367</v>
      </c>
      <c r="J14" s="18">
        <f t="shared" si="12"/>
        <v>644857.95113636367</v>
      </c>
      <c r="L14" s="14">
        <v>90908</v>
      </c>
      <c r="M14" s="14">
        <v>672518.15763888881</v>
      </c>
      <c r="N14" s="18">
        <f t="shared" si="13"/>
        <v>763426.15763888881</v>
      </c>
    </row>
    <row r="15" spans="1:14" ht="24.95" customHeight="1" x14ac:dyDescent="0.25">
      <c r="A15" s="9" t="s">
        <v>53</v>
      </c>
      <c r="B15" s="7">
        <f>SUM(B16:B18)</f>
        <v>187389</v>
      </c>
      <c r="C15" s="7">
        <f>SUM(C16:C18)</f>
        <v>351404</v>
      </c>
      <c r="D15" s="7">
        <f>SUM(D16:D18)</f>
        <v>5400</v>
      </c>
      <c r="E15" s="7">
        <f>SUM(E16:E18)</f>
        <v>151285</v>
      </c>
      <c r="F15" s="7">
        <f>SUM(F16:F18)</f>
        <v>240073</v>
      </c>
      <c r="H15" s="13">
        <f>SUM(H16:H18)</f>
        <v>935551</v>
      </c>
      <c r="I15" s="13">
        <f>SUM(I16:I18)</f>
        <v>1787603.853409091</v>
      </c>
      <c r="J15" s="17">
        <f>SUM(J16:J18)</f>
        <v>2723154.853409091</v>
      </c>
      <c r="L15" s="13">
        <f>SUM(L16:L18)</f>
        <v>1001569</v>
      </c>
      <c r="M15" s="13">
        <f>SUM(M16:M18)</f>
        <v>2360158.2316666669</v>
      </c>
      <c r="N15" s="17">
        <f>SUM(N16:N18)</f>
        <v>3361727.2316666665</v>
      </c>
    </row>
    <row r="16" spans="1:14" ht="24.95" customHeight="1" x14ac:dyDescent="0.25">
      <c r="A16" s="8" t="s">
        <v>83</v>
      </c>
      <c r="B16" s="5">
        <v>139405</v>
      </c>
      <c r="C16" s="5">
        <v>325763</v>
      </c>
      <c r="D16" s="5">
        <v>1800</v>
      </c>
      <c r="E16" s="5">
        <v>134775</v>
      </c>
      <c r="F16" s="5">
        <v>90813</v>
      </c>
      <c r="H16" s="14">
        <f t="shared" ref="H16:H18" si="14">SUM(B16:F16)</f>
        <v>692556</v>
      </c>
      <c r="I16" s="14">
        <v>595867.95113636367</v>
      </c>
      <c r="J16" s="18">
        <f t="shared" ref="J16:J18" si="15">SUM(H16:I16)</f>
        <v>1288423.9511363637</v>
      </c>
      <c r="L16" s="14">
        <v>733037</v>
      </c>
      <c r="M16" s="14">
        <v>786719.4105555556</v>
      </c>
      <c r="N16" s="18">
        <f t="shared" ref="N16:N18" si="16">SUM(L16:M16)</f>
        <v>1519756.4105555555</v>
      </c>
    </row>
    <row r="17" spans="1:14" ht="24.95" customHeight="1" x14ac:dyDescent="0.25">
      <c r="A17" s="8" t="s">
        <v>84</v>
      </c>
      <c r="B17" s="5">
        <v>47984</v>
      </c>
      <c r="C17" s="5">
        <v>25641</v>
      </c>
      <c r="D17" s="5">
        <v>1800</v>
      </c>
      <c r="E17" s="5">
        <v>16510</v>
      </c>
      <c r="F17" s="5">
        <v>149260</v>
      </c>
      <c r="H17" s="14">
        <f t="shared" si="14"/>
        <v>241195</v>
      </c>
      <c r="I17" s="14">
        <v>595867.95113636367</v>
      </c>
      <c r="J17" s="18">
        <f t="shared" si="15"/>
        <v>837062.95113636367</v>
      </c>
      <c r="L17" s="14">
        <v>172319</v>
      </c>
      <c r="M17" s="14">
        <v>786719.4105555556</v>
      </c>
      <c r="N17" s="18">
        <f t="shared" si="16"/>
        <v>959038.4105555556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14"/>
        <v>1800</v>
      </c>
      <c r="I18" s="14">
        <v>595867.95113636367</v>
      </c>
      <c r="J18" s="18">
        <f t="shared" si="15"/>
        <v>597667.95113636367</v>
      </c>
      <c r="L18" s="14">
        <v>96213</v>
      </c>
      <c r="M18" s="14">
        <v>786719.4105555556</v>
      </c>
      <c r="N18" s="18">
        <f t="shared" si="16"/>
        <v>882932.4105555556</v>
      </c>
    </row>
    <row r="19" spans="1:14" ht="24.95" customHeight="1" x14ac:dyDescent="0.25">
      <c r="A19" s="10" t="s">
        <v>131</v>
      </c>
      <c r="B19" s="6">
        <f>SUM(B3:B5)</f>
        <v>480372.01999999996</v>
      </c>
      <c r="C19" s="6">
        <f t="shared" ref="C19:N19" si="17">SUM(C3:C5)</f>
        <v>994240.78</v>
      </c>
      <c r="D19" s="6">
        <f t="shared" si="17"/>
        <v>307925.5</v>
      </c>
      <c r="E19" s="6">
        <f t="shared" si="17"/>
        <v>589908.59000000008</v>
      </c>
      <c r="F19" s="6">
        <f t="shared" si="17"/>
        <v>1111366.96</v>
      </c>
      <c r="H19" s="15">
        <f t="shared" si="17"/>
        <v>3483813.8499999996</v>
      </c>
      <c r="I19" s="15">
        <f t="shared" si="17"/>
        <v>1589749.9614458876</v>
      </c>
      <c r="J19" s="15">
        <f t="shared" si="17"/>
        <v>5073563.8114458881</v>
      </c>
      <c r="L19" s="15">
        <f t="shared" si="17"/>
        <v>3700921.36</v>
      </c>
      <c r="M19" s="15">
        <f t="shared" si="17"/>
        <v>1321271.534098485</v>
      </c>
      <c r="N19" s="15">
        <f t="shared" si="17"/>
        <v>5022192.8940984849</v>
      </c>
    </row>
    <row r="20" spans="1:14" ht="24.95" customHeight="1" x14ac:dyDescent="0.25">
      <c r="A20" s="10" t="s">
        <v>132</v>
      </c>
      <c r="B20" s="6">
        <f>SUM(B6,B8:B10,B12:B14,B16:B18)</f>
        <v>675231</v>
      </c>
      <c r="C20" s="6">
        <f t="shared" ref="C20:N20" si="18">SUM(C6,C8:C10,C12:C14,C16:C18)</f>
        <v>1803716</v>
      </c>
      <c r="D20" s="6">
        <f t="shared" si="18"/>
        <v>13512</v>
      </c>
      <c r="E20" s="6">
        <f t="shared" si="18"/>
        <v>908146</v>
      </c>
      <c r="F20" s="6">
        <f t="shared" si="18"/>
        <v>891101</v>
      </c>
      <c r="H20" s="15">
        <f t="shared" si="18"/>
        <v>4291706</v>
      </c>
      <c r="I20" s="15">
        <f t="shared" si="18"/>
        <v>6104776.9578398271</v>
      </c>
      <c r="J20" s="15">
        <f t="shared" si="18"/>
        <v>10396482.957839828</v>
      </c>
      <c r="L20" s="15">
        <f t="shared" si="18"/>
        <v>4219480</v>
      </c>
      <c r="M20" s="15">
        <f t="shared" si="18"/>
        <v>6817477.8884772733</v>
      </c>
      <c r="N20" s="15">
        <f t="shared" si="18"/>
        <v>11036957.888477277</v>
      </c>
    </row>
    <row r="21" spans="1:14" ht="24.95" customHeight="1" x14ac:dyDescent="0.25">
      <c r="A21" s="19" t="s">
        <v>794</v>
      </c>
      <c r="B21" s="6">
        <f>SUM(B19:B20)</f>
        <v>1155603.02</v>
      </c>
      <c r="C21" s="6">
        <f t="shared" ref="C21:F21" si="19">SUM(C19:C20)</f>
        <v>2797956.7800000003</v>
      </c>
      <c r="D21" s="6">
        <f t="shared" si="19"/>
        <v>321437.5</v>
      </c>
      <c r="E21" s="6">
        <f t="shared" si="19"/>
        <v>1498054.59</v>
      </c>
      <c r="F21" s="6">
        <f t="shared" si="19"/>
        <v>2002467.96</v>
      </c>
      <c r="H21" s="20">
        <f t="shared" ref="H21:J21" si="20">SUM(H19:H20)</f>
        <v>7775519.8499999996</v>
      </c>
      <c r="I21" s="20">
        <f t="shared" si="20"/>
        <v>7694526.9192857146</v>
      </c>
      <c r="J21" s="20">
        <f t="shared" si="20"/>
        <v>15470046.769285716</v>
      </c>
      <c r="L21" s="20">
        <f t="shared" ref="L21:N21" si="21">SUM(L19:L20)</f>
        <v>7920401.3599999994</v>
      </c>
      <c r="M21" s="20">
        <f t="shared" si="21"/>
        <v>8138749.4225757588</v>
      </c>
      <c r="N21" s="20">
        <f t="shared" si="21"/>
        <v>16059150.782575762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B1E7-4910-45AF-8033-3096CB4DD9AA}">
  <dimension ref="A1:N21"/>
  <sheetViews>
    <sheetView zoomScale="130" zoomScaleNormal="130" zoomScaleSheetLayoutView="130" workbookViewId="0">
      <pane ySplit="1" topLeftCell="A2" activePane="bottomLeft" state="frozen"/>
      <selection activeCell="F3" sqref="F3"/>
      <selection pane="bottomLeft" activeCell="B7" sqref="B7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1029</v>
      </c>
      <c r="I1" s="25" t="s">
        <v>876</v>
      </c>
      <c r="J1" s="25" t="s">
        <v>1030</v>
      </c>
      <c r="L1" s="25" t="s">
        <v>1031</v>
      </c>
      <c r="M1" s="25" t="s">
        <v>877</v>
      </c>
      <c r="N1" s="28" t="s">
        <v>1032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f>SUM(L3:L5)</f>
        <v>3858820.12</v>
      </c>
      <c r="M2" s="13">
        <f>SUM(M3:M5)</f>
        <v>1822853.6099999999</v>
      </c>
      <c r="N2" s="17">
        <f>SUM(N3:N5)</f>
        <v>5681673.7300000004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1595362.21</v>
      </c>
      <c r="M3" s="14">
        <v>604506.73</v>
      </c>
      <c r="N3" s="18">
        <f>SUM(L3:M3)</f>
        <v>2199868.94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1118554.42</v>
      </c>
      <c r="M4" s="14">
        <v>565707.72</v>
      </c>
      <c r="N4" s="18">
        <f>SUM(L4:M4)</f>
        <v>1684262.14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1144903.49</v>
      </c>
      <c r="M5" s="14">
        <v>652639.16</v>
      </c>
      <c r="N5" s="18">
        <f t="shared" ref="N5" si="1">SUM(L5:M5)</f>
        <v>1797542.65</v>
      </c>
    </row>
    <row r="6" spans="1:14" ht="24.95" customHeight="1" x14ac:dyDescent="0.25">
      <c r="A6" s="9" t="s">
        <v>51</v>
      </c>
      <c r="B6" s="7">
        <f t="shared" ref="B6:J6" si="2">SUM(B7:B10)</f>
        <v>409448</v>
      </c>
      <c r="C6" s="7">
        <f t="shared" si="2"/>
        <v>1235754</v>
      </c>
      <c r="D6" s="7">
        <f t="shared" si="2"/>
        <v>900</v>
      </c>
      <c r="E6" s="7">
        <f t="shared" si="2"/>
        <v>797104.95</v>
      </c>
      <c r="F6" s="7">
        <f t="shared" si="2"/>
        <v>462134.25</v>
      </c>
      <c r="H6" s="13">
        <f t="shared" si="2"/>
        <v>2905341.2</v>
      </c>
      <c r="I6" s="13">
        <f>SUM(I7:I10)</f>
        <v>2113864.6273333333</v>
      </c>
      <c r="J6" s="17">
        <f t="shared" si="2"/>
        <v>5019205.827333333</v>
      </c>
      <c r="L6" s="13">
        <f>SUM(L7:L10)</f>
        <v>2379423.4299999997</v>
      </c>
      <c r="M6" s="13">
        <f>SUM(M7:M10)</f>
        <v>1510065.236666667</v>
      </c>
      <c r="N6" s="17">
        <f t="shared" ref="N6" si="3">SUM(N7:N10)</f>
        <v>3889488.666666667</v>
      </c>
    </row>
    <row r="7" spans="1:14" ht="24.95" customHeight="1" x14ac:dyDescent="0.25">
      <c r="A7" s="8" t="s">
        <v>105</v>
      </c>
      <c r="B7" s="5">
        <v>76505</v>
      </c>
      <c r="C7" s="5">
        <v>117126</v>
      </c>
      <c r="D7" s="5">
        <v>900</v>
      </c>
      <c r="E7" s="5">
        <v>65540.95</v>
      </c>
      <c r="F7" s="5">
        <v>0</v>
      </c>
      <c r="H7" s="14">
        <f t="shared" ref="H7:H10" si="4">SUM(B7:F7)</f>
        <v>260071.95</v>
      </c>
      <c r="I7" s="14">
        <v>0</v>
      </c>
      <c r="J7" s="18">
        <f t="shared" ref="J7:J10" si="5">SUM(H7:I7)</f>
        <v>260071.95</v>
      </c>
      <c r="L7" s="14">
        <v>246965.43000000002</v>
      </c>
      <c r="M7" s="14">
        <v>340996.42</v>
      </c>
      <c r="N7" s="18">
        <f t="shared" ref="N7:N10" si="6">SUM(L7:M7)</f>
        <v>587961.85</v>
      </c>
    </row>
    <row r="8" spans="1:14" ht="24.95" customHeight="1" x14ac:dyDescent="0.25">
      <c r="A8" s="8" t="s">
        <v>78</v>
      </c>
      <c r="B8" s="5">
        <v>116971</v>
      </c>
      <c r="C8" s="5">
        <v>566927</v>
      </c>
      <c r="D8" s="5"/>
      <c r="E8" s="5">
        <v>313356</v>
      </c>
      <c r="F8" s="5">
        <v>237273</v>
      </c>
      <c r="H8" s="14">
        <f t="shared" ref="H8" si="7">SUM(B8:F8)</f>
        <v>1234527</v>
      </c>
      <c r="I8" s="14">
        <v>897540.13733333338</v>
      </c>
      <c r="J8" s="18">
        <f t="shared" ref="J8" si="8">SUM(H8:I8)</f>
        <v>2132067.1373333335</v>
      </c>
      <c r="L8" s="14">
        <v>1234244</v>
      </c>
      <c r="M8" s="14">
        <v>368224.90666666668</v>
      </c>
      <c r="N8" s="18">
        <f t="shared" ref="N8" si="9">SUM(L8:M8)</f>
        <v>1602468.9066666667</v>
      </c>
    </row>
    <row r="9" spans="1:14" ht="24.95" customHeight="1" x14ac:dyDescent="0.25">
      <c r="A9" s="8" t="s">
        <v>79</v>
      </c>
      <c r="B9" s="5">
        <v>166611</v>
      </c>
      <c r="C9" s="5">
        <v>360278</v>
      </c>
      <c r="D9" s="5"/>
      <c r="E9" s="5">
        <v>351470</v>
      </c>
      <c r="F9" s="5">
        <v>4530</v>
      </c>
      <c r="G9" s="4"/>
      <c r="H9" s="14">
        <f t="shared" si="4"/>
        <v>882889</v>
      </c>
      <c r="I9" s="14">
        <v>682018.07833333337</v>
      </c>
      <c r="J9" s="18">
        <f t="shared" si="5"/>
        <v>1564907.0783333334</v>
      </c>
      <c r="K9" s="4"/>
      <c r="L9" s="14">
        <v>502822</v>
      </c>
      <c r="M9" s="14">
        <v>410840.63000000047</v>
      </c>
      <c r="N9" s="18">
        <f t="shared" si="6"/>
        <v>913662.63000000047</v>
      </c>
    </row>
    <row r="10" spans="1:14" ht="24.95" customHeight="1" x14ac:dyDescent="0.25">
      <c r="A10" s="8" t="s">
        <v>128</v>
      </c>
      <c r="B10" s="5">
        <v>49361</v>
      </c>
      <c r="C10" s="5">
        <v>191423</v>
      </c>
      <c r="D10" s="5"/>
      <c r="E10" s="5">
        <v>66738</v>
      </c>
      <c r="F10" s="5">
        <v>220331.25</v>
      </c>
      <c r="H10" s="14">
        <f t="shared" si="4"/>
        <v>527853.25</v>
      </c>
      <c r="I10" s="14">
        <v>534306.41166666662</v>
      </c>
      <c r="J10" s="18">
        <f t="shared" si="5"/>
        <v>1062159.6616666666</v>
      </c>
      <c r="L10" s="14">
        <v>395392</v>
      </c>
      <c r="M10" s="14">
        <v>390003.28</v>
      </c>
      <c r="N10" s="18">
        <f t="shared" si="6"/>
        <v>785395.28</v>
      </c>
    </row>
    <row r="11" spans="1:14" ht="24.95" customHeight="1" x14ac:dyDescent="0.25">
      <c r="A11" s="9" t="s">
        <v>52</v>
      </c>
      <c r="B11" s="7">
        <f t="shared" ref="B11:J11" si="10">SUM(B12:B14)</f>
        <v>103839</v>
      </c>
      <c r="C11" s="7">
        <f t="shared" si="10"/>
        <v>250124</v>
      </c>
      <c r="D11" s="7">
        <f t="shared" si="10"/>
        <v>0</v>
      </c>
      <c r="E11" s="7">
        <f t="shared" si="10"/>
        <v>98050</v>
      </c>
      <c r="F11" s="7">
        <f t="shared" si="10"/>
        <v>413965.5</v>
      </c>
      <c r="G11" s="4"/>
      <c r="H11" s="13">
        <f t="shared" si="10"/>
        <v>865978.5</v>
      </c>
      <c r="I11" s="13">
        <f t="shared" si="10"/>
        <v>1946615.9291666667</v>
      </c>
      <c r="J11" s="17">
        <f t="shared" si="10"/>
        <v>2812594.4291666667</v>
      </c>
      <c r="K11" s="4"/>
      <c r="L11" s="13">
        <f>SUM(L12:L14)</f>
        <v>744642</v>
      </c>
      <c r="M11" s="13">
        <f>SUM(M12:M14)</f>
        <v>1755697.9849999999</v>
      </c>
      <c r="N11" s="17">
        <f>SUM(N12:N14)</f>
        <v>2500339.9849999999</v>
      </c>
    </row>
    <row r="12" spans="1:14" ht="24.95" customHeight="1" x14ac:dyDescent="0.25">
      <c r="A12" s="8" t="s">
        <v>80</v>
      </c>
      <c r="B12" s="5">
        <v>37810</v>
      </c>
      <c r="C12" s="5">
        <v>74865</v>
      </c>
      <c r="D12" s="5"/>
      <c r="E12" s="5">
        <v>19948</v>
      </c>
      <c r="F12" s="5">
        <v>206016</v>
      </c>
      <c r="H12" s="14">
        <f t="shared" ref="H12:H14" si="11">SUM(B12:F12)</f>
        <v>338639</v>
      </c>
      <c r="I12" s="14">
        <v>653406.00416666665</v>
      </c>
      <c r="J12" s="18">
        <f t="shared" ref="J12:J14" si="12">SUM(H12:I12)</f>
        <v>992045.00416666665</v>
      </c>
      <c r="L12" s="14">
        <v>333248</v>
      </c>
      <c r="M12" s="14">
        <v>595747.6283333333</v>
      </c>
      <c r="N12" s="18">
        <f t="shared" ref="N12:N14" si="13">SUM(L12:M12)</f>
        <v>928995.6283333333</v>
      </c>
    </row>
    <row r="13" spans="1:14" ht="24.95" customHeight="1" x14ac:dyDescent="0.25">
      <c r="A13" s="8" t="s">
        <v>81</v>
      </c>
      <c r="B13" s="5">
        <v>66029</v>
      </c>
      <c r="C13" s="5">
        <v>128069</v>
      </c>
      <c r="D13" s="5"/>
      <c r="E13" s="5">
        <v>78102</v>
      </c>
      <c r="F13" s="5">
        <v>207949.5</v>
      </c>
      <c r="H13" s="14">
        <f t="shared" si="11"/>
        <v>480149.5</v>
      </c>
      <c r="I13" s="14">
        <v>653406.00416666665</v>
      </c>
      <c r="J13" s="18">
        <f t="shared" si="12"/>
        <v>1133555.5041666667</v>
      </c>
      <c r="L13" s="14">
        <v>318206</v>
      </c>
      <c r="M13" s="14">
        <v>595747.6283333333</v>
      </c>
      <c r="N13" s="18">
        <f t="shared" si="13"/>
        <v>913953.6283333333</v>
      </c>
    </row>
    <row r="14" spans="1:14" ht="24.95" customHeight="1" x14ac:dyDescent="0.25">
      <c r="A14" s="8" t="s">
        <v>82</v>
      </c>
      <c r="B14" s="5"/>
      <c r="C14" s="5">
        <v>47190</v>
      </c>
      <c r="D14" s="5"/>
      <c r="E14" s="5"/>
      <c r="F14" s="5"/>
      <c r="H14" s="14">
        <f t="shared" si="11"/>
        <v>47190</v>
      </c>
      <c r="I14" s="14">
        <v>639803.9208333334</v>
      </c>
      <c r="J14" s="18">
        <f t="shared" si="12"/>
        <v>686993.9208333334</v>
      </c>
      <c r="L14" s="14">
        <v>93188</v>
      </c>
      <c r="M14" s="14">
        <v>564202.72833333327</v>
      </c>
      <c r="N14" s="18">
        <f t="shared" si="13"/>
        <v>657390.72833333327</v>
      </c>
    </row>
    <row r="15" spans="1:14" ht="24.95" customHeight="1" x14ac:dyDescent="0.25">
      <c r="A15" s="9" t="s">
        <v>53</v>
      </c>
      <c r="B15" s="7">
        <f>SUM(B16:B18)</f>
        <v>196446</v>
      </c>
      <c r="C15" s="7">
        <f>SUM(C16:C18)</f>
        <v>351636</v>
      </c>
      <c r="D15" s="7">
        <f>SUM(D16:D18)</f>
        <v>0</v>
      </c>
      <c r="E15" s="7">
        <f>SUM(E16:E18)</f>
        <v>155223</v>
      </c>
      <c r="F15" s="7">
        <f>SUM(F16:F18)</f>
        <v>707955.25</v>
      </c>
      <c r="H15" s="13">
        <f>SUM(H16:H18)</f>
        <v>1411260.25</v>
      </c>
      <c r="I15" s="13">
        <f>SUM(I16:I18)</f>
        <v>2361011.7625000002</v>
      </c>
      <c r="J15" s="17">
        <f>SUM(J16:J18)</f>
        <v>3772272.0125000002</v>
      </c>
      <c r="L15" s="13">
        <f>SUM(L16:L18)</f>
        <v>1015749</v>
      </c>
      <c r="M15" s="13">
        <f>SUM(M16:M18)</f>
        <v>2079078.0749999997</v>
      </c>
      <c r="N15" s="17">
        <f>SUM(N16:N18)</f>
        <v>3094827.0749999997</v>
      </c>
    </row>
    <row r="16" spans="1:14" ht="24.95" customHeight="1" x14ac:dyDescent="0.25">
      <c r="A16" s="8" t="s">
        <v>83</v>
      </c>
      <c r="B16" s="5">
        <v>148462</v>
      </c>
      <c r="C16" s="5">
        <v>325995</v>
      </c>
      <c r="D16" s="5"/>
      <c r="E16" s="5">
        <v>138713</v>
      </c>
      <c r="F16" s="5">
        <v>90813</v>
      </c>
      <c r="H16" s="14">
        <f t="shared" ref="H16:H18" si="14">SUM(B16:F16)</f>
        <v>703983</v>
      </c>
      <c r="I16" s="14">
        <v>787003.9208333334</v>
      </c>
      <c r="J16" s="18">
        <f t="shared" ref="J16:J18" si="15">SUM(H16:I16)</f>
        <v>1490986.9208333334</v>
      </c>
      <c r="L16" s="14">
        <v>747217</v>
      </c>
      <c r="M16" s="14">
        <v>693026.02499999991</v>
      </c>
      <c r="N16" s="18">
        <f t="shared" ref="N16:N18" si="16">SUM(L16:M16)</f>
        <v>1440243.0249999999</v>
      </c>
    </row>
    <row r="17" spans="1:14" ht="24.95" customHeight="1" x14ac:dyDescent="0.25">
      <c r="A17" s="8" t="s">
        <v>84</v>
      </c>
      <c r="B17" s="5">
        <v>47984</v>
      </c>
      <c r="C17" s="5">
        <v>25641</v>
      </c>
      <c r="D17" s="5"/>
      <c r="E17" s="5">
        <v>16510</v>
      </c>
      <c r="F17" s="5">
        <v>617142.25</v>
      </c>
      <c r="H17" s="14">
        <f t="shared" si="14"/>
        <v>707277.25</v>
      </c>
      <c r="I17" s="14">
        <v>787003.9208333334</v>
      </c>
      <c r="J17" s="18">
        <f t="shared" si="15"/>
        <v>1494281.1708333334</v>
      </c>
      <c r="L17" s="14">
        <v>172319</v>
      </c>
      <c r="M17" s="14">
        <v>693026.02499999991</v>
      </c>
      <c r="N17" s="18">
        <f t="shared" si="16"/>
        <v>865345.02499999991</v>
      </c>
    </row>
    <row r="18" spans="1:14" ht="24.95" customHeight="1" x14ac:dyDescent="0.25">
      <c r="A18" s="8" t="s">
        <v>85</v>
      </c>
      <c r="B18" s="5"/>
      <c r="C18" s="5"/>
      <c r="D18" s="5"/>
      <c r="E18" s="5"/>
      <c r="F18" s="5"/>
      <c r="H18" s="14">
        <f t="shared" si="14"/>
        <v>0</v>
      </c>
      <c r="I18" s="14">
        <v>787003.9208333334</v>
      </c>
      <c r="J18" s="18">
        <f t="shared" si="15"/>
        <v>787003.9208333334</v>
      </c>
      <c r="L18" s="14">
        <v>96213</v>
      </c>
      <c r="M18" s="14">
        <v>693026.02499999991</v>
      </c>
      <c r="N18" s="18">
        <f t="shared" si="16"/>
        <v>789239.02499999991</v>
      </c>
    </row>
    <row r="19" spans="1:14" ht="24.95" customHeight="1" x14ac:dyDescent="0.25">
      <c r="A19" s="10" t="s">
        <v>131</v>
      </c>
      <c r="B19" s="6">
        <f>SUM(B3:B5,B7)</f>
        <v>556877.02</v>
      </c>
      <c r="C19" s="6">
        <f t="shared" ref="C19:F19" si="17">SUM(C3:C5,C7)</f>
        <v>1111366.78</v>
      </c>
      <c r="D19" s="6">
        <f t="shared" si="17"/>
        <v>308825.5</v>
      </c>
      <c r="E19" s="6">
        <f t="shared" si="17"/>
        <v>655449.54</v>
      </c>
      <c r="F19" s="6">
        <f t="shared" si="17"/>
        <v>1111366.96</v>
      </c>
      <c r="H19" s="15">
        <f t="shared" ref="H19:J19" si="18">SUM(H3:H5,H7)</f>
        <v>3743885.8</v>
      </c>
      <c r="I19" s="15">
        <f t="shared" si="18"/>
        <v>1582259.55</v>
      </c>
      <c r="J19" s="15">
        <f t="shared" si="18"/>
        <v>5326145.3500000006</v>
      </c>
      <c r="L19" s="15">
        <f t="shared" ref="L19:N19" si="19">SUM(L3:L5,L7)</f>
        <v>4105785.5500000003</v>
      </c>
      <c r="M19" s="15">
        <f t="shared" si="19"/>
        <v>2163850.0299999998</v>
      </c>
      <c r="N19" s="15">
        <f t="shared" si="19"/>
        <v>6269635.5800000001</v>
      </c>
    </row>
    <row r="20" spans="1:14" ht="24.95" customHeight="1" x14ac:dyDescent="0.25">
      <c r="A20" s="10" t="s">
        <v>132</v>
      </c>
      <c r="B20" s="6">
        <f>SUM(B8:B10,B12:B14,B16:B18)</f>
        <v>633228</v>
      </c>
      <c r="C20" s="6">
        <f t="shared" ref="C20:F20" si="20">SUM(C8:C10,C12:C14,C16:C18)</f>
        <v>1720388</v>
      </c>
      <c r="D20" s="6">
        <f t="shared" si="20"/>
        <v>0</v>
      </c>
      <c r="E20" s="6">
        <f t="shared" si="20"/>
        <v>984837</v>
      </c>
      <c r="F20" s="6">
        <f t="shared" si="20"/>
        <v>1584055</v>
      </c>
      <c r="H20" s="15">
        <f t="shared" ref="H20:J20" si="21">SUM(H8:H10,H12:H14,H16:H18)</f>
        <v>4922508</v>
      </c>
      <c r="I20" s="15">
        <f t="shared" si="21"/>
        <v>6421492.3190000001</v>
      </c>
      <c r="J20" s="15">
        <f t="shared" si="21"/>
        <v>11344000.319000002</v>
      </c>
      <c r="L20" s="15">
        <f t="shared" ref="L20:N20" si="22">SUM(L8:L10,L12:L14,L16:L18)</f>
        <v>3892849</v>
      </c>
      <c r="M20" s="15">
        <f t="shared" si="22"/>
        <v>5003844.8766666669</v>
      </c>
      <c r="N20" s="15">
        <f t="shared" si="22"/>
        <v>8896693.8766666669</v>
      </c>
    </row>
    <row r="21" spans="1:14" ht="24.95" customHeight="1" x14ac:dyDescent="0.25">
      <c r="A21" s="19" t="s">
        <v>794</v>
      </c>
      <c r="B21" s="6">
        <f>SUM(B19:B20)</f>
        <v>1190105.02</v>
      </c>
      <c r="C21" s="6">
        <f t="shared" ref="C21:F21" si="23">SUM(C19:C20)</f>
        <v>2831754.7800000003</v>
      </c>
      <c r="D21" s="6">
        <f t="shared" si="23"/>
        <v>308825.5</v>
      </c>
      <c r="E21" s="6">
        <f t="shared" si="23"/>
        <v>1640286.54</v>
      </c>
      <c r="F21" s="6">
        <f t="shared" si="23"/>
        <v>2695421.96</v>
      </c>
      <c r="H21" s="20">
        <f t="shared" ref="H21:J21" si="24">SUM(H19:H20)</f>
        <v>8666393.8000000007</v>
      </c>
      <c r="I21" s="20">
        <f t="shared" si="24"/>
        <v>8003751.8689999999</v>
      </c>
      <c r="J21" s="20">
        <f t="shared" si="24"/>
        <v>16670145.669000003</v>
      </c>
      <c r="L21" s="20">
        <f t="shared" ref="L21:N21" si="25">SUM(L19:L20)</f>
        <v>7998634.5500000007</v>
      </c>
      <c r="M21" s="20">
        <f t="shared" si="25"/>
        <v>7167694.9066666663</v>
      </c>
      <c r="N21" s="20">
        <f t="shared" si="25"/>
        <v>15166329.456666667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27B0-BE18-46A9-9496-F5C88CBD696F}">
  <dimension ref="A1:N21"/>
  <sheetViews>
    <sheetView zoomScale="130" zoomScaleNormal="130" zoomScaleSheetLayoutView="130" workbookViewId="0">
      <pane ySplit="1" topLeftCell="A3" activePane="bottomLeft" state="frozen"/>
      <selection activeCell="F3" sqref="F3"/>
      <selection pane="bottomLeft" activeCell="L4" sqref="L4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1091</v>
      </c>
      <c r="I1" s="25" t="s">
        <v>1092</v>
      </c>
      <c r="J1" s="25" t="s">
        <v>1093</v>
      </c>
      <c r="L1" s="25" t="s">
        <v>1094</v>
      </c>
      <c r="M1" s="25" t="s">
        <v>807</v>
      </c>
      <c r="N1" s="28" t="s">
        <v>1095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1822853.6099999999</v>
      </c>
      <c r="N2" s="17">
        <f>SUM(N3:N5)</f>
        <v>5729506.8499999996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f>SUM(L3:M3)</f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565707.72</v>
      </c>
      <c r="N4" s="18">
        <f>SUM(L4:M4)</f>
        <v>1711202.14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652639.16</v>
      </c>
      <c r="N5" s="18">
        <f t="shared" ref="N5" si="1">SUM(L5:M5)</f>
        <v>1827510.77</v>
      </c>
    </row>
    <row r="6" spans="1:14" ht="24.95" customHeight="1" x14ac:dyDescent="0.25">
      <c r="A6" s="9" t="s">
        <v>51</v>
      </c>
      <c r="B6" s="7">
        <f t="shared" ref="B6:J6" si="2">SUM(B7:B10)</f>
        <v>435366.74</v>
      </c>
      <c r="C6" s="7">
        <f t="shared" si="2"/>
        <v>1223207.6400000001</v>
      </c>
      <c r="D6" s="7">
        <f t="shared" si="2"/>
        <v>3600</v>
      </c>
      <c r="E6" s="7">
        <f t="shared" si="2"/>
        <v>916370.69</v>
      </c>
      <c r="F6" s="7">
        <f t="shared" si="2"/>
        <v>458089.8</v>
      </c>
      <c r="H6" s="13">
        <f t="shared" si="2"/>
        <v>3036634.87</v>
      </c>
      <c r="I6" s="13">
        <f>SUM(I7:I10)</f>
        <v>2113864.6273333333</v>
      </c>
      <c r="J6" s="17">
        <f t="shared" si="2"/>
        <v>5150499.4973333329</v>
      </c>
      <c r="L6" s="13">
        <v>2761966.67</v>
      </c>
      <c r="M6" s="13">
        <v>1510065.2366666675</v>
      </c>
      <c r="N6" s="17">
        <f t="shared" ref="N6" si="3">SUM(N7:N10)</f>
        <v>4272031.9066666672</v>
      </c>
    </row>
    <row r="7" spans="1:14" ht="24.95" customHeight="1" x14ac:dyDescent="0.25">
      <c r="A7" s="8" t="s">
        <v>105</v>
      </c>
      <c r="B7" s="5">
        <v>129004.74</v>
      </c>
      <c r="C7" s="5">
        <v>388529.64</v>
      </c>
      <c r="D7" s="5">
        <v>900</v>
      </c>
      <c r="E7" s="5">
        <v>159412.69</v>
      </c>
      <c r="F7" s="5">
        <v>77900.800000000003</v>
      </c>
      <c r="H7" s="14">
        <f t="shared" ref="H7:H10" si="4">SUM(B7:F7)</f>
        <v>755747.87000000011</v>
      </c>
      <c r="I7" s="14">
        <v>0</v>
      </c>
      <c r="J7" s="18">
        <f t="shared" ref="J7:J10" si="5">SUM(H7:I7)</f>
        <v>755747.87000000011</v>
      </c>
      <c r="L7" s="14">
        <v>1021129.0800000001</v>
      </c>
      <c r="M7" s="14">
        <v>340996.42</v>
      </c>
      <c r="N7" s="18">
        <f t="shared" ref="N7:N10" si="6">SUM(L7:M7)</f>
        <v>1362125.5</v>
      </c>
    </row>
    <row r="8" spans="1:14" ht="24.95" customHeight="1" x14ac:dyDescent="0.25">
      <c r="A8" s="8" t="s">
        <v>78</v>
      </c>
      <c r="B8" s="5">
        <v>48232</v>
      </c>
      <c r="C8" s="5">
        <v>280484</v>
      </c>
      <c r="D8" s="5">
        <v>900</v>
      </c>
      <c r="E8" s="5">
        <v>343792</v>
      </c>
      <c r="F8" s="5">
        <v>180513</v>
      </c>
      <c r="H8" s="14">
        <f t="shared" si="4"/>
        <v>853921</v>
      </c>
      <c r="I8" s="14">
        <v>897540.13733333338</v>
      </c>
      <c r="J8" s="18">
        <f t="shared" si="5"/>
        <v>1751461.1373333335</v>
      </c>
      <c r="L8" s="14">
        <v>808154.59</v>
      </c>
      <c r="M8" s="14">
        <v>368224.90666666668</v>
      </c>
      <c r="N8" s="18">
        <f t="shared" si="6"/>
        <v>1176379.4966666666</v>
      </c>
    </row>
    <row r="9" spans="1:14" ht="24.95" customHeight="1" x14ac:dyDescent="0.25">
      <c r="A9" s="8" t="s">
        <v>79</v>
      </c>
      <c r="B9" s="5">
        <v>208769</v>
      </c>
      <c r="C9" s="5">
        <v>362771</v>
      </c>
      <c r="D9" s="5">
        <v>900</v>
      </c>
      <c r="E9" s="5">
        <v>346428</v>
      </c>
      <c r="F9" s="5">
        <v>165605</v>
      </c>
      <c r="G9" s="4"/>
      <c r="H9" s="14">
        <f t="shared" si="4"/>
        <v>1084473</v>
      </c>
      <c r="I9" s="14">
        <v>682018.07833333337</v>
      </c>
      <c r="J9" s="18">
        <f t="shared" si="5"/>
        <v>1766491.0783333334</v>
      </c>
      <c r="K9" s="4"/>
      <c r="L9" s="14">
        <v>620589</v>
      </c>
      <c r="M9" s="14">
        <v>410840.63000000047</v>
      </c>
      <c r="N9" s="18">
        <f t="shared" si="6"/>
        <v>1031429.6300000005</v>
      </c>
    </row>
    <row r="10" spans="1:14" ht="24.95" customHeight="1" x14ac:dyDescent="0.25">
      <c r="A10" s="8" t="s">
        <v>128</v>
      </c>
      <c r="B10" s="5">
        <v>49361</v>
      </c>
      <c r="C10" s="5">
        <v>191423</v>
      </c>
      <c r="D10" s="5">
        <v>900</v>
      </c>
      <c r="E10" s="5">
        <v>66738</v>
      </c>
      <c r="F10" s="5">
        <v>34071</v>
      </c>
      <c r="H10" s="14">
        <f t="shared" si="4"/>
        <v>342493</v>
      </c>
      <c r="I10" s="14">
        <v>534306.41166666662</v>
      </c>
      <c r="J10" s="18">
        <f t="shared" si="5"/>
        <v>876799.41166666662</v>
      </c>
      <c r="L10" s="14">
        <v>312094</v>
      </c>
      <c r="M10" s="14">
        <v>390003.28000000049</v>
      </c>
      <c r="N10" s="18">
        <f t="shared" si="6"/>
        <v>702097.28000000049</v>
      </c>
    </row>
    <row r="11" spans="1:14" ht="24.95" customHeight="1" x14ac:dyDescent="0.25">
      <c r="A11" s="9" t="s">
        <v>52</v>
      </c>
      <c r="B11" s="7">
        <f t="shared" ref="B11:J11" si="7">SUM(B12:B14)</f>
        <v>138526</v>
      </c>
      <c r="C11" s="7">
        <f t="shared" si="7"/>
        <v>252864</v>
      </c>
      <c r="D11" s="7">
        <f t="shared" si="7"/>
        <v>5412</v>
      </c>
      <c r="E11" s="7">
        <f t="shared" si="7"/>
        <v>84253</v>
      </c>
      <c r="F11" s="7">
        <f t="shared" si="7"/>
        <v>227202</v>
      </c>
      <c r="G11" s="4"/>
      <c r="H11" s="13">
        <f t="shared" si="7"/>
        <v>708257</v>
      </c>
      <c r="I11" s="13">
        <f t="shared" si="7"/>
        <v>1946615.9291666667</v>
      </c>
      <c r="J11" s="17">
        <f t="shared" si="7"/>
        <v>2654872.9291666667</v>
      </c>
      <c r="K11" s="4"/>
      <c r="L11" s="13">
        <v>807587</v>
      </c>
      <c r="M11" s="13">
        <v>1755697.9849999999</v>
      </c>
      <c r="N11" s="17">
        <f>SUM(N12:N14)</f>
        <v>2563284.9849999999</v>
      </c>
    </row>
    <row r="12" spans="1:14" ht="24.95" customHeight="1" x14ac:dyDescent="0.25">
      <c r="A12" s="8" t="s">
        <v>80</v>
      </c>
      <c r="B12" s="5">
        <v>47995</v>
      </c>
      <c r="C12" s="5">
        <v>77800</v>
      </c>
      <c r="D12" s="5">
        <v>1812</v>
      </c>
      <c r="E12" s="5">
        <v>9763</v>
      </c>
      <c r="F12" s="5">
        <v>206016</v>
      </c>
      <c r="H12" s="14">
        <f t="shared" ref="H12:H14" si="8">SUM(B12:F12)</f>
        <v>343386</v>
      </c>
      <c r="I12" s="14">
        <v>653406.00416666665</v>
      </c>
      <c r="J12" s="18">
        <f t="shared" ref="J12:J14" si="9">SUM(H12:I12)</f>
        <v>996792.00416666665</v>
      </c>
      <c r="L12" s="14">
        <v>343688</v>
      </c>
      <c r="M12" s="14">
        <v>595747.6283333333</v>
      </c>
      <c r="N12" s="18">
        <f t="shared" ref="N12:N14" si="10">SUM(L12:M12)</f>
        <v>939435.6283333333</v>
      </c>
    </row>
    <row r="13" spans="1:14" ht="24.95" customHeight="1" x14ac:dyDescent="0.25">
      <c r="A13" s="8" t="s">
        <v>81</v>
      </c>
      <c r="B13" s="5">
        <v>87471</v>
      </c>
      <c r="C13" s="5">
        <v>127874</v>
      </c>
      <c r="D13" s="5">
        <v>1800</v>
      </c>
      <c r="E13" s="5">
        <v>74490</v>
      </c>
      <c r="F13" s="5">
        <v>21186</v>
      </c>
      <c r="H13" s="14">
        <f t="shared" si="8"/>
        <v>312821</v>
      </c>
      <c r="I13" s="14">
        <v>653406.00416666665</v>
      </c>
      <c r="J13" s="18">
        <f t="shared" si="9"/>
        <v>966227.00416666665</v>
      </c>
      <c r="L13" s="14">
        <v>359966</v>
      </c>
      <c r="M13" s="14">
        <v>595747.6283333333</v>
      </c>
      <c r="N13" s="18">
        <f t="shared" si="10"/>
        <v>955713.6283333333</v>
      </c>
    </row>
    <row r="14" spans="1:14" ht="24.95" customHeight="1" x14ac:dyDescent="0.25">
      <c r="A14" s="8" t="s">
        <v>82</v>
      </c>
      <c r="B14" s="5">
        <v>3060</v>
      </c>
      <c r="C14" s="5">
        <v>47190</v>
      </c>
      <c r="D14" s="5">
        <v>1800</v>
      </c>
      <c r="E14" s="5"/>
      <c r="F14" s="5"/>
      <c r="H14" s="14">
        <f t="shared" si="8"/>
        <v>52050</v>
      </c>
      <c r="I14" s="14">
        <v>639803.9208333334</v>
      </c>
      <c r="J14" s="18">
        <f t="shared" si="9"/>
        <v>691853.9208333334</v>
      </c>
      <c r="L14" s="14">
        <v>103933</v>
      </c>
      <c r="M14" s="14">
        <v>564202.72833333327</v>
      </c>
      <c r="N14" s="18">
        <f t="shared" si="10"/>
        <v>668135.72833333327</v>
      </c>
    </row>
    <row r="15" spans="1:14" ht="24.95" customHeight="1" x14ac:dyDescent="0.25">
      <c r="A15" s="9" t="s">
        <v>53</v>
      </c>
      <c r="B15" s="7">
        <f>SUM(B16:B18)</f>
        <v>228252</v>
      </c>
      <c r="C15" s="7">
        <f>SUM(C16:C18)</f>
        <v>351636</v>
      </c>
      <c r="D15" s="7">
        <f>SUM(D16:D18)</f>
        <v>5400</v>
      </c>
      <c r="E15" s="7">
        <f>SUM(E16:E18)</f>
        <v>183209</v>
      </c>
      <c r="F15" s="7">
        <f>SUM(F16:F18)</f>
        <v>212087</v>
      </c>
      <c r="H15" s="13">
        <f>SUM(H16:H18)</f>
        <v>980584</v>
      </c>
      <c r="I15" s="13">
        <f>SUM(I16:I18)</f>
        <v>2361011.7625000002</v>
      </c>
      <c r="J15" s="17">
        <f>SUM(J16:J18)</f>
        <v>3341595.7625000002</v>
      </c>
      <c r="L15" s="13">
        <v>1149805</v>
      </c>
      <c r="M15" s="13">
        <v>2079078.0749999997</v>
      </c>
      <c r="N15" s="17">
        <f>SUM(N16:N18)</f>
        <v>3228883.0749999997</v>
      </c>
    </row>
    <row r="16" spans="1:14" ht="24.95" customHeight="1" x14ac:dyDescent="0.25">
      <c r="A16" s="8" t="s">
        <v>83</v>
      </c>
      <c r="B16" s="5">
        <v>175248</v>
      </c>
      <c r="C16" s="5">
        <v>325995</v>
      </c>
      <c r="D16" s="5">
        <v>1800</v>
      </c>
      <c r="E16" s="5">
        <v>166699</v>
      </c>
      <c r="F16" s="5">
        <v>62827</v>
      </c>
      <c r="H16" s="14">
        <f t="shared" ref="H16:H18" si="11">SUM(B16:F16)</f>
        <v>732569</v>
      </c>
      <c r="I16" s="14">
        <v>787003.9208333334</v>
      </c>
      <c r="J16" s="18">
        <f t="shared" ref="J16:J18" si="12">SUM(H16:I16)</f>
        <v>1519572.9208333334</v>
      </c>
      <c r="L16" s="14">
        <v>760797</v>
      </c>
      <c r="M16" s="14">
        <v>693026.02499999991</v>
      </c>
      <c r="N16" s="18">
        <f t="shared" ref="N16:N18" si="13">SUM(L16:M16)</f>
        <v>1453823.0249999999</v>
      </c>
    </row>
    <row r="17" spans="1:14" ht="24.95" customHeight="1" x14ac:dyDescent="0.25">
      <c r="A17" s="8" t="s">
        <v>84</v>
      </c>
      <c r="B17" s="5">
        <v>53004</v>
      </c>
      <c r="C17" s="5">
        <v>25641</v>
      </c>
      <c r="D17" s="5">
        <v>1800</v>
      </c>
      <c r="E17" s="5">
        <v>16510</v>
      </c>
      <c r="F17" s="5">
        <v>149260</v>
      </c>
      <c r="H17" s="14">
        <f t="shared" si="11"/>
        <v>246215</v>
      </c>
      <c r="I17" s="14">
        <v>787003.9208333334</v>
      </c>
      <c r="J17" s="18">
        <f t="shared" si="12"/>
        <v>1033218.9208333334</v>
      </c>
      <c r="L17" s="14">
        <v>293189</v>
      </c>
      <c r="M17" s="14">
        <v>693026.02499999991</v>
      </c>
      <c r="N17" s="18">
        <f t="shared" si="13"/>
        <v>986215.02499999991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11"/>
        <v>1800</v>
      </c>
      <c r="I18" s="14">
        <v>787003.9208333334</v>
      </c>
      <c r="J18" s="18">
        <f t="shared" si="12"/>
        <v>788803.9208333334</v>
      </c>
      <c r="L18" s="14">
        <v>95819</v>
      </c>
      <c r="M18" s="14">
        <v>693026.02499999991</v>
      </c>
      <c r="N18" s="18">
        <f t="shared" si="13"/>
        <v>788845.02499999991</v>
      </c>
    </row>
    <row r="19" spans="1:14" ht="24.95" customHeight="1" x14ac:dyDescent="0.25">
      <c r="A19" s="10" t="s">
        <v>131</v>
      </c>
      <c r="B19" s="6">
        <f>SUM(B3:B5,B7)</f>
        <v>609376.76</v>
      </c>
      <c r="C19" s="6">
        <f t="shared" ref="C19:F19" si="14">SUM(C3:C5,C7)</f>
        <v>1382770.42</v>
      </c>
      <c r="D19" s="6">
        <f t="shared" si="14"/>
        <v>308825.5</v>
      </c>
      <c r="E19" s="6">
        <f t="shared" si="14"/>
        <v>749321.28</v>
      </c>
      <c r="F19" s="6">
        <f t="shared" si="14"/>
        <v>1189267.76</v>
      </c>
      <c r="H19" s="15">
        <f t="shared" ref="H19:J19" si="15">SUM(H3:H5,H7)</f>
        <v>4239561.72</v>
      </c>
      <c r="I19" s="15">
        <f t="shared" si="15"/>
        <v>1582259.55</v>
      </c>
      <c r="J19" s="15">
        <f t="shared" si="15"/>
        <v>5821821.2700000005</v>
      </c>
      <c r="L19" s="15">
        <f t="shared" ref="L19:N19" si="16">SUM(L3:L5,L7)</f>
        <v>4927782.32</v>
      </c>
      <c r="M19" s="15">
        <f t="shared" si="16"/>
        <v>2163850.0299999998</v>
      </c>
      <c r="N19" s="15">
        <f t="shared" si="16"/>
        <v>7091632.3499999996</v>
      </c>
    </row>
    <row r="20" spans="1:14" ht="24.95" customHeight="1" x14ac:dyDescent="0.25">
      <c r="A20" s="10" t="s">
        <v>132</v>
      </c>
      <c r="B20" s="6">
        <f>SUM(B8:B10,B12:B14,B16:B18)</f>
        <v>673140</v>
      </c>
      <c r="C20" s="6">
        <f t="shared" ref="C20:F20" si="17">SUM(C8:C10,C12:C14,C16:C18)</f>
        <v>1439178</v>
      </c>
      <c r="D20" s="6">
        <f t="shared" si="17"/>
        <v>13512</v>
      </c>
      <c r="E20" s="6">
        <f t="shared" si="17"/>
        <v>1024420</v>
      </c>
      <c r="F20" s="6">
        <f t="shared" si="17"/>
        <v>819478</v>
      </c>
      <c r="H20" s="15">
        <f t="shared" ref="H20:J20" si="18">SUM(H8:H10,H12:H14,H16:H18)</f>
        <v>3969728</v>
      </c>
      <c r="I20" s="15">
        <f t="shared" si="18"/>
        <v>6421492.3190000001</v>
      </c>
      <c r="J20" s="15">
        <f t="shared" si="18"/>
        <v>10391220.319000002</v>
      </c>
      <c r="L20" s="15">
        <f t="shared" ref="L20:N20" si="19">SUM(L8:L10,L12:L14,L16:L18)</f>
        <v>3698229.59</v>
      </c>
      <c r="M20" s="15">
        <f t="shared" si="19"/>
        <v>5003844.8766666669</v>
      </c>
      <c r="N20" s="15">
        <f t="shared" si="19"/>
        <v>8702074.4666666687</v>
      </c>
    </row>
    <row r="21" spans="1:14" ht="24.95" customHeight="1" x14ac:dyDescent="0.25">
      <c r="A21" s="19" t="s">
        <v>794</v>
      </c>
      <c r="B21" s="6">
        <f>SUM(B19:B20)</f>
        <v>1282516.76</v>
      </c>
      <c r="C21" s="6">
        <f t="shared" ref="C21:F21" si="20">SUM(C19:C20)</f>
        <v>2821948.42</v>
      </c>
      <c r="D21" s="6">
        <f t="shared" si="20"/>
        <v>322337.5</v>
      </c>
      <c r="E21" s="6">
        <f t="shared" si="20"/>
        <v>1773741.28</v>
      </c>
      <c r="F21" s="6">
        <f t="shared" si="20"/>
        <v>2008745.76</v>
      </c>
      <c r="H21" s="20">
        <f t="shared" ref="H21:J21" si="21">SUM(H19:H20)</f>
        <v>8209289.7199999997</v>
      </c>
      <c r="I21" s="20">
        <f t="shared" si="21"/>
        <v>8003751.8689999999</v>
      </c>
      <c r="J21" s="20">
        <f t="shared" si="21"/>
        <v>16213041.589000002</v>
      </c>
      <c r="L21" s="20">
        <f t="shared" ref="L21:N21" si="22">SUM(L19:L20)</f>
        <v>8626011.9100000001</v>
      </c>
      <c r="M21" s="20">
        <f t="shared" si="22"/>
        <v>7167694.9066666663</v>
      </c>
      <c r="N21" s="20">
        <f t="shared" si="22"/>
        <v>15793706.816666668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6628-C9A2-4CE1-B15A-785CAD140769}">
  <dimension ref="A1:N21"/>
  <sheetViews>
    <sheetView zoomScale="130" zoomScaleNormal="130" zoomScaleSheetLayoutView="130" workbookViewId="0">
      <pane ySplit="1" topLeftCell="A9" activePane="bottomLeft" state="frozen"/>
      <selection activeCell="F3" sqref="F3"/>
      <selection pane="bottomLeft" activeCell="L27" sqref="L27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1091</v>
      </c>
      <c r="I1" s="25" t="s">
        <v>1092</v>
      </c>
      <c r="J1" s="25" t="s">
        <v>1093</v>
      </c>
      <c r="L1" s="25" t="s">
        <v>1113</v>
      </c>
      <c r="M1" s="25" t="s">
        <v>807</v>
      </c>
      <c r="N1" s="28" t="s">
        <v>1095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1822853.6099999999</v>
      </c>
      <c r="N2" s="17">
        <f>SUM(N3:N5)</f>
        <v>5729506.8499999996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f>SUM(L3:M3)</f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565707.72</v>
      </c>
      <c r="N4" s="18">
        <f>SUM(L4:M4)</f>
        <v>1711202.14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652639.16</v>
      </c>
      <c r="N5" s="18">
        <f t="shared" ref="N5" si="1">SUM(L5:M5)</f>
        <v>1827510.77</v>
      </c>
    </row>
    <row r="6" spans="1:14" ht="24.95" customHeight="1" x14ac:dyDescent="0.25">
      <c r="A6" s="9" t="s">
        <v>51</v>
      </c>
      <c r="B6" s="7">
        <f t="shared" ref="B6:J6" si="2">SUM(B7:B10)</f>
        <v>462065.99</v>
      </c>
      <c r="C6" s="7">
        <f t="shared" si="2"/>
        <v>1266915.6000000001</v>
      </c>
      <c r="D6" s="7">
        <f t="shared" si="2"/>
        <v>3600</v>
      </c>
      <c r="E6" s="7">
        <f t="shared" si="2"/>
        <v>998745.14</v>
      </c>
      <c r="F6" s="7">
        <f t="shared" si="2"/>
        <v>458777.8</v>
      </c>
      <c r="H6" s="13">
        <f t="shared" si="2"/>
        <v>3190104.5300000003</v>
      </c>
      <c r="I6" s="13">
        <f>SUM(I7:I10)</f>
        <v>2113864.6273333333</v>
      </c>
      <c r="J6" s="17">
        <f t="shared" si="2"/>
        <v>5303969.157333333</v>
      </c>
      <c r="L6" s="13">
        <v>3022914.21</v>
      </c>
      <c r="M6" s="13">
        <v>1510065.2366666675</v>
      </c>
      <c r="N6" s="17">
        <f t="shared" ref="N6" si="3">SUM(N7:N10)</f>
        <v>4532979.4466666672</v>
      </c>
    </row>
    <row r="7" spans="1:14" ht="24.95" customHeight="1" x14ac:dyDescent="0.25">
      <c r="A7" s="8" t="s">
        <v>105</v>
      </c>
      <c r="B7" s="5">
        <v>142064.99</v>
      </c>
      <c r="C7" s="5">
        <v>513513.60000000003</v>
      </c>
      <c r="D7" s="5">
        <v>900</v>
      </c>
      <c r="E7" s="5">
        <v>338913.14</v>
      </c>
      <c r="F7" s="5">
        <v>147880.79999999999</v>
      </c>
      <c r="H7" s="14">
        <f t="shared" ref="H7:H10" si="4">SUM(B7:F7)</f>
        <v>1143272.53</v>
      </c>
      <c r="I7" s="14">
        <v>0</v>
      </c>
      <c r="J7" s="18">
        <f t="shared" ref="J7:J10" si="5">SUM(H7:I7)</f>
        <v>1143272.53</v>
      </c>
      <c r="L7" s="14">
        <v>1140244.99</v>
      </c>
      <c r="M7" s="14">
        <v>340996.42</v>
      </c>
      <c r="N7" s="18">
        <f t="shared" ref="N7:N10" si="6">SUM(L7:M7)</f>
        <v>1481241.41</v>
      </c>
    </row>
    <row r="8" spans="1:14" ht="24.95" customHeight="1" x14ac:dyDescent="0.25">
      <c r="A8" s="8" t="s">
        <v>78</v>
      </c>
      <c r="B8" s="5">
        <v>34207</v>
      </c>
      <c r="C8" s="5">
        <v>135100</v>
      </c>
      <c r="D8" s="5">
        <v>900</v>
      </c>
      <c r="E8" s="5">
        <v>122515</v>
      </c>
      <c r="F8" s="5">
        <v>73531</v>
      </c>
      <c r="H8" s="14">
        <f t="shared" si="4"/>
        <v>366253</v>
      </c>
      <c r="I8" s="14">
        <v>897540.13733333338</v>
      </c>
      <c r="J8" s="18">
        <f t="shared" si="5"/>
        <v>1263793.1373333335</v>
      </c>
      <c r="L8" s="14">
        <v>545742.22</v>
      </c>
      <c r="M8" s="14">
        <v>368224.90666666668</v>
      </c>
      <c r="N8" s="18">
        <f t="shared" si="6"/>
        <v>913967.12666666671</v>
      </c>
    </row>
    <row r="9" spans="1:14" ht="24.95" customHeight="1" x14ac:dyDescent="0.25">
      <c r="A9" s="8" t="s">
        <v>79</v>
      </c>
      <c r="B9" s="5">
        <v>236433</v>
      </c>
      <c r="C9" s="5">
        <v>369421</v>
      </c>
      <c r="D9" s="5">
        <v>900</v>
      </c>
      <c r="E9" s="5">
        <v>350104</v>
      </c>
      <c r="F9" s="5">
        <v>203295</v>
      </c>
      <c r="G9" s="4"/>
      <c r="H9" s="14">
        <f t="shared" si="4"/>
        <v>1160153</v>
      </c>
      <c r="I9" s="14">
        <v>682018.07833333337</v>
      </c>
      <c r="J9" s="18">
        <f t="shared" si="5"/>
        <v>1842171.0783333334</v>
      </c>
      <c r="K9" s="4"/>
      <c r="L9" s="14">
        <v>1024833</v>
      </c>
      <c r="M9" s="14">
        <v>410840.63000000047</v>
      </c>
      <c r="N9" s="18">
        <f t="shared" si="6"/>
        <v>1435673.6300000004</v>
      </c>
    </row>
    <row r="10" spans="1:14" ht="24.95" customHeight="1" x14ac:dyDescent="0.25">
      <c r="A10" s="8" t="s">
        <v>128</v>
      </c>
      <c r="B10" s="5">
        <v>49361</v>
      </c>
      <c r="C10" s="5">
        <v>248881</v>
      </c>
      <c r="D10" s="5">
        <v>900</v>
      </c>
      <c r="E10" s="5">
        <v>187213</v>
      </c>
      <c r="F10" s="5">
        <v>34071</v>
      </c>
      <c r="H10" s="14">
        <f t="shared" si="4"/>
        <v>520426</v>
      </c>
      <c r="I10" s="14">
        <v>534306.41166666662</v>
      </c>
      <c r="J10" s="18">
        <f t="shared" si="5"/>
        <v>1054732.4116666666</v>
      </c>
      <c r="L10" s="14">
        <v>312094</v>
      </c>
      <c r="M10" s="14">
        <v>390003.28000000049</v>
      </c>
      <c r="N10" s="18">
        <f t="shared" si="6"/>
        <v>702097.28000000049</v>
      </c>
    </row>
    <row r="11" spans="1:14" ht="24.95" customHeight="1" x14ac:dyDescent="0.25">
      <c r="A11" s="9" t="s">
        <v>52</v>
      </c>
      <c r="B11" s="7">
        <f t="shared" ref="B11:J11" si="7">SUM(B12:B14)</f>
        <v>149096</v>
      </c>
      <c r="C11" s="7">
        <f t="shared" si="7"/>
        <v>260009</v>
      </c>
      <c r="D11" s="7">
        <f t="shared" si="7"/>
        <v>5412</v>
      </c>
      <c r="E11" s="7">
        <f t="shared" si="7"/>
        <v>107326</v>
      </c>
      <c r="F11" s="7">
        <f t="shared" si="7"/>
        <v>223137</v>
      </c>
      <c r="G11" s="4"/>
      <c r="H11" s="13">
        <f t="shared" si="7"/>
        <v>744980</v>
      </c>
      <c r="I11" s="13">
        <f t="shared" si="7"/>
        <v>1946615.9291666667</v>
      </c>
      <c r="J11" s="17">
        <f t="shared" si="7"/>
        <v>2691595.9291666667</v>
      </c>
      <c r="K11" s="4"/>
      <c r="L11" s="13">
        <v>771578</v>
      </c>
      <c r="M11" s="13">
        <v>1755697.9849999999</v>
      </c>
      <c r="N11" s="17">
        <f>SUM(N12:N14)</f>
        <v>2527275.9849999999</v>
      </c>
    </row>
    <row r="12" spans="1:14" ht="24.95" customHeight="1" x14ac:dyDescent="0.25">
      <c r="A12" s="8" t="s">
        <v>80</v>
      </c>
      <c r="B12" s="5">
        <v>47995</v>
      </c>
      <c r="C12" s="5">
        <v>78145</v>
      </c>
      <c r="D12" s="5">
        <v>1812</v>
      </c>
      <c r="E12" s="5">
        <v>21178</v>
      </c>
      <c r="F12" s="5">
        <v>206016</v>
      </c>
      <c r="H12" s="14">
        <f t="shared" ref="H12:H14" si="8">SUM(B12:F12)</f>
        <v>355146</v>
      </c>
      <c r="I12" s="14">
        <v>653406.00416666665</v>
      </c>
      <c r="J12" s="18">
        <f t="shared" ref="J12:J14" si="9">SUM(H12:I12)</f>
        <v>1008552.0041666667</v>
      </c>
      <c r="L12" s="14">
        <v>307679</v>
      </c>
      <c r="M12" s="14">
        <v>595747.6283333333</v>
      </c>
      <c r="N12" s="18">
        <f t="shared" ref="N12:N14" si="10">SUM(L12:M12)</f>
        <v>903426.6283333333</v>
      </c>
    </row>
    <row r="13" spans="1:14" ht="24.95" customHeight="1" x14ac:dyDescent="0.25">
      <c r="A13" s="8" t="s">
        <v>81</v>
      </c>
      <c r="B13" s="5">
        <v>98041</v>
      </c>
      <c r="C13" s="5">
        <v>134674</v>
      </c>
      <c r="D13" s="5">
        <v>1800</v>
      </c>
      <c r="E13" s="5">
        <v>74560</v>
      </c>
      <c r="F13" s="5">
        <v>13126</v>
      </c>
      <c r="H13" s="14">
        <f t="shared" si="8"/>
        <v>322201</v>
      </c>
      <c r="I13" s="14">
        <v>653406.00416666665</v>
      </c>
      <c r="J13" s="18">
        <f t="shared" si="9"/>
        <v>975607.00416666665</v>
      </c>
      <c r="L13" s="14">
        <v>359966</v>
      </c>
      <c r="M13" s="14">
        <v>595747.6283333333</v>
      </c>
      <c r="N13" s="18">
        <f t="shared" si="10"/>
        <v>955713.6283333333</v>
      </c>
    </row>
    <row r="14" spans="1:14" ht="24.95" customHeight="1" x14ac:dyDescent="0.25">
      <c r="A14" s="8" t="s">
        <v>82</v>
      </c>
      <c r="B14" s="5">
        <v>3060</v>
      </c>
      <c r="C14" s="5">
        <v>47190</v>
      </c>
      <c r="D14" s="5">
        <v>1800</v>
      </c>
      <c r="E14" s="5">
        <v>11588</v>
      </c>
      <c r="F14" s="5">
        <v>3995</v>
      </c>
      <c r="H14" s="14">
        <f t="shared" si="8"/>
        <v>67633</v>
      </c>
      <c r="I14" s="14">
        <v>639803.9208333334</v>
      </c>
      <c r="J14" s="18">
        <f t="shared" si="9"/>
        <v>707436.9208333334</v>
      </c>
      <c r="L14" s="14">
        <v>103933</v>
      </c>
      <c r="M14" s="14">
        <v>564202.72833333327</v>
      </c>
      <c r="N14" s="18">
        <f t="shared" si="10"/>
        <v>668135.72833333327</v>
      </c>
    </row>
    <row r="15" spans="1:14" ht="24.95" customHeight="1" x14ac:dyDescent="0.25">
      <c r="A15" s="9" t="s">
        <v>53</v>
      </c>
      <c r="B15" s="7">
        <f>SUM(B16:B18)</f>
        <v>343457</v>
      </c>
      <c r="C15" s="7">
        <f>SUM(C16:C18)</f>
        <v>376562</v>
      </c>
      <c r="D15" s="7">
        <f>SUM(D16:D18)</f>
        <v>5400</v>
      </c>
      <c r="E15" s="7">
        <f>SUM(E16:E18)</f>
        <v>183209</v>
      </c>
      <c r="F15" s="7">
        <f>SUM(F16:F18)</f>
        <v>150047</v>
      </c>
      <c r="H15" s="13">
        <f>SUM(H16:H18)</f>
        <v>1058675</v>
      </c>
      <c r="I15" s="13">
        <f>SUM(I16:I18)</f>
        <v>2361011.7625000002</v>
      </c>
      <c r="J15" s="17">
        <f>SUM(J16:J18)</f>
        <v>3419686.7625000002</v>
      </c>
      <c r="L15" s="13">
        <v>1158055</v>
      </c>
      <c r="M15" s="13">
        <v>2079078.0749999997</v>
      </c>
      <c r="N15" s="17">
        <f>SUM(N16:N18)</f>
        <v>3237133.0749999997</v>
      </c>
    </row>
    <row r="16" spans="1:14" ht="24.95" customHeight="1" x14ac:dyDescent="0.25">
      <c r="A16" s="8" t="s">
        <v>83</v>
      </c>
      <c r="B16" s="5">
        <v>166928</v>
      </c>
      <c r="C16" s="5">
        <v>350921</v>
      </c>
      <c r="D16" s="5">
        <v>1800</v>
      </c>
      <c r="E16" s="5">
        <v>166699</v>
      </c>
      <c r="F16" s="5">
        <v>80137</v>
      </c>
      <c r="H16" s="14">
        <f t="shared" ref="H16:H18" si="11">SUM(B16:F16)</f>
        <v>766485</v>
      </c>
      <c r="I16" s="14">
        <v>787003.9208333334</v>
      </c>
      <c r="J16" s="18">
        <f t="shared" ref="J16:J18" si="12">SUM(H16:I16)</f>
        <v>1553488.9208333334</v>
      </c>
      <c r="L16" s="14">
        <v>769047</v>
      </c>
      <c r="M16" s="14">
        <v>693026.02499999991</v>
      </c>
      <c r="N16" s="18">
        <f t="shared" ref="N16:N18" si="13">SUM(L16:M16)</f>
        <v>1462073.0249999999</v>
      </c>
    </row>
    <row r="17" spans="1:14" ht="24.95" customHeight="1" x14ac:dyDescent="0.25">
      <c r="A17" s="8" t="s">
        <v>84</v>
      </c>
      <c r="B17" s="5">
        <v>176529</v>
      </c>
      <c r="C17" s="5">
        <v>25641</v>
      </c>
      <c r="D17" s="5">
        <v>1800</v>
      </c>
      <c r="E17" s="5">
        <v>16510</v>
      </c>
      <c r="F17" s="5">
        <v>69910</v>
      </c>
      <c r="H17" s="14">
        <f t="shared" si="11"/>
        <v>290390</v>
      </c>
      <c r="I17" s="14">
        <v>787003.9208333334</v>
      </c>
      <c r="J17" s="18">
        <f t="shared" si="12"/>
        <v>1077393.9208333334</v>
      </c>
      <c r="L17" s="14">
        <v>293189</v>
      </c>
      <c r="M17" s="14">
        <v>693026.02499999991</v>
      </c>
      <c r="N17" s="18">
        <f t="shared" si="13"/>
        <v>986215.02499999991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11"/>
        <v>1800</v>
      </c>
      <c r="I18" s="14">
        <v>787003.9208333334</v>
      </c>
      <c r="J18" s="18">
        <f t="shared" si="12"/>
        <v>788803.9208333334</v>
      </c>
      <c r="L18" s="14">
        <v>95819</v>
      </c>
      <c r="M18" s="14">
        <v>693026.02499999991</v>
      </c>
      <c r="N18" s="18">
        <f t="shared" si="13"/>
        <v>788845.02499999991</v>
      </c>
    </row>
    <row r="19" spans="1:14" ht="24.95" customHeight="1" x14ac:dyDescent="0.25">
      <c r="A19" s="10" t="s">
        <v>131</v>
      </c>
      <c r="B19" s="6">
        <f>SUM(B3:B5,B7)</f>
        <v>622437.01</v>
      </c>
      <c r="C19" s="6">
        <f t="shared" ref="C19:F19" si="14">SUM(C3:C5,C7)</f>
        <v>1507754.3800000001</v>
      </c>
      <c r="D19" s="6">
        <f t="shared" si="14"/>
        <v>308825.5</v>
      </c>
      <c r="E19" s="6">
        <f t="shared" si="14"/>
        <v>928821.7300000001</v>
      </c>
      <c r="F19" s="6">
        <f t="shared" si="14"/>
        <v>1259247.76</v>
      </c>
      <c r="H19" s="15">
        <f t="shared" ref="H19:J19" si="15">SUM(H3:H5,H7)</f>
        <v>4627086.38</v>
      </c>
      <c r="I19" s="15">
        <f t="shared" si="15"/>
        <v>1582259.55</v>
      </c>
      <c r="J19" s="15">
        <f t="shared" si="15"/>
        <v>6209345.9300000006</v>
      </c>
      <c r="L19" s="15">
        <v>5046898.2300000004</v>
      </c>
      <c r="M19" s="15">
        <v>2163850.0299999998</v>
      </c>
      <c r="N19" s="15">
        <f t="shared" ref="N19" si="16">SUM(N3:N5,N7)</f>
        <v>7210748.2599999998</v>
      </c>
    </row>
    <row r="20" spans="1:14" ht="24.95" customHeight="1" x14ac:dyDescent="0.25">
      <c r="A20" s="10" t="s">
        <v>132</v>
      </c>
      <c r="B20" s="6">
        <f>SUM(B8:B10,B12:B14,B16:B18)</f>
        <v>812554</v>
      </c>
      <c r="C20" s="6">
        <f t="shared" ref="C20:F20" si="17">SUM(C8:C10,C12:C14,C16:C18)</f>
        <v>1389973</v>
      </c>
      <c r="D20" s="6">
        <f t="shared" si="17"/>
        <v>13512</v>
      </c>
      <c r="E20" s="6">
        <f t="shared" si="17"/>
        <v>950367</v>
      </c>
      <c r="F20" s="6">
        <f t="shared" si="17"/>
        <v>684081</v>
      </c>
      <c r="H20" s="15">
        <f t="shared" ref="H20:J20" si="18">SUM(H8:H10,H12:H14,H16:H18)</f>
        <v>3850487</v>
      </c>
      <c r="I20" s="15">
        <f t="shared" si="18"/>
        <v>6421492.3190000001</v>
      </c>
      <c r="J20" s="15">
        <f t="shared" si="18"/>
        <v>10271979.319000002</v>
      </c>
      <c r="L20" s="15">
        <v>3812302.2199999997</v>
      </c>
      <c r="M20" s="15">
        <v>5003844.8766666669</v>
      </c>
      <c r="N20" s="15">
        <f t="shared" ref="N20" si="19">SUM(N8:N10,N12:N14,N16:N18)</f>
        <v>8816147.0966666676</v>
      </c>
    </row>
    <row r="21" spans="1:14" ht="24.95" customHeight="1" x14ac:dyDescent="0.25">
      <c r="A21" s="19" t="s">
        <v>794</v>
      </c>
      <c r="B21" s="6">
        <f>SUM(B19:B20)</f>
        <v>1434991.01</v>
      </c>
      <c r="C21" s="6">
        <f t="shared" ref="C21:F21" si="20">SUM(C19:C20)</f>
        <v>2897727.38</v>
      </c>
      <c r="D21" s="6">
        <f t="shared" si="20"/>
        <v>322337.5</v>
      </c>
      <c r="E21" s="6">
        <f t="shared" si="20"/>
        <v>1879188.73</v>
      </c>
      <c r="F21" s="6">
        <f t="shared" si="20"/>
        <v>1943328.76</v>
      </c>
      <c r="H21" s="20">
        <f t="shared" ref="H21:J21" si="21">SUM(H19:H20)</f>
        <v>8477573.379999999</v>
      </c>
      <c r="I21" s="20">
        <f t="shared" si="21"/>
        <v>8003751.8689999999</v>
      </c>
      <c r="J21" s="20">
        <f t="shared" si="21"/>
        <v>16481325.249000002</v>
      </c>
      <c r="L21" s="20">
        <v>8859200.4499999993</v>
      </c>
      <c r="M21" s="20">
        <v>7167694.9066666663</v>
      </c>
      <c r="N21" s="20">
        <f t="shared" ref="N21" si="22">SUM(N19:N20)</f>
        <v>16026895.356666667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25DB-8E93-40A8-AEB6-8F85E1750D11}">
  <dimension ref="A1:N21"/>
  <sheetViews>
    <sheetView zoomScale="130" zoomScaleNormal="130" zoomScaleSheetLayoutView="130" workbookViewId="0">
      <pane ySplit="1" topLeftCell="A5" activePane="bottomLeft" state="frozen"/>
      <selection activeCell="F3" sqref="F3"/>
      <selection pane="bottomLeft" activeCell="J31" sqref="J31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1132</v>
      </c>
      <c r="I1" s="25" t="s">
        <v>1133</v>
      </c>
      <c r="J1" s="25" t="s">
        <v>1134</v>
      </c>
      <c r="L1" s="25" t="s">
        <v>1135</v>
      </c>
      <c r="M1" s="25" t="s">
        <v>807</v>
      </c>
      <c r="N1" s="28" t="s">
        <v>1095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1822853.6099999999</v>
      </c>
      <c r="N2" s="17">
        <f>SUM(N3:N5)</f>
        <v>5729506.8499999996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f>SUM(L3:M3)</f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565707.72</v>
      </c>
      <c r="N4" s="18">
        <f>SUM(L4:M4)</f>
        <v>1711202.14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652639.16</v>
      </c>
      <c r="N5" s="18">
        <f t="shared" ref="N5" si="1">SUM(L5:M5)</f>
        <v>1827510.77</v>
      </c>
    </row>
    <row r="6" spans="1:14" ht="24.95" customHeight="1" x14ac:dyDescent="0.25">
      <c r="A6" s="9" t="s">
        <v>51</v>
      </c>
      <c r="B6" s="7">
        <f t="shared" ref="B6:J6" si="2">SUM(B7:B10)</f>
        <v>518825.54</v>
      </c>
      <c r="C6" s="7">
        <f t="shared" si="2"/>
        <v>1319196.94</v>
      </c>
      <c r="D6" s="7">
        <f t="shared" si="2"/>
        <v>3600</v>
      </c>
      <c r="E6" s="7">
        <f t="shared" si="2"/>
        <v>1079692.2</v>
      </c>
      <c r="F6" s="7">
        <f t="shared" si="2"/>
        <v>769990.05</v>
      </c>
      <c r="H6" s="13">
        <f t="shared" si="2"/>
        <v>3691304.73</v>
      </c>
      <c r="I6" s="13">
        <f>SUM(I7:I10)</f>
        <v>2113864.6273333333</v>
      </c>
      <c r="J6" s="17">
        <f t="shared" si="2"/>
        <v>5805169.3573333342</v>
      </c>
      <c r="L6" s="13">
        <v>3216198.01</v>
      </c>
      <c r="M6" s="13">
        <v>1510065.2366666675</v>
      </c>
      <c r="N6" s="17">
        <f t="shared" ref="N6" si="3">SUM(N7:N10)</f>
        <v>4726263.246666668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 t="shared" ref="H7:H10" si="4">SUM(B7:F7)</f>
        <v>1351445.73</v>
      </c>
      <c r="I7" s="14">
        <v>0</v>
      </c>
      <c r="J7" s="18">
        <f t="shared" ref="J7:J10" si="5">SUM(H7:I7)</f>
        <v>1351445.73</v>
      </c>
      <c r="L7" s="14">
        <v>1140244.99</v>
      </c>
      <c r="M7" s="14">
        <v>340996.42</v>
      </c>
      <c r="N7" s="18">
        <f t="shared" ref="N7:N10" si="6">SUM(L7:M7)</f>
        <v>1481241.41</v>
      </c>
    </row>
    <row r="8" spans="1:14" ht="24.95" customHeight="1" x14ac:dyDescent="0.25">
      <c r="A8" s="8" t="s">
        <v>78</v>
      </c>
      <c r="B8" s="5">
        <v>74442</v>
      </c>
      <c r="C8" s="5">
        <v>19306</v>
      </c>
      <c r="D8" s="5"/>
      <c r="E8" s="5">
        <v>12792</v>
      </c>
      <c r="F8" s="5">
        <v>70695</v>
      </c>
      <c r="H8" s="14">
        <f t="shared" si="4"/>
        <v>177235</v>
      </c>
      <c r="I8" s="14">
        <v>897540.13733333338</v>
      </c>
      <c r="J8" s="18">
        <f t="shared" si="5"/>
        <v>1074775.1373333335</v>
      </c>
      <c r="L8" s="14">
        <v>334387.02</v>
      </c>
      <c r="M8" s="14">
        <v>368224.90666666668</v>
      </c>
      <c r="N8" s="18">
        <f t="shared" si="6"/>
        <v>702611.92666666675</v>
      </c>
    </row>
    <row r="9" spans="1:14" ht="24.95" customHeight="1" x14ac:dyDescent="0.25">
      <c r="A9" s="8" t="s">
        <v>79</v>
      </c>
      <c r="B9" s="5">
        <v>200746</v>
      </c>
      <c r="C9" s="5">
        <v>402886</v>
      </c>
      <c r="D9" s="5">
        <v>1800</v>
      </c>
      <c r="E9" s="5">
        <v>277219</v>
      </c>
      <c r="F9" s="5">
        <v>272122</v>
      </c>
      <c r="G9" s="4"/>
      <c r="H9" s="14">
        <f t="shared" si="4"/>
        <v>1154773</v>
      </c>
      <c r="I9" s="14">
        <v>682018.07833333337</v>
      </c>
      <c r="J9" s="18">
        <f t="shared" si="5"/>
        <v>1836791.0783333334</v>
      </c>
      <c r="K9" s="4"/>
      <c r="L9" s="14">
        <v>1423522</v>
      </c>
      <c r="M9" s="14">
        <v>410840.63000000047</v>
      </c>
      <c r="N9" s="18">
        <f t="shared" si="6"/>
        <v>1834362.6300000004</v>
      </c>
    </row>
    <row r="10" spans="1:14" ht="24.95" customHeight="1" x14ac:dyDescent="0.25">
      <c r="A10" s="8" t="s">
        <v>128</v>
      </c>
      <c r="B10" s="5">
        <v>94648</v>
      </c>
      <c r="C10" s="5">
        <v>267445</v>
      </c>
      <c r="D10" s="5">
        <v>900</v>
      </c>
      <c r="E10" s="5">
        <v>371208</v>
      </c>
      <c r="F10" s="5">
        <v>273650</v>
      </c>
      <c r="H10" s="14">
        <f t="shared" si="4"/>
        <v>1007851</v>
      </c>
      <c r="I10" s="14">
        <v>534306.41166666662</v>
      </c>
      <c r="J10" s="18">
        <f t="shared" si="5"/>
        <v>1542157.4116666666</v>
      </c>
      <c r="L10" s="14">
        <v>318044</v>
      </c>
      <c r="M10" s="14">
        <v>390003.28000000049</v>
      </c>
      <c r="N10" s="18">
        <f t="shared" si="6"/>
        <v>708047.28000000049</v>
      </c>
    </row>
    <row r="11" spans="1:14" ht="24.95" customHeight="1" x14ac:dyDescent="0.25">
      <c r="A11" s="9" t="s">
        <v>52</v>
      </c>
      <c r="B11" s="7">
        <f t="shared" ref="B11:J11" si="7">SUM(B12:B14)</f>
        <v>155136</v>
      </c>
      <c r="C11" s="7">
        <f t="shared" si="7"/>
        <v>363065</v>
      </c>
      <c r="D11" s="7">
        <f t="shared" si="7"/>
        <v>5412</v>
      </c>
      <c r="E11" s="7">
        <f t="shared" si="7"/>
        <v>107326</v>
      </c>
      <c r="F11" s="7">
        <f t="shared" si="7"/>
        <v>23880</v>
      </c>
      <c r="G11" s="4"/>
      <c r="H11" s="13">
        <f t="shared" si="7"/>
        <v>654819</v>
      </c>
      <c r="I11" s="13">
        <f t="shared" si="7"/>
        <v>1946615.9291666667</v>
      </c>
      <c r="J11" s="17">
        <f t="shared" si="7"/>
        <v>2601434.9291666667</v>
      </c>
      <c r="K11" s="4"/>
      <c r="L11" s="13">
        <v>796599</v>
      </c>
      <c r="M11" s="13">
        <v>1755697.9849999999</v>
      </c>
      <c r="N11" s="17">
        <f>SUM(N12:N14)</f>
        <v>2552296.9849999999</v>
      </c>
    </row>
    <row r="12" spans="1:14" ht="24.95" customHeight="1" x14ac:dyDescent="0.25">
      <c r="A12" s="8" t="s">
        <v>80</v>
      </c>
      <c r="B12" s="5">
        <v>47995</v>
      </c>
      <c r="C12" s="5">
        <v>160690</v>
      </c>
      <c r="D12" s="5">
        <v>1812</v>
      </c>
      <c r="E12" s="5">
        <v>21178</v>
      </c>
      <c r="F12" s="5">
        <v>6758</v>
      </c>
      <c r="H12" s="14">
        <f t="shared" ref="H12:H14" si="8">SUM(B12:F12)</f>
        <v>238433</v>
      </c>
      <c r="I12" s="14">
        <v>653406.00416666665</v>
      </c>
      <c r="J12" s="18">
        <f t="shared" ref="J12:J14" si="9">SUM(H12:I12)</f>
        <v>891839.00416666665</v>
      </c>
      <c r="L12" s="14">
        <v>308869</v>
      </c>
      <c r="M12" s="14">
        <v>595747.6283333333</v>
      </c>
      <c r="N12" s="18">
        <f t="shared" ref="N12:N14" si="10">SUM(L12:M12)</f>
        <v>904616.6283333333</v>
      </c>
    </row>
    <row r="13" spans="1:14" ht="24.95" customHeight="1" x14ac:dyDescent="0.25">
      <c r="A13" s="8" t="s">
        <v>81</v>
      </c>
      <c r="B13" s="5">
        <v>104081</v>
      </c>
      <c r="C13" s="5">
        <v>155185</v>
      </c>
      <c r="D13" s="5">
        <v>1800</v>
      </c>
      <c r="E13" s="5">
        <v>74560</v>
      </c>
      <c r="F13" s="5">
        <v>13127</v>
      </c>
      <c r="H13" s="14">
        <f t="shared" si="8"/>
        <v>348753</v>
      </c>
      <c r="I13" s="14">
        <v>653406.00416666665</v>
      </c>
      <c r="J13" s="18">
        <f t="shared" si="9"/>
        <v>1002159.0041666667</v>
      </c>
      <c r="L13" s="14">
        <v>357872</v>
      </c>
      <c r="M13" s="14">
        <v>595747.6283333333</v>
      </c>
      <c r="N13" s="18">
        <f t="shared" si="10"/>
        <v>953619.6283333333</v>
      </c>
    </row>
    <row r="14" spans="1:14" ht="24.95" customHeight="1" x14ac:dyDescent="0.25">
      <c r="A14" s="8" t="s">
        <v>82</v>
      </c>
      <c r="B14" s="5">
        <v>3060</v>
      </c>
      <c r="C14" s="5">
        <v>47190</v>
      </c>
      <c r="D14" s="5">
        <v>1800</v>
      </c>
      <c r="E14" s="5">
        <v>11588</v>
      </c>
      <c r="F14" s="5">
        <v>3995</v>
      </c>
      <c r="H14" s="14">
        <f t="shared" si="8"/>
        <v>67633</v>
      </c>
      <c r="I14" s="14">
        <v>639803.9208333334</v>
      </c>
      <c r="J14" s="18">
        <f t="shared" si="9"/>
        <v>707436.9208333334</v>
      </c>
      <c r="L14" s="14">
        <v>129858</v>
      </c>
      <c r="M14" s="14">
        <v>564202.72833333327</v>
      </c>
      <c r="N14" s="18">
        <f t="shared" si="10"/>
        <v>694060.72833333327</v>
      </c>
    </row>
    <row r="15" spans="1:14" ht="24.95" customHeight="1" x14ac:dyDescent="0.25">
      <c r="A15" s="9" t="s">
        <v>53</v>
      </c>
      <c r="B15" s="7">
        <f>SUM(B16:B18)</f>
        <v>349100</v>
      </c>
      <c r="C15" s="7">
        <f>SUM(C16:C18)</f>
        <v>388182</v>
      </c>
      <c r="D15" s="7">
        <f>SUM(D16:D18)</f>
        <v>5400</v>
      </c>
      <c r="E15" s="7">
        <f>SUM(E16:E18)</f>
        <v>184422</v>
      </c>
      <c r="F15" s="7">
        <f>SUM(F16:F18)</f>
        <v>80137</v>
      </c>
      <c r="H15" s="13">
        <f>SUM(H16:H18)</f>
        <v>1007241</v>
      </c>
      <c r="I15" s="13">
        <f>SUM(I16:I18)</f>
        <v>2361011.7625000002</v>
      </c>
      <c r="J15" s="17">
        <f>SUM(J16:J18)</f>
        <v>3368252.7625000002</v>
      </c>
      <c r="L15" s="13">
        <v>1185345</v>
      </c>
      <c r="M15" s="13">
        <v>2079078.0749999997</v>
      </c>
      <c r="N15" s="17">
        <f>SUM(N16:N18)</f>
        <v>3264423.0749999997</v>
      </c>
    </row>
    <row r="16" spans="1:14" ht="24.95" customHeight="1" x14ac:dyDescent="0.25">
      <c r="A16" s="8" t="s">
        <v>83</v>
      </c>
      <c r="B16" s="5">
        <v>166881</v>
      </c>
      <c r="C16" s="5">
        <v>350921</v>
      </c>
      <c r="D16" s="5">
        <v>1800</v>
      </c>
      <c r="E16" s="5">
        <v>167912</v>
      </c>
      <c r="F16" s="5">
        <v>80137</v>
      </c>
      <c r="H16" s="14">
        <f t="shared" ref="H16:H18" si="11">SUM(B16:F16)</f>
        <v>767651</v>
      </c>
      <c r="I16" s="14">
        <v>787003.9208333334</v>
      </c>
      <c r="J16" s="18">
        <f t="shared" ref="J16:J18" si="12">SUM(H16:I16)</f>
        <v>1554654.9208333334</v>
      </c>
      <c r="L16" s="14">
        <v>783377</v>
      </c>
      <c r="M16" s="14">
        <v>693026.02499999991</v>
      </c>
      <c r="N16" s="18">
        <f t="shared" ref="N16:N18" si="13">SUM(L16:M16)</f>
        <v>1476403.0249999999</v>
      </c>
    </row>
    <row r="17" spans="1:14" ht="24.95" customHeight="1" x14ac:dyDescent="0.25">
      <c r="A17" s="8" t="s">
        <v>84</v>
      </c>
      <c r="B17" s="5">
        <v>182219</v>
      </c>
      <c r="C17" s="5">
        <v>37261</v>
      </c>
      <c r="D17" s="5">
        <v>1800</v>
      </c>
      <c r="E17" s="5">
        <v>16510</v>
      </c>
      <c r="F17" s="5"/>
      <c r="H17" s="14">
        <f t="shared" si="11"/>
        <v>237790</v>
      </c>
      <c r="I17" s="14">
        <v>787003.9208333334</v>
      </c>
      <c r="J17" s="18">
        <f t="shared" si="12"/>
        <v>1024793.9208333334</v>
      </c>
      <c r="L17" s="14">
        <v>339149</v>
      </c>
      <c r="M17" s="14">
        <v>693026.02499999991</v>
      </c>
      <c r="N17" s="18">
        <f t="shared" si="13"/>
        <v>1032175.0249999999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11"/>
        <v>1800</v>
      </c>
      <c r="I18" s="14">
        <v>787003.9208333334</v>
      </c>
      <c r="J18" s="18">
        <f t="shared" si="12"/>
        <v>788803.9208333334</v>
      </c>
      <c r="L18" s="14">
        <v>62819</v>
      </c>
      <c r="M18" s="14">
        <v>693026.02499999991</v>
      </c>
      <c r="N18" s="18">
        <f t="shared" si="13"/>
        <v>755845.02499999991</v>
      </c>
    </row>
    <row r="19" spans="1:14" ht="24.95" customHeight="1" x14ac:dyDescent="0.25">
      <c r="A19" s="10" t="s">
        <v>131</v>
      </c>
      <c r="B19" s="6">
        <f>SUM(B3:B5,B7)</f>
        <v>629361.55999999994</v>
      </c>
      <c r="C19" s="6">
        <f t="shared" ref="C19:F19" si="14">SUM(C3:C5,C7)</f>
        <v>1623800.7200000002</v>
      </c>
      <c r="D19" s="6">
        <f t="shared" si="14"/>
        <v>308825.5</v>
      </c>
      <c r="E19" s="6">
        <f t="shared" si="14"/>
        <v>1008381.79</v>
      </c>
      <c r="F19" s="6">
        <f t="shared" si="14"/>
        <v>1264890.01</v>
      </c>
      <c r="H19" s="15">
        <f t="shared" ref="H19:J19" si="15">SUM(H3:H5,H7)</f>
        <v>4835259.58</v>
      </c>
      <c r="I19" s="15">
        <f t="shared" si="15"/>
        <v>1582259.55</v>
      </c>
      <c r="J19" s="15">
        <f t="shared" si="15"/>
        <v>6417519.1300000008</v>
      </c>
      <c r="L19" s="15">
        <v>5046898.2300000004</v>
      </c>
      <c r="M19" s="15">
        <v>2163850.0299999998</v>
      </c>
      <c r="N19" s="15">
        <f t="shared" ref="N19" si="16">SUM(N3:N5,N7)</f>
        <v>7210748.2599999998</v>
      </c>
    </row>
    <row r="20" spans="1:14" ht="24.95" customHeight="1" x14ac:dyDescent="0.25">
      <c r="A20" s="10" t="s">
        <v>132</v>
      </c>
      <c r="B20" s="6">
        <f>SUM(B8:B10,B12:B14,B16:B18)</f>
        <v>874072</v>
      </c>
      <c r="C20" s="6">
        <f t="shared" ref="C20:F20" si="17">SUM(C8:C10,C12:C14,C16:C18)</f>
        <v>1440884</v>
      </c>
      <c r="D20" s="6">
        <f t="shared" si="17"/>
        <v>13512</v>
      </c>
      <c r="E20" s="6">
        <f t="shared" si="17"/>
        <v>952967</v>
      </c>
      <c r="F20" s="6">
        <f t="shared" si="17"/>
        <v>720484</v>
      </c>
      <c r="H20" s="15">
        <f t="shared" ref="H20:J20" si="18">SUM(H8:H10,H12:H14,H16:H18)</f>
        <v>4001919</v>
      </c>
      <c r="I20" s="15">
        <f t="shared" si="18"/>
        <v>6421492.3190000001</v>
      </c>
      <c r="J20" s="15">
        <f t="shared" si="18"/>
        <v>10423411.319000002</v>
      </c>
      <c r="L20" s="15">
        <v>4057897.02</v>
      </c>
      <c r="M20" s="15">
        <v>5003844.8766666669</v>
      </c>
      <c r="N20" s="15">
        <f t="shared" ref="N20" si="19">SUM(N8:N10,N12:N14,N16:N18)</f>
        <v>9061741.8966666684</v>
      </c>
    </row>
    <row r="21" spans="1:14" ht="24.95" customHeight="1" x14ac:dyDescent="0.25">
      <c r="A21" s="19" t="s">
        <v>794</v>
      </c>
      <c r="B21" s="6">
        <f>SUM(B19:B20)</f>
        <v>1503433.56</v>
      </c>
      <c r="C21" s="6">
        <f t="shared" ref="C21:F21" si="20">SUM(C19:C20)</f>
        <v>3064684.72</v>
      </c>
      <c r="D21" s="6">
        <f t="shared" si="20"/>
        <v>322337.5</v>
      </c>
      <c r="E21" s="6">
        <f t="shared" si="20"/>
        <v>1961348.79</v>
      </c>
      <c r="F21" s="6">
        <f t="shared" si="20"/>
        <v>1985374.01</v>
      </c>
      <c r="H21" s="20">
        <f t="shared" ref="H21:J21" si="21">SUM(H19:H20)</f>
        <v>8837178.5800000001</v>
      </c>
      <c r="I21" s="20">
        <f t="shared" si="21"/>
        <v>8003751.8689999999</v>
      </c>
      <c r="J21" s="20">
        <f t="shared" si="21"/>
        <v>16840930.449000001</v>
      </c>
      <c r="L21" s="20">
        <v>9104795.25</v>
      </c>
      <c r="M21" s="20">
        <v>7167694.9066666663</v>
      </c>
      <c r="N21" s="20">
        <f t="shared" ref="N21" si="22">SUM(N19:N20)</f>
        <v>16272490.156666668</v>
      </c>
    </row>
  </sheetData>
  <phoneticPr fontId="6" type="noConversion"/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C00B-767C-4217-80B7-82E37921E64F}">
  <dimension ref="A1:N21"/>
  <sheetViews>
    <sheetView zoomScale="130" zoomScaleNormal="130" zoomScaleSheetLayoutView="130" workbookViewId="0">
      <pane ySplit="1" topLeftCell="A5" activePane="bottomLeft" state="frozen"/>
      <selection activeCell="F3" sqref="F3"/>
      <selection pane="bottomLeft" activeCell="E9" sqref="E9:F10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1145</v>
      </c>
      <c r="I1" s="25" t="s">
        <v>1146</v>
      </c>
      <c r="J1" s="25" t="s">
        <v>1147</v>
      </c>
      <c r="L1" s="25" t="s">
        <v>1148</v>
      </c>
      <c r="M1" s="25" t="s">
        <v>1149</v>
      </c>
      <c r="N1" s="28" t="s">
        <v>1150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1866047.96</v>
      </c>
      <c r="N2" s="17">
        <f>SUM(N3:N5)</f>
        <v>5772701.1999999993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f>SUM(L3:M3)</f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565707.72</v>
      </c>
      <c r="N4" s="18">
        <f>SUM(L4:M4)</f>
        <v>1711202.14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695833.51000000013</v>
      </c>
      <c r="N5" s="18">
        <f t="shared" ref="N5" si="1">SUM(L5:M5)</f>
        <v>1870705.12</v>
      </c>
    </row>
    <row r="6" spans="1:14" ht="24.95" customHeight="1" x14ac:dyDescent="0.25">
      <c r="A6" s="9" t="s">
        <v>51</v>
      </c>
      <c r="B6" s="7">
        <f t="shared" ref="B6:J6" si="2">SUM(B7:B10)</f>
        <v>535059.41999999993</v>
      </c>
      <c r="C6" s="7">
        <f t="shared" si="2"/>
        <v>1339496.46</v>
      </c>
      <c r="D6" s="7">
        <f t="shared" si="2"/>
        <v>13921</v>
      </c>
      <c r="E6" s="7">
        <f t="shared" si="2"/>
        <v>1115420.79</v>
      </c>
      <c r="F6" s="7">
        <f t="shared" si="2"/>
        <v>597669.05000000005</v>
      </c>
      <c r="H6" s="13">
        <f t="shared" si="2"/>
        <v>3601566.7199999997</v>
      </c>
      <c r="I6" s="13">
        <f>SUM(I7:I10)</f>
        <v>2113864.6273333333</v>
      </c>
      <c r="J6" s="17">
        <f t="shared" si="2"/>
        <v>5715431.3473333325</v>
      </c>
      <c r="L6" s="13">
        <v>3456659.16</v>
      </c>
      <c r="M6" s="13">
        <v>1493386.7902777784</v>
      </c>
      <c r="N6" s="17">
        <f t="shared" ref="N6" si="3">SUM(N7:N10)</f>
        <v>4950045.9502777783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 t="shared" ref="H7:H10" si="4">SUM(B7:F7)</f>
        <v>1351445.73</v>
      </c>
      <c r="I7" s="14">
        <v>0</v>
      </c>
      <c r="J7" s="18">
        <f t="shared" ref="J7:J10" si="5">SUM(H7:I7)</f>
        <v>1351445.73</v>
      </c>
      <c r="L7" s="14">
        <v>1131506.8700000001</v>
      </c>
      <c r="M7" s="14">
        <v>592513.5</v>
      </c>
      <c r="N7" s="18">
        <f t="shared" ref="N7:N10" si="6">SUM(L7:M7)</f>
        <v>1724020.37</v>
      </c>
    </row>
    <row r="8" spans="1:14" ht="24.95" customHeight="1" x14ac:dyDescent="0.25">
      <c r="A8" s="8" t="s">
        <v>348</v>
      </c>
      <c r="B8" s="5">
        <v>157233.88</v>
      </c>
      <c r="C8" s="5">
        <v>86938.52</v>
      </c>
      <c r="D8" s="5">
        <v>900</v>
      </c>
      <c r="E8" s="5">
        <v>48606.59</v>
      </c>
      <c r="F8" s="5">
        <v>71370</v>
      </c>
      <c r="H8" s="14">
        <f t="shared" si="4"/>
        <v>365048.99</v>
      </c>
      <c r="I8" s="14">
        <v>897540.13733333338</v>
      </c>
      <c r="J8" s="18">
        <f t="shared" si="5"/>
        <v>1262589.1273333333</v>
      </c>
      <c r="L8" s="14">
        <v>544073.06999999995</v>
      </c>
      <c r="M8" s="14">
        <v>219571.45999999996</v>
      </c>
      <c r="N8" s="18">
        <f t="shared" si="6"/>
        <v>763644.52999999991</v>
      </c>
    </row>
    <row r="9" spans="1:14" ht="24.95" customHeight="1" x14ac:dyDescent="0.25">
      <c r="A9" s="8" t="s">
        <v>79</v>
      </c>
      <c r="B9" s="5">
        <v>128988</v>
      </c>
      <c r="C9" s="5">
        <v>269526</v>
      </c>
      <c r="D9" s="5">
        <v>11221</v>
      </c>
      <c r="E9" s="5">
        <v>255133</v>
      </c>
      <c r="F9" s="5">
        <v>344991</v>
      </c>
      <c r="G9" s="4"/>
      <c r="H9" s="14">
        <f t="shared" si="4"/>
        <v>1009859</v>
      </c>
      <c r="I9" s="14">
        <v>682018.07833333337</v>
      </c>
      <c r="J9" s="18">
        <f t="shared" si="5"/>
        <v>1691877.0783333334</v>
      </c>
      <c r="K9" s="4"/>
      <c r="L9" s="14">
        <v>1167172.22</v>
      </c>
      <c r="M9" s="14">
        <v>304005.34666666668</v>
      </c>
      <c r="N9" s="18">
        <f t="shared" si="6"/>
        <v>1471177.5666666667</v>
      </c>
    </row>
    <row r="10" spans="1:14" ht="24.95" customHeight="1" x14ac:dyDescent="0.25">
      <c r="A10" s="8" t="s">
        <v>128</v>
      </c>
      <c r="B10" s="5">
        <v>99848</v>
      </c>
      <c r="C10" s="5">
        <v>353472</v>
      </c>
      <c r="D10" s="5">
        <v>900</v>
      </c>
      <c r="E10" s="5">
        <v>393208</v>
      </c>
      <c r="F10" s="5">
        <v>27785</v>
      </c>
      <c r="H10" s="14">
        <f t="shared" si="4"/>
        <v>875213</v>
      </c>
      <c r="I10" s="14">
        <v>534306.41166666662</v>
      </c>
      <c r="J10" s="18">
        <f t="shared" si="5"/>
        <v>1409519.4116666666</v>
      </c>
      <c r="L10" s="14">
        <v>613907</v>
      </c>
      <c r="M10" s="14">
        <v>377296.4836111117</v>
      </c>
      <c r="N10" s="18">
        <f t="shared" si="6"/>
        <v>991203.48361111176</v>
      </c>
    </row>
    <row r="11" spans="1:14" ht="24.95" customHeight="1" x14ac:dyDescent="0.25">
      <c r="A11" s="9" t="s">
        <v>52</v>
      </c>
      <c r="B11" s="7">
        <f t="shared" ref="B11:J11" si="7">SUM(B12:B14)</f>
        <v>144241</v>
      </c>
      <c r="C11" s="7">
        <f t="shared" si="7"/>
        <v>439437</v>
      </c>
      <c r="D11" s="7">
        <f t="shared" si="7"/>
        <v>5412</v>
      </c>
      <c r="E11" s="7">
        <f t="shared" si="7"/>
        <v>107326</v>
      </c>
      <c r="F11" s="7">
        <f t="shared" si="7"/>
        <v>220283</v>
      </c>
      <c r="G11" s="4"/>
      <c r="H11" s="13">
        <f t="shared" si="7"/>
        <v>916699</v>
      </c>
      <c r="I11" s="13">
        <f t="shared" si="7"/>
        <v>1946615.9291666667</v>
      </c>
      <c r="J11" s="17">
        <f t="shared" si="7"/>
        <v>2863314.9291666667</v>
      </c>
      <c r="K11" s="4"/>
      <c r="L11" s="13">
        <v>820747</v>
      </c>
      <c r="M11" s="13">
        <v>1759567.0158333331</v>
      </c>
      <c r="N11" s="17">
        <f>SUM(N12:N14)</f>
        <v>2580314.0158333331</v>
      </c>
    </row>
    <row r="12" spans="1:14" ht="24.95" customHeight="1" x14ac:dyDescent="0.25">
      <c r="A12" s="8" t="s">
        <v>80</v>
      </c>
      <c r="B12" s="5">
        <v>46900</v>
      </c>
      <c r="C12" s="5">
        <v>212417</v>
      </c>
      <c r="D12" s="5">
        <v>1812</v>
      </c>
      <c r="E12" s="5">
        <v>21178</v>
      </c>
      <c r="F12" s="5">
        <v>203161</v>
      </c>
      <c r="H12" s="14">
        <f t="shared" ref="H12:H14" si="8">SUM(B12:F12)</f>
        <v>485468</v>
      </c>
      <c r="I12" s="14">
        <v>653406.00416666665</v>
      </c>
      <c r="J12" s="18">
        <f t="shared" ref="J12:J14" si="9">SUM(H12:I12)</f>
        <v>1138874.0041666667</v>
      </c>
      <c r="L12" s="14">
        <v>308869</v>
      </c>
      <c r="M12" s="14">
        <v>597037.30527777772</v>
      </c>
      <c r="N12" s="18">
        <f t="shared" ref="N12:N14" si="10">SUM(L12:M12)</f>
        <v>905906.30527777772</v>
      </c>
    </row>
    <row r="13" spans="1:14" ht="24.95" customHeight="1" x14ac:dyDescent="0.25">
      <c r="A13" s="8" t="s">
        <v>81</v>
      </c>
      <c r="B13" s="5">
        <v>94281</v>
      </c>
      <c r="C13" s="5">
        <v>179830</v>
      </c>
      <c r="D13" s="5">
        <v>1800</v>
      </c>
      <c r="E13" s="5">
        <v>74560</v>
      </c>
      <c r="F13" s="5">
        <v>13127</v>
      </c>
      <c r="H13" s="14">
        <f t="shared" si="8"/>
        <v>363598</v>
      </c>
      <c r="I13" s="14">
        <v>653406.00416666665</v>
      </c>
      <c r="J13" s="18">
        <f t="shared" si="9"/>
        <v>1017004.0041666667</v>
      </c>
      <c r="L13" s="14">
        <v>381770</v>
      </c>
      <c r="M13" s="14">
        <v>597037.30527777772</v>
      </c>
      <c r="N13" s="18">
        <f t="shared" si="10"/>
        <v>978807.30527777772</v>
      </c>
    </row>
    <row r="14" spans="1:14" ht="24.95" customHeight="1" x14ac:dyDescent="0.25">
      <c r="A14" s="8" t="s">
        <v>82</v>
      </c>
      <c r="B14" s="5">
        <v>3060</v>
      </c>
      <c r="C14" s="5">
        <v>47190</v>
      </c>
      <c r="D14" s="5">
        <v>1800</v>
      </c>
      <c r="E14" s="5">
        <v>11588</v>
      </c>
      <c r="F14" s="5">
        <v>3995</v>
      </c>
      <c r="H14" s="14">
        <f t="shared" si="8"/>
        <v>67633</v>
      </c>
      <c r="I14" s="14">
        <v>639803.9208333334</v>
      </c>
      <c r="J14" s="18">
        <f t="shared" si="9"/>
        <v>707436.9208333334</v>
      </c>
      <c r="L14" s="14">
        <v>130108</v>
      </c>
      <c r="M14" s="14">
        <v>565492.4052777777</v>
      </c>
      <c r="N14" s="18">
        <f t="shared" si="10"/>
        <v>695600.4052777777</v>
      </c>
    </row>
    <row r="15" spans="1:14" ht="24.95" customHeight="1" x14ac:dyDescent="0.25">
      <c r="A15" s="9" t="s">
        <v>53</v>
      </c>
      <c r="B15" s="7">
        <f>SUM(B16:B18)</f>
        <v>353225</v>
      </c>
      <c r="C15" s="7">
        <f>SUM(C16:C18)</f>
        <v>414995</v>
      </c>
      <c r="D15" s="7">
        <f>SUM(D16:D18)</f>
        <v>5400</v>
      </c>
      <c r="E15" s="7">
        <f>SUM(E16:E18)</f>
        <v>184422</v>
      </c>
      <c r="F15" s="7">
        <f>SUM(F16:F18)</f>
        <v>80137</v>
      </c>
      <c r="H15" s="13">
        <f>SUM(H16:H18)</f>
        <v>1038179</v>
      </c>
      <c r="I15" s="13">
        <f>SUM(I16:I18)</f>
        <v>2361011.7625000002</v>
      </c>
      <c r="J15" s="17">
        <f>SUM(J16:J18)</f>
        <v>3399190.7625000002</v>
      </c>
      <c r="L15" s="13">
        <v>1127898</v>
      </c>
      <c r="M15" s="13">
        <v>2060662.4083333332</v>
      </c>
      <c r="N15" s="17">
        <f>SUM(N16:N18)</f>
        <v>3188560.4083333332</v>
      </c>
    </row>
    <row r="16" spans="1:14" ht="24.95" customHeight="1" x14ac:dyDescent="0.25">
      <c r="A16" s="8" t="s">
        <v>83</v>
      </c>
      <c r="B16" s="5">
        <v>166881</v>
      </c>
      <c r="C16" s="5">
        <v>350839</v>
      </c>
      <c r="D16" s="5">
        <v>1800</v>
      </c>
      <c r="E16" s="5">
        <v>167912</v>
      </c>
      <c r="F16" s="5">
        <v>80137</v>
      </c>
      <c r="H16" s="14">
        <f t="shared" ref="H16:H18" si="11">SUM(B16:F16)</f>
        <v>767569</v>
      </c>
      <c r="I16" s="14">
        <v>787003.9208333334</v>
      </c>
      <c r="J16" s="18">
        <f t="shared" ref="J16:J18" si="12">SUM(H16:I16)</f>
        <v>1554572.9208333334</v>
      </c>
      <c r="L16" s="14">
        <v>786918</v>
      </c>
      <c r="M16" s="14">
        <v>686887.4694444444</v>
      </c>
      <c r="N16" s="18">
        <f t="shared" ref="N16:N18" si="13">SUM(L16:M16)</f>
        <v>1473805.4694444444</v>
      </c>
    </row>
    <row r="17" spans="1:14" ht="24.95" customHeight="1" x14ac:dyDescent="0.25">
      <c r="A17" s="8" t="s">
        <v>84</v>
      </c>
      <c r="B17" s="5">
        <v>186344</v>
      </c>
      <c r="C17" s="5">
        <v>64156</v>
      </c>
      <c r="D17" s="5">
        <v>1800</v>
      </c>
      <c r="E17" s="5">
        <v>16510</v>
      </c>
      <c r="F17" s="5"/>
      <c r="H17" s="14">
        <f t="shared" si="11"/>
        <v>268810</v>
      </c>
      <c r="I17" s="14">
        <v>787003.9208333334</v>
      </c>
      <c r="J17" s="18">
        <f t="shared" si="12"/>
        <v>1055813.9208333334</v>
      </c>
      <c r="L17" s="14">
        <v>245174</v>
      </c>
      <c r="M17" s="14">
        <v>686887.4694444444</v>
      </c>
      <c r="N17" s="18">
        <f t="shared" si="13"/>
        <v>932061.4694444444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11"/>
        <v>1800</v>
      </c>
      <c r="I18" s="14">
        <v>787003.9208333334</v>
      </c>
      <c r="J18" s="18">
        <f t="shared" si="12"/>
        <v>788803.9208333334</v>
      </c>
      <c r="L18" s="14">
        <v>95806</v>
      </c>
      <c r="M18" s="14">
        <v>686887.4694444444</v>
      </c>
      <c r="N18" s="18">
        <f t="shared" si="13"/>
        <v>782693.4694444444</v>
      </c>
    </row>
    <row r="19" spans="1:14" ht="24.95" customHeight="1" x14ac:dyDescent="0.25">
      <c r="A19" s="10" t="s">
        <v>131</v>
      </c>
      <c r="B19" s="6">
        <f>SUM(B3:B5,B7)</f>
        <v>629361.55999999994</v>
      </c>
      <c r="C19" s="6">
        <f t="shared" ref="C19:F19" si="14">SUM(C3:C5,C7)</f>
        <v>1623800.7200000002</v>
      </c>
      <c r="D19" s="6">
        <f t="shared" si="14"/>
        <v>308825.5</v>
      </c>
      <c r="E19" s="6">
        <f t="shared" si="14"/>
        <v>1008381.79</v>
      </c>
      <c r="F19" s="6">
        <f t="shared" si="14"/>
        <v>1264890.01</v>
      </c>
      <c r="H19" s="15">
        <f t="shared" ref="H19:J19" si="15">SUM(H3:H5,H7)</f>
        <v>4835259.58</v>
      </c>
      <c r="I19" s="15">
        <f t="shared" si="15"/>
        <v>1582259.55</v>
      </c>
      <c r="J19" s="15">
        <f t="shared" si="15"/>
        <v>6417519.1300000008</v>
      </c>
      <c r="L19" s="15">
        <v>5038160.1100000003</v>
      </c>
      <c r="M19" s="15">
        <v>2458561.46</v>
      </c>
      <c r="N19" s="15">
        <f t="shared" ref="N19" si="16">SUM(N3:N5,N7)</f>
        <v>7496721.5699999994</v>
      </c>
    </row>
    <row r="20" spans="1:14" ht="24.95" customHeight="1" x14ac:dyDescent="0.25">
      <c r="A20" s="10" t="s">
        <v>132</v>
      </c>
      <c r="B20" s="6">
        <f>SUM(B8:B10,B12:B14,B16:B18)</f>
        <v>883535.88</v>
      </c>
      <c r="C20" s="6">
        <f t="shared" ref="C20:F20" si="17">SUM(C8:C10,C12:C14,C16:C18)</f>
        <v>1564368.52</v>
      </c>
      <c r="D20" s="6">
        <f t="shared" si="17"/>
        <v>23833</v>
      </c>
      <c r="E20" s="6">
        <f t="shared" si="17"/>
        <v>988695.59</v>
      </c>
      <c r="F20" s="6">
        <f t="shared" si="17"/>
        <v>744566</v>
      </c>
      <c r="H20" s="15">
        <f t="shared" ref="H20:J20" si="18">SUM(H8:H10,H12:H14,H16:H18)</f>
        <v>4204998.99</v>
      </c>
      <c r="I20" s="15">
        <f t="shared" si="18"/>
        <v>6421492.3190000001</v>
      </c>
      <c r="J20" s="15">
        <f t="shared" si="18"/>
        <v>10626491.309</v>
      </c>
      <c r="L20" s="15">
        <v>4273797.29</v>
      </c>
      <c r="M20" s="15">
        <v>4721102.7144444445</v>
      </c>
      <c r="N20" s="15">
        <f t="shared" ref="N20" si="19">SUM(N8:N10,N12:N14,N16:N18)</f>
        <v>8994900.0044444446</v>
      </c>
    </row>
    <row r="21" spans="1:14" ht="24.95" customHeight="1" x14ac:dyDescent="0.25">
      <c r="A21" s="19" t="s">
        <v>794</v>
      </c>
      <c r="B21" s="6">
        <f>SUM(B19:B20)</f>
        <v>1512897.44</v>
      </c>
      <c r="C21" s="6">
        <f t="shared" ref="C21:F21" si="20">SUM(C19:C20)</f>
        <v>3188169.24</v>
      </c>
      <c r="D21" s="6">
        <f t="shared" si="20"/>
        <v>332658.5</v>
      </c>
      <c r="E21" s="6">
        <f t="shared" si="20"/>
        <v>1997077.38</v>
      </c>
      <c r="F21" s="6">
        <f t="shared" si="20"/>
        <v>2009456.01</v>
      </c>
      <c r="H21" s="20">
        <f t="shared" ref="H21:J21" si="21">SUM(H19:H20)</f>
        <v>9040258.5700000003</v>
      </c>
      <c r="I21" s="20">
        <f t="shared" si="21"/>
        <v>8003751.8689999999</v>
      </c>
      <c r="J21" s="20">
        <f t="shared" si="21"/>
        <v>17044010.439000003</v>
      </c>
      <c r="L21" s="20">
        <v>9311957.4000000004</v>
      </c>
      <c r="M21" s="20">
        <v>7179664.1744444445</v>
      </c>
      <c r="N21" s="20">
        <f t="shared" ref="N21" si="22">SUM(N19:N20)</f>
        <v>16491621.574444443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EBDF-4535-40B7-B511-20FCC06CC821}">
  <dimension ref="A1:N21"/>
  <sheetViews>
    <sheetView zoomScale="130" zoomScaleNormal="130" zoomScaleSheetLayoutView="130" workbookViewId="0">
      <pane ySplit="1" topLeftCell="A2" activePane="bottomLeft" state="frozen"/>
      <selection activeCell="F3" sqref="F3"/>
      <selection pane="bottomLeft" activeCell="J1" sqref="J1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1277</v>
      </c>
      <c r="I1" s="25" t="s">
        <v>1278</v>
      </c>
      <c r="J1" s="25" t="s">
        <v>1279</v>
      </c>
      <c r="L1" s="25" t="s">
        <v>1148</v>
      </c>
      <c r="M1" s="25" t="s">
        <v>1149</v>
      </c>
      <c r="N1" s="28" t="s">
        <v>1150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1866047.96</v>
      </c>
      <c r="N2" s="17">
        <v>5772701.1999999993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565707.72</v>
      </c>
      <c r="N4" s="18">
        <v>1711202.14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695833.51000000013</v>
      </c>
      <c r="N5" s="18">
        <v>1870705.12</v>
      </c>
    </row>
    <row r="6" spans="1:14" ht="24.95" customHeight="1" x14ac:dyDescent="0.25">
      <c r="A6" s="9" t="s">
        <v>51</v>
      </c>
      <c r="B6" s="7">
        <f t="shared" ref="B6:J6" si="1">SUM(B7:B10)</f>
        <v>538157.27</v>
      </c>
      <c r="C6" s="7">
        <f t="shared" si="1"/>
        <v>1380990.8</v>
      </c>
      <c r="D6" s="7">
        <f t="shared" si="1"/>
        <v>16712.989999999998</v>
      </c>
      <c r="E6" s="7">
        <f t="shared" si="1"/>
        <v>1114720.44</v>
      </c>
      <c r="F6" s="7">
        <f t="shared" si="1"/>
        <v>598919.05000000005</v>
      </c>
      <c r="H6" s="13">
        <f t="shared" si="1"/>
        <v>3649500.55</v>
      </c>
      <c r="I6" s="13">
        <f>SUM(I7:I10)</f>
        <v>2113864.6273333333</v>
      </c>
      <c r="J6" s="17">
        <f t="shared" si="1"/>
        <v>5763365.1773333326</v>
      </c>
      <c r="L6" s="13">
        <v>3445305.62</v>
      </c>
      <c r="M6" s="13">
        <v>1493386.7902777784</v>
      </c>
      <c r="N6" s="17">
        <v>4938692.4102777783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 t="shared" ref="H7:H10" si="2">SUM(B7:F7)</f>
        <v>1351445.73</v>
      </c>
      <c r="I7" s="14">
        <v>0</v>
      </c>
      <c r="J7" s="18">
        <f t="shared" ref="J7:J10" si="3">SUM(H7:I7)</f>
        <v>1351445.73</v>
      </c>
      <c r="L7" s="14">
        <v>1131506.8700000001</v>
      </c>
      <c r="M7" s="14">
        <v>592513.5</v>
      </c>
      <c r="N7" s="18">
        <v>1724020.37</v>
      </c>
    </row>
    <row r="8" spans="1:14" ht="24.95" customHeight="1" x14ac:dyDescent="0.25">
      <c r="A8" s="8" t="s">
        <v>348</v>
      </c>
      <c r="B8" s="5">
        <v>183036.73</v>
      </c>
      <c r="C8" s="5">
        <v>186252.86</v>
      </c>
      <c r="D8" s="5">
        <v>14012.99</v>
      </c>
      <c r="E8" s="5">
        <v>108379.23999999999</v>
      </c>
      <c r="F8" s="5">
        <v>81676</v>
      </c>
      <c r="H8" s="14">
        <f t="shared" si="2"/>
        <v>573357.81999999995</v>
      </c>
      <c r="I8" s="14">
        <v>897540.13733333338</v>
      </c>
      <c r="J8" s="18">
        <f t="shared" si="3"/>
        <v>1470897.9573333333</v>
      </c>
      <c r="L8" s="14">
        <v>834884.53</v>
      </c>
      <c r="M8" s="14">
        <v>219571.45999999996</v>
      </c>
      <c r="N8" s="18">
        <v>1054455.99</v>
      </c>
    </row>
    <row r="9" spans="1:14" ht="24.95" customHeight="1" x14ac:dyDescent="0.25">
      <c r="A9" s="8" t="s">
        <v>79</v>
      </c>
      <c r="B9" s="5">
        <v>106133</v>
      </c>
      <c r="C9" s="5">
        <v>152491</v>
      </c>
      <c r="D9" s="5">
        <v>900</v>
      </c>
      <c r="E9" s="5">
        <v>198285</v>
      </c>
      <c r="F9" s="5">
        <v>335935</v>
      </c>
      <c r="G9" s="4"/>
      <c r="H9" s="14">
        <f t="shared" si="2"/>
        <v>793744</v>
      </c>
      <c r="I9" s="14">
        <v>682018.07833333337</v>
      </c>
      <c r="J9" s="18">
        <f t="shared" si="3"/>
        <v>1475762.0783333334</v>
      </c>
      <c r="K9" s="4"/>
      <c r="L9" s="14">
        <v>1053261.22</v>
      </c>
      <c r="M9" s="14">
        <v>304005.34666666668</v>
      </c>
      <c r="N9" s="18">
        <v>1357266.5666666667</v>
      </c>
    </row>
    <row r="10" spans="1:14" ht="24.95" customHeight="1" x14ac:dyDescent="0.25">
      <c r="A10" s="8" t="s">
        <v>128</v>
      </c>
      <c r="B10" s="5">
        <v>99998</v>
      </c>
      <c r="C10" s="5">
        <v>412687</v>
      </c>
      <c r="D10" s="5">
        <v>900</v>
      </c>
      <c r="E10" s="5">
        <v>389583</v>
      </c>
      <c r="F10" s="5">
        <v>27785</v>
      </c>
      <c r="H10" s="14">
        <f t="shared" si="2"/>
        <v>930953</v>
      </c>
      <c r="I10" s="14">
        <v>534306.41166666662</v>
      </c>
      <c r="J10" s="18">
        <f t="shared" si="3"/>
        <v>1465259.4116666666</v>
      </c>
      <c r="L10" s="14">
        <v>425653</v>
      </c>
      <c r="M10" s="14">
        <v>377296.4836111117</v>
      </c>
      <c r="N10" s="18">
        <v>802949.48361111176</v>
      </c>
    </row>
    <row r="11" spans="1:14" ht="24.95" customHeight="1" x14ac:dyDescent="0.25">
      <c r="A11" s="9" t="s">
        <v>52</v>
      </c>
      <c r="B11" s="7">
        <f t="shared" ref="B11:J11" si="4">SUM(B12:B14)</f>
        <v>144241</v>
      </c>
      <c r="C11" s="7">
        <f t="shared" si="4"/>
        <v>396577</v>
      </c>
      <c r="D11" s="7">
        <f t="shared" si="4"/>
        <v>5412</v>
      </c>
      <c r="E11" s="7">
        <f t="shared" si="4"/>
        <v>107326</v>
      </c>
      <c r="F11" s="7">
        <f t="shared" si="4"/>
        <v>339133</v>
      </c>
      <c r="G11" s="4"/>
      <c r="H11" s="13">
        <f t="shared" si="4"/>
        <v>992689</v>
      </c>
      <c r="I11" s="13">
        <f t="shared" si="4"/>
        <v>1946615.9291666667</v>
      </c>
      <c r="J11" s="17">
        <f t="shared" si="4"/>
        <v>2939304.9291666667</v>
      </c>
      <c r="K11" s="4"/>
      <c r="L11" s="13">
        <v>733624</v>
      </c>
      <c r="M11" s="13">
        <v>1759567.0158333331</v>
      </c>
      <c r="N11" s="17">
        <v>2493191.0158333331</v>
      </c>
    </row>
    <row r="12" spans="1:14" ht="24.95" customHeight="1" x14ac:dyDescent="0.25">
      <c r="A12" s="8" t="s">
        <v>80</v>
      </c>
      <c r="B12" s="5">
        <v>46900</v>
      </c>
      <c r="C12" s="5">
        <v>212417</v>
      </c>
      <c r="D12" s="5">
        <v>1812</v>
      </c>
      <c r="E12" s="5">
        <v>21178</v>
      </c>
      <c r="F12" s="5">
        <v>244604</v>
      </c>
      <c r="H12" s="14">
        <f t="shared" ref="H12:H14" si="5">SUM(B12:F12)</f>
        <v>526911</v>
      </c>
      <c r="I12" s="14">
        <v>653406.00416666665</v>
      </c>
      <c r="J12" s="18">
        <f t="shared" ref="J12:J14" si="6">SUM(H12:I12)</f>
        <v>1180317.0041666667</v>
      </c>
      <c r="L12" s="14">
        <v>264618</v>
      </c>
      <c r="M12" s="14">
        <v>597037.30527777772</v>
      </c>
      <c r="N12" s="18">
        <v>861655.30527777772</v>
      </c>
    </row>
    <row r="13" spans="1:14" ht="24.95" customHeight="1" x14ac:dyDescent="0.25">
      <c r="A13" s="8" t="s">
        <v>81</v>
      </c>
      <c r="B13" s="5">
        <v>94281</v>
      </c>
      <c r="C13" s="5">
        <v>182160</v>
      </c>
      <c r="D13" s="5">
        <v>1800</v>
      </c>
      <c r="E13" s="5">
        <v>74560</v>
      </c>
      <c r="F13" s="5">
        <v>90534</v>
      </c>
      <c r="H13" s="14">
        <f t="shared" si="5"/>
        <v>443335</v>
      </c>
      <c r="I13" s="14">
        <v>653406.00416666665</v>
      </c>
      <c r="J13" s="18">
        <f t="shared" si="6"/>
        <v>1096741.0041666667</v>
      </c>
      <c r="L13" s="14">
        <v>371468</v>
      </c>
      <c r="M13" s="14">
        <v>597037.30527777772</v>
      </c>
      <c r="N13" s="18">
        <v>968505.30527777772</v>
      </c>
    </row>
    <row r="14" spans="1:14" ht="24.95" customHeight="1" x14ac:dyDescent="0.25">
      <c r="A14" s="8" t="s">
        <v>82</v>
      </c>
      <c r="B14" s="5">
        <v>3060</v>
      </c>
      <c r="C14" s="5">
        <v>2000</v>
      </c>
      <c r="D14" s="5">
        <v>1800</v>
      </c>
      <c r="E14" s="5">
        <v>11588</v>
      </c>
      <c r="F14" s="5">
        <v>3995</v>
      </c>
      <c r="H14" s="14">
        <f t="shared" si="5"/>
        <v>22443</v>
      </c>
      <c r="I14" s="14">
        <v>639803.9208333334</v>
      </c>
      <c r="J14" s="18">
        <f t="shared" si="6"/>
        <v>662246.9208333334</v>
      </c>
      <c r="L14" s="14">
        <v>97538</v>
      </c>
      <c r="M14" s="14">
        <v>565492.4052777777</v>
      </c>
      <c r="N14" s="18">
        <v>663030.4052777777</v>
      </c>
    </row>
    <row r="15" spans="1:14" ht="24.95" customHeight="1" x14ac:dyDescent="0.25">
      <c r="A15" s="9" t="s">
        <v>53</v>
      </c>
      <c r="B15" s="7">
        <f>SUM(B16:B18)</f>
        <v>353225</v>
      </c>
      <c r="C15" s="7">
        <f>SUM(C16:C18)</f>
        <v>415108</v>
      </c>
      <c r="D15" s="7">
        <f>SUM(D16:D18)</f>
        <v>5400</v>
      </c>
      <c r="E15" s="7">
        <f>SUM(E16:E18)</f>
        <v>186274</v>
      </c>
      <c r="F15" s="7">
        <f>SUM(F16:F18)</f>
        <v>80137</v>
      </c>
      <c r="H15" s="13">
        <f>SUM(H16:H18)</f>
        <v>1040144</v>
      </c>
      <c r="I15" s="13">
        <f>SUM(I16:I18)</f>
        <v>2361011.7625000002</v>
      </c>
      <c r="J15" s="17">
        <f>SUM(J16:J18)</f>
        <v>3401155.7625000002</v>
      </c>
      <c r="L15" s="13">
        <v>1134899</v>
      </c>
      <c r="M15" s="13">
        <v>2060662.4083333332</v>
      </c>
      <c r="N15" s="17">
        <v>3195561.4083333332</v>
      </c>
    </row>
    <row r="16" spans="1:14" ht="24.95" customHeight="1" x14ac:dyDescent="0.25">
      <c r="A16" s="8" t="s">
        <v>83</v>
      </c>
      <c r="B16" s="5">
        <v>166881</v>
      </c>
      <c r="C16" s="5">
        <v>350952</v>
      </c>
      <c r="D16" s="5">
        <v>1800</v>
      </c>
      <c r="E16" s="5">
        <v>169764</v>
      </c>
      <c r="F16" s="5">
        <v>80137</v>
      </c>
      <c r="H16" s="14">
        <f t="shared" ref="H16:H18" si="7">SUM(B16:F16)</f>
        <v>769534</v>
      </c>
      <c r="I16" s="14">
        <v>787003.9208333334</v>
      </c>
      <c r="J16" s="18">
        <f t="shared" ref="J16:J18" si="8">SUM(H16:I16)</f>
        <v>1556537.9208333334</v>
      </c>
      <c r="L16" s="14">
        <v>821329</v>
      </c>
      <c r="M16" s="14">
        <v>686887.4694444444</v>
      </c>
      <c r="N16" s="18">
        <v>1508216.4694444444</v>
      </c>
    </row>
    <row r="17" spans="1:14" ht="24.95" customHeight="1" x14ac:dyDescent="0.25">
      <c r="A17" s="8" t="s">
        <v>84</v>
      </c>
      <c r="B17" s="5">
        <v>186344</v>
      </c>
      <c r="C17" s="5">
        <v>64156</v>
      </c>
      <c r="D17" s="5">
        <v>1800</v>
      </c>
      <c r="E17" s="5">
        <v>16510</v>
      </c>
      <c r="F17" s="5"/>
      <c r="H17" s="14">
        <f t="shared" si="7"/>
        <v>268810</v>
      </c>
      <c r="I17" s="14">
        <v>787003.9208333334</v>
      </c>
      <c r="J17" s="18">
        <f t="shared" si="8"/>
        <v>1055813.9208333334</v>
      </c>
      <c r="L17" s="14">
        <v>250764</v>
      </c>
      <c r="M17" s="14">
        <v>686887.4694444444</v>
      </c>
      <c r="N17" s="18">
        <v>937651.4694444444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7"/>
        <v>1800</v>
      </c>
      <c r="I18" s="14">
        <v>787003.9208333334</v>
      </c>
      <c r="J18" s="18">
        <f t="shared" si="8"/>
        <v>788803.9208333334</v>
      </c>
      <c r="L18" s="14">
        <v>62806</v>
      </c>
      <c r="M18" s="14">
        <v>686887.4694444444</v>
      </c>
      <c r="N18" s="18">
        <v>749693.4694444444</v>
      </c>
    </row>
    <row r="19" spans="1:14" ht="24.95" customHeight="1" x14ac:dyDescent="0.25">
      <c r="A19" s="10" t="s">
        <v>131</v>
      </c>
      <c r="B19" s="6">
        <f>SUM(B3:B5,B7)</f>
        <v>629361.55999999994</v>
      </c>
      <c r="C19" s="6">
        <f t="shared" ref="C19:F19" si="9">SUM(C3:C5,C7)</f>
        <v>1623800.7200000002</v>
      </c>
      <c r="D19" s="6">
        <f t="shared" si="9"/>
        <v>308825.5</v>
      </c>
      <c r="E19" s="6">
        <f t="shared" si="9"/>
        <v>1008381.79</v>
      </c>
      <c r="F19" s="6">
        <f t="shared" si="9"/>
        <v>1264890.01</v>
      </c>
      <c r="H19" s="15">
        <f t="shared" ref="H19:J19" si="10">SUM(H3:H5,H7)</f>
        <v>4835259.58</v>
      </c>
      <c r="I19" s="15">
        <f t="shared" si="10"/>
        <v>1582259.55</v>
      </c>
      <c r="J19" s="15">
        <f t="shared" si="10"/>
        <v>6417519.1300000008</v>
      </c>
      <c r="L19" s="15">
        <v>5038160.1100000003</v>
      </c>
      <c r="M19" s="15">
        <v>2458561.46</v>
      </c>
      <c r="N19" s="15">
        <v>7496721.5699999994</v>
      </c>
    </row>
    <row r="20" spans="1:14" ht="24.95" customHeight="1" x14ac:dyDescent="0.25">
      <c r="A20" s="10" t="s">
        <v>132</v>
      </c>
      <c r="B20" s="6">
        <f>SUM(B8:B10,B12:B14,B16:B18)</f>
        <v>886633.73</v>
      </c>
      <c r="C20" s="6">
        <f t="shared" ref="C20:F20" si="11">SUM(C8:C10,C12:C14,C16:C18)</f>
        <v>1563115.8599999999</v>
      </c>
      <c r="D20" s="6">
        <f t="shared" si="11"/>
        <v>26624.989999999998</v>
      </c>
      <c r="E20" s="6">
        <f t="shared" si="11"/>
        <v>989847.24</v>
      </c>
      <c r="F20" s="6">
        <f t="shared" si="11"/>
        <v>864666</v>
      </c>
      <c r="H20" s="15">
        <f t="shared" ref="H20:J20" si="12">SUM(H8:H10,H12:H14,H16:H18)</f>
        <v>4330887.82</v>
      </c>
      <c r="I20" s="15">
        <f t="shared" si="12"/>
        <v>6421492.3190000001</v>
      </c>
      <c r="J20" s="15">
        <f t="shared" si="12"/>
        <v>10752380.139000002</v>
      </c>
      <c r="L20" s="15">
        <v>4182321.75</v>
      </c>
      <c r="M20" s="15">
        <v>4721102.7144444445</v>
      </c>
      <c r="N20" s="15">
        <v>8903424.4644444436</v>
      </c>
    </row>
    <row r="21" spans="1:14" ht="24.95" customHeight="1" x14ac:dyDescent="0.25">
      <c r="A21" s="19" t="s">
        <v>794</v>
      </c>
      <c r="B21" s="6">
        <f>SUM(B19:B20)</f>
        <v>1515995.29</v>
      </c>
      <c r="C21" s="6">
        <f t="shared" ref="C21:F21" si="13">SUM(C19:C20)</f>
        <v>3186916.58</v>
      </c>
      <c r="D21" s="6">
        <f t="shared" si="13"/>
        <v>335450.49</v>
      </c>
      <c r="E21" s="6">
        <f t="shared" si="13"/>
        <v>1998229.03</v>
      </c>
      <c r="F21" s="6">
        <f t="shared" si="13"/>
        <v>2129556.0099999998</v>
      </c>
      <c r="H21" s="20">
        <f t="shared" ref="H21:J21" si="14">SUM(H19:H20)</f>
        <v>9166147.4000000004</v>
      </c>
      <c r="I21" s="20">
        <f t="shared" si="14"/>
        <v>8003751.8689999999</v>
      </c>
      <c r="J21" s="20">
        <f t="shared" si="14"/>
        <v>17169899.269000001</v>
      </c>
      <c r="L21" s="20">
        <v>9220481.8599999994</v>
      </c>
      <c r="M21" s="20">
        <v>7179664.1744444445</v>
      </c>
      <c r="N21" s="20">
        <v>16400146.034444444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0551-94C2-4328-B20B-27D22628389D}">
  <dimension ref="A1:N21"/>
  <sheetViews>
    <sheetView zoomScale="130" zoomScaleNormal="130" zoomScaleSheetLayoutView="130" workbookViewId="0">
      <pane ySplit="1" topLeftCell="A2" activePane="bottomLeft" state="frozen"/>
      <selection activeCell="F3" sqref="F3"/>
      <selection pane="bottomLeft" activeCell="J2" sqref="J2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1274</v>
      </c>
      <c r="I1" s="25" t="s">
        <v>1275</v>
      </c>
      <c r="J1" s="25" t="s">
        <v>1276</v>
      </c>
      <c r="L1" s="25" t="s">
        <v>1148</v>
      </c>
      <c r="M1" s="25" t="s">
        <v>1149</v>
      </c>
      <c r="N1" s="28" t="s">
        <v>1150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1866047.96</v>
      </c>
      <c r="N2" s="17">
        <v>5772701.1999999993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565707.72</v>
      </c>
      <c r="N4" s="18">
        <v>1711202.14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695833.51000000013</v>
      </c>
      <c r="N5" s="18">
        <v>1870705.12</v>
      </c>
    </row>
    <row r="6" spans="1:14" ht="24.95" customHeight="1" x14ac:dyDescent="0.25">
      <c r="A6" s="9" t="s">
        <v>51</v>
      </c>
      <c r="B6" s="7">
        <f t="shared" ref="B6:J6" si="1">SUM(B7:B10)</f>
        <v>571764.27</v>
      </c>
      <c r="C6" s="7">
        <f t="shared" si="1"/>
        <v>1330431.6100000001</v>
      </c>
      <c r="D6" s="7">
        <f t="shared" si="1"/>
        <v>15812.99</v>
      </c>
      <c r="E6" s="7">
        <f t="shared" si="1"/>
        <v>1007478</v>
      </c>
      <c r="F6" s="7">
        <f t="shared" si="1"/>
        <v>649685.55000000005</v>
      </c>
      <c r="H6" s="13">
        <f t="shared" si="1"/>
        <v>3575172.42</v>
      </c>
      <c r="I6" s="13">
        <f>SUM(I7:I10)</f>
        <v>2113864.6273333333</v>
      </c>
      <c r="J6" s="17">
        <f t="shared" si="1"/>
        <v>5689037.0473333336</v>
      </c>
      <c r="L6" s="13">
        <v>3445305.62</v>
      </c>
      <c r="M6" s="13">
        <v>1493386.7902777784</v>
      </c>
      <c r="N6" s="17">
        <v>4938692.4102777783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 t="shared" ref="H7:H10" si="2">SUM(B7:F7)</f>
        <v>1351445.73</v>
      </c>
      <c r="I7" s="14">
        <v>0</v>
      </c>
      <c r="J7" s="18">
        <f t="shared" ref="J7:J10" si="3">SUM(H7:I7)</f>
        <v>1351445.73</v>
      </c>
      <c r="L7" s="14">
        <v>1131506.8700000001</v>
      </c>
      <c r="M7" s="14">
        <v>592513.5</v>
      </c>
      <c r="N7" s="18">
        <v>1724020.37</v>
      </c>
    </row>
    <row r="8" spans="1:14" ht="24.95" customHeight="1" x14ac:dyDescent="0.25">
      <c r="A8" s="8" t="s">
        <v>348</v>
      </c>
      <c r="B8" s="5">
        <v>199421.73</v>
      </c>
      <c r="C8" s="5">
        <v>209635.67</v>
      </c>
      <c r="D8" s="5">
        <v>14012.99</v>
      </c>
      <c r="E8" s="5">
        <v>170258.8</v>
      </c>
      <c r="F8" s="5">
        <v>181703.5</v>
      </c>
      <c r="H8" s="14">
        <f t="shared" si="2"/>
        <v>775032.69</v>
      </c>
      <c r="I8" s="14">
        <v>897540.13733333338</v>
      </c>
      <c r="J8" s="18">
        <f t="shared" si="3"/>
        <v>1672572.8273333334</v>
      </c>
      <c r="L8" s="14">
        <v>834884.53</v>
      </c>
      <c r="M8" s="14">
        <v>219571.45999999996</v>
      </c>
      <c r="N8" s="18">
        <v>1054455.99</v>
      </c>
    </row>
    <row r="9" spans="1:14" ht="24.95" customHeight="1" x14ac:dyDescent="0.25">
      <c r="A9" s="8" t="s">
        <v>79</v>
      </c>
      <c r="B9" s="5">
        <v>108099</v>
      </c>
      <c r="C9" s="5">
        <v>138805</v>
      </c>
      <c r="D9" s="5"/>
      <c r="E9" s="5">
        <v>130838</v>
      </c>
      <c r="F9" s="5">
        <v>238458</v>
      </c>
      <c r="G9" s="4"/>
      <c r="H9" s="14">
        <f t="shared" si="2"/>
        <v>616200</v>
      </c>
      <c r="I9" s="14">
        <v>682018.07833333337</v>
      </c>
      <c r="J9" s="18">
        <f t="shared" si="3"/>
        <v>1298218.0783333334</v>
      </c>
      <c r="K9" s="4"/>
      <c r="L9" s="14">
        <v>1053261.22</v>
      </c>
      <c r="M9" s="14">
        <v>304005.34666666668</v>
      </c>
      <c r="N9" s="18">
        <v>1357266.5666666667</v>
      </c>
    </row>
    <row r="10" spans="1:14" ht="24.95" customHeight="1" x14ac:dyDescent="0.25">
      <c r="A10" s="8" t="s">
        <v>128</v>
      </c>
      <c r="B10" s="5">
        <v>115254</v>
      </c>
      <c r="C10" s="5">
        <v>352431</v>
      </c>
      <c r="D10" s="5">
        <v>900</v>
      </c>
      <c r="E10" s="5">
        <v>287908</v>
      </c>
      <c r="F10" s="5">
        <v>76001</v>
      </c>
      <c r="H10" s="14">
        <f t="shared" si="2"/>
        <v>832494</v>
      </c>
      <c r="I10" s="14">
        <v>534306.41166666662</v>
      </c>
      <c r="J10" s="18">
        <f t="shared" si="3"/>
        <v>1366800.4116666666</v>
      </c>
      <c r="L10" s="14">
        <v>425653</v>
      </c>
      <c r="M10" s="14">
        <v>377296.4836111117</v>
      </c>
      <c r="N10" s="18">
        <v>802949.48361111176</v>
      </c>
    </row>
    <row r="11" spans="1:14" ht="24.95" customHeight="1" x14ac:dyDescent="0.25">
      <c r="A11" s="9" t="s">
        <v>52</v>
      </c>
      <c r="B11" s="7">
        <f t="shared" ref="B11:J11" si="4">SUM(B12:B14)</f>
        <v>178831</v>
      </c>
      <c r="C11" s="7">
        <f t="shared" si="4"/>
        <v>479477</v>
      </c>
      <c r="D11" s="7">
        <f t="shared" si="4"/>
        <v>5412</v>
      </c>
      <c r="E11" s="7">
        <f t="shared" si="4"/>
        <v>220791</v>
      </c>
      <c r="F11" s="7">
        <f t="shared" si="4"/>
        <v>444371</v>
      </c>
      <c r="G11" s="4"/>
      <c r="H11" s="13">
        <f t="shared" si="4"/>
        <v>1328882</v>
      </c>
      <c r="I11" s="13">
        <f t="shared" si="4"/>
        <v>1946615.9291666667</v>
      </c>
      <c r="J11" s="17">
        <f t="shared" si="4"/>
        <v>3275497.9291666667</v>
      </c>
      <c r="K11" s="4"/>
      <c r="L11" s="13">
        <v>733624</v>
      </c>
      <c r="M11" s="13">
        <v>1759567.0158333331</v>
      </c>
      <c r="N11" s="17">
        <v>2493191.0158333331</v>
      </c>
    </row>
    <row r="12" spans="1:14" ht="24.95" customHeight="1" x14ac:dyDescent="0.25">
      <c r="A12" s="8" t="s">
        <v>80</v>
      </c>
      <c r="B12" s="5">
        <v>74200</v>
      </c>
      <c r="C12" s="5">
        <v>295317</v>
      </c>
      <c r="D12" s="5">
        <v>1812</v>
      </c>
      <c r="E12" s="5">
        <v>134643</v>
      </c>
      <c r="F12" s="5">
        <v>344286</v>
      </c>
      <c r="H12" s="14">
        <f t="shared" ref="H12:H14" si="5">SUM(B12:F12)</f>
        <v>850258</v>
      </c>
      <c r="I12" s="14">
        <v>653406.00416666665</v>
      </c>
      <c r="J12" s="18">
        <f t="shared" ref="J12:J14" si="6">SUM(H12:I12)</f>
        <v>1503664.0041666667</v>
      </c>
      <c r="L12" s="14">
        <v>264618</v>
      </c>
      <c r="M12" s="14">
        <v>597037.30527777772</v>
      </c>
      <c r="N12" s="18">
        <v>861655.30527777772</v>
      </c>
    </row>
    <row r="13" spans="1:14" ht="24.95" customHeight="1" x14ac:dyDescent="0.25">
      <c r="A13" s="8" t="s">
        <v>81</v>
      </c>
      <c r="B13" s="5">
        <v>101571</v>
      </c>
      <c r="C13" s="5">
        <v>182160</v>
      </c>
      <c r="D13" s="5">
        <v>1800</v>
      </c>
      <c r="E13" s="5">
        <v>74560</v>
      </c>
      <c r="F13" s="5">
        <v>95880</v>
      </c>
      <c r="H13" s="14">
        <f t="shared" si="5"/>
        <v>455971</v>
      </c>
      <c r="I13" s="14">
        <v>653406.00416666665</v>
      </c>
      <c r="J13" s="18">
        <f t="shared" si="6"/>
        <v>1109377.0041666667</v>
      </c>
      <c r="L13" s="14">
        <v>371468</v>
      </c>
      <c r="M13" s="14">
        <v>597037.30527777772</v>
      </c>
      <c r="N13" s="18">
        <v>968505.30527777772</v>
      </c>
    </row>
    <row r="14" spans="1:14" ht="24.95" customHeight="1" x14ac:dyDescent="0.25">
      <c r="A14" s="8" t="s">
        <v>82</v>
      </c>
      <c r="B14" s="5">
        <v>3060</v>
      </c>
      <c r="C14" s="5">
        <v>2000</v>
      </c>
      <c r="D14" s="5">
        <v>1800</v>
      </c>
      <c r="E14" s="5">
        <v>11588</v>
      </c>
      <c r="F14" s="5">
        <v>4205</v>
      </c>
      <c r="H14" s="14">
        <f t="shared" si="5"/>
        <v>22653</v>
      </c>
      <c r="I14" s="14">
        <v>639803.9208333334</v>
      </c>
      <c r="J14" s="18">
        <f t="shared" si="6"/>
        <v>662456.9208333334</v>
      </c>
      <c r="L14" s="14">
        <v>97538</v>
      </c>
      <c r="M14" s="14">
        <v>565492.4052777777</v>
      </c>
      <c r="N14" s="18">
        <v>663030.4052777777</v>
      </c>
    </row>
    <row r="15" spans="1:14" ht="24.95" customHeight="1" x14ac:dyDescent="0.25">
      <c r="A15" s="9" t="s">
        <v>53</v>
      </c>
      <c r="B15" s="7">
        <f>SUM(B16:B18)</f>
        <v>353225</v>
      </c>
      <c r="C15" s="7">
        <f>SUM(C16:C18)</f>
        <v>415003</v>
      </c>
      <c r="D15" s="7">
        <f>SUM(D16:D18)</f>
        <v>5400</v>
      </c>
      <c r="E15" s="7">
        <f>SUM(E16:E18)</f>
        <v>186274</v>
      </c>
      <c r="F15" s="7">
        <f>SUM(F16:F18)</f>
        <v>548020</v>
      </c>
      <c r="H15" s="13">
        <f>SUM(H16:H18)</f>
        <v>1507922</v>
      </c>
      <c r="I15" s="13">
        <f>SUM(I16:I18)</f>
        <v>2361011.7625000002</v>
      </c>
      <c r="J15" s="17">
        <f>SUM(J16:J18)</f>
        <v>3868933.7625000002</v>
      </c>
      <c r="L15" s="13">
        <v>1134899</v>
      </c>
      <c r="M15" s="13">
        <v>2060662.4083333332</v>
      </c>
      <c r="N15" s="17">
        <v>3195561.4083333332</v>
      </c>
    </row>
    <row r="16" spans="1:14" ht="24.95" customHeight="1" x14ac:dyDescent="0.25">
      <c r="A16" s="8" t="s">
        <v>83</v>
      </c>
      <c r="B16" s="5">
        <v>166881</v>
      </c>
      <c r="C16" s="5">
        <v>350847</v>
      </c>
      <c r="D16" s="5">
        <v>1800</v>
      </c>
      <c r="E16" s="5">
        <v>169764</v>
      </c>
      <c r="F16" s="5">
        <v>80137</v>
      </c>
      <c r="H16" s="14">
        <f t="shared" ref="H16:H18" si="7">SUM(B16:F16)</f>
        <v>769429</v>
      </c>
      <c r="I16" s="14">
        <v>787003.9208333334</v>
      </c>
      <c r="J16" s="18">
        <f t="shared" ref="J16:J18" si="8">SUM(H16:I16)</f>
        <v>1556432.9208333334</v>
      </c>
      <c r="L16" s="14">
        <v>821329</v>
      </c>
      <c r="M16" s="14">
        <v>686887.4694444444</v>
      </c>
      <c r="N16" s="18">
        <v>1508216.4694444444</v>
      </c>
    </row>
    <row r="17" spans="1:14" ht="24.95" customHeight="1" x14ac:dyDescent="0.25">
      <c r="A17" s="8" t="s">
        <v>84</v>
      </c>
      <c r="B17" s="5">
        <v>186344</v>
      </c>
      <c r="C17" s="5">
        <v>64156</v>
      </c>
      <c r="D17" s="5">
        <v>1800</v>
      </c>
      <c r="E17" s="5">
        <v>16510</v>
      </c>
      <c r="F17" s="5">
        <v>467883</v>
      </c>
      <c r="H17" s="14">
        <f t="shared" si="7"/>
        <v>736693</v>
      </c>
      <c r="I17" s="14">
        <v>787003.9208333334</v>
      </c>
      <c r="J17" s="18">
        <f t="shared" si="8"/>
        <v>1523696.9208333334</v>
      </c>
      <c r="L17" s="14">
        <v>250764</v>
      </c>
      <c r="M17" s="14">
        <v>686887.4694444444</v>
      </c>
      <c r="N17" s="18">
        <v>937651.4694444444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7"/>
        <v>1800</v>
      </c>
      <c r="I18" s="14">
        <v>787003.9208333334</v>
      </c>
      <c r="J18" s="18">
        <f t="shared" si="8"/>
        <v>788803.9208333334</v>
      </c>
      <c r="L18" s="14">
        <v>62806</v>
      </c>
      <c r="M18" s="14">
        <v>686887.4694444444</v>
      </c>
      <c r="N18" s="18">
        <v>749693.4694444444</v>
      </c>
    </row>
    <row r="19" spans="1:14" ht="24.95" customHeight="1" x14ac:dyDescent="0.25">
      <c r="A19" s="10" t="s">
        <v>131</v>
      </c>
      <c r="B19" s="6">
        <f>SUM(B3:B5,B7)</f>
        <v>629361.55999999994</v>
      </c>
      <c r="C19" s="6">
        <f t="shared" ref="C19:F19" si="9">SUM(C3:C5,C7)</f>
        <v>1623800.7200000002</v>
      </c>
      <c r="D19" s="6">
        <f t="shared" si="9"/>
        <v>308825.5</v>
      </c>
      <c r="E19" s="6">
        <f t="shared" si="9"/>
        <v>1008381.79</v>
      </c>
      <c r="F19" s="6">
        <f t="shared" si="9"/>
        <v>1264890.01</v>
      </c>
      <c r="H19" s="15">
        <f t="shared" ref="H19:J19" si="10">SUM(H3:H5,H7)</f>
        <v>4835259.58</v>
      </c>
      <c r="I19" s="15">
        <f t="shared" si="10"/>
        <v>1582259.55</v>
      </c>
      <c r="J19" s="15">
        <f t="shared" si="10"/>
        <v>6417519.1300000008</v>
      </c>
      <c r="L19" s="15">
        <v>5038160.1100000003</v>
      </c>
      <c r="M19" s="15">
        <v>2458561.46</v>
      </c>
      <c r="N19" s="15">
        <v>7496721.5699999994</v>
      </c>
    </row>
    <row r="20" spans="1:14" ht="24.95" customHeight="1" x14ac:dyDescent="0.25">
      <c r="A20" s="10" t="s">
        <v>132</v>
      </c>
      <c r="B20" s="6">
        <f>SUM(B8:B10,B12:B14,B16:B18)</f>
        <v>954830.73</v>
      </c>
      <c r="C20" s="6">
        <f t="shared" ref="C20:F20" si="11">SUM(C8:C10,C12:C14,C16:C18)</f>
        <v>1595351.67</v>
      </c>
      <c r="D20" s="6">
        <f t="shared" si="11"/>
        <v>25724.989999999998</v>
      </c>
      <c r="E20" s="6">
        <f t="shared" si="11"/>
        <v>996069.8</v>
      </c>
      <c r="F20" s="6">
        <f t="shared" si="11"/>
        <v>1488553.5</v>
      </c>
      <c r="H20" s="15">
        <f t="shared" ref="H20:J20" si="12">SUM(H8:H10,H12:H14,H16:H18)</f>
        <v>5060530.6899999995</v>
      </c>
      <c r="I20" s="15">
        <f t="shared" si="12"/>
        <v>6421492.3190000001</v>
      </c>
      <c r="J20" s="15">
        <f t="shared" si="12"/>
        <v>11482023.009</v>
      </c>
      <c r="L20" s="15">
        <v>4182321.75</v>
      </c>
      <c r="M20" s="15">
        <v>4721102.7144444445</v>
      </c>
      <c r="N20" s="15">
        <v>8903424.4644444436</v>
      </c>
    </row>
    <row r="21" spans="1:14" ht="24.95" customHeight="1" x14ac:dyDescent="0.25">
      <c r="A21" s="19" t="s">
        <v>794</v>
      </c>
      <c r="B21" s="6">
        <f>SUM(B19:B20)</f>
        <v>1584192.29</v>
      </c>
      <c r="C21" s="6">
        <f t="shared" ref="C21:F21" si="13">SUM(C19:C20)</f>
        <v>3219152.39</v>
      </c>
      <c r="D21" s="6">
        <f t="shared" si="13"/>
        <v>334550.49</v>
      </c>
      <c r="E21" s="6">
        <f t="shared" si="13"/>
        <v>2004451.59</v>
      </c>
      <c r="F21" s="6">
        <f t="shared" si="13"/>
        <v>2753443.51</v>
      </c>
      <c r="H21" s="20">
        <f t="shared" ref="H21:J21" si="14">SUM(H19:H20)</f>
        <v>9895790.2699999996</v>
      </c>
      <c r="I21" s="20">
        <f t="shared" si="14"/>
        <v>8003751.8689999999</v>
      </c>
      <c r="J21" s="20">
        <f t="shared" si="14"/>
        <v>17899542.138999999</v>
      </c>
      <c r="L21" s="20">
        <v>9220481.8599999994</v>
      </c>
      <c r="M21" s="20">
        <v>7179664.1744444445</v>
      </c>
      <c r="N21" s="20">
        <v>16400146.034444444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CF02-C63B-440F-90EE-EA2AD03EAECD}">
  <dimension ref="A1:N21"/>
  <sheetViews>
    <sheetView zoomScale="130" zoomScaleNormal="130" zoomScaleSheetLayoutView="130" workbookViewId="0">
      <pane ySplit="1" topLeftCell="A2" activePane="bottomLeft" state="frozen"/>
      <selection activeCell="F3" sqref="F3"/>
      <selection pane="bottomLeft" activeCell="I2" sqref="I2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1271</v>
      </c>
      <c r="I1" s="25" t="s">
        <v>1272</v>
      </c>
      <c r="J1" s="25" t="s">
        <v>1273</v>
      </c>
      <c r="L1" s="25" t="s">
        <v>1202</v>
      </c>
      <c r="M1" s="25" t="s">
        <v>1149</v>
      </c>
      <c r="N1" s="28" t="s">
        <v>1150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1866047.96</v>
      </c>
      <c r="N2" s="17">
        <v>5772701.1999999993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565707.72</v>
      </c>
      <c r="N4" s="18">
        <v>1711202.14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695833.51000000013</v>
      </c>
      <c r="N5" s="18">
        <v>1870705.12</v>
      </c>
    </row>
    <row r="6" spans="1:14" ht="24.95" customHeight="1" x14ac:dyDescent="0.25">
      <c r="A6" s="9" t="s">
        <v>51</v>
      </c>
      <c r="B6" s="7">
        <f t="shared" ref="B6:J6" si="1">SUM(B7:B10)</f>
        <v>562185.27</v>
      </c>
      <c r="C6" s="7">
        <f t="shared" si="1"/>
        <v>1319820.42</v>
      </c>
      <c r="D6" s="7">
        <f t="shared" si="1"/>
        <v>15812.99</v>
      </c>
      <c r="E6" s="7">
        <f t="shared" si="1"/>
        <v>1012772.95</v>
      </c>
      <c r="F6" s="7">
        <f t="shared" si="1"/>
        <v>661483.65</v>
      </c>
      <c r="H6" s="13">
        <f t="shared" si="1"/>
        <v>3572075.28</v>
      </c>
      <c r="I6" s="13">
        <f>SUM(I7:I10)</f>
        <v>2113864.6273333333</v>
      </c>
      <c r="J6" s="17">
        <f t="shared" si="1"/>
        <v>5685939.907333333</v>
      </c>
      <c r="L6" s="13">
        <v>3920008.34</v>
      </c>
      <c r="M6" s="13">
        <v>1493386.7902777784</v>
      </c>
      <c r="N6" s="17">
        <v>5413395.130277778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 t="shared" ref="H7:H10" si="2">SUM(B7:F7)</f>
        <v>1351445.73</v>
      </c>
      <c r="I7" s="14">
        <v>0</v>
      </c>
      <c r="J7" s="18">
        <f t="shared" ref="J7:J10" si="3">SUM(H7:I7)</f>
        <v>1351445.73</v>
      </c>
      <c r="L7" s="14">
        <v>1131506.8700000001</v>
      </c>
      <c r="M7" s="14">
        <v>592513.5</v>
      </c>
      <c r="N7" s="18">
        <v>1724020.37</v>
      </c>
    </row>
    <row r="8" spans="1:14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 t="shared" si="2"/>
        <v>974180.54999999993</v>
      </c>
      <c r="I8" s="14">
        <v>897540.13733333338</v>
      </c>
      <c r="J8" s="18">
        <f t="shared" si="3"/>
        <v>1871720.6873333333</v>
      </c>
      <c r="L8" s="14">
        <v>1530023.4699999997</v>
      </c>
      <c r="M8" s="14">
        <v>219571.45999999996</v>
      </c>
      <c r="N8" s="18">
        <v>1749594.9299999997</v>
      </c>
    </row>
    <row r="9" spans="1:14" ht="24.95" customHeight="1" x14ac:dyDescent="0.25">
      <c r="A9" s="8" t="s">
        <v>79</v>
      </c>
      <c r="B9" s="5">
        <v>84435</v>
      </c>
      <c r="C9" s="5">
        <v>51695</v>
      </c>
      <c r="D9" s="5"/>
      <c r="E9" s="5">
        <v>76525</v>
      </c>
      <c r="F9" s="5">
        <v>155320</v>
      </c>
      <c r="G9" s="4"/>
      <c r="H9" s="14">
        <f t="shared" si="2"/>
        <v>367975</v>
      </c>
      <c r="I9" s="14">
        <v>682018.07833333337</v>
      </c>
      <c r="J9" s="18">
        <f t="shared" si="3"/>
        <v>1049993.0783333334</v>
      </c>
      <c r="K9" s="4"/>
      <c r="L9" s="14">
        <v>262044</v>
      </c>
      <c r="M9" s="14">
        <v>304005.34666666668</v>
      </c>
      <c r="N9" s="18">
        <v>566049.34666666668</v>
      </c>
    </row>
    <row r="10" spans="1:14" ht="24.95" customHeight="1" x14ac:dyDescent="0.25">
      <c r="A10" s="8" t="s">
        <v>128</v>
      </c>
      <c r="B10" s="5">
        <v>94804</v>
      </c>
      <c r="C10" s="5">
        <v>391208</v>
      </c>
      <c r="D10" s="5">
        <v>900</v>
      </c>
      <c r="E10" s="5">
        <v>293203</v>
      </c>
      <c r="F10" s="5">
        <v>98359</v>
      </c>
      <c r="H10" s="14">
        <f t="shared" si="2"/>
        <v>878474</v>
      </c>
      <c r="I10" s="14">
        <v>534306.41166666662</v>
      </c>
      <c r="J10" s="18">
        <f t="shared" si="3"/>
        <v>1412780.4116666666</v>
      </c>
      <c r="L10" s="14">
        <v>996434</v>
      </c>
      <c r="M10" s="14">
        <v>377296.4836111117</v>
      </c>
      <c r="N10" s="18">
        <v>1373730.4836111118</v>
      </c>
    </row>
    <row r="11" spans="1:14" ht="24.95" customHeight="1" x14ac:dyDescent="0.25">
      <c r="A11" s="9" t="s">
        <v>52</v>
      </c>
      <c r="B11" s="7">
        <f t="shared" ref="B11:J11" si="4">SUM(B12:B14)</f>
        <v>181226</v>
      </c>
      <c r="C11" s="7">
        <f t="shared" si="4"/>
        <v>513980</v>
      </c>
      <c r="D11" s="7">
        <f t="shared" si="4"/>
        <v>5412</v>
      </c>
      <c r="E11" s="7">
        <f t="shared" si="4"/>
        <v>220791</v>
      </c>
      <c r="F11" s="7">
        <f t="shared" si="4"/>
        <v>445702</v>
      </c>
      <c r="G11" s="4"/>
      <c r="H11" s="13">
        <f t="shared" si="4"/>
        <v>1367111</v>
      </c>
      <c r="I11" s="13">
        <f t="shared" si="4"/>
        <v>1946615.9291666667</v>
      </c>
      <c r="J11" s="17">
        <f t="shared" si="4"/>
        <v>3313726.9291666667</v>
      </c>
      <c r="K11" s="4"/>
      <c r="L11" s="13">
        <v>817399</v>
      </c>
      <c r="M11" s="13">
        <v>1759567.0158333331</v>
      </c>
      <c r="N11" s="17">
        <v>2576966.0158333331</v>
      </c>
    </row>
    <row r="12" spans="1:14" ht="24.95" customHeight="1" x14ac:dyDescent="0.25">
      <c r="A12" s="8" t="s">
        <v>80</v>
      </c>
      <c r="B12" s="5">
        <v>76595</v>
      </c>
      <c r="C12" s="5">
        <v>329625</v>
      </c>
      <c r="D12" s="5">
        <v>1812</v>
      </c>
      <c r="E12" s="5">
        <v>134643</v>
      </c>
      <c r="F12" s="5">
        <v>345617</v>
      </c>
      <c r="H12" s="14">
        <f t="shared" ref="H12:H14" si="5">SUM(B12:F12)</f>
        <v>888292</v>
      </c>
      <c r="I12" s="14">
        <v>653406.00416666665</v>
      </c>
      <c r="J12" s="18">
        <f t="shared" ref="J12:J14" si="6">SUM(H12:I12)</f>
        <v>1541698.0041666667</v>
      </c>
      <c r="L12" s="14">
        <v>313003</v>
      </c>
      <c r="M12" s="14">
        <v>597037.30527777772</v>
      </c>
      <c r="N12" s="18">
        <v>910040.30527777772</v>
      </c>
    </row>
    <row r="13" spans="1:14" ht="24.95" customHeight="1" x14ac:dyDescent="0.25">
      <c r="A13" s="8" t="s">
        <v>81</v>
      </c>
      <c r="B13" s="5">
        <v>101571</v>
      </c>
      <c r="C13" s="5">
        <v>182355</v>
      </c>
      <c r="D13" s="5">
        <v>1800</v>
      </c>
      <c r="E13" s="5">
        <v>74560</v>
      </c>
      <c r="F13" s="5">
        <v>95880</v>
      </c>
      <c r="H13" s="14">
        <f t="shared" si="5"/>
        <v>456166</v>
      </c>
      <c r="I13" s="14">
        <v>653406.00416666665</v>
      </c>
      <c r="J13" s="18">
        <f t="shared" si="6"/>
        <v>1109572.0041666667</v>
      </c>
      <c r="L13" s="14">
        <v>388823</v>
      </c>
      <c r="M13" s="14">
        <v>597037.30527777772</v>
      </c>
      <c r="N13" s="18">
        <v>985860.30527777772</v>
      </c>
    </row>
    <row r="14" spans="1:14" ht="24.95" customHeight="1" x14ac:dyDescent="0.25">
      <c r="A14" s="8" t="s">
        <v>82</v>
      </c>
      <c r="B14" s="5">
        <v>3060</v>
      </c>
      <c r="C14" s="5">
        <v>2000</v>
      </c>
      <c r="D14" s="5">
        <v>1800</v>
      </c>
      <c r="E14" s="5">
        <v>11588</v>
      </c>
      <c r="F14" s="5">
        <v>4205</v>
      </c>
      <c r="H14" s="14">
        <f t="shared" si="5"/>
        <v>22653</v>
      </c>
      <c r="I14" s="14">
        <v>639803.9208333334</v>
      </c>
      <c r="J14" s="18">
        <f t="shared" si="6"/>
        <v>662456.9208333334</v>
      </c>
      <c r="L14" s="14">
        <v>115573</v>
      </c>
      <c r="M14" s="14">
        <v>565492.4052777777</v>
      </c>
      <c r="N14" s="18">
        <v>681065.4052777777</v>
      </c>
    </row>
    <row r="15" spans="1:14" ht="24.95" customHeight="1" x14ac:dyDescent="0.25">
      <c r="A15" s="9" t="s">
        <v>53</v>
      </c>
      <c r="B15" s="7">
        <f>SUM(B16:B18)</f>
        <v>353660</v>
      </c>
      <c r="C15" s="7">
        <f>SUM(C16:C18)</f>
        <v>415003</v>
      </c>
      <c r="D15" s="7">
        <f>SUM(D16:D18)</f>
        <v>5400</v>
      </c>
      <c r="E15" s="7">
        <f>SUM(E16:E18)</f>
        <v>186274</v>
      </c>
      <c r="F15" s="7">
        <f>SUM(F16:F18)</f>
        <v>548020</v>
      </c>
      <c r="H15" s="13">
        <f>SUM(H16:H18)</f>
        <v>1508357</v>
      </c>
      <c r="I15" s="13">
        <f>SUM(I16:I18)</f>
        <v>2361011.7625000002</v>
      </c>
      <c r="J15" s="17">
        <f>SUM(J16:J18)</f>
        <v>3869368.7625000002</v>
      </c>
      <c r="L15" s="13">
        <v>1147377.75</v>
      </c>
      <c r="M15" s="13">
        <v>2060662.4083333332</v>
      </c>
      <c r="N15" s="17">
        <v>3208040.1583333332</v>
      </c>
    </row>
    <row r="16" spans="1:14" ht="24.95" customHeight="1" x14ac:dyDescent="0.25">
      <c r="A16" s="8" t="s">
        <v>83</v>
      </c>
      <c r="B16" s="5">
        <v>167411</v>
      </c>
      <c r="C16" s="5">
        <v>350847</v>
      </c>
      <c r="D16" s="5">
        <v>1800</v>
      </c>
      <c r="E16" s="5">
        <v>169764</v>
      </c>
      <c r="F16" s="5">
        <v>80137</v>
      </c>
      <c r="H16" s="14">
        <f t="shared" ref="H16:H18" si="7">SUM(B16:F16)</f>
        <v>769959</v>
      </c>
      <c r="I16" s="14">
        <v>787003.9208333334</v>
      </c>
      <c r="J16" s="18">
        <f t="shared" ref="J16:J18" si="8">SUM(H16:I16)</f>
        <v>1556962.9208333334</v>
      </c>
      <c r="L16" s="14">
        <v>823871</v>
      </c>
      <c r="M16" s="14">
        <v>686887.4694444444</v>
      </c>
      <c r="N16" s="18">
        <v>1510758.4694444444</v>
      </c>
    </row>
    <row r="17" spans="1:14" ht="24.95" customHeight="1" x14ac:dyDescent="0.25">
      <c r="A17" s="8" t="s">
        <v>84</v>
      </c>
      <c r="B17" s="5">
        <v>186249</v>
      </c>
      <c r="C17" s="5">
        <v>64156</v>
      </c>
      <c r="D17" s="5">
        <v>1800</v>
      </c>
      <c r="E17" s="5">
        <v>16510</v>
      </c>
      <c r="F17" s="5">
        <v>467883</v>
      </c>
      <c r="H17" s="14">
        <f t="shared" si="7"/>
        <v>736598</v>
      </c>
      <c r="I17" s="14">
        <v>787003.9208333334</v>
      </c>
      <c r="J17" s="18">
        <f t="shared" si="8"/>
        <v>1523601.9208333334</v>
      </c>
      <c r="L17" s="14">
        <v>260182</v>
      </c>
      <c r="M17" s="14">
        <v>686887.4694444444</v>
      </c>
      <c r="N17" s="18">
        <v>947069.4694444444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7"/>
        <v>1800</v>
      </c>
      <c r="I18" s="14">
        <v>787003.9208333334</v>
      </c>
      <c r="J18" s="18">
        <f t="shared" si="8"/>
        <v>788803.9208333334</v>
      </c>
      <c r="L18" s="14">
        <v>63324.75</v>
      </c>
      <c r="M18" s="14">
        <v>686887.4694444444</v>
      </c>
      <c r="N18" s="18">
        <v>750212.2194444444</v>
      </c>
    </row>
    <row r="19" spans="1:14" ht="24.95" customHeight="1" x14ac:dyDescent="0.25">
      <c r="A19" s="10" t="s">
        <v>131</v>
      </c>
      <c r="B19" s="6">
        <f>SUM(B3:B5,B7)</f>
        <v>629361.55999999994</v>
      </c>
      <c r="C19" s="6">
        <f t="shared" ref="C19:F19" si="9">SUM(C3:C5,C7)</f>
        <v>1623800.7200000002</v>
      </c>
      <c r="D19" s="6">
        <f t="shared" si="9"/>
        <v>308825.5</v>
      </c>
      <c r="E19" s="6">
        <f t="shared" si="9"/>
        <v>1008381.79</v>
      </c>
      <c r="F19" s="6">
        <f t="shared" si="9"/>
        <v>1264890.01</v>
      </c>
      <c r="H19" s="15">
        <f t="shared" ref="H19:J19" si="10">SUM(H3:H5,H7)</f>
        <v>4835259.58</v>
      </c>
      <c r="I19" s="15">
        <f t="shared" si="10"/>
        <v>1582259.55</v>
      </c>
      <c r="J19" s="15">
        <f t="shared" si="10"/>
        <v>6417519.1300000008</v>
      </c>
      <c r="L19" s="15">
        <v>5038160.1100000003</v>
      </c>
      <c r="M19" s="15">
        <v>2458561.46</v>
      </c>
      <c r="N19" s="15">
        <v>7496721.5699999994</v>
      </c>
    </row>
    <row r="20" spans="1:14" ht="24.95" customHeight="1" x14ac:dyDescent="0.25">
      <c r="A20" s="10" t="s">
        <v>132</v>
      </c>
      <c r="B20" s="6">
        <f>SUM(B8:B10,B12:B14,B16:B18)</f>
        <v>948081.73</v>
      </c>
      <c r="C20" s="6">
        <f t="shared" ref="C20:F20" si="11">SUM(C8:C10,C12:C14,C16:C18)</f>
        <v>1619243.48</v>
      </c>
      <c r="D20" s="6">
        <f t="shared" si="11"/>
        <v>25724.989999999998</v>
      </c>
      <c r="E20" s="6">
        <f t="shared" si="11"/>
        <v>1001364.75</v>
      </c>
      <c r="F20" s="6">
        <f t="shared" si="11"/>
        <v>1501682.6</v>
      </c>
      <c r="H20" s="15">
        <f t="shared" ref="H20:J20" si="12">SUM(H8:H10,H12:H14,H16:H18)</f>
        <v>5096097.55</v>
      </c>
      <c r="I20" s="15">
        <f t="shared" si="12"/>
        <v>6421492.3190000001</v>
      </c>
      <c r="J20" s="15">
        <f t="shared" si="12"/>
        <v>11517589.868999999</v>
      </c>
      <c r="L20" s="15">
        <v>4753278.22</v>
      </c>
      <c r="M20" s="15">
        <v>4721102.7144444445</v>
      </c>
      <c r="N20" s="15">
        <v>9474380.9344444443</v>
      </c>
    </row>
    <row r="21" spans="1:14" ht="24.95" customHeight="1" x14ac:dyDescent="0.25">
      <c r="A21" s="19" t="s">
        <v>794</v>
      </c>
      <c r="B21" s="6">
        <f>SUM(B19:B20)</f>
        <v>1577443.29</v>
      </c>
      <c r="C21" s="6">
        <f t="shared" ref="C21:F21" si="13">SUM(C19:C20)</f>
        <v>3243044.2</v>
      </c>
      <c r="D21" s="6">
        <f t="shared" si="13"/>
        <v>334550.49</v>
      </c>
      <c r="E21" s="6">
        <f t="shared" si="13"/>
        <v>2009746.54</v>
      </c>
      <c r="F21" s="6">
        <f t="shared" si="13"/>
        <v>2766572.6100000003</v>
      </c>
      <c r="H21" s="20">
        <f t="shared" ref="H21:J21" si="14">SUM(H19:H20)</f>
        <v>9931357.129999999</v>
      </c>
      <c r="I21" s="20">
        <f t="shared" si="14"/>
        <v>8003751.8689999999</v>
      </c>
      <c r="J21" s="20">
        <f t="shared" si="14"/>
        <v>17935108.998999998</v>
      </c>
      <c r="L21" s="20">
        <v>9791438.3300000001</v>
      </c>
      <c r="M21" s="20">
        <v>7179664.1744444445</v>
      </c>
      <c r="N21" s="20">
        <v>16971102.504444443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560-4AAB-4F3F-BD74-584C6766D702}">
  <dimension ref="A1:N21"/>
  <sheetViews>
    <sheetView zoomScale="130" zoomScaleNormal="130" zoomScaleSheetLayoutView="130" workbookViewId="0">
      <pane ySplit="1" topLeftCell="A2" activePane="bottomLeft" state="frozen"/>
      <selection activeCell="F3" sqref="F3"/>
      <selection pane="bottomLeft" activeCell="I4" sqref="I4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1268</v>
      </c>
      <c r="I1" s="25" t="s">
        <v>1269</v>
      </c>
      <c r="J1" s="25" t="s">
        <v>1270</v>
      </c>
      <c r="L1" s="25" t="s">
        <v>1221</v>
      </c>
      <c r="M1" s="25" t="s">
        <v>1222</v>
      </c>
      <c r="N1" s="28" t="s">
        <v>1223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1879309.96</v>
      </c>
      <c r="N2" s="17">
        <v>5785963.1999999993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569351.72</v>
      </c>
      <c r="N4" s="18">
        <v>1714846.14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705451.51000000013</v>
      </c>
      <c r="N5" s="18">
        <v>1880323.12</v>
      </c>
    </row>
    <row r="6" spans="1:14" ht="24.95" customHeight="1" x14ac:dyDescent="0.25">
      <c r="A6" s="9" t="s">
        <v>51</v>
      </c>
      <c r="B6" s="7">
        <f t="shared" ref="B6:J6" si="1">SUM(B7:B10)</f>
        <v>614596.27</v>
      </c>
      <c r="C6" s="7">
        <f t="shared" si="1"/>
        <v>1357372.9100000001</v>
      </c>
      <c r="D6" s="7">
        <f t="shared" si="1"/>
        <v>16712.989999999998</v>
      </c>
      <c r="E6" s="7">
        <f t="shared" si="1"/>
        <v>1081915.95</v>
      </c>
      <c r="F6" s="7">
        <f t="shared" si="1"/>
        <v>666288.15</v>
      </c>
      <c r="H6" s="13">
        <f t="shared" si="1"/>
        <v>3736886.2699999996</v>
      </c>
      <c r="I6" s="13">
        <f>SUM(I7:I10)</f>
        <v>2113864.6273333333</v>
      </c>
      <c r="J6" s="17">
        <f t="shared" si="1"/>
        <v>5850750.8973333333</v>
      </c>
      <c r="L6" s="13">
        <v>4019058.3</v>
      </c>
      <c r="M6" s="13">
        <v>1776784.1</v>
      </c>
      <c r="N6" s="17">
        <v>5795842.4000000004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 t="shared" ref="H7:H10" si="2">SUM(B7:F7)</f>
        <v>1351445.73</v>
      </c>
      <c r="I7" s="14">
        <v>0</v>
      </c>
      <c r="J7" s="18">
        <f t="shared" ref="J7:J10" si="3">SUM(H7:I7)</f>
        <v>1351445.73</v>
      </c>
      <c r="L7" s="14">
        <v>1131506.8700000001</v>
      </c>
      <c r="M7" s="14">
        <v>715421.3</v>
      </c>
      <c r="N7" s="18">
        <v>1846928.1700000002</v>
      </c>
    </row>
    <row r="8" spans="1:14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 t="shared" si="2"/>
        <v>974180.54999999993</v>
      </c>
      <c r="I8" s="14">
        <v>897540.13733333338</v>
      </c>
      <c r="J8" s="18">
        <f t="shared" si="3"/>
        <v>1871720.6873333333</v>
      </c>
      <c r="L8" s="14">
        <v>1530023.4699999997</v>
      </c>
      <c r="M8" s="14">
        <v>387616.72</v>
      </c>
      <c r="N8" s="18">
        <v>1917640.1899999997</v>
      </c>
    </row>
    <row r="9" spans="1:14" ht="24.95" customHeight="1" x14ac:dyDescent="0.25">
      <c r="A9" s="8" t="s">
        <v>464</v>
      </c>
      <c r="B9" s="5">
        <v>63282</v>
      </c>
      <c r="C9" s="5">
        <v>72364.490000000005</v>
      </c>
      <c r="D9" s="5">
        <v>0</v>
      </c>
      <c r="E9" s="5">
        <v>0</v>
      </c>
      <c r="F9" s="5">
        <v>153110.5</v>
      </c>
      <c r="G9" s="4"/>
      <c r="H9" s="14">
        <f t="shared" si="2"/>
        <v>288756.99</v>
      </c>
      <c r="I9" s="14">
        <v>682018.07833333337</v>
      </c>
      <c r="J9" s="18">
        <f t="shared" si="3"/>
        <v>970775.06833333336</v>
      </c>
      <c r="K9" s="4"/>
      <c r="L9" s="14">
        <v>257088.96</v>
      </c>
      <c r="M9" s="14">
        <v>139136.94</v>
      </c>
      <c r="N9" s="18">
        <v>396225.9</v>
      </c>
    </row>
    <row r="10" spans="1:14" ht="24.95" customHeight="1" x14ac:dyDescent="0.25">
      <c r="A10" s="8" t="s">
        <v>128</v>
      </c>
      <c r="B10" s="5">
        <v>168368</v>
      </c>
      <c r="C10" s="5">
        <v>408091</v>
      </c>
      <c r="D10" s="5">
        <v>1800</v>
      </c>
      <c r="E10" s="5">
        <v>438871</v>
      </c>
      <c r="F10" s="5">
        <v>105373</v>
      </c>
      <c r="H10" s="14">
        <f t="shared" si="2"/>
        <v>1122503</v>
      </c>
      <c r="I10" s="14">
        <v>534306.41166666662</v>
      </c>
      <c r="J10" s="18">
        <f t="shared" si="3"/>
        <v>1656809.4116666666</v>
      </c>
      <c r="L10" s="14">
        <v>1100439</v>
      </c>
      <c r="M10" s="14">
        <v>534609.14000000025</v>
      </c>
      <c r="N10" s="18">
        <v>1635048.1400000001</v>
      </c>
    </row>
    <row r="11" spans="1:14" ht="24.95" customHeight="1" x14ac:dyDescent="0.25">
      <c r="A11" s="9" t="s">
        <v>52</v>
      </c>
      <c r="B11" s="7">
        <f t="shared" ref="B11:J11" si="4">SUM(B12:B14)</f>
        <v>153926</v>
      </c>
      <c r="C11" s="7">
        <f t="shared" si="4"/>
        <v>512580</v>
      </c>
      <c r="D11" s="7">
        <f t="shared" si="4"/>
        <v>5412</v>
      </c>
      <c r="E11" s="7">
        <f t="shared" si="4"/>
        <v>227256</v>
      </c>
      <c r="F11" s="7">
        <f t="shared" si="4"/>
        <v>452283</v>
      </c>
      <c r="G11" s="4"/>
      <c r="H11" s="13">
        <f t="shared" si="4"/>
        <v>1351457</v>
      </c>
      <c r="I11" s="13">
        <f t="shared" si="4"/>
        <v>1946615.9291666667</v>
      </c>
      <c r="J11" s="17">
        <f t="shared" si="4"/>
        <v>3298072.9291666667</v>
      </c>
      <c r="K11" s="4"/>
      <c r="L11" s="13">
        <v>854809</v>
      </c>
      <c r="M11" s="13">
        <v>1759605.8649999998</v>
      </c>
      <c r="N11" s="17">
        <v>2614414.8649999998</v>
      </c>
    </row>
    <row r="12" spans="1:14" ht="24.95" customHeight="1" x14ac:dyDescent="0.25">
      <c r="A12" s="8" t="s">
        <v>80</v>
      </c>
      <c r="B12" s="5">
        <v>49295</v>
      </c>
      <c r="C12" s="5">
        <v>329625</v>
      </c>
      <c r="D12" s="5">
        <v>1812</v>
      </c>
      <c r="E12" s="5">
        <v>138658</v>
      </c>
      <c r="F12" s="5">
        <v>346178</v>
      </c>
      <c r="H12" s="14">
        <f t="shared" ref="H12:H14" si="5">SUM(B12:F12)</f>
        <v>865568</v>
      </c>
      <c r="I12" s="14">
        <v>653406.00416666665</v>
      </c>
      <c r="J12" s="18">
        <f t="shared" ref="J12:J14" si="6">SUM(H12:I12)</f>
        <v>1518974.0041666667</v>
      </c>
      <c r="L12" s="14">
        <v>342623</v>
      </c>
      <c r="M12" s="14">
        <v>597050.25499999989</v>
      </c>
      <c r="N12" s="18">
        <v>939673.25499999989</v>
      </c>
    </row>
    <row r="13" spans="1:14" ht="24.95" customHeight="1" x14ac:dyDescent="0.25">
      <c r="A13" s="8" t="s">
        <v>81</v>
      </c>
      <c r="B13" s="5">
        <v>101571</v>
      </c>
      <c r="C13" s="5">
        <v>180955</v>
      </c>
      <c r="D13" s="5">
        <v>1800</v>
      </c>
      <c r="E13" s="5">
        <v>77010</v>
      </c>
      <c r="F13" s="5">
        <v>95880</v>
      </c>
      <c r="H13" s="14">
        <f t="shared" si="5"/>
        <v>457216</v>
      </c>
      <c r="I13" s="14">
        <v>653406.00416666665</v>
      </c>
      <c r="J13" s="18">
        <f t="shared" si="6"/>
        <v>1110622.0041666667</v>
      </c>
      <c r="L13" s="14">
        <v>391928</v>
      </c>
      <c r="M13" s="14">
        <v>597050.25499999989</v>
      </c>
      <c r="N13" s="18">
        <v>988978.25499999989</v>
      </c>
    </row>
    <row r="14" spans="1:14" ht="24.95" customHeight="1" x14ac:dyDescent="0.25">
      <c r="A14" s="8" t="s">
        <v>82</v>
      </c>
      <c r="B14" s="5">
        <v>3060</v>
      </c>
      <c r="C14" s="5">
        <v>2000</v>
      </c>
      <c r="D14" s="5">
        <v>1800</v>
      </c>
      <c r="E14" s="5">
        <v>11588</v>
      </c>
      <c r="F14" s="5">
        <v>10225</v>
      </c>
      <c r="H14" s="14">
        <f t="shared" si="5"/>
        <v>28673</v>
      </c>
      <c r="I14" s="14">
        <v>639803.9208333334</v>
      </c>
      <c r="J14" s="18">
        <f t="shared" si="6"/>
        <v>668476.9208333334</v>
      </c>
      <c r="L14" s="14">
        <v>120258</v>
      </c>
      <c r="M14" s="14">
        <v>565505.35499999998</v>
      </c>
      <c r="N14" s="18">
        <v>685763.35499999998</v>
      </c>
    </row>
    <row r="15" spans="1:14" ht="24.95" customHeight="1" x14ac:dyDescent="0.25">
      <c r="A15" s="9" t="s">
        <v>53</v>
      </c>
      <c r="B15" s="7">
        <f>SUM(B16:B18)</f>
        <v>356940</v>
      </c>
      <c r="C15" s="7">
        <f>SUM(C16:C18)</f>
        <v>415003</v>
      </c>
      <c r="D15" s="7">
        <f>SUM(D16:D18)</f>
        <v>5400</v>
      </c>
      <c r="E15" s="7">
        <f>SUM(E16:E18)</f>
        <v>186725</v>
      </c>
      <c r="F15" s="7">
        <f>SUM(F16:F18)</f>
        <v>548020</v>
      </c>
      <c r="H15" s="13">
        <f>SUM(H16:H18)</f>
        <v>1512088</v>
      </c>
      <c r="I15" s="13">
        <f>SUM(I16:I18)</f>
        <v>2361011.7625000002</v>
      </c>
      <c r="J15" s="17">
        <f>SUM(J16:J18)</f>
        <v>3873099.7625000002</v>
      </c>
      <c r="L15" s="13">
        <v>1249484</v>
      </c>
      <c r="M15" s="13">
        <v>2079424.0750000002</v>
      </c>
      <c r="N15" s="17">
        <v>3328908.0750000002</v>
      </c>
    </row>
    <row r="16" spans="1:14" ht="24.95" customHeight="1" x14ac:dyDescent="0.25">
      <c r="A16" s="8" t="s">
        <v>83</v>
      </c>
      <c r="B16" s="5">
        <v>170691</v>
      </c>
      <c r="C16" s="5">
        <v>350847</v>
      </c>
      <c r="D16" s="5">
        <v>1800</v>
      </c>
      <c r="E16" s="5">
        <v>170215</v>
      </c>
      <c r="F16" s="5">
        <v>80137</v>
      </c>
      <c r="H16" s="14">
        <f t="shared" ref="H16:H18" si="7">SUM(B16:F16)</f>
        <v>773690</v>
      </c>
      <c r="I16" s="14">
        <v>787003.9208333334</v>
      </c>
      <c r="J16" s="18">
        <f t="shared" ref="J16:J18" si="8">SUM(H16:I16)</f>
        <v>1560693.9208333334</v>
      </c>
      <c r="L16" s="14">
        <v>863061</v>
      </c>
      <c r="M16" s="14">
        <v>693141.3583333334</v>
      </c>
      <c r="N16" s="18">
        <v>1556202.3583333334</v>
      </c>
    </row>
    <row r="17" spans="1:14" ht="24.95" customHeight="1" x14ac:dyDescent="0.25">
      <c r="A17" s="8" t="s">
        <v>84</v>
      </c>
      <c r="B17" s="5">
        <v>186249</v>
      </c>
      <c r="C17" s="5">
        <v>64156</v>
      </c>
      <c r="D17" s="5">
        <v>1800</v>
      </c>
      <c r="E17" s="5">
        <v>16510</v>
      </c>
      <c r="F17" s="5">
        <v>467883</v>
      </c>
      <c r="H17" s="14">
        <f t="shared" si="7"/>
        <v>736598</v>
      </c>
      <c r="I17" s="14">
        <v>787003.9208333334</v>
      </c>
      <c r="J17" s="18">
        <f t="shared" si="8"/>
        <v>1523601.9208333334</v>
      </c>
      <c r="L17" s="14">
        <v>290417</v>
      </c>
      <c r="M17" s="14">
        <v>693141.3583333334</v>
      </c>
      <c r="N17" s="18">
        <v>983558.3583333334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7"/>
        <v>1800</v>
      </c>
      <c r="I18" s="14">
        <v>787003.9208333334</v>
      </c>
      <c r="J18" s="18">
        <f t="shared" si="8"/>
        <v>788803.9208333334</v>
      </c>
      <c r="L18" s="14">
        <v>96006</v>
      </c>
      <c r="M18" s="14">
        <v>693141.3583333334</v>
      </c>
      <c r="N18" s="18">
        <v>789147.3583333334</v>
      </c>
    </row>
    <row r="19" spans="1:14" ht="24.95" customHeight="1" x14ac:dyDescent="0.25">
      <c r="A19" s="10" t="s">
        <v>131</v>
      </c>
      <c r="B19" s="6">
        <f>SUM(B3:B5,B7)</f>
        <v>629361.55999999994</v>
      </c>
      <c r="C19" s="6">
        <f t="shared" ref="C19:F19" si="9">SUM(C3:C5,C7)</f>
        <v>1623800.7200000002</v>
      </c>
      <c r="D19" s="6">
        <f t="shared" si="9"/>
        <v>308825.5</v>
      </c>
      <c r="E19" s="6">
        <f t="shared" si="9"/>
        <v>1008381.79</v>
      </c>
      <c r="F19" s="6">
        <f t="shared" si="9"/>
        <v>1264890.01</v>
      </c>
      <c r="H19" s="15">
        <f t="shared" ref="H19:J19" si="10">SUM(H3:H5,H7)</f>
        <v>4835259.58</v>
      </c>
      <c r="I19" s="15">
        <f t="shared" si="10"/>
        <v>1582259.55</v>
      </c>
      <c r="J19" s="15">
        <f t="shared" si="10"/>
        <v>6417519.1300000008</v>
      </c>
      <c r="L19" s="15">
        <v>5038160.1100000003</v>
      </c>
      <c r="M19" s="15">
        <v>2594731.2599999998</v>
      </c>
      <c r="N19" s="15">
        <v>7632891.3699999992</v>
      </c>
    </row>
    <row r="20" spans="1:14" ht="24.95" customHeight="1" x14ac:dyDescent="0.25">
      <c r="A20" s="10" t="s">
        <v>132</v>
      </c>
      <c r="B20" s="6">
        <f>SUM(B8:B10,B12:B14,B16:B18)</f>
        <v>976472.73</v>
      </c>
      <c r="C20" s="6">
        <f t="shared" ref="C20:F20" si="11">SUM(C8:C10,C12:C14,C16:C18)</f>
        <v>1655395.97</v>
      </c>
      <c r="D20" s="6">
        <f t="shared" si="11"/>
        <v>26624.989999999998</v>
      </c>
      <c r="E20" s="6">
        <f t="shared" si="11"/>
        <v>1077423.75</v>
      </c>
      <c r="F20" s="6">
        <f t="shared" si="11"/>
        <v>1513068.1</v>
      </c>
      <c r="H20" s="15">
        <f t="shared" ref="H20:J20" si="12">SUM(H8:H10,H12:H14,H16:H18)</f>
        <v>5248985.54</v>
      </c>
      <c r="I20" s="15">
        <f t="shared" si="12"/>
        <v>6421492.3190000001</v>
      </c>
      <c r="J20" s="15">
        <f t="shared" si="12"/>
        <v>11670477.859000001</v>
      </c>
      <c r="L20" s="15">
        <v>4991844.43</v>
      </c>
      <c r="M20" s="15">
        <v>4900392.74</v>
      </c>
      <c r="N20" s="15">
        <v>9892237.1699999981</v>
      </c>
    </row>
    <row r="21" spans="1:14" ht="24.95" customHeight="1" x14ac:dyDescent="0.25">
      <c r="A21" s="19" t="s">
        <v>794</v>
      </c>
      <c r="B21" s="6">
        <f>SUM(B19:B20)</f>
        <v>1605834.29</v>
      </c>
      <c r="C21" s="6">
        <f t="shared" ref="C21:F21" si="13">SUM(C19:C20)</f>
        <v>3279196.6900000004</v>
      </c>
      <c r="D21" s="6">
        <f t="shared" si="13"/>
        <v>335450.49</v>
      </c>
      <c r="E21" s="6">
        <f t="shared" si="13"/>
        <v>2085805.54</v>
      </c>
      <c r="F21" s="6">
        <f t="shared" si="13"/>
        <v>2777958.1100000003</v>
      </c>
      <c r="H21" s="20">
        <f t="shared" ref="H21:J21" si="14">SUM(H19:H20)</f>
        <v>10084245.120000001</v>
      </c>
      <c r="I21" s="20">
        <f t="shared" si="14"/>
        <v>8003751.8689999999</v>
      </c>
      <c r="J21" s="20">
        <f t="shared" si="14"/>
        <v>18087996.989</v>
      </c>
      <c r="L21" s="20">
        <v>10030004.539999999</v>
      </c>
      <c r="M21" s="20">
        <v>7495124</v>
      </c>
      <c r="N21" s="20">
        <v>17525128.539999999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5926-B05D-4DC1-B546-2110F1DF4607}">
  <dimension ref="A1:N21"/>
  <sheetViews>
    <sheetView topLeftCell="D1" zoomScale="130" zoomScaleNormal="130" zoomScaleSheetLayoutView="130" workbookViewId="0">
      <pane ySplit="1" topLeftCell="A2" activePane="bottomLeft" state="frozen"/>
      <selection activeCell="F3" sqref="F3"/>
      <selection pane="bottomLeft" activeCell="J3" sqref="J3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1265</v>
      </c>
      <c r="I1" s="25" t="s">
        <v>1266</v>
      </c>
      <c r="J1" s="25" t="s">
        <v>1267</v>
      </c>
      <c r="L1" s="25" t="s">
        <v>1221</v>
      </c>
      <c r="M1" s="25" t="s">
        <v>1222</v>
      </c>
      <c r="N1" s="28" t="s">
        <v>804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1879309.96</v>
      </c>
      <c r="N2" s="17">
        <v>5785963.1999999993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569351.72</v>
      </c>
      <c r="N4" s="18">
        <v>1714846.14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705451.51000000013</v>
      </c>
      <c r="N5" s="18">
        <v>1880323.12</v>
      </c>
    </row>
    <row r="6" spans="1:14" ht="24.95" customHeight="1" x14ac:dyDescent="0.25">
      <c r="A6" s="9" t="s">
        <v>51</v>
      </c>
      <c r="B6" s="7">
        <f t="shared" ref="B6:J6" si="1">SUM(B7:B10)</f>
        <v>667802.68000000005</v>
      </c>
      <c r="C6" s="7">
        <f t="shared" si="1"/>
        <v>1451469.6600000001</v>
      </c>
      <c r="D6" s="7">
        <f t="shared" si="1"/>
        <v>16712.989999999998</v>
      </c>
      <c r="E6" s="7">
        <f t="shared" si="1"/>
        <v>1091250.51</v>
      </c>
      <c r="F6" s="7">
        <f t="shared" si="1"/>
        <v>694508.45</v>
      </c>
      <c r="H6" s="13">
        <f t="shared" si="1"/>
        <v>3921744.29</v>
      </c>
      <c r="I6" s="13">
        <f>SUM(I7:I10)</f>
        <v>2113864.6273333333</v>
      </c>
      <c r="J6" s="17">
        <f t="shared" si="1"/>
        <v>6035608.9173333328</v>
      </c>
      <c r="L6" s="13">
        <v>4207286.63</v>
      </c>
      <c r="M6" s="13">
        <v>1838818.4500000002</v>
      </c>
      <c r="N6" s="17">
        <v>6046105.0800000001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 t="shared" ref="H7:H10" si="2">SUM(B7:F7)</f>
        <v>1351445.73</v>
      </c>
      <c r="I7" s="14">
        <v>0</v>
      </c>
      <c r="J7" s="18">
        <f t="shared" ref="J7:J10" si="3">SUM(H7:I7)</f>
        <v>1351445.73</v>
      </c>
      <c r="L7" s="14">
        <v>1131506.8700000001</v>
      </c>
      <c r="M7" s="14">
        <v>715421.3</v>
      </c>
      <c r="N7" s="18">
        <v>1846928.1700000002</v>
      </c>
    </row>
    <row r="8" spans="1:14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 t="shared" si="2"/>
        <v>974180.54999999993</v>
      </c>
      <c r="I8" s="14">
        <v>897540.13733333338</v>
      </c>
      <c r="J8" s="18">
        <f t="shared" si="3"/>
        <v>1871720.6873333333</v>
      </c>
      <c r="L8" s="14">
        <v>1530023.4699999997</v>
      </c>
      <c r="M8" s="14">
        <v>470912.65</v>
      </c>
      <c r="N8" s="18">
        <v>2000936.1199999996</v>
      </c>
    </row>
    <row r="9" spans="1:14" ht="24.95" customHeight="1" x14ac:dyDescent="0.25">
      <c r="A9" s="8" t="s">
        <v>464</v>
      </c>
      <c r="B9" s="5">
        <v>136127.41</v>
      </c>
      <c r="C9" s="5">
        <v>230705.24</v>
      </c>
      <c r="D9" s="5">
        <v>0</v>
      </c>
      <c r="E9" s="5">
        <v>72879.56</v>
      </c>
      <c r="F9" s="5">
        <v>199939.8</v>
      </c>
      <c r="G9" s="4"/>
      <c r="H9" s="14">
        <f t="shared" si="2"/>
        <v>639652.01</v>
      </c>
      <c r="I9" s="14">
        <v>682018.07833333337</v>
      </c>
      <c r="J9" s="18">
        <f t="shared" si="3"/>
        <v>1321670.0883333334</v>
      </c>
      <c r="K9" s="4"/>
      <c r="L9" s="14">
        <v>521502.29</v>
      </c>
      <c r="M9" s="14">
        <v>145807.90999999997</v>
      </c>
      <c r="N9" s="18">
        <v>667310.19999999995</v>
      </c>
    </row>
    <row r="10" spans="1:14" ht="24.95" customHeight="1" x14ac:dyDescent="0.25">
      <c r="A10" s="8" t="s">
        <v>128</v>
      </c>
      <c r="B10" s="5">
        <v>148729</v>
      </c>
      <c r="C10" s="5">
        <v>343847</v>
      </c>
      <c r="D10" s="5">
        <v>1800</v>
      </c>
      <c r="E10" s="5">
        <v>375326</v>
      </c>
      <c r="F10" s="5">
        <v>86764</v>
      </c>
      <c r="H10" s="14">
        <f t="shared" si="2"/>
        <v>956466</v>
      </c>
      <c r="I10" s="14">
        <v>534306.41166666662</v>
      </c>
      <c r="J10" s="18">
        <f t="shared" si="3"/>
        <v>1490772.4116666666</v>
      </c>
      <c r="L10" s="14">
        <v>1024254</v>
      </c>
      <c r="M10" s="14">
        <v>506676.59</v>
      </c>
      <c r="N10" s="18">
        <v>1530930.59</v>
      </c>
    </row>
    <row r="11" spans="1:14" ht="24.95" customHeight="1" x14ac:dyDescent="0.25">
      <c r="A11" s="9" t="s">
        <v>52</v>
      </c>
      <c r="B11" s="7">
        <f t="shared" ref="B11:J11" si="4">SUM(B12:B14)</f>
        <v>163721</v>
      </c>
      <c r="C11" s="7">
        <f t="shared" si="4"/>
        <v>672887</v>
      </c>
      <c r="D11" s="7">
        <f t="shared" si="4"/>
        <v>5412</v>
      </c>
      <c r="E11" s="7">
        <f t="shared" si="4"/>
        <v>227506</v>
      </c>
      <c r="F11" s="7">
        <f t="shared" si="4"/>
        <v>452283</v>
      </c>
      <c r="G11" s="4"/>
      <c r="H11" s="13">
        <f t="shared" si="4"/>
        <v>1521809</v>
      </c>
      <c r="I11" s="13">
        <f t="shared" si="4"/>
        <v>1946615.9291666667</v>
      </c>
      <c r="J11" s="17">
        <f t="shared" si="4"/>
        <v>3468424.9291666667</v>
      </c>
      <c r="K11" s="4"/>
      <c r="L11" s="13">
        <v>964247</v>
      </c>
      <c r="M11" s="13"/>
      <c r="N11" s="17">
        <v>2690440.59</v>
      </c>
    </row>
    <row r="12" spans="1:14" ht="24.95" customHeight="1" x14ac:dyDescent="0.25">
      <c r="A12" s="8" t="s">
        <v>80</v>
      </c>
      <c r="B12" s="5">
        <v>49295</v>
      </c>
      <c r="C12" s="5">
        <v>428950</v>
      </c>
      <c r="D12" s="5">
        <v>1812</v>
      </c>
      <c r="E12" s="5">
        <v>138908</v>
      </c>
      <c r="F12" s="5">
        <v>346178</v>
      </c>
      <c r="H12" s="14">
        <f t="shared" ref="H12:H14" si="5">SUM(B12:F12)</f>
        <v>965143</v>
      </c>
      <c r="I12" s="14">
        <v>653406.00416666665</v>
      </c>
      <c r="J12" s="18">
        <f t="shared" ref="J12:J14" si="6">SUM(H12:I12)</f>
        <v>1618549.0041666667</v>
      </c>
      <c r="L12" s="14">
        <v>381265</v>
      </c>
      <c r="M12" s="14">
        <v>585912.82999999996</v>
      </c>
      <c r="N12" s="18">
        <v>967177.83</v>
      </c>
    </row>
    <row r="13" spans="1:14" ht="24.95" customHeight="1" x14ac:dyDescent="0.25">
      <c r="A13" s="8" t="s">
        <v>81</v>
      </c>
      <c r="B13" s="5">
        <v>111366</v>
      </c>
      <c r="C13" s="5">
        <v>237774</v>
      </c>
      <c r="D13" s="5">
        <v>1800</v>
      </c>
      <c r="E13" s="5">
        <v>77010</v>
      </c>
      <c r="F13" s="5">
        <v>95880</v>
      </c>
      <c r="H13" s="14">
        <f t="shared" si="5"/>
        <v>523830</v>
      </c>
      <c r="I13" s="14">
        <v>653406.00416666665</v>
      </c>
      <c r="J13" s="18">
        <f t="shared" si="6"/>
        <v>1177236.0041666667</v>
      </c>
      <c r="L13" s="14">
        <v>462878</v>
      </c>
      <c r="M13" s="14">
        <v>585912.82999999996</v>
      </c>
      <c r="N13" s="18">
        <v>1048790.83</v>
      </c>
    </row>
    <row r="14" spans="1:14" ht="24.95" customHeight="1" x14ac:dyDescent="0.25">
      <c r="A14" s="8" t="s">
        <v>82</v>
      </c>
      <c r="B14" s="5">
        <v>3060</v>
      </c>
      <c r="C14" s="5">
        <v>6163</v>
      </c>
      <c r="D14" s="5">
        <v>1800</v>
      </c>
      <c r="E14" s="5">
        <v>11588</v>
      </c>
      <c r="F14" s="5">
        <v>10225</v>
      </c>
      <c r="H14" s="14">
        <f t="shared" si="5"/>
        <v>32836</v>
      </c>
      <c r="I14" s="14">
        <v>639803.9208333334</v>
      </c>
      <c r="J14" s="18">
        <f t="shared" si="6"/>
        <v>672639.9208333334</v>
      </c>
      <c r="L14" s="14">
        <v>120104</v>
      </c>
      <c r="M14" s="14">
        <v>554367.92999999993</v>
      </c>
      <c r="N14" s="18">
        <v>674471.92999999993</v>
      </c>
    </row>
    <row r="15" spans="1:14" ht="24.95" customHeight="1" x14ac:dyDescent="0.25">
      <c r="A15" s="9" t="s">
        <v>53</v>
      </c>
      <c r="B15" s="7">
        <f>SUM(B16:B18)</f>
        <v>356940</v>
      </c>
      <c r="C15" s="7">
        <f>SUM(C16:C18)</f>
        <v>422698</v>
      </c>
      <c r="D15" s="7">
        <f>SUM(D16:D18)</f>
        <v>5400</v>
      </c>
      <c r="E15" s="7">
        <f>SUM(E16:E18)</f>
        <v>198195</v>
      </c>
      <c r="F15" s="7">
        <f>SUM(F16:F18)</f>
        <v>545132</v>
      </c>
      <c r="H15" s="13">
        <f>SUM(H16:H18)</f>
        <v>1528365</v>
      </c>
      <c r="I15" s="13">
        <f>SUM(I16:I18)</f>
        <v>2361011.7625000002</v>
      </c>
      <c r="J15" s="17">
        <f>SUM(J16:J18)</f>
        <v>3889376.7625000002</v>
      </c>
      <c r="L15" s="13">
        <v>1258663</v>
      </c>
      <c r="M15" s="13"/>
      <c r="N15" s="17">
        <v>3334019.45</v>
      </c>
    </row>
    <row r="16" spans="1:14" ht="24.95" customHeight="1" x14ac:dyDescent="0.25">
      <c r="A16" s="8" t="s">
        <v>83</v>
      </c>
      <c r="B16" s="5">
        <v>170691</v>
      </c>
      <c r="C16" s="5">
        <v>358542</v>
      </c>
      <c r="D16" s="5">
        <v>1800</v>
      </c>
      <c r="E16" s="5">
        <v>181685</v>
      </c>
      <c r="F16" s="5">
        <v>77249</v>
      </c>
      <c r="H16" s="14">
        <f t="shared" ref="H16:H18" si="7">SUM(B16:F16)</f>
        <v>789967</v>
      </c>
      <c r="I16" s="14">
        <v>787003.9208333334</v>
      </c>
      <c r="J16" s="18">
        <f t="shared" ref="J16:J18" si="8">SUM(H16:I16)</f>
        <v>1576970.9208333334</v>
      </c>
      <c r="L16" s="14">
        <v>872240</v>
      </c>
      <c r="M16" s="14">
        <v>691785.4833333334</v>
      </c>
      <c r="N16" s="18">
        <v>1564025.4833333334</v>
      </c>
    </row>
    <row r="17" spans="1:14" ht="24.95" customHeight="1" x14ac:dyDescent="0.25">
      <c r="A17" s="8" t="s">
        <v>84</v>
      </c>
      <c r="B17" s="5">
        <v>186249</v>
      </c>
      <c r="C17" s="5">
        <v>64156</v>
      </c>
      <c r="D17" s="5">
        <v>1800</v>
      </c>
      <c r="E17" s="5">
        <v>16510</v>
      </c>
      <c r="F17" s="5">
        <v>467883</v>
      </c>
      <c r="H17" s="14">
        <f t="shared" si="7"/>
        <v>736598</v>
      </c>
      <c r="I17" s="14">
        <v>787003.9208333334</v>
      </c>
      <c r="J17" s="18">
        <f t="shared" si="8"/>
        <v>1523601.9208333334</v>
      </c>
      <c r="L17" s="14">
        <v>290417</v>
      </c>
      <c r="M17" s="14">
        <v>691785.4833333334</v>
      </c>
      <c r="N17" s="18">
        <v>982202.4833333334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7"/>
        <v>1800</v>
      </c>
      <c r="I18" s="14">
        <v>787003.9208333334</v>
      </c>
      <c r="J18" s="18">
        <f t="shared" si="8"/>
        <v>788803.9208333334</v>
      </c>
      <c r="L18" s="14">
        <v>96006</v>
      </c>
      <c r="M18" s="14">
        <v>691785.4833333334</v>
      </c>
      <c r="N18" s="18">
        <v>787791.4833333334</v>
      </c>
    </row>
    <row r="19" spans="1:14" ht="24.95" customHeight="1" x14ac:dyDescent="0.25">
      <c r="A19" s="10" t="s">
        <v>131</v>
      </c>
      <c r="B19" s="6">
        <f>SUM(B3:B5,B7)</f>
        <v>629361.55999999994</v>
      </c>
      <c r="C19" s="6">
        <f t="shared" ref="C19:F19" si="9">SUM(C3:C5,C7)</f>
        <v>1623800.7200000002</v>
      </c>
      <c r="D19" s="6">
        <f t="shared" si="9"/>
        <v>308825.5</v>
      </c>
      <c r="E19" s="6">
        <f t="shared" si="9"/>
        <v>1008381.79</v>
      </c>
      <c r="F19" s="6">
        <f t="shared" si="9"/>
        <v>1264890.01</v>
      </c>
      <c r="H19" s="15">
        <f t="shared" ref="H19:J19" si="10">SUM(H3:H5,H7)</f>
        <v>4835259.58</v>
      </c>
      <c r="I19" s="15">
        <f t="shared" si="10"/>
        <v>1582259.55</v>
      </c>
      <c r="J19" s="15">
        <f t="shared" si="10"/>
        <v>6417519.1300000008</v>
      </c>
      <c r="L19" s="15">
        <v>5038160.1100000003</v>
      </c>
      <c r="M19" s="15">
        <v>2594731.2599999998</v>
      </c>
      <c r="N19" s="15">
        <v>7632891.3699999992</v>
      </c>
    </row>
    <row r="20" spans="1:14" ht="24.95" customHeight="1" x14ac:dyDescent="0.25">
      <c r="A20" s="10" t="s">
        <v>132</v>
      </c>
      <c r="B20" s="6">
        <f>SUM(B8:B10,B12:B14,B16:B18)</f>
        <v>1039474.14</v>
      </c>
      <c r="C20" s="6">
        <f t="shared" ref="C20:F20" si="11">SUM(C8:C10,C12:C14,C16:C18)</f>
        <v>1917494.72</v>
      </c>
      <c r="D20" s="6">
        <f t="shared" si="11"/>
        <v>26624.989999999998</v>
      </c>
      <c r="E20" s="6">
        <f t="shared" si="11"/>
        <v>1098478.31</v>
      </c>
      <c r="F20" s="6">
        <f t="shared" si="11"/>
        <v>1538400.4</v>
      </c>
      <c r="H20" s="15">
        <f t="shared" ref="H20:J20" si="12">SUM(H8:H10,H12:H14,H16:H18)</f>
        <v>5620472.5600000005</v>
      </c>
      <c r="I20" s="15">
        <f t="shared" si="12"/>
        <v>6421492.3190000001</v>
      </c>
      <c r="J20" s="15">
        <f t="shared" si="12"/>
        <v>12041964.879000001</v>
      </c>
      <c r="L20" s="15">
        <v>5298689.76</v>
      </c>
      <c r="M20" s="15">
        <v>4924947.1900000004</v>
      </c>
      <c r="N20" s="15">
        <v>10223636.949999999</v>
      </c>
    </row>
    <row r="21" spans="1:14" ht="24.95" customHeight="1" x14ac:dyDescent="0.25">
      <c r="A21" s="19" t="s">
        <v>794</v>
      </c>
      <c r="B21" s="6">
        <f>SUM(B19:B20)</f>
        <v>1668835.7</v>
      </c>
      <c r="C21" s="6">
        <f t="shared" ref="C21:F21" si="13">SUM(C19:C20)</f>
        <v>3541295.4400000004</v>
      </c>
      <c r="D21" s="6">
        <f t="shared" si="13"/>
        <v>335450.49</v>
      </c>
      <c r="E21" s="6">
        <f t="shared" si="13"/>
        <v>2106860.1</v>
      </c>
      <c r="F21" s="6">
        <f t="shared" si="13"/>
        <v>2803290.41</v>
      </c>
      <c r="H21" s="20">
        <f t="shared" ref="H21:J21" si="14">SUM(H19:H20)</f>
        <v>10455732.140000001</v>
      </c>
      <c r="I21" s="20">
        <f t="shared" si="14"/>
        <v>8003751.8689999999</v>
      </c>
      <c r="J21" s="20">
        <f t="shared" si="14"/>
        <v>18459484.009000003</v>
      </c>
      <c r="L21" s="20">
        <v>10336849.870000001</v>
      </c>
      <c r="M21" s="20">
        <v>7519678.4500000002</v>
      </c>
      <c r="N21" s="20">
        <v>17856528.32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41C6-0CCE-4BD4-A851-D5563B89822C}">
  <dimension ref="A1:N21"/>
  <sheetViews>
    <sheetView zoomScale="130" zoomScaleNormal="130" zoomScaleSheetLayoutView="130" workbookViewId="0">
      <pane ySplit="1" topLeftCell="A2" activePane="bottomLeft" state="frozen"/>
      <selection activeCell="F3" sqref="F3"/>
      <selection pane="bottomLeft" activeCell="I1" sqref="I1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1263</v>
      </c>
      <c r="I1" s="25" t="s">
        <v>1262</v>
      </c>
      <c r="J1" s="25" t="s">
        <v>1264</v>
      </c>
      <c r="L1" s="25" t="s">
        <v>1249</v>
      </c>
      <c r="M1" s="25" t="s">
        <v>1250</v>
      </c>
      <c r="N1" s="28" t="s">
        <v>804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1582259.55</v>
      </c>
      <c r="J2" s="17">
        <f>SUM(J3:J5)</f>
        <v>5066073.4000000004</v>
      </c>
      <c r="L2" s="13">
        <v>3906653.24</v>
      </c>
      <c r="M2" s="13">
        <v>1879309.96</v>
      </c>
      <c r="N2" s="17">
        <v>5785963.1999999993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569351.72</v>
      </c>
      <c r="N4" s="18">
        <v>1714846.14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588139.03</v>
      </c>
      <c r="J5" s="18">
        <f>SUM(H5:I5)</f>
        <v>1609588.71</v>
      </c>
      <c r="L5" s="14">
        <v>1174871.6100000001</v>
      </c>
      <c r="M5" s="14">
        <v>705451.51000000013</v>
      </c>
      <c r="N5" s="18">
        <v>1880323.12</v>
      </c>
    </row>
    <row r="6" spans="1:14" ht="24.95" customHeight="1" x14ac:dyDescent="0.25">
      <c r="A6" s="9" t="s">
        <v>51</v>
      </c>
      <c r="B6" s="7">
        <f t="shared" ref="B6:J6" si="1">SUM(B7:B10)</f>
        <v>655441.18000000005</v>
      </c>
      <c r="C6" s="7">
        <f t="shared" si="1"/>
        <v>1490996.31</v>
      </c>
      <c r="D6" s="7">
        <f t="shared" si="1"/>
        <v>16712.989999999998</v>
      </c>
      <c r="E6" s="7">
        <f t="shared" si="1"/>
        <v>899588.01</v>
      </c>
      <c r="F6" s="7">
        <f t="shared" si="1"/>
        <v>736485.45</v>
      </c>
      <c r="H6" s="13">
        <f t="shared" si="1"/>
        <v>3799223.94</v>
      </c>
      <c r="I6" s="13">
        <f>SUM(I7:I10)</f>
        <v>2113864.6273333333</v>
      </c>
      <c r="J6" s="17">
        <f t="shared" si="1"/>
        <v>5913088.5673333332</v>
      </c>
      <c r="L6" s="13">
        <v>4138919.94</v>
      </c>
      <c r="M6" s="13">
        <v>1838818.4500000002</v>
      </c>
      <c r="N6" s="17">
        <v>5977738.3899999997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 t="shared" ref="H7:H10" si="2">SUM(B7:F7)</f>
        <v>1351445.73</v>
      </c>
      <c r="I7" s="14">
        <v>0</v>
      </c>
      <c r="J7" s="18">
        <f t="shared" ref="J7:J10" si="3">SUM(H7:I7)</f>
        <v>1351445.73</v>
      </c>
      <c r="L7" s="14">
        <v>1131506.8700000001</v>
      </c>
      <c r="M7" s="14">
        <v>715421.3</v>
      </c>
      <c r="N7" s="18">
        <v>1846928.1700000002</v>
      </c>
    </row>
    <row r="8" spans="1:14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 t="shared" si="2"/>
        <v>974180.54999999993</v>
      </c>
      <c r="I8" s="14">
        <v>897540.13733333338</v>
      </c>
      <c r="J8" s="18">
        <f t="shared" si="3"/>
        <v>1871720.6873333333</v>
      </c>
      <c r="L8" s="14">
        <v>1530023.4699999997</v>
      </c>
      <c r="M8" s="14">
        <v>470912.65</v>
      </c>
      <c r="N8" s="18">
        <v>2000936.1199999996</v>
      </c>
    </row>
    <row r="9" spans="1:14" ht="24.95" customHeight="1" x14ac:dyDescent="0.25">
      <c r="A9" s="8" t="s">
        <v>464</v>
      </c>
      <c r="B9" s="5">
        <v>153419.91</v>
      </c>
      <c r="C9" s="5">
        <v>356906.89</v>
      </c>
      <c r="D9" s="5">
        <v>0</v>
      </c>
      <c r="E9" s="5">
        <v>107598.06</v>
      </c>
      <c r="F9" s="5">
        <v>257929.8</v>
      </c>
      <c r="G9" s="4"/>
      <c r="H9" s="14">
        <f t="shared" si="2"/>
        <v>875854.66000000015</v>
      </c>
      <c r="I9" s="14">
        <v>682018.07833333337</v>
      </c>
      <c r="J9" s="18">
        <f t="shared" si="3"/>
        <v>1557872.7383333335</v>
      </c>
      <c r="K9" s="4"/>
      <c r="L9" s="14">
        <v>952536.6</v>
      </c>
      <c r="M9" s="14">
        <v>145807.90999999997</v>
      </c>
      <c r="N9" s="18">
        <v>1098344.51</v>
      </c>
    </row>
    <row r="10" spans="1:14" ht="24.95" customHeight="1" x14ac:dyDescent="0.25">
      <c r="A10" s="8" t="s">
        <v>128</v>
      </c>
      <c r="B10" s="5">
        <v>119075</v>
      </c>
      <c r="C10" s="5">
        <v>257172</v>
      </c>
      <c r="D10" s="5">
        <v>1800</v>
      </c>
      <c r="E10" s="5">
        <v>148945</v>
      </c>
      <c r="F10" s="5">
        <v>70751</v>
      </c>
      <c r="H10" s="14">
        <f t="shared" si="2"/>
        <v>597743</v>
      </c>
      <c r="I10" s="14">
        <v>534306.41166666662</v>
      </c>
      <c r="J10" s="18">
        <f t="shared" si="3"/>
        <v>1132049.4116666666</v>
      </c>
      <c r="L10" s="14">
        <v>524853</v>
      </c>
      <c r="M10" s="14">
        <v>506676.59</v>
      </c>
      <c r="N10" s="18">
        <v>1031529.5900000001</v>
      </c>
    </row>
    <row r="11" spans="1:14" ht="24.95" customHeight="1" x14ac:dyDescent="0.25">
      <c r="A11" s="9" t="s">
        <v>52</v>
      </c>
      <c r="B11" s="7">
        <f t="shared" ref="B11:J11" si="4">SUM(B12:B14)</f>
        <v>252186</v>
      </c>
      <c r="C11" s="7">
        <f t="shared" si="4"/>
        <v>700966</v>
      </c>
      <c r="D11" s="7">
        <f t="shared" si="4"/>
        <v>5412</v>
      </c>
      <c r="E11" s="7">
        <f t="shared" si="4"/>
        <v>440813</v>
      </c>
      <c r="F11" s="7">
        <f t="shared" si="4"/>
        <v>480167</v>
      </c>
      <c r="G11" s="4"/>
      <c r="H11" s="13">
        <f t="shared" si="4"/>
        <v>1879544</v>
      </c>
      <c r="I11" s="13">
        <f t="shared" si="4"/>
        <v>1946615.9291666667</v>
      </c>
      <c r="J11" s="17">
        <f t="shared" si="4"/>
        <v>3826159.9291666667</v>
      </c>
      <c r="K11" s="4"/>
      <c r="L11" s="13">
        <v>1119406</v>
      </c>
      <c r="M11" s="13"/>
      <c r="N11" s="17">
        <v>2845599.59</v>
      </c>
    </row>
    <row r="12" spans="1:14" ht="24.95" customHeight="1" x14ac:dyDescent="0.25">
      <c r="A12" s="8" t="s">
        <v>80</v>
      </c>
      <c r="B12" s="5">
        <v>112568</v>
      </c>
      <c r="C12" s="5">
        <v>423655</v>
      </c>
      <c r="D12" s="5">
        <v>1812</v>
      </c>
      <c r="E12" s="5">
        <v>352215</v>
      </c>
      <c r="F12" s="5">
        <v>374062</v>
      </c>
      <c r="H12" s="14">
        <f t="shared" ref="H12:H14" si="5">SUM(B12:F12)</f>
        <v>1264312</v>
      </c>
      <c r="I12" s="14">
        <v>653406.00416666665</v>
      </c>
      <c r="J12" s="18">
        <f t="shared" ref="J12:J14" si="6">SUM(H12:I12)</f>
        <v>1917718.0041666667</v>
      </c>
      <c r="L12" s="14">
        <v>518832</v>
      </c>
      <c r="M12" s="14">
        <v>585912.82999999996</v>
      </c>
      <c r="N12" s="18">
        <v>1104744.83</v>
      </c>
    </row>
    <row r="13" spans="1:14" ht="24.95" customHeight="1" x14ac:dyDescent="0.25">
      <c r="A13" s="8" t="s">
        <v>81</v>
      </c>
      <c r="B13" s="5">
        <v>136558</v>
      </c>
      <c r="C13" s="5">
        <v>237774</v>
      </c>
      <c r="D13" s="5">
        <v>1800</v>
      </c>
      <c r="E13" s="5">
        <v>77010</v>
      </c>
      <c r="F13" s="5">
        <v>95880</v>
      </c>
      <c r="H13" s="14">
        <f t="shared" si="5"/>
        <v>549022</v>
      </c>
      <c r="I13" s="14">
        <v>653406.00416666665</v>
      </c>
      <c r="J13" s="18">
        <f t="shared" si="6"/>
        <v>1202428.0041666667</v>
      </c>
      <c r="L13" s="14">
        <v>447513</v>
      </c>
      <c r="M13" s="14">
        <v>585912.82999999996</v>
      </c>
      <c r="N13" s="18">
        <v>1033425.83</v>
      </c>
    </row>
    <row r="14" spans="1:14" ht="24.95" customHeight="1" x14ac:dyDescent="0.25">
      <c r="A14" s="8" t="s">
        <v>82</v>
      </c>
      <c r="B14" s="5">
        <v>3060</v>
      </c>
      <c r="C14" s="5">
        <v>39537</v>
      </c>
      <c r="D14" s="5">
        <v>1800</v>
      </c>
      <c r="E14" s="5">
        <v>11588</v>
      </c>
      <c r="F14" s="5">
        <v>10225</v>
      </c>
      <c r="H14" s="14">
        <f t="shared" si="5"/>
        <v>66210</v>
      </c>
      <c r="I14" s="14">
        <v>639803.9208333334</v>
      </c>
      <c r="J14" s="18">
        <f t="shared" si="6"/>
        <v>706013.9208333334</v>
      </c>
      <c r="L14" s="14">
        <v>153061</v>
      </c>
      <c r="M14" s="14">
        <v>554367.92999999993</v>
      </c>
      <c r="N14" s="18">
        <v>707428.92999999993</v>
      </c>
    </row>
    <row r="15" spans="1:14" ht="24.95" customHeight="1" x14ac:dyDescent="0.25">
      <c r="A15" s="9" t="s">
        <v>53</v>
      </c>
      <c r="B15" s="7">
        <f>SUM(B16:B18)</f>
        <v>372165</v>
      </c>
      <c r="C15" s="7">
        <f>SUM(C16:C18)</f>
        <v>448117</v>
      </c>
      <c r="D15" s="7">
        <f>SUM(D16:D18)</f>
        <v>5400</v>
      </c>
      <c r="E15" s="7">
        <f>SUM(E16:E18)</f>
        <v>198195</v>
      </c>
      <c r="F15" s="7">
        <f>SUM(F16:F18)</f>
        <v>544088</v>
      </c>
      <c r="H15" s="13">
        <f>SUM(H16:H18)</f>
        <v>1567965</v>
      </c>
      <c r="I15" s="13">
        <f>SUM(I16:I18)</f>
        <v>2361011.7625000002</v>
      </c>
      <c r="J15" s="17">
        <f>SUM(J16:J18)</f>
        <v>3928976.7625000002</v>
      </c>
      <c r="L15" s="13">
        <v>1291813</v>
      </c>
      <c r="M15" s="13"/>
      <c r="N15" s="17">
        <v>3367169.45</v>
      </c>
    </row>
    <row r="16" spans="1:14" ht="24.95" customHeight="1" x14ac:dyDescent="0.25">
      <c r="A16" s="8" t="s">
        <v>83</v>
      </c>
      <c r="B16" s="5">
        <v>170691</v>
      </c>
      <c r="C16" s="5">
        <v>358352</v>
      </c>
      <c r="D16" s="5">
        <v>1800</v>
      </c>
      <c r="E16" s="5">
        <v>181685</v>
      </c>
      <c r="F16" s="5">
        <v>76205</v>
      </c>
      <c r="H16" s="14">
        <f t="shared" ref="H16:H18" si="7">SUM(B16:F16)</f>
        <v>788733</v>
      </c>
      <c r="I16" s="14">
        <v>787003.9208333334</v>
      </c>
      <c r="J16" s="18">
        <f t="shared" ref="J16:J18" si="8">SUM(H16:I16)</f>
        <v>1575736.9208333334</v>
      </c>
      <c r="L16" s="14">
        <v>880775</v>
      </c>
      <c r="M16" s="14">
        <v>691785.4833333334</v>
      </c>
      <c r="N16" s="18">
        <v>1572560.4833333334</v>
      </c>
    </row>
    <row r="17" spans="1:14" ht="24.95" customHeight="1" x14ac:dyDescent="0.25">
      <c r="A17" s="8" t="s">
        <v>84</v>
      </c>
      <c r="B17" s="5">
        <v>201474</v>
      </c>
      <c r="C17" s="5">
        <v>89765</v>
      </c>
      <c r="D17" s="5">
        <v>1800</v>
      </c>
      <c r="E17" s="5">
        <v>16510</v>
      </c>
      <c r="F17" s="5">
        <v>467883</v>
      </c>
      <c r="H17" s="14">
        <f t="shared" si="7"/>
        <v>777432</v>
      </c>
      <c r="I17" s="14">
        <v>787003.9208333334</v>
      </c>
      <c r="J17" s="18">
        <f t="shared" si="8"/>
        <v>1564435.9208333334</v>
      </c>
      <c r="L17" s="14">
        <v>290417</v>
      </c>
      <c r="M17" s="14">
        <v>691785.4833333334</v>
      </c>
      <c r="N17" s="18">
        <v>982202.4833333334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7"/>
        <v>1800</v>
      </c>
      <c r="I18" s="14">
        <v>787003.9208333334</v>
      </c>
      <c r="J18" s="18">
        <f t="shared" si="8"/>
        <v>788803.9208333334</v>
      </c>
      <c r="L18" s="14">
        <v>120621</v>
      </c>
      <c r="M18" s="14">
        <v>691785.4833333334</v>
      </c>
      <c r="N18" s="18">
        <v>812406.4833333334</v>
      </c>
    </row>
    <row r="19" spans="1:14" ht="24.95" customHeight="1" x14ac:dyDescent="0.25">
      <c r="A19" s="10" t="s">
        <v>131</v>
      </c>
      <c r="B19" s="6">
        <f>SUM(B3:B5,B7)</f>
        <v>629361.55999999994</v>
      </c>
      <c r="C19" s="6">
        <f t="shared" ref="C19:F19" si="9">SUM(C3:C5,C7)</f>
        <v>1623800.7200000002</v>
      </c>
      <c r="D19" s="6">
        <f t="shared" si="9"/>
        <v>308825.5</v>
      </c>
      <c r="E19" s="6">
        <f t="shared" si="9"/>
        <v>1008381.79</v>
      </c>
      <c r="F19" s="6">
        <f t="shared" si="9"/>
        <v>1264890.01</v>
      </c>
      <c r="H19" s="15">
        <f t="shared" ref="H19:J19" si="10">SUM(H3:H5,H7)</f>
        <v>4835259.58</v>
      </c>
      <c r="I19" s="15">
        <f t="shared" si="10"/>
        <v>1582259.55</v>
      </c>
      <c r="J19" s="15">
        <f t="shared" si="10"/>
        <v>6417519.1300000008</v>
      </c>
      <c r="L19" s="15">
        <v>5038160.1100000003</v>
      </c>
      <c r="M19" s="15">
        <v>2594731.2599999998</v>
      </c>
      <c r="N19" s="15">
        <v>7632891.3699999992</v>
      </c>
    </row>
    <row r="20" spans="1:14" ht="24.95" customHeight="1" x14ac:dyDescent="0.25">
      <c r="A20" s="10" t="s">
        <v>132</v>
      </c>
      <c r="B20" s="6">
        <f>SUM(B8:B10,B12:B14,B16:B18)</f>
        <v>1130802.6400000001</v>
      </c>
      <c r="C20" s="6">
        <f t="shared" ref="C20:F20" si="11">SUM(C8:C10,C12:C14,C16:C18)</f>
        <v>2010519.37</v>
      </c>
      <c r="D20" s="6">
        <f t="shared" si="11"/>
        <v>26624.989999999998</v>
      </c>
      <c r="E20" s="6">
        <f t="shared" si="11"/>
        <v>1120122.81</v>
      </c>
      <c r="F20" s="6">
        <f t="shared" si="11"/>
        <v>1607217.4</v>
      </c>
      <c r="H20" s="15">
        <f t="shared" ref="H20:J20" si="12">SUM(H8:H10,H12:H14,H16:H18)</f>
        <v>5895287.21</v>
      </c>
      <c r="I20" s="15">
        <f t="shared" si="12"/>
        <v>6421492.3190000001</v>
      </c>
      <c r="J20" s="15">
        <f t="shared" si="12"/>
        <v>12316779.528999999</v>
      </c>
      <c r="L20" s="15">
        <v>5418632.0700000003</v>
      </c>
      <c r="M20" s="15">
        <v>4924947.1900000004</v>
      </c>
      <c r="N20" s="15">
        <v>10343579.260000002</v>
      </c>
    </row>
    <row r="21" spans="1:14" ht="24.95" customHeight="1" x14ac:dyDescent="0.25">
      <c r="A21" s="19" t="s">
        <v>794</v>
      </c>
      <c r="B21" s="6">
        <f>SUM(B19:B20)</f>
        <v>1760164.2000000002</v>
      </c>
      <c r="C21" s="6">
        <f t="shared" ref="C21:F21" si="13">SUM(C19:C20)</f>
        <v>3634320.0900000003</v>
      </c>
      <c r="D21" s="6">
        <f t="shared" si="13"/>
        <v>335450.49</v>
      </c>
      <c r="E21" s="6">
        <f t="shared" si="13"/>
        <v>2128504.6</v>
      </c>
      <c r="F21" s="6">
        <f t="shared" si="13"/>
        <v>2872107.41</v>
      </c>
      <c r="H21" s="20">
        <f t="shared" ref="H21:J21" si="14">SUM(H19:H20)</f>
        <v>10730546.789999999</v>
      </c>
      <c r="I21" s="20">
        <f t="shared" si="14"/>
        <v>8003751.8689999999</v>
      </c>
      <c r="J21" s="20">
        <f t="shared" si="14"/>
        <v>18734298.659000002</v>
      </c>
      <c r="L21" s="20">
        <v>10456792.18</v>
      </c>
      <c r="M21" s="20">
        <v>7519678.4500000002</v>
      </c>
      <c r="N21" s="20">
        <v>17976470.630000003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8632-9F8E-42D8-A96F-85F201F6869F}">
  <dimension ref="A1:N21"/>
  <sheetViews>
    <sheetView zoomScale="130" zoomScaleNormal="130" zoomScaleSheetLayoutView="130" workbookViewId="0">
      <pane ySplit="1" topLeftCell="A2" activePane="bottomLeft" state="frozen"/>
      <selection activeCell="F3" sqref="F3"/>
      <selection pane="bottomLeft" activeCell="J4" sqref="J4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1260</v>
      </c>
      <c r="I1" s="25" t="s">
        <v>1262</v>
      </c>
      <c r="J1" s="25" t="s">
        <v>1261</v>
      </c>
      <c r="L1" s="25" t="s">
        <v>1249</v>
      </c>
      <c r="M1" s="25" t="s">
        <v>1259</v>
      </c>
      <c r="N1" s="28" t="s">
        <v>804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1679615.07</v>
      </c>
      <c r="J2" s="17">
        <f>SUM(J3:J5)</f>
        <v>5163428.92</v>
      </c>
      <c r="L2" s="13">
        <v>3906653.24</v>
      </c>
      <c r="M2" s="13">
        <v>1879309.96</v>
      </c>
      <c r="N2" s="17">
        <v>5785963.1999999993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569351.72</v>
      </c>
      <c r="N4" s="18">
        <v>1714846.14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 t="shared" ref="H5" si="0">SUM(B5:F5)</f>
        <v>1021449.6799999999</v>
      </c>
      <c r="I5" s="14">
        <v>685494.55</v>
      </c>
      <c r="J5" s="18">
        <f>SUM(H5:I5)</f>
        <v>1706944.23</v>
      </c>
      <c r="L5" s="14">
        <v>1174871.6100000001</v>
      </c>
      <c r="M5" s="14">
        <v>705451.51000000013</v>
      </c>
      <c r="N5" s="18">
        <v>1880323.12</v>
      </c>
    </row>
    <row r="6" spans="1:14" ht="24.95" customHeight="1" x14ac:dyDescent="0.25">
      <c r="A6" s="9" t="s">
        <v>51</v>
      </c>
      <c r="B6" s="7">
        <f t="shared" ref="B6:J6" si="1">SUM(B7:B10)</f>
        <v>599972.18000000005</v>
      </c>
      <c r="C6" s="7">
        <f t="shared" si="1"/>
        <v>1434366.31</v>
      </c>
      <c r="D6" s="7">
        <f t="shared" si="1"/>
        <v>14912.99</v>
      </c>
      <c r="E6" s="7">
        <f t="shared" si="1"/>
        <v>820599.01</v>
      </c>
      <c r="F6" s="7">
        <f t="shared" si="1"/>
        <v>712242.45</v>
      </c>
      <c r="H6" s="13">
        <f t="shared" si="1"/>
        <v>3582092.94</v>
      </c>
      <c r="I6" s="13">
        <f>SUM(I7:I10)</f>
        <v>2270205.85</v>
      </c>
      <c r="J6" s="17">
        <f t="shared" si="1"/>
        <v>5852298.790000001</v>
      </c>
      <c r="L6" s="13">
        <v>4138919.94</v>
      </c>
      <c r="M6" s="13">
        <v>1838818.4500000002</v>
      </c>
      <c r="N6" s="17">
        <v>5977738.3899999997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 t="shared" ref="H7:H10" si="2">SUM(B7:F7)</f>
        <v>1351445.73</v>
      </c>
      <c r="I7" s="14">
        <v>827441.69</v>
      </c>
      <c r="J7" s="18">
        <f t="shared" ref="J7:J10" si="3">SUM(H7:I7)</f>
        <v>2178887.42</v>
      </c>
      <c r="L7" s="14">
        <v>1131506.8700000001</v>
      </c>
      <c r="M7" s="14">
        <v>715421.3</v>
      </c>
      <c r="N7" s="18">
        <v>1846928.1700000002</v>
      </c>
    </row>
    <row r="8" spans="1:14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 t="shared" si="2"/>
        <v>974180.54999999993</v>
      </c>
      <c r="I8" s="14">
        <v>812820.45000000007</v>
      </c>
      <c r="J8" s="18">
        <f t="shared" si="3"/>
        <v>1787001</v>
      </c>
      <c r="L8" s="14">
        <v>1530023.4699999997</v>
      </c>
      <c r="M8" s="14">
        <v>470912.65</v>
      </c>
      <c r="N8" s="18">
        <v>2000936.1199999996</v>
      </c>
    </row>
    <row r="9" spans="1:14" ht="24.95" customHeight="1" x14ac:dyDescent="0.25">
      <c r="A9" s="8" t="s">
        <v>464</v>
      </c>
      <c r="B9" s="5">
        <v>153419.91</v>
      </c>
      <c r="C9" s="5">
        <v>356906.89</v>
      </c>
      <c r="D9" s="5">
        <v>0</v>
      </c>
      <c r="E9" s="5">
        <v>107598.06</v>
      </c>
      <c r="F9" s="5">
        <v>257929.8</v>
      </c>
      <c r="G9" s="4"/>
      <c r="H9" s="14">
        <f t="shared" si="2"/>
        <v>875854.66000000015</v>
      </c>
      <c r="I9" s="14">
        <v>275738.40000000002</v>
      </c>
      <c r="J9" s="18">
        <f t="shared" si="3"/>
        <v>1151593.06</v>
      </c>
      <c r="K9" s="4"/>
      <c r="L9" s="14">
        <v>952536.6</v>
      </c>
      <c r="M9" s="14">
        <v>145807.90999999997</v>
      </c>
      <c r="N9" s="18">
        <v>1098344.51</v>
      </c>
    </row>
    <row r="10" spans="1:14" ht="24.95" customHeight="1" x14ac:dyDescent="0.25">
      <c r="A10" s="8" t="s">
        <v>128</v>
      </c>
      <c r="B10" s="5">
        <v>63606</v>
      </c>
      <c r="C10" s="5">
        <v>200542</v>
      </c>
      <c r="D10" s="5">
        <v>0</v>
      </c>
      <c r="E10" s="5">
        <v>69956</v>
      </c>
      <c r="F10" s="5">
        <v>46508</v>
      </c>
      <c r="H10" s="14">
        <f t="shared" si="2"/>
        <v>380612</v>
      </c>
      <c r="I10" s="14">
        <v>354205.31000000011</v>
      </c>
      <c r="J10" s="18">
        <f t="shared" si="3"/>
        <v>734817.31</v>
      </c>
      <c r="L10" s="14">
        <v>524853</v>
      </c>
      <c r="M10" s="14">
        <v>506676.59</v>
      </c>
      <c r="N10" s="18">
        <v>1031529.5900000001</v>
      </c>
    </row>
    <row r="11" spans="1:14" ht="24.95" customHeight="1" x14ac:dyDescent="0.25">
      <c r="A11" s="9" t="s">
        <v>52</v>
      </c>
      <c r="B11" s="7">
        <f t="shared" ref="B11:J11" si="4">SUM(B12:B14)</f>
        <v>235476</v>
      </c>
      <c r="C11" s="7">
        <f t="shared" si="4"/>
        <v>673017</v>
      </c>
      <c r="D11" s="7">
        <f t="shared" si="4"/>
        <v>5412</v>
      </c>
      <c r="E11" s="7">
        <f t="shared" si="4"/>
        <v>510893</v>
      </c>
      <c r="F11" s="7">
        <f t="shared" si="4"/>
        <v>499165</v>
      </c>
      <c r="G11" s="4"/>
      <c r="H11" s="13">
        <f t="shared" si="4"/>
        <v>1923963</v>
      </c>
      <c r="I11" s="13">
        <f t="shared" si="4"/>
        <v>1984856.9978749994</v>
      </c>
      <c r="J11" s="17">
        <f t="shared" si="4"/>
        <v>3908819.9978749994</v>
      </c>
      <c r="K11" s="4"/>
      <c r="L11" s="13">
        <v>1119406</v>
      </c>
      <c r="M11" s="13">
        <f>SUM(M7:M10)</f>
        <v>1838818.4500000002</v>
      </c>
      <c r="N11" s="17">
        <v>2845599.59</v>
      </c>
    </row>
    <row r="12" spans="1:14" ht="24.95" customHeight="1" x14ac:dyDescent="0.25">
      <c r="A12" s="8" t="s">
        <v>80</v>
      </c>
      <c r="B12" s="5">
        <v>95858</v>
      </c>
      <c r="C12" s="5">
        <v>429080</v>
      </c>
      <c r="D12" s="5">
        <v>1812</v>
      </c>
      <c r="E12" s="5">
        <v>241631</v>
      </c>
      <c r="F12" s="5">
        <v>393270</v>
      </c>
      <c r="H12" s="14">
        <f t="shared" ref="H12:H14" si="5">SUM(B12:F12)</f>
        <v>1161651</v>
      </c>
      <c r="I12" s="14">
        <v>637591.89395833318</v>
      </c>
      <c r="J12" s="18">
        <f t="shared" ref="J12:J14" si="6">SUM(H12:I12)</f>
        <v>1799242.8939583332</v>
      </c>
      <c r="L12" s="14">
        <v>518832</v>
      </c>
      <c r="M12" s="14">
        <v>585912.82999999996</v>
      </c>
      <c r="N12" s="18">
        <v>1104744.83</v>
      </c>
    </row>
    <row r="13" spans="1:14" ht="24.95" customHeight="1" x14ac:dyDescent="0.25">
      <c r="A13" s="8" t="s">
        <v>81</v>
      </c>
      <c r="B13" s="5">
        <v>136558</v>
      </c>
      <c r="C13" s="5">
        <v>237774</v>
      </c>
      <c r="D13" s="5">
        <v>1800</v>
      </c>
      <c r="E13" s="5">
        <v>257674</v>
      </c>
      <c r="F13" s="5">
        <v>95880</v>
      </c>
      <c r="H13" s="14">
        <f t="shared" si="5"/>
        <v>729686</v>
      </c>
      <c r="I13" s="14">
        <v>653905.15195833321</v>
      </c>
      <c r="J13" s="18">
        <f t="shared" si="6"/>
        <v>1383591.1519583333</v>
      </c>
      <c r="L13" s="14">
        <v>447513</v>
      </c>
      <c r="M13" s="14">
        <v>585912.82999999996</v>
      </c>
      <c r="N13" s="18">
        <v>1033425.83</v>
      </c>
    </row>
    <row r="14" spans="1:14" ht="24.95" customHeight="1" x14ac:dyDescent="0.25">
      <c r="A14" s="8" t="s">
        <v>82</v>
      </c>
      <c r="B14" s="5">
        <v>3060</v>
      </c>
      <c r="C14" s="5">
        <v>6163</v>
      </c>
      <c r="D14" s="5">
        <v>1800</v>
      </c>
      <c r="E14" s="5">
        <v>11588</v>
      </c>
      <c r="F14" s="5">
        <v>10015</v>
      </c>
      <c r="H14" s="14">
        <f t="shared" si="5"/>
        <v>32626</v>
      </c>
      <c r="I14" s="14">
        <v>693359.95195833326</v>
      </c>
      <c r="J14" s="18">
        <f t="shared" si="6"/>
        <v>725985.95195833326</v>
      </c>
      <c r="L14" s="14">
        <v>153061</v>
      </c>
      <c r="M14" s="14">
        <v>554367.92999999993</v>
      </c>
      <c r="N14" s="18">
        <v>707428.92999999993</v>
      </c>
    </row>
    <row r="15" spans="1:14" ht="24.95" customHeight="1" x14ac:dyDescent="0.25">
      <c r="A15" s="9" t="s">
        <v>53</v>
      </c>
      <c r="B15" s="7">
        <f>SUM(B16:B18)</f>
        <v>372165</v>
      </c>
      <c r="C15" s="7">
        <f>SUM(C16:C18)</f>
        <v>467722</v>
      </c>
      <c r="D15" s="7">
        <f>SUM(D16:D18)</f>
        <v>5400</v>
      </c>
      <c r="E15" s="7">
        <f>SUM(E16:E18)</f>
        <v>198195</v>
      </c>
      <c r="F15" s="7">
        <f>SUM(F16:F18)</f>
        <v>543946</v>
      </c>
      <c r="H15" s="13">
        <f>SUM(H16:H18)</f>
        <v>1587428</v>
      </c>
      <c r="I15" s="13">
        <f>SUM(I16:I18)</f>
        <v>2458045.6533749993</v>
      </c>
      <c r="J15" s="17">
        <f>SUM(J16:J18)</f>
        <v>4045473.6533749993</v>
      </c>
      <c r="L15" s="13">
        <v>1291813</v>
      </c>
      <c r="M15" s="13">
        <f>SUM(M12:M14)</f>
        <v>1726193.5899999999</v>
      </c>
      <c r="N15" s="17">
        <v>3367169.45</v>
      </c>
    </row>
    <row r="16" spans="1:14" ht="24.95" customHeight="1" x14ac:dyDescent="0.25">
      <c r="A16" s="8" t="s">
        <v>83</v>
      </c>
      <c r="B16" s="5">
        <v>170691</v>
      </c>
      <c r="C16" s="5">
        <v>358352</v>
      </c>
      <c r="D16" s="5">
        <v>1800</v>
      </c>
      <c r="E16" s="5">
        <v>181685</v>
      </c>
      <c r="F16" s="5">
        <v>76063</v>
      </c>
      <c r="H16" s="14">
        <f t="shared" ref="H16:H18" si="7">SUM(B16:F16)</f>
        <v>788591</v>
      </c>
      <c r="I16" s="14">
        <v>819348.55112499977</v>
      </c>
      <c r="J16" s="18">
        <f t="shared" ref="J16:J18" si="8">SUM(H16:I16)</f>
        <v>1607939.5511249998</v>
      </c>
      <c r="L16" s="14">
        <v>880775</v>
      </c>
      <c r="M16" s="14">
        <v>691785.4833333334</v>
      </c>
      <c r="N16" s="18">
        <v>1572560.4833333334</v>
      </c>
    </row>
    <row r="17" spans="1:14" ht="24.95" customHeight="1" x14ac:dyDescent="0.25">
      <c r="A17" s="8" t="s">
        <v>84</v>
      </c>
      <c r="B17" s="5">
        <v>201474</v>
      </c>
      <c r="C17" s="5">
        <v>109370</v>
      </c>
      <c r="D17" s="5">
        <v>1800</v>
      </c>
      <c r="E17" s="5">
        <v>16510</v>
      </c>
      <c r="F17" s="5">
        <v>467883</v>
      </c>
      <c r="H17" s="14">
        <f t="shared" si="7"/>
        <v>797037</v>
      </c>
      <c r="I17" s="14">
        <v>819348.55112499977</v>
      </c>
      <c r="J17" s="18">
        <f t="shared" si="8"/>
        <v>1616385.5511249998</v>
      </c>
      <c r="L17" s="14">
        <v>290417</v>
      </c>
      <c r="M17" s="14">
        <v>691785.4833333334</v>
      </c>
      <c r="N17" s="18">
        <v>982202.4833333334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 t="shared" si="7"/>
        <v>1800</v>
      </c>
      <c r="I18" s="14">
        <v>819348.55112499977</v>
      </c>
      <c r="J18" s="18">
        <f t="shared" si="8"/>
        <v>821148.55112499977</v>
      </c>
      <c r="L18" s="14">
        <v>120621</v>
      </c>
      <c r="M18" s="14">
        <v>691785.4833333334</v>
      </c>
      <c r="N18" s="18">
        <v>812406.4833333334</v>
      </c>
    </row>
    <row r="19" spans="1:14" ht="24.95" customHeight="1" x14ac:dyDescent="0.25">
      <c r="A19" s="10" t="s">
        <v>131</v>
      </c>
      <c r="B19" s="6">
        <f>SUM(B3:B5,B7:B9)</f>
        <v>1016738.2</v>
      </c>
      <c r="C19" s="6">
        <f t="shared" ref="C19:F19" si="9">SUM(C3:C5,C7:C9)</f>
        <v>2228065.0900000003</v>
      </c>
      <c r="D19" s="6">
        <f t="shared" si="9"/>
        <v>322838.49</v>
      </c>
      <c r="E19" s="6">
        <f t="shared" si="9"/>
        <v>1340551.6000000001</v>
      </c>
      <c r="F19" s="6">
        <f t="shared" si="9"/>
        <v>1777101.4100000001</v>
      </c>
      <c r="H19" s="15">
        <f t="shared" ref="H19:J19" si="10">SUM(H3:H5,H7:H9)</f>
        <v>6685294.79</v>
      </c>
      <c r="I19" s="15">
        <f t="shared" si="10"/>
        <v>3595615.61</v>
      </c>
      <c r="J19" s="15">
        <f t="shared" si="10"/>
        <v>10280910.4</v>
      </c>
      <c r="L19" s="15">
        <f t="shared" ref="L19:N19" si="11">SUM(L3:L5,L7:L9)</f>
        <v>7520720.1799999997</v>
      </c>
      <c r="M19" s="15">
        <f t="shared" si="11"/>
        <v>3211451.82</v>
      </c>
      <c r="N19" s="15">
        <f t="shared" si="11"/>
        <v>10732171.999999998</v>
      </c>
    </row>
    <row r="20" spans="1:14" ht="24.95" customHeight="1" x14ac:dyDescent="0.25">
      <c r="A20" s="10" t="s">
        <v>132</v>
      </c>
      <c r="B20" s="6">
        <f>SUM(B10,B12:B14,B16:B18)</f>
        <v>671247</v>
      </c>
      <c r="C20" s="6">
        <f t="shared" ref="C20:F20" si="12">SUM(C10,C12:C14,C16:C18)</f>
        <v>1341281</v>
      </c>
      <c r="D20" s="6">
        <f t="shared" si="12"/>
        <v>10812</v>
      </c>
      <c r="E20" s="6">
        <f t="shared" si="12"/>
        <v>779044</v>
      </c>
      <c r="F20" s="6">
        <f t="shared" si="12"/>
        <v>1089619</v>
      </c>
      <c r="H20" s="15">
        <f t="shared" ref="H20:J20" si="13">SUM(H10,H12:H14,H16:H18)</f>
        <v>3892003</v>
      </c>
      <c r="I20" s="15">
        <f t="shared" si="13"/>
        <v>4797107.9612499988</v>
      </c>
      <c r="J20" s="15">
        <f t="shared" si="13"/>
        <v>8689110.9612499978</v>
      </c>
      <c r="L20" s="15">
        <f t="shared" ref="L20:N20" si="14">SUM(L10,L12:L14,L16:L18)</f>
        <v>2936072</v>
      </c>
      <c r="M20" s="15">
        <f t="shared" si="14"/>
        <v>4308226.63</v>
      </c>
      <c r="N20" s="15">
        <f t="shared" si="14"/>
        <v>7244298.6299999999</v>
      </c>
    </row>
    <row r="21" spans="1:14" ht="24.95" customHeight="1" x14ac:dyDescent="0.25">
      <c r="A21" s="19" t="s">
        <v>794</v>
      </c>
      <c r="B21" s="6">
        <f>SUM(B19:B20)</f>
        <v>1687985.2</v>
      </c>
      <c r="C21" s="6">
        <f t="shared" ref="C21:F21" si="15">SUM(C19:C20)</f>
        <v>3569346.0900000003</v>
      </c>
      <c r="D21" s="6">
        <f t="shared" si="15"/>
        <v>333650.49</v>
      </c>
      <c r="E21" s="6">
        <f t="shared" si="15"/>
        <v>2119595.6</v>
      </c>
      <c r="F21" s="6">
        <f t="shared" si="15"/>
        <v>2866720.41</v>
      </c>
      <c r="H21" s="20">
        <f t="shared" ref="H21:J21" si="16">SUM(H19:H20)</f>
        <v>10577297.789999999</v>
      </c>
      <c r="I21" s="20">
        <f t="shared" si="16"/>
        <v>8392723.5712499991</v>
      </c>
      <c r="J21" s="20">
        <f t="shared" si="16"/>
        <v>18970021.361249998</v>
      </c>
      <c r="L21" s="20">
        <v>10456792.18</v>
      </c>
      <c r="M21" s="20">
        <v>7519678.4500000002</v>
      </c>
      <c r="N21" s="20">
        <v>17976470.630000003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C89C-5321-4D95-9EBB-53024CF6018A}">
  <dimension ref="A1:N21"/>
  <sheetViews>
    <sheetView topLeftCell="C1" zoomScale="130" zoomScaleNormal="130" zoomScaleSheetLayoutView="130" workbookViewId="0">
      <pane ySplit="1" topLeftCell="A2" activePane="bottomLeft" state="frozen"/>
      <selection activeCell="F3" sqref="F3"/>
      <selection pane="bottomLeft" activeCell="M16" sqref="M16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1285</v>
      </c>
      <c r="I1" s="25" t="s">
        <v>1262</v>
      </c>
      <c r="J1" s="25" t="s">
        <v>1286</v>
      </c>
      <c r="L1" s="25" t="s">
        <v>1287</v>
      </c>
      <c r="M1" s="25" t="s">
        <v>1288</v>
      </c>
      <c r="N1" s="25" t="s">
        <v>1289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1679615.07</v>
      </c>
      <c r="J2" s="17">
        <f>SUM(J3:J5)</f>
        <v>5163428.92</v>
      </c>
      <c r="L2" s="13">
        <v>3906653.24</v>
      </c>
      <c r="M2" s="13">
        <v>1879309.96</v>
      </c>
      <c r="N2" s="17">
        <v>5785963.2000000002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1586287.21</v>
      </c>
      <c r="M3" s="14">
        <v>604506.73</v>
      </c>
      <c r="N3" s="18">
        <v>2190793.94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523461.45</v>
      </c>
      <c r="J4" s="18">
        <f>SUM(H4:I4)</f>
        <v>1778148.99</v>
      </c>
      <c r="L4" s="14">
        <v>1145494.42</v>
      </c>
      <c r="M4" s="14">
        <v>569351.72</v>
      </c>
      <c r="N4" s="18">
        <v>1714846.14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>SUM(B5:F5)</f>
        <v>1021449.6799999999</v>
      </c>
      <c r="I5" s="14">
        <v>685494.55</v>
      </c>
      <c r="J5" s="18">
        <f>SUM(H5:I5)</f>
        <v>1706944.23</v>
      </c>
      <c r="L5" s="14">
        <v>1174871.6100000001</v>
      </c>
      <c r="M5" s="14">
        <v>705451.51</v>
      </c>
      <c r="N5" s="18">
        <v>1880323.12</v>
      </c>
    </row>
    <row r="6" spans="1:14" ht="24.95" customHeight="1" x14ac:dyDescent="0.25">
      <c r="A6" s="9" t="s">
        <v>51</v>
      </c>
      <c r="B6" s="7">
        <f>SUM(B7:B9)</f>
        <v>633595.18000000005</v>
      </c>
      <c r="C6" s="7">
        <f>SUM(C7:C9)</f>
        <v>1328140.8400000001</v>
      </c>
      <c r="D6" s="7">
        <f>SUM(D7:D9)</f>
        <v>15812.99</v>
      </c>
      <c r="E6" s="7">
        <f>SUM(E7:E9)</f>
        <v>817130.51</v>
      </c>
      <c r="F6" s="7">
        <f>SUM(F7:F9)</f>
        <v>705181.55</v>
      </c>
      <c r="H6" s="13">
        <f>SUM(H7:H9)</f>
        <v>3499861.07</v>
      </c>
      <c r="I6" s="13">
        <f>SUM(I7:I9)</f>
        <v>1994467.4500000002</v>
      </c>
      <c r="J6" s="17">
        <f>SUM(J7:J9)</f>
        <v>5494328.5199999996</v>
      </c>
      <c r="L6" s="13">
        <v>3788483.49</v>
      </c>
      <c r="M6" s="13">
        <v>1332141.8600000001</v>
      </c>
      <c r="N6" s="17">
        <v>5120625.3499999996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>SUM(B7:F7)</f>
        <v>1351445.73</v>
      </c>
      <c r="I7" s="14">
        <v>827441.69</v>
      </c>
      <c r="J7" s="18">
        <f>SUM(H7:I7)</f>
        <v>2178887.42</v>
      </c>
      <c r="L7" s="14">
        <v>1131506.8700000001</v>
      </c>
      <c r="M7" s="14">
        <v>715421.3</v>
      </c>
      <c r="N7" s="18">
        <v>1846928.17</v>
      </c>
    </row>
    <row r="8" spans="1:14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>SUM(B8:F8)</f>
        <v>974180.54999999993</v>
      </c>
      <c r="I8" s="14">
        <v>812820.45000000007</v>
      </c>
      <c r="J8" s="18">
        <f>SUM(H8:I8)</f>
        <v>1787001</v>
      </c>
      <c r="L8" s="14">
        <v>1530023.47</v>
      </c>
      <c r="M8" s="14">
        <v>470912.65</v>
      </c>
      <c r="N8" s="18">
        <v>2000936.12</v>
      </c>
    </row>
    <row r="9" spans="1:14" ht="24" customHeight="1" x14ac:dyDescent="0.25">
      <c r="A9" s="8" t="s">
        <v>464</v>
      </c>
      <c r="B9" s="5">
        <v>250648.91</v>
      </c>
      <c r="C9" s="5">
        <v>451223.42000000004</v>
      </c>
      <c r="D9" s="5">
        <v>900</v>
      </c>
      <c r="E9" s="5">
        <v>174085.56</v>
      </c>
      <c r="F9" s="5">
        <v>297376.89999999997</v>
      </c>
      <c r="G9" s="4"/>
      <c r="H9" s="14">
        <f>SUM(B9:F9)</f>
        <v>1174234.79</v>
      </c>
      <c r="I9" s="14">
        <v>354205.31000000011</v>
      </c>
      <c r="J9" s="18">
        <f>SUM(H9:I9)</f>
        <v>1528440.1</v>
      </c>
      <c r="K9" s="4"/>
      <c r="L9" s="14">
        <v>1126953.1499999999</v>
      </c>
      <c r="M9" s="14">
        <v>145807.91</v>
      </c>
      <c r="N9" s="18">
        <v>1272761.06</v>
      </c>
    </row>
    <row r="10" spans="1:14" ht="24.95" customHeight="1" x14ac:dyDescent="0.25">
      <c r="A10" s="9" t="s">
        <v>52</v>
      </c>
      <c r="B10" s="7">
        <f>SUM(B11:B14)</f>
        <v>336627</v>
      </c>
      <c r="C10" s="7">
        <f>SUM(C11:C14)</f>
        <v>822205.67</v>
      </c>
      <c r="D10" s="7">
        <f>SUM(D11:D14)</f>
        <v>6312</v>
      </c>
      <c r="E10" s="7">
        <f>SUM(E11:E14)</f>
        <v>636738.5</v>
      </c>
      <c r="F10" s="7">
        <f>SUM(F11:F14)</f>
        <v>553312.25</v>
      </c>
      <c r="G10" s="4"/>
      <c r="H10" s="13">
        <f>SUM(H11:H14)</f>
        <v>2355195.42</v>
      </c>
      <c r="I10" s="13">
        <f>SUM(I11:I14)</f>
        <v>2622449.8918333324</v>
      </c>
      <c r="J10" s="17">
        <f>SUM(J11:J14)</f>
        <v>4977645.3118333323</v>
      </c>
      <c r="K10" s="4"/>
      <c r="L10" s="14">
        <v>2063036.55</v>
      </c>
      <c r="M10" s="14">
        <v>585912.82999999996</v>
      </c>
      <c r="N10" s="18">
        <v>4375142.97</v>
      </c>
    </row>
    <row r="11" spans="1:14" ht="24" customHeight="1" x14ac:dyDescent="0.25">
      <c r="A11" s="8" t="s">
        <v>557</v>
      </c>
      <c r="B11" s="5">
        <v>63946</v>
      </c>
      <c r="C11" s="5">
        <v>167970.67</v>
      </c>
      <c r="D11" s="5">
        <v>0</v>
      </c>
      <c r="E11" s="5">
        <v>63059.5</v>
      </c>
      <c r="F11" s="5">
        <v>45515.25</v>
      </c>
      <c r="H11" s="14">
        <f>SUM(B11:F11)</f>
        <v>340491.42000000004</v>
      </c>
      <c r="I11" s="14">
        <v>637591.89395833318</v>
      </c>
      <c r="J11" s="18">
        <f>SUM(H11:I11)</f>
        <v>978083.31395833322</v>
      </c>
      <c r="L11" s="13">
        <v>243121.55</v>
      </c>
      <c r="M11" s="13">
        <f>SUM(M12:M14)</f>
        <v>1726193.5899999999</v>
      </c>
      <c r="N11" s="17">
        <v>829034.38</v>
      </c>
    </row>
    <row r="12" spans="1:14" ht="24" customHeight="1" x14ac:dyDescent="0.25">
      <c r="A12" s="8" t="s">
        <v>80</v>
      </c>
      <c r="B12" s="5">
        <v>122878</v>
      </c>
      <c r="C12" s="5">
        <v>458762</v>
      </c>
      <c r="D12" s="5">
        <v>2712</v>
      </c>
      <c r="E12" s="5">
        <v>293002</v>
      </c>
      <c r="F12" s="5">
        <v>407922</v>
      </c>
      <c r="H12" s="14">
        <f>SUM(B12:F12)</f>
        <v>1285276</v>
      </c>
      <c r="I12" s="14">
        <v>637592.89395833295</v>
      </c>
      <c r="J12" s="18">
        <f>SUM(H12:I12)</f>
        <v>1922868.8939583329</v>
      </c>
      <c r="L12" s="14">
        <v>904327</v>
      </c>
      <c r="M12" s="14">
        <v>585912.82999999996</v>
      </c>
      <c r="N12" s="18">
        <v>1490239.83</v>
      </c>
    </row>
    <row r="13" spans="1:14" ht="24.95" customHeight="1" x14ac:dyDescent="0.25">
      <c r="A13" s="8" t="s">
        <v>81</v>
      </c>
      <c r="B13" s="5">
        <v>146743</v>
      </c>
      <c r="C13" s="5">
        <v>189310</v>
      </c>
      <c r="D13" s="5">
        <v>1800</v>
      </c>
      <c r="E13" s="5">
        <v>269089</v>
      </c>
      <c r="F13" s="5">
        <v>95880</v>
      </c>
      <c r="H13" s="14">
        <f>SUM(B13:F13)</f>
        <v>702822</v>
      </c>
      <c r="I13" s="14">
        <v>653905.15195833321</v>
      </c>
      <c r="J13" s="18">
        <f>SUM(H13:I13)</f>
        <v>1356727.1519583333</v>
      </c>
      <c r="L13" s="14">
        <v>630722</v>
      </c>
      <c r="M13" s="14">
        <v>585912.82999999996</v>
      </c>
      <c r="N13" s="18">
        <v>1216634.83</v>
      </c>
    </row>
    <row r="14" spans="1:14" ht="24.95" customHeight="1" x14ac:dyDescent="0.25">
      <c r="A14" s="8" t="s">
        <v>82</v>
      </c>
      <c r="B14" s="5">
        <v>3060</v>
      </c>
      <c r="C14" s="5">
        <v>6163</v>
      </c>
      <c r="D14" s="5">
        <v>1800</v>
      </c>
      <c r="E14" s="5">
        <v>11588</v>
      </c>
      <c r="F14" s="5">
        <v>3995</v>
      </c>
      <c r="H14" s="14">
        <f>SUM(B14:F14)</f>
        <v>26606</v>
      </c>
      <c r="I14" s="14">
        <v>693359.95195833326</v>
      </c>
      <c r="J14" s="18">
        <f>SUM(H14:I14)</f>
        <v>719965.95195833326</v>
      </c>
      <c r="L14" s="14">
        <v>284866</v>
      </c>
      <c r="M14" s="14">
        <v>554367.93000000005</v>
      </c>
      <c r="N14" s="18">
        <v>839233.93</v>
      </c>
    </row>
    <row r="15" spans="1:14" ht="24.95" customHeight="1" x14ac:dyDescent="0.25">
      <c r="A15" s="9" t="s">
        <v>53</v>
      </c>
      <c r="B15" s="7">
        <f>SUM(B16:B18)</f>
        <v>372165</v>
      </c>
      <c r="C15" s="7">
        <f>SUM(C16:C18)</f>
        <v>467722</v>
      </c>
      <c r="D15" s="7">
        <f>SUM(D16:D18)</f>
        <v>5400</v>
      </c>
      <c r="E15" s="7">
        <f>SUM(E16:E18)</f>
        <v>208390</v>
      </c>
      <c r="F15" s="7">
        <f>SUM(F16:F18)</f>
        <v>543946</v>
      </c>
      <c r="H15" s="13">
        <f>SUM(H16:H18)</f>
        <v>1597623</v>
      </c>
      <c r="I15" s="13">
        <f>SUM(I16:I18)</f>
        <v>2458045.6533749993</v>
      </c>
      <c r="J15" s="17">
        <f>SUM(J16:J18)</f>
        <v>4055668.6533749993</v>
      </c>
      <c r="L15" s="13">
        <v>1400096</v>
      </c>
      <c r="M15" s="13">
        <f>SUM(M16:M18)</f>
        <v>2075356.44</v>
      </c>
      <c r="N15" s="17">
        <v>3475452.45</v>
      </c>
    </row>
    <row r="16" spans="1:14" ht="24.95" customHeight="1" x14ac:dyDescent="0.25">
      <c r="A16" s="8" t="s">
        <v>83</v>
      </c>
      <c r="B16" s="5">
        <v>170691</v>
      </c>
      <c r="C16" s="5">
        <v>358352</v>
      </c>
      <c r="D16" s="5">
        <v>1800</v>
      </c>
      <c r="E16" s="5">
        <v>181685</v>
      </c>
      <c r="F16" s="5">
        <v>76063</v>
      </c>
      <c r="H16" s="14">
        <f>SUM(B16:F16)</f>
        <v>788591</v>
      </c>
      <c r="I16" s="14">
        <v>819348.55112499977</v>
      </c>
      <c r="J16" s="18">
        <f>SUM(H16:I16)</f>
        <v>1607939.5511249998</v>
      </c>
      <c r="L16" s="14">
        <v>934688</v>
      </c>
      <c r="M16" s="14">
        <v>691785.48</v>
      </c>
      <c r="N16" s="18">
        <v>1626473.48</v>
      </c>
    </row>
    <row r="17" spans="1:14" ht="24.95" customHeight="1" x14ac:dyDescent="0.25">
      <c r="A17" s="8" t="s">
        <v>84</v>
      </c>
      <c r="B17" s="5">
        <v>201474</v>
      </c>
      <c r="C17" s="5">
        <v>109370</v>
      </c>
      <c r="D17" s="5">
        <v>1800</v>
      </c>
      <c r="E17" s="5">
        <v>26705</v>
      </c>
      <c r="F17" s="5">
        <v>467883</v>
      </c>
      <c r="H17" s="14">
        <f>SUM(B17:F17)</f>
        <v>807232</v>
      </c>
      <c r="I17" s="14">
        <v>819348.55112499977</v>
      </c>
      <c r="J17" s="18">
        <f>SUM(H17:I17)</f>
        <v>1626580.5511249998</v>
      </c>
      <c r="L17" s="14">
        <v>344787</v>
      </c>
      <c r="M17" s="14">
        <v>691785.48</v>
      </c>
      <c r="N17" s="18">
        <v>1036572.48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>SUM(B18:F18)</f>
        <v>1800</v>
      </c>
      <c r="I18" s="14">
        <v>819348.55112499977</v>
      </c>
      <c r="J18" s="18">
        <f>SUM(H18:I18)</f>
        <v>821148.55112499977</v>
      </c>
      <c r="L18" s="14">
        <v>120621</v>
      </c>
      <c r="M18" s="14">
        <v>691785.48</v>
      </c>
      <c r="N18" s="18">
        <v>812406.48</v>
      </c>
    </row>
    <row r="19" spans="1:14" ht="24.95" customHeight="1" x14ac:dyDescent="0.25">
      <c r="A19" s="10" t="s">
        <v>131</v>
      </c>
      <c r="B19" s="6">
        <f>SUM(B3:B5,B7:B9,B11)</f>
        <v>1177913.2</v>
      </c>
      <c r="C19" s="6">
        <f t="shared" ref="C19:F19" si="0">SUM(C3:C5,C7:C9,C11)</f>
        <v>2490352.29</v>
      </c>
      <c r="D19" s="6">
        <f t="shared" si="0"/>
        <v>323738.49</v>
      </c>
      <c r="E19" s="6">
        <f t="shared" si="0"/>
        <v>1470098.6</v>
      </c>
      <c r="F19" s="6">
        <f t="shared" si="0"/>
        <v>1862063.76</v>
      </c>
      <c r="H19" s="15">
        <f>SUM(H3:H5,H7:H9,H11)</f>
        <v>7324166.3399999999</v>
      </c>
      <c r="I19" s="15">
        <f t="shared" ref="I19:J19" si="1">SUM(I3:I5,I7:I9,I11)</f>
        <v>4311674.4139583334</v>
      </c>
      <c r="J19" s="15">
        <f t="shared" si="1"/>
        <v>11635840.753958333</v>
      </c>
      <c r="L19" s="15">
        <v>7938258.2800000003</v>
      </c>
      <c r="M19" s="15">
        <v>3797364.65</v>
      </c>
      <c r="N19" s="15">
        <v>11735622.93</v>
      </c>
    </row>
    <row r="20" spans="1:14" ht="24.95" customHeight="1" x14ac:dyDescent="0.25">
      <c r="A20" s="10" t="s">
        <v>132</v>
      </c>
      <c r="B20" s="6">
        <f>SUM(B12:B14,B16:B18)</f>
        <v>644846</v>
      </c>
      <c r="C20" s="6">
        <f t="shared" ref="C20:F20" si="2">SUM(C12:C14,C16:C18)</f>
        <v>1121957</v>
      </c>
      <c r="D20" s="6">
        <f t="shared" si="2"/>
        <v>11712</v>
      </c>
      <c r="E20" s="6">
        <f t="shared" si="2"/>
        <v>782069</v>
      </c>
      <c r="F20" s="6">
        <f t="shared" si="2"/>
        <v>1051743</v>
      </c>
      <c r="H20" s="15">
        <f>SUM(H16:H18,H12:H14)</f>
        <v>3612327</v>
      </c>
      <c r="I20" s="15">
        <f t="shared" ref="I20:J20" si="3">SUM(I16:I18,I12:I14)</f>
        <v>4442903.6512499992</v>
      </c>
      <c r="J20" s="15">
        <f t="shared" si="3"/>
        <v>8055230.6512499982</v>
      </c>
      <c r="L20" s="15">
        <v>3220011</v>
      </c>
      <c r="M20" s="15">
        <v>3801550.04</v>
      </c>
      <c r="N20" s="15">
        <v>7021561.04</v>
      </c>
    </row>
    <row r="21" spans="1:14" ht="24.95" customHeight="1" x14ac:dyDescent="0.25">
      <c r="A21" s="19" t="s">
        <v>794</v>
      </c>
      <c r="B21" s="6">
        <f>SUM(B19:B20)</f>
        <v>1822759.2</v>
      </c>
      <c r="C21" s="6">
        <f>SUM(C19:C20)</f>
        <v>3612309.29</v>
      </c>
      <c r="D21" s="6">
        <f>SUM(D19:D20)</f>
        <v>335450.49</v>
      </c>
      <c r="E21" s="6">
        <f>SUM(E19:E20)</f>
        <v>2252167.6</v>
      </c>
      <c r="F21" s="6">
        <f>SUM(F19:F20)</f>
        <v>2913806.76</v>
      </c>
      <c r="H21" s="20">
        <f>SUM(H19:H20)</f>
        <v>10936493.34</v>
      </c>
      <c r="I21" s="20">
        <f>SUM(I19:I20)</f>
        <v>8754578.0652083326</v>
      </c>
      <c r="J21" s="20">
        <f>SUM(J19:J20)</f>
        <v>19691071.405208331</v>
      </c>
      <c r="L21" s="20">
        <v>11158269.279999999</v>
      </c>
      <c r="M21" s="20">
        <v>7598914.6900000004</v>
      </c>
      <c r="N21" s="20">
        <v>18757183.969999999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5A3C-1C01-410C-A9FE-9E92937DA9EE}">
  <dimension ref="A1:N21"/>
  <sheetViews>
    <sheetView zoomScale="130" zoomScaleNormal="130" zoomScaleSheetLayoutView="130" workbookViewId="0">
      <pane ySplit="1" topLeftCell="A2" activePane="bottomLeft" state="frozen"/>
      <selection activeCell="F3" sqref="F3"/>
      <selection pane="bottomLeft" activeCell="I18" sqref="I18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1302</v>
      </c>
      <c r="I1" s="25" t="s">
        <v>1301</v>
      </c>
      <c r="J1" s="25" t="s">
        <v>1299</v>
      </c>
      <c r="L1" s="25" t="s">
        <v>1300</v>
      </c>
      <c r="M1" s="25" t="s">
        <v>1298</v>
      </c>
      <c r="N1" s="25" t="s">
        <v>804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1879489.09</v>
      </c>
      <c r="J2" s="17">
        <f>SUM(J3:J5)</f>
        <v>5363302.9399999995</v>
      </c>
      <c r="L2" s="13">
        <v>3906653.24</v>
      </c>
      <c r="M2" s="13">
        <v>1879309.96</v>
      </c>
      <c r="N2" s="17">
        <v>5785963.1999999993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723335.47</v>
      </c>
      <c r="J4" s="18">
        <f>SUM(H4:I4)</f>
        <v>1978023.01</v>
      </c>
      <c r="L4" s="14">
        <v>1145494.42</v>
      </c>
      <c r="M4" s="14">
        <v>569351.72</v>
      </c>
      <c r="N4" s="18">
        <v>1714846.14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>SUM(B5:F5)</f>
        <v>1021449.6799999999</v>
      </c>
      <c r="I5" s="14">
        <v>685494.55</v>
      </c>
      <c r="J5" s="18">
        <f>SUM(H5:I5)</f>
        <v>1706944.23</v>
      </c>
      <c r="L5" s="14">
        <v>1174871.6100000001</v>
      </c>
      <c r="M5" s="14">
        <v>705451.51000000013</v>
      </c>
      <c r="N5" s="18">
        <v>1880323.12</v>
      </c>
    </row>
    <row r="6" spans="1:14" ht="24.95" customHeight="1" x14ac:dyDescent="0.25">
      <c r="A6" s="9" t="s">
        <v>51</v>
      </c>
      <c r="B6" s="7">
        <f>SUM(B7:B9)</f>
        <v>633595.18000000005</v>
      </c>
      <c r="C6" s="7">
        <f>SUM(C7:C9)</f>
        <v>1328140.8400000001</v>
      </c>
      <c r="D6" s="7">
        <f>SUM(D7:D9)</f>
        <v>15812.99</v>
      </c>
      <c r="E6" s="7">
        <f>SUM(E7:E9)</f>
        <v>817130.51</v>
      </c>
      <c r="F6" s="7">
        <f>SUM(F7:F9)</f>
        <v>705181.55</v>
      </c>
      <c r="H6" s="13">
        <f>SUM(H7:H9)</f>
        <v>3499861.07</v>
      </c>
      <c r="I6" s="13">
        <f>SUM(I7:I9)</f>
        <v>2280596.9500000002</v>
      </c>
      <c r="J6" s="17">
        <f>SUM(J7:J9)</f>
        <v>5780458.0199999996</v>
      </c>
      <c r="L6" s="13">
        <v>3788483.4899999998</v>
      </c>
      <c r="M6" s="13">
        <v>1819452.33</v>
      </c>
      <c r="N6" s="17">
        <v>5607935.8200000003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>SUM(B7:F7)</f>
        <v>1351445.73</v>
      </c>
      <c r="I7" s="14">
        <v>827441.69</v>
      </c>
      <c r="J7" s="18">
        <f>SUM(H7:I7)</f>
        <v>2178887.42</v>
      </c>
      <c r="L7" s="14">
        <v>1131506.8700000001</v>
      </c>
      <c r="M7" s="14">
        <v>715421.3</v>
      </c>
      <c r="N7" s="18">
        <v>1846928.1700000002</v>
      </c>
    </row>
    <row r="8" spans="1:14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>SUM(B8:F8)</f>
        <v>974180.54999999993</v>
      </c>
      <c r="I8" s="14">
        <v>812820.45000000007</v>
      </c>
      <c r="J8" s="18">
        <f>SUM(H8:I8)</f>
        <v>1787001</v>
      </c>
      <c r="L8" s="14">
        <v>1530023.4699999997</v>
      </c>
      <c r="M8" s="14">
        <v>470912.65</v>
      </c>
      <c r="N8" s="18">
        <v>2000936.1199999996</v>
      </c>
    </row>
    <row r="9" spans="1:14" ht="24" customHeight="1" x14ac:dyDescent="0.25">
      <c r="A9" s="8" t="s">
        <v>464</v>
      </c>
      <c r="B9" s="5">
        <v>250648.91</v>
      </c>
      <c r="C9" s="5">
        <v>451223.42000000004</v>
      </c>
      <c r="D9" s="5">
        <v>900</v>
      </c>
      <c r="E9" s="5">
        <v>174085.56</v>
      </c>
      <c r="F9" s="5">
        <v>297376.89999999997</v>
      </c>
      <c r="G9" s="4"/>
      <c r="H9" s="14">
        <f>SUM(B9:F9)</f>
        <v>1174234.79</v>
      </c>
      <c r="I9" s="14">
        <v>640334.81000000006</v>
      </c>
      <c r="J9" s="18">
        <f>SUM(H9:I9)</f>
        <v>1814569.6</v>
      </c>
      <c r="K9" s="4"/>
      <c r="L9" s="14">
        <v>1126953.1499999999</v>
      </c>
      <c r="M9" s="14">
        <v>633118.38</v>
      </c>
      <c r="N9" s="18">
        <v>1760071.5299999998</v>
      </c>
    </row>
    <row r="10" spans="1:14" ht="24.95" customHeight="1" x14ac:dyDescent="0.25">
      <c r="A10" s="9" t="s">
        <v>52</v>
      </c>
      <c r="B10" s="7">
        <f>SUM(B11:B14)</f>
        <v>338062</v>
      </c>
      <c r="C10" s="7">
        <f>SUM(C11:C14)</f>
        <v>863928.15</v>
      </c>
      <c r="D10" s="7">
        <f>SUM(D11:D14)</f>
        <v>45269</v>
      </c>
      <c r="E10" s="7">
        <f>SUM(E11:E14)</f>
        <v>738986.3</v>
      </c>
      <c r="F10" s="7">
        <f>SUM(F11:F14)</f>
        <v>596997.30000000005</v>
      </c>
      <c r="G10" s="4"/>
      <c r="H10" s="13">
        <f>SUM(H11:H14)</f>
        <v>2583242.75</v>
      </c>
      <c r="I10" s="13">
        <f>SUM(I11:I14)</f>
        <v>2471992.4003154766</v>
      </c>
      <c r="J10" s="17">
        <f>SUM(J11:J14)</f>
        <v>5055235.1503154766</v>
      </c>
      <c r="K10" s="4"/>
      <c r="L10" s="13">
        <v>2040665.05</v>
      </c>
      <c r="M10" s="13">
        <f>SUM(M11:M14)</f>
        <v>1662661.3060714286</v>
      </c>
      <c r="N10" s="17">
        <v>3703326.3560714284</v>
      </c>
    </row>
    <row r="11" spans="1:14" ht="24" customHeight="1" x14ac:dyDescent="0.25">
      <c r="A11" s="8" t="s">
        <v>557</v>
      </c>
      <c r="B11" s="5">
        <v>99436</v>
      </c>
      <c r="C11" s="5">
        <v>263380.15000000002</v>
      </c>
      <c r="D11" s="5">
        <v>0</v>
      </c>
      <c r="E11" s="5">
        <v>104429.3</v>
      </c>
      <c r="F11" s="5">
        <v>80274.3</v>
      </c>
      <c r="H11" s="14">
        <f>SUM(B11:F11)</f>
        <v>547519.75</v>
      </c>
      <c r="I11" s="14">
        <v>41237.379999999997</v>
      </c>
      <c r="J11" s="18">
        <f>SUM(H11:I11)</f>
        <v>588757.13</v>
      </c>
      <c r="L11" s="14">
        <v>508433.05</v>
      </c>
      <c r="M11" s="14">
        <v>139396.38145833332</v>
      </c>
      <c r="N11" s="18">
        <v>647829.43145833327</v>
      </c>
    </row>
    <row r="12" spans="1:14" ht="24" customHeight="1" x14ac:dyDescent="0.25">
      <c r="A12" s="8" t="s">
        <v>80</v>
      </c>
      <c r="B12" s="5">
        <v>88823</v>
      </c>
      <c r="C12" s="5">
        <v>405870</v>
      </c>
      <c r="D12" s="5">
        <v>41669</v>
      </c>
      <c r="E12" s="5">
        <v>323893</v>
      </c>
      <c r="F12" s="5">
        <v>414263</v>
      </c>
      <c r="H12" s="14">
        <f>SUM(B12:F12)</f>
        <v>1274518</v>
      </c>
      <c r="I12" s="14">
        <v>831691.3630416668</v>
      </c>
      <c r="J12" s="18">
        <f>SUM(H12:I12)</f>
        <v>2106209.3630416668</v>
      </c>
      <c r="L12" s="14">
        <v>634895</v>
      </c>
      <c r="M12" s="14">
        <v>418189.14437499992</v>
      </c>
      <c r="N12" s="18">
        <v>1053084.1443749999</v>
      </c>
    </row>
    <row r="13" spans="1:14" ht="24.95" customHeight="1" x14ac:dyDescent="0.25">
      <c r="A13" s="8" t="s">
        <v>81</v>
      </c>
      <c r="B13" s="5">
        <v>146743</v>
      </c>
      <c r="C13" s="5">
        <v>188515</v>
      </c>
      <c r="D13" s="5">
        <v>1800</v>
      </c>
      <c r="E13" s="5">
        <v>299076</v>
      </c>
      <c r="F13" s="5">
        <v>98465</v>
      </c>
      <c r="H13" s="14">
        <f>SUM(B13:F13)</f>
        <v>734599</v>
      </c>
      <c r="I13" s="14">
        <v>850541.31347023812</v>
      </c>
      <c r="J13" s="18">
        <f>SUM(H13:I13)</f>
        <v>1585140.3134702381</v>
      </c>
      <c r="L13" s="14">
        <v>491436</v>
      </c>
      <c r="M13" s="14">
        <v>568310.34011904756</v>
      </c>
      <c r="N13" s="18">
        <v>1059746.3401190476</v>
      </c>
    </row>
    <row r="14" spans="1:14" ht="24.95" customHeight="1" x14ac:dyDescent="0.25">
      <c r="A14" s="8" t="s">
        <v>82</v>
      </c>
      <c r="B14" s="5">
        <v>3060</v>
      </c>
      <c r="C14" s="5">
        <v>6163</v>
      </c>
      <c r="D14" s="5">
        <v>1800</v>
      </c>
      <c r="E14" s="5">
        <v>11588</v>
      </c>
      <c r="F14" s="5">
        <v>3995</v>
      </c>
      <c r="H14" s="14">
        <f>SUM(B14:F14)</f>
        <v>26606</v>
      </c>
      <c r="I14" s="14">
        <v>748522.3438035713</v>
      </c>
      <c r="J14" s="18">
        <f>SUM(H14:I14)</f>
        <v>775128.3438035713</v>
      </c>
      <c r="L14" s="14">
        <v>405901</v>
      </c>
      <c r="M14" s="14">
        <v>536765.44011904753</v>
      </c>
      <c r="N14" s="18">
        <v>942666.44011904753</v>
      </c>
    </row>
    <row r="15" spans="1:14" ht="24.95" customHeight="1" x14ac:dyDescent="0.25">
      <c r="A15" s="9" t="s">
        <v>53</v>
      </c>
      <c r="B15" s="7">
        <f>SUM(B16:B18)</f>
        <v>372165</v>
      </c>
      <c r="C15" s="7">
        <f>SUM(C16:C18)</f>
        <v>467722</v>
      </c>
      <c r="D15" s="7">
        <f>SUM(D16:D18)</f>
        <v>5400</v>
      </c>
      <c r="E15" s="7">
        <f>SUM(E16:E18)</f>
        <v>230060</v>
      </c>
      <c r="F15" s="7">
        <f>SUM(F16:F18)</f>
        <v>543946</v>
      </c>
      <c r="H15" s="13">
        <f>SUM(H16:H18)</f>
        <v>1619293</v>
      </c>
      <c r="I15" s="13">
        <f>SUM(I16:I18)</f>
        <v>2628246.9839107138</v>
      </c>
      <c r="J15" s="17">
        <f>SUM(J16:J18)</f>
        <v>4247539.9839107133</v>
      </c>
      <c r="L15" s="13">
        <v>1472534</v>
      </c>
      <c r="M15" s="13">
        <f>SUM(M16:M18)</f>
        <v>2097350.5003571431</v>
      </c>
      <c r="N15" s="17">
        <v>3569884.5003571436</v>
      </c>
    </row>
    <row r="16" spans="1:14" ht="24.95" customHeight="1" x14ac:dyDescent="0.25">
      <c r="A16" s="8" t="s">
        <v>83</v>
      </c>
      <c r="B16" s="5">
        <v>170691</v>
      </c>
      <c r="C16" s="5">
        <v>358352</v>
      </c>
      <c r="D16" s="5">
        <v>1800</v>
      </c>
      <c r="E16" s="5">
        <v>203355</v>
      </c>
      <c r="F16" s="5">
        <v>76063</v>
      </c>
      <c r="H16" s="14">
        <f>SUM(B16:F16)</f>
        <v>810261</v>
      </c>
      <c r="I16" s="14">
        <v>876082.32797023794</v>
      </c>
      <c r="J16" s="18">
        <f>SUM(H16:I16)</f>
        <v>1686343.3279702379</v>
      </c>
      <c r="L16" s="14">
        <v>925851</v>
      </c>
      <c r="M16" s="14">
        <v>699116.83345238108</v>
      </c>
      <c r="N16" s="18">
        <v>1624967.8334523812</v>
      </c>
    </row>
    <row r="17" spans="1:14" ht="24.95" customHeight="1" x14ac:dyDescent="0.25">
      <c r="A17" s="8" t="s">
        <v>84</v>
      </c>
      <c r="B17" s="5">
        <v>201474</v>
      </c>
      <c r="C17" s="5">
        <v>109370</v>
      </c>
      <c r="D17" s="5">
        <v>1800</v>
      </c>
      <c r="E17" s="5">
        <v>26705</v>
      </c>
      <c r="F17" s="5">
        <v>467883</v>
      </c>
      <c r="H17" s="14">
        <f>SUM(B17:F17)</f>
        <v>807232</v>
      </c>
      <c r="I17" s="14">
        <v>876082.32797023794</v>
      </c>
      <c r="J17" s="18">
        <f>SUM(H17:I17)</f>
        <v>1683314.3279702379</v>
      </c>
      <c r="L17" s="14">
        <v>426062</v>
      </c>
      <c r="M17" s="14">
        <v>699116.83345238108</v>
      </c>
      <c r="N17" s="18">
        <v>1125178.8334523812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>SUM(B18:F18)</f>
        <v>1800</v>
      </c>
      <c r="I18" s="14">
        <v>876082.32797023794</v>
      </c>
      <c r="J18" s="18">
        <f>SUM(H18:I18)</f>
        <v>877882.32797023794</v>
      </c>
      <c r="L18" s="14">
        <v>120621</v>
      </c>
      <c r="M18" s="14">
        <v>699116.83345238108</v>
      </c>
      <c r="N18" s="18">
        <v>819737.83345238108</v>
      </c>
    </row>
    <row r="19" spans="1:14" ht="24.95" customHeight="1" x14ac:dyDescent="0.25">
      <c r="A19" s="10" t="s">
        <v>131</v>
      </c>
      <c r="B19" s="6">
        <f>SUM(B3:B5,B7:B9,B11)</f>
        <v>1213403.2</v>
      </c>
      <c r="C19" s="6">
        <f t="shared" ref="C19:F19" si="0">SUM(C3:C5,C7:C9,C11)</f>
        <v>2585761.77</v>
      </c>
      <c r="D19" s="6">
        <f t="shared" si="0"/>
        <v>323738.49</v>
      </c>
      <c r="E19" s="6">
        <f t="shared" si="0"/>
        <v>1511468.4000000001</v>
      </c>
      <c r="F19" s="6">
        <f t="shared" si="0"/>
        <v>1896822.81</v>
      </c>
      <c r="H19" s="15">
        <f>SUM(H3:H5,H7:H9,H11)</f>
        <v>7531194.6699999999</v>
      </c>
      <c r="I19" s="15">
        <f t="shared" ref="I19:J19" si="1">SUM(I3:I5,I7:I9,I11)</f>
        <v>4201323.4200000009</v>
      </c>
      <c r="J19" s="15">
        <f t="shared" si="1"/>
        <v>11732518.09</v>
      </c>
      <c r="L19" s="15">
        <v>8203569.7799999993</v>
      </c>
      <c r="M19" s="15">
        <v>3838158.6714583333</v>
      </c>
      <c r="N19" s="15">
        <v>12041728.451458331</v>
      </c>
    </row>
    <row r="20" spans="1:14" ht="24.95" customHeight="1" x14ac:dyDescent="0.25">
      <c r="A20" s="10" t="s">
        <v>132</v>
      </c>
      <c r="B20" s="6">
        <f>SUM(B12:B14,B16:B18)</f>
        <v>610791</v>
      </c>
      <c r="C20" s="6">
        <f t="shared" ref="C20:F20" si="2">SUM(C12:C14,C16:C18)</f>
        <v>1068270</v>
      </c>
      <c r="D20" s="6">
        <f t="shared" si="2"/>
        <v>50669</v>
      </c>
      <c r="E20" s="6">
        <f t="shared" si="2"/>
        <v>864617</v>
      </c>
      <c r="F20" s="6">
        <f t="shared" si="2"/>
        <v>1060669</v>
      </c>
      <c r="H20" s="15">
        <f>SUM(H16:H18,H12:H14)</f>
        <v>3655016</v>
      </c>
      <c r="I20" s="15">
        <f t="shared" ref="I20:J20" si="3">SUM(I16:I18,I12:I14)</f>
        <v>5059002.00422619</v>
      </c>
      <c r="J20" s="15">
        <f t="shared" si="3"/>
        <v>8714018.0042261891</v>
      </c>
      <c r="L20" s="15">
        <v>3004766</v>
      </c>
      <c r="M20" s="15">
        <v>3620615.424970238</v>
      </c>
      <c r="N20" s="15">
        <v>6625381.4249702385</v>
      </c>
    </row>
    <row r="21" spans="1:14" ht="24.95" customHeight="1" x14ac:dyDescent="0.25">
      <c r="A21" s="19" t="s">
        <v>794</v>
      </c>
      <c r="B21" s="6">
        <f>SUM(B19:B20)</f>
        <v>1824194.2</v>
      </c>
      <c r="C21" s="6">
        <f>SUM(C19:C20)</f>
        <v>3654031.77</v>
      </c>
      <c r="D21" s="6">
        <f>SUM(D19:D20)</f>
        <v>374407.49</v>
      </c>
      <c r="E21" s="6">
        <f>SUM(E19:E20)</f>
        <v>2376085.4000000004</v>
      </c>
      <c r="F21" s="6">
        <f>SUM(F19:F20)</f>
        <v>2957491.81</v>
      </c>
      <c r="H21" s="20">
        <f>SUM(H19:H20)</f>
        <v>11186210.67</v>
      </c>
      <c r="I21" s="20">
        <f>SUM(I19:I20)</f>
        <v>9260325.4242261909</v>
      </c>
      <c r="J21" s="20">
        <f>SUM(J19:J20)</f>
        <v>20446536.094226189</v>
      </c>
      <c r="L21" s="20">
        <v>11208335.779999999</v>
      </c>
      <c r="M21" s="20">
        <v>7458774.0964285713</v>
      </c>
      <c r="N21" s="20">
        <v>18667109.876428571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517F-350A-4D8E-9386-D6986888895D}">
  <dimension ref="A1:N21"/>
  <sheetViews>
    <sheetView topLeftCell="F1" zoomScale="130" zoomScaleNormal="130" zoomScaleSheetLayoutView="130" workbookViewId="0">
      <pane ySplit="1" topLeftCell="A2" activePane="bottomLeft" state="frozen"/>
      <selection activeCell="F3" sqref="F3"/>
      <selection pane="bottomLeft" activeCell="L2" sqref="L2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9.140625" customWidth="1"/>
    <col min="16" max="16" width="12" bestFit="1" customWidth="1"/>
  </cols>
  <sheetData>
    <row r="1" spans="1:14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1328</v>
      </c>
      <c r="I1" s="25" t="s">
        <v>1329</v>
      </c>
      <c r="J1" s="25" t="s">
        <v>1330</v>
      </c>
      <c r="L1" s="25" t="s">
        <v>1331</v>
      </c>
      <c r="M1" s="25" t="s">
        <v>1298</v>
      </c>
      <c r="N1" s="25" t="s">
        <v>804</v>
      </c>
    </row>
    <row r="2" spans="1:14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1879489.09</v>
      </c>
      <c r="J2" s="17">
        <f>SUM(J3:J5)</f>
        <v>5363302.9399999995</v>
      </c>
      <c r="L2" s="13">
        <v>3906653.24</v>
      </c>
      <c r="M2" s="13">
        <v>1879309.96</v>
      </c>
      <c r="N2" s="17">
        <v>5785963.1999999993</v>
      </c>
    </row>
    <row r="3" spans="1:14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</row>
    <row r="4" spans="1:14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723335.47</v>
      </c>
      <c r="J4" s="18">
        <f>SUM(H4:I4)</f>
        <v>1978023.01</v>
      </c>
      <c r="L4" s="14">
        <v>1145494.42</v>
      </c>
      <c r="M4" s="14">
        <v>569351.72</v>
      </c>
      <c r="N4" s="18">
        <v>1714846.14</v>
      </c>
    </row>
    <row r="5" spans="1:14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>SUM(B5:F5)</f>
        <v>1021449.6799999999</v>
      </c>
      <c r="I5" s="14">
        <v>685494.55</v>
      </c>
      <c r="J5" s="18">
        <f>SUM(H5:I5)</f>
        <v>1706944.23</v>
      </c>
      <c r="L5" s="14">
        <v>1174871.6100000001</v>
      </c>
      <c r="M5" s="14">
        <v>705451.51000000013</v>
      </c>
      <c r="N5" s="18">
        <v>1880323.12</v>
      </c>
    </row>
    <row r="6" spans="1:14" ht="24.95" customHeight="1" x14ac:dyDescent="0.25">
      <c r="A6" s="9" t="s">
        <v>51</v>
      </c>
      <c r="B6" s="7">
        <f>SUM(B7:B9)</f>
        <v>633595.18000000005</v>
      </c>
      <c r="C6" s="7">
        <f>SUM(C7:C9)</f>
        <v>1328140.8400000001</v>
      </c>
      <c r="D6" s="7">
        <f>SUM(D7:D9)</f>
        <v>15812.99</v>
      </c>
      <c r="E6" s="7">
        <f>SUM(E7:E9)</f>
        <v>817130.51</v>
      </c>
      <c r="F6" s="7">
        <f>SUM(F7:F9)</f>
        <v>705181.55</v>
      </c>
      <c r="H6" s="13">
        <f>SUM(H7:H9)</f>
        <v>3499861.07</v>
      </c>
      <c r="I6" s="13">
        <f>SUM(I7:I9)</f>
        <v>2280596.9500000002</v>
      </c>
      <c r="J6" s="17">
        <f>SUM(J7:J9)</f>
        <v>5780458.0199999996</v>
      </c>
      <c r="L6" s="13">
        <v>3788483.4899999998</v>
      </c>
      <c r="M6" s="13">
        <v>1819452.33</v>
      </c>
      <c r="N6" s="17">
        <v>5607935.8200000003</v>
      </c>
    </row>
    <row r="7" spans="1:14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>SUM(B7:F7)</f>
        <v>1351445.73</v>
      </c>
      <c r="I7" s="14">
        <v>827441.69</v>
      </c>
      <c r="J7" s="18">
        <f>SUM(H7:I7)</f>
        <v>2178887.42</v>
      </c>
      <c r="L7" s="14">
        <v>1296785.26</v>
      </c>
      <c r="M7" s="14">
        <v>715421.3</v>
      </c>
      <c r="N7" s="18">
        <v>2012206.56</v>
      </c>
    </row>
    <row r="8" spans="1:14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>SUM(B8:F8)</f>
        <v>974180.54999999993</v>
      </c>
      <c r="I8" s="14">
        <v>812820.45000000007</v>
      </c>
      <c r="J8" s="18">
        <f>SUM(H8:I8)</f>
        <v>1787001</v>
      </c>
      <c r="L8" s="14">
        <v>1328529.25</v>
      </c>
      <c r="M8" s="14">
        <v>470912.65</v>
      </c>
      <c r="N8" s="18">
        <v>1799441.9</v>
      </c>
    </row>
    <row r="9" spans="1:14" ht="24" customHeight="1" x14ac:dyDescent="0.25">
      <c r="A9" s="8" t="s">
        <v>464</v>
      </c>
      <c r="B9" s="5">
        <v>250648.91</v>
      </c>
      <c r="C9" s="5">
        <v>451223.42000000004</v>
      </c>
      <c r="D9" s="5">
        <v>900</v>
      </c>
      <c r="E9" s="5">
        <v>174085.56</v>
      </c>
      <c r="F9" s="5">
        <v>297376.89999999997</v>
      </c>
      <c r="G9" s="4"/>
      <c r="H9" s="14">
        <f>SUM(B9:F9)</f>
        <v>1174234.79</v>
      </c>
      <c r="I9" s="14">
        <v>640334.81000000006</v>
      </c>
      <c r="J9" s="18">
        <f>SUM(H9:I9)</f>
        <v>1814569.6</v>
      </c>
      <c r="K9" s="4"/>
      <c r="L9" s="14">
        <v>927655.61</v>
      </c>
      <c r="M9" s="14">
        <v>633118.38</v>
      </c>
      <c r="N9" s="18">
        <v>1560773.99</v>
      </c>
    </row>
    <row r="10" spans="1:14" ht="24.95" customHeight="1" x14ac:dyDescent="0.25">
      <c r="A10" s="9" t="s">
        <v>52</v>
      </c>
      <c r="B10" s="7">
        <f>SUM(B11:B14)</f>
        <v>362995.15</v>
      </c>
      <c r="C10" s="7">
        <f>SUM(C11:C14)</f>
        <v>1019198.93</v>
      </c>
      <c r="D10" s="7">
        <f>SUM(D11:D14)</f>
        <v>45269</v>
      </c>
      <c r="E10" s="7">
        <f>SUM(E11:E14)</f>
        <v>847286.3</v>
      </c>
      <c r="F10" s="7">
        <f>SUM(F11:F14)</f>
        <v>616873.30000000005</v>
      </c>
      <c r="G10" s="4"/>
      <c r="H10" s="13">
        <f>SUM(H11:H14)</f>
        <v>2891622.68</v>
      </c>
      <c r="I10" s="13">
        <f>SUM(I11:I14)</f>
        <v>2471992.4003154766</v>
      </c>
      <c r="J10" s="17">
        <f>SUM(J11:J14)</f>
        <v>5363615.0803154763</v>
      </c>
      <c r="K10" s="4"/>
      <c r="L10" s="13">
        <v>2040665.05</v>
      </c>
      <c r="M10" s="13">
        <f>SUM(M11:M14)</f>
        <v>1662661.3060714286</v>
      </c>
      <c r="N10" s="17">
        <v>3703326.3560714284</v>
      </c>
    </row>
    <row r="11" spans="1:14" ht="24" customHeight="1" x14ac:dyDescent="0.25">
      <c r="A11" s="8" t="s">
        <v>557</v>
      </c>
      <c r="B11" s="5">
        <v>182433.15</v>
      </c>
      <c r="C11" s="5">
        <v>488138.93000000005</v>
      </c>
      <c r="D11" s="5">
        <v>900</v>
      </c>
      <c r="E11" s="5">
        <v>137879.29999999999</v>
      </c>
      <c r="F11" s="5">
        <v>314826.3</v>
      </c>
      <c r="H11" s="14">
        <f>SUM(B11:F11)</f>
        <v>1124177.6800000002</v>
      </c>
      <c r="I11" s="14">
        <v>41237.379999999997</v>
      </c>
      <c r="J11" s="18">
        <f>SUM(H11:I11)</f>
        <v>1165415.06</v>
      </c>
      <c r="L11" s="14">
        <v>697157.01</v>
      </c>
      <c r="M11" s="14">
        <v>139396.38145833332</v>
      </c>
      <c r="N11" s="18">
        <v>836553.39145833335</v>
      </c>
    </row>
    <row r="12" spans="1:14" ht="24" customHeight="1" x14ac:dyDescent="0.25">
      <c r="A12" s="8" t="s">
        <v>80</v>
      </c>
      <c r="B12" s="5">
        <v>72196</v>
      </c>
      <c r="C12" s="5">
        <v>310714</v>
      </c>
      <c r="D12" s="5">
        <v>24831</v>
      </c>
      <c r="E12" s="5">
        <v>403159</v>
      </c>
      <c r="F12" s="5">
        <v>125596</v>
      </c>
      <c r="H12" s="14">
        <f>SUM(B12:F12)</f>
        <v>936496</v>
      </c>
      <c r="I12" s="14">
        <v>831691.3630416668</v>
      </c>
      <c r="J12" s="18">
        <f>SUM(H12:I12)</f>
        <v>1768187.3630416668</v>
      </c>
      <c r="L12" s="14">
        <v>469649</v>
      </c>
      <c r="M12" s="14">
        <v>418189.14437499992</v>
      </c>
      <c r="N12" s="18">
        <v>887838.14437499992</v>
      </c>
    </row>
    <row r="13" spans="1:14" ht="24.95" customHeight="1" x14ac:dyDescent="0.25">
      <c r="A13" s="8" t="s">
        <v>81</v>
      </c>
      <c r="B13" s="5">
        <v>105306</v>
      </c>
      <c r="C13" s="5">
        <v>212738</v>
      </c>
      <c r="D13" s="5">
        <v>17738</v>
      </c>
      <c r="E13" s="5">
        <v>294660</v>
      </c>
      <c r="F13" s="5">
        <v>172456</v>
      </c>
      <c r="H13" s="14">
        <f>SUM(B13:F13)</f>
        <v>802898</v>
      </c>
      <c r="I13" s="14">
        <v>850541.31347023812</v>
      </c>
      <c r="J13" s="18">
        <f>SUM(H13:I13)</f>
        <v>1653439.3134702381</v>
      </c>
      <c r="L13" s="14">
        <v>524976</v>
      </c>
      <c r="M13" s="14">
        <v>568310.34011904756</v>
      </c>
      <c r="N13" s="18">
        <v>1093286.3401190476</v>
      </c>
    </row>
    <row r="14" spans="1:14" ht="24.95" customHeight="1" x14ac:dyDescent="0.25">
      <c r="A14" s="8" t="s">
        <v>82</v>
      </c>
      <c r="B14" s="5">
        <v>3060</v>
      </c>
      <c r="C14" s="5">
        <v>7608</v>
      </c>
      <c r="D14" s="5">
        <v>1800</v>
      </c>
      <c r="E14" s="5">
        <v>11588</v>
      </c>
      <c r="F14" s="5">
        <v>3995</v>
      </c>
      <c r="H14" s="14">
        <f>SUM(B14:F14)</f>
        <v>28051</v>
      </c>
      <c r="I14" s="14">
        <v>748522.3438035713</v>
      </c>
      <c r="J14" s="18">
        <f>SUM(H14:I14)</f>
        <v>776573.3438035713</v>
      </c>
      <c r="L14" s="14">
        <v>482404</v>
      </c>
      <c r="M14" s="14">
        <v>536765.44011904753</v>
      </c>
      <c r="N14" s="18">
        <v>1019169.4401190475</v>
      </c>
    </row>
    <row r="15" spans="1:14" ht="24.95" customHeight="1" x14ac:dyDescent="0.25">
      <c r="A15" s="9" t="s">
        <v>53</v>
      </c>
      <c r="B15" s="7">
        <f>SUM(B16:B18)</f>
        <v>367069</v>
      </c>
      <c r="C15" s="7">
        <f>SUM(C16:C18)</f>
        <v>473852</v>
      </c>
      <c r="D15" s="7">
        <f>SUM(D16:D18)</f>
        <v>5400</v>
      </c>
      <c r="E15" s="7">
        <f>SUM(E16:E18)</f>
        <v>248349</v>
      </c>
      <c r="F15" s="7">
        <f>SUM(F16:F18)</f>
        <v>543946</v>
      </c>
      <c r="H15" s="13">
        <f>SUM(H16:H18)</f>
        <v>1638616</v>
      </c>
      <c r="I15" s="13">
        <f>SUM(I16:I18)</f>
        <v>2628246.9839107138</v>
      </c>
      <c r="J15" s="17">
        <f>SUM(J16:J18)</f>
        <v>4266862.9839107133</v>
      </c>
      <c r="L15" s="13">
        <v>1472534</v>
      </c>
      <c r="M15" s="13">
        <f>SUM(M16:M18)</f>
        <v>2097350.5003571431</v>
      </c>
      <c r="N15" s="17">
        <v>3569884.5003571436</v>
      </c>
    </row>
    <row r="16" spans="1:14" ht="24.95" customHeight="1" x14ac:dyDescent="0.25">
      <c r="A16" s="8" t="s">
        <v>83</v>
      </c>
      <c r="B16" s="5">
        <v>165595</v>
      </c>
      <c r="C16" s="5">
        <v>364482</v>
      </c>
      <c r="D16" s="5">
        <v>1800</v>
      </c>
      <c r="E16" s="5">
        <v>221644</v>
      </c>
      <c r="F16" s="5">
        <v>76063</v>
      </c>
      <c r="H16" s="14">
        <f>SUM(B16:F16)</f>
        <v>829584</v>
      </c>
      <c r="I16" s="14">
        <v>876082.32797023794</v>
      </c>
      <c r="J16" s="18">
        <f>SUM(H16:I16)</f>
        <v>1705666.3279702379</v>
      </c>
      <c r="L16" s="14">
        <v>890983</v>
      </c>
      <c r="M16" s="14">
        <v>699116.83345238108</v>
      </c>
      <c r="N16" s="18">
        <v>1590099.8334523812</v>
      </c>
    </row>
    <row r="17" spans="1:14" ht="24.95" customHeight="1" x14ac:dyDescent="0.25">
      <c r="A17" s="8" t="s">
        <v>84</v>
      </c>
      <c r="B17" s="5">
        <v>201474</v>
      </c>
      <c r="C17" s="5">
        <v>109370</v>
      </c>
      <c r="D17" s="5">
        <v>1800</v>
      </c>
      <c r="E17" s="5">
        <v>26705</v>
      </c>
      <c r="F17" s="5">
        <v>467883</v>
      </c>
      <c r="H17" s="14">
        <f>SUM(B17:F17)</f>
        <v>807232</v>
      </c>
      <c r="I17" s="14">
        <v>876082.32797023794</v>
      </c>
      <c r="J17" s="18">
        <f>SUM(H17:I17)</f>
        <v>1683314.3279702379</v>
      </c>
      <c r="L17" s="14">
        <v>426062</v>
      </c>
      <c r="M17" s="14">
        <v>699116.83345238108</v>
      </c>
      <c r="N17" s="18">
        <v>1125178.8334523812</v>
      </c>
    </row>
    <row r="18" spans="1:14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>SUM(B18:F18)</f>
        <v>1800</v>
      </c>
      <c r="I18" s="14">
        <v>876082.32797023794</v>
      </c>
      <c r="J18" s="18">
        <f>SUM(H18:I18)</f>
        <v>877882.32797023794</v>
      </c>
      <c r="L18" s="14">
        <v>87318</v>
      </c>
      <c r="M18" s="14">
        <v>699116.83345238108</v>
      </c>
      <c r="N18" s="18">
        <v>786434.83345238108</v>
      </c>
    </row>
    <row r="19" spans="1:14" ht="24.95" customHeight="1" x14ac:dyDescent="0.25">
      <c r="A19" s="10" t="s">
        <v>131</v>
      </c>
      <c r="B19" s="6">
        <f>SUM(B3:B5,B7:B9,B11)</f>
        <v>1296400.3499999999</v>
      </c>
      <c r="C19" s="6">
        <f t="shared" ref="C19:F19" si="0">SUM(C3:C5,C7:C9,C11)</f>
        <v>2810520.5500000003</v>
      </c>
      <c r="D19" s="6">
        <f t="shared" si="0"/>
        <v>324638.49</v>
      </c>
      <c r="E19" s="6">
        <f t="shared" si="0"/>
        <v>1544918.4000000001</v>
      </c>
      <c r="F19" s="6">
        <f t="shared" si="0"/>
        <v>2131374.81</v>
      </c>
      <c r="H19" s="15">
        <f>SUM(H3:H5,H7:H9,H11)</f>
        <v>8107852.5999999996</v>
      </c>
      <c r="I19" s="15">
        <f t="shared" ref="I19:J19" si="1">SUM(I3:I5,I7:I9,I11)</f>
        <v>4201323.4200000009</v>
      </c>
      <c r="J19" s="15">
        <f t="shared" si="1"/>
        <v>12309176.02</v>
      </c>
      <c r="L19" s="15">
        <v>8156780.3700000001</v>
      </c>
      <c r="M19" s="15">
        <v>3838158.6714583333</v>
      </c>
      <c r="N19" s="15">
        <v>11994939.041458335</v>
      </c>
    </row>
    <row r="20" spans="1:14" ht="24.95" customHeight="1" x14ac:dyDescent="0.25">
      <c r="A20" s="10" t="s">
        <v>132</v>
      </c>
      <c r="B20" s="6">
        <f>SUM(B12:B14,B16:B18)</f>
        <v>547631</v>
      </c>
      <c r="C20" s="6">
        <f t="shared" ref="C20:F20" si="2">SUM(C12:C14,C16:C18)</f>
        <v>1004912</v>
      </c>
      <c r="D20" s="6">
        <f t="shared" si="2"/>
        <v>49769</v>
      </c>
      <c r="E20" s="6">
        <f t="shared" si="2"/>
        <v>957756</v>
      </c>
      <c r="F20" s="6">
        <f t="shared" si="2"/>
        <v>845993</v>
      </c>
      <c r="H20" s="15">
        <f>SUM(H16:H18,H12:H14)</f>
        <v>3406061</v>
      </c>
      <c r="I20" s="15">
        <f t="shared" ref="I20:J20" si="3">SUM(I16:I18,I12:I14)</f>
        <v>5059002.00422619</v>
      </c>
      <c r="J20" s="15">
        <f t="shared" si="3"/>
        <v>8465063.0042261891</v>
      </c>
      <c r="L20" s="15">
        <v>2881392</v>
      </c>
      <c r="M20" s="15">
        <v>3620615.424970238</v>
      </c>
      <c r="N20" s="15">
        <v>6502007.4249702385</v>
      </c>
    </row>
    <row r="21" spans="1:14" ht="24.95" customHeight="1" x14ac:dyDescent="0.25">
      <c r="A21" s="19" t="s">
        <v>794</v>
      </c>
      <c r="B21" s="6">
        <f>SUM(B19:B20)</f>
        <v>1844031.3499999999</v>
      </c>
      <c r="C21" s="6">
        <f>SUM(C19:C20)</f>
        <v>3815432.5500000003</v>
      </c>
      <c r="D21" s="6">
        <f>SUM(D19:D20)</f>
        <v>374407.49</v>
      </c>
      <c r="E21" s="6">
        <f>SUM(E19:E20)</f>
        <v>2502674.4000000004</v>
      </c>
      <c r="F21" s="6">
        <f>SUM(F19:F20)</f>
        <v>2977367.81</v>
      </c>
      <c r="H21" s="20">
        <f>SUM(H19:H20)</f>
        <v>11513913.6</v>
      </c>
      <c r="I21" s="20">
        <f>SUM(I19:I20)</f>
        <v>9260325.4242261909</v>
      </c>
      <c r="J21" s="20">
        <f>SUM(J19:J20)</f>
        <v>20774239.024226189</v>
      </c>
      <c r="L21" s="20">
        <v>11038172.370000001</v>
      </c>
      <c r="M21" s="20">
        <v>7458774.0964285713</v>
      </c>
      <c r="N21" s="20">
        <v>18496946.466428574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CE16-3359-41A8-AADA-36D3A7610AC6}">
  <dimension ref="A1:R21"/>
  <sheetViews>
    <sheetView topLeftCell="G1" zoomScale="130" zoomScaleNormal="130" zoomScaleSheetLayoutView="130" workbookViewId="0">
      <pane ySplit="1" topLeftCell="A2" activePane="bottomLeft" state="frozen"/>
      <selection activeCell="F3" sqref="F3"/>
      <selection pane="bottomLeft" activeCell="M11" sqref="M11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2.28515625" customWidth="1"/>
    <col min="16" max="16" width="16" customWidth="1"/>
    <col min="17" max="17" width="15.5703125" customWidth="1"/>
    <col min="18" max="18" width="16.42578125" customWidth="1"/>
  </cols>
  <sheetData>
    <row r="1" spans="1:18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1363</v>
      </c>
      <c r="I1" s="25" t="s">
        <v>1364</v>
      </c>
      <c r="J1" s="25" t="s">
        <v>1365</v>
      </c>
      <c r="L1" s="25" t="s">
        <v>1366</v>
      </c>
      <c r="M1" s="25" t="s">
        <v>1298</v>
      </c>
      <c r="N1" s="25" t="s">
        <v>804</v>
      </c>
      <c r="P1" s="25" t="s">
        <v>1367</v>
      </c>
      <c r="Q1" s="25" t="s">
        <v>1368</v>
      </c>
      <c r="R1" s="28" t="s">
        <v>803</v>
      </c>
    </row>
    <row r="2" spans="1:18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1879489.09</v>
      </c>
      <c r="J2" s="17">
        <f>SUM(J3:J5)</f>
        <v>5363302.9399999995</v>
      </c>
      <c r="L2" s="13">
        <v>3906653.24</v>
      </c>
      <c r="M2" s="13">
        <v>1879309.96</v>
      </c>
      <c r="N2" s="17">
        <v>5785963.1999999993</v>
      </c>
      <c r="P2" s="13">
        <f>SUM(P3:P5)</f>
        <v>3111747.58</v>
      </c>
      <c r="Q2" s="13">
        <f>SUM(Q3:Q5)</f>
        <v>1909005.6400000001</v>
      </c>
      <c r="R2" s="17">
        <f>SUM(R3:R5)</f>
        <v>5020753.22</v>
      </c>
    </row>
    <row r="3" spans="1:18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  <c r="P3" s="14">
        <v>1297120.81</v>
      </c>
      <c r="Q3" s="14">
        <v>598057.52</v>
      </c>
      <c r="R3" s="18">
        <f>SUM(P3:Q3)</f>
        <v>1895178.33</v>
      </c>
    </row>
    <row r="4" spans="1:18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723335.47</v>
      </c>
      <c r="J4" s="18">
        <f>SUM(H4:I4)</f>
        <v>1978023.01</v>
      </c>
      <c r="L4" s="14">
        <v>1145494.42</v>
      </c>
      <c r="M4" s="14">
        <v>569351.72</v>
      </c>
      <c r="N4" s="18">
        <v>1714846.14</v>
      </c>
      <c r="P4" s="14">
        <v>695855.77</v>
      </c>
      <c r="Q4" s="14">
        <v>678532.49</v>
      </c>
      <c r="R4" s="18">
        <f>SUM(P4:Q4)</f>
        <v>1374388.26</v>
      </c>
    </row>
    <row r="5" spans="1:18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>SUM(B5:F5)</f>
        <v>1021449.6799999999</v>
      </c>
      <c r="I5" s="14">
        <v>685494.55</v>
      </c>
      <c r="J5" s="18">
        <f>SUM(H5:I5)</f>
        <v>1706944.23</v>
      </c>
      <c r="L5" s="14">
        <v>1174871.6100000001</v>
      </c>
      <c r="M5" s="14">
        <v>705451.51000000013</v>
      </c>
      <c r="N5" s="18">
        <v>1880323.12</v>
      </c>
      <c r="P5" s="14">
        <v>1118771</v>
      </c>
      <c r="Q5" s="14">
        <v>632415.63</v>
      </c>
      <c r="R5" s="18">
        <f t="shared" ref="R5" si="0">SUM(P5:Q5)</f>
        <v>1751186.63</v>
      </c>
    </row>
    <row r="6" spans="1:18" ht="24.95" customHeight="1" x14ac:dyDescent="0.25">
      <c r="A6" s="9" t="s">
        <v>51</v>
      </c>
      <c r="B6" s="7">
        <f>SUM(B7:B9)</f>
        <v>633595.18000000005</v>
      </c>
      <c r="C6" s="7">
        <f>SUM(C7:C9)</f>
        <v>1328140.8400000001</v>
      </c>
      <c r="D6" s="7">
        <f>SUM(D7:D9)</f>
        <v>15812.99</v>
      </c>
      <c r="E6" s="7">
        <f>SUM(E7:E9)</f>
        <v>817130.51</v>
      </c>
      <c r="F6" s="7">
        <f>SUM(F7:F9)</f>
        <v>705181.55</v>
      </c>
      <c r="H6" s="13">
        <f>SUM(H7:H9)</f>
        <v>3499861.07</v>
      </c>
      <c r="I6" s="13">
        <f>SUM(I7:I9)</f>
        <v>2280596.9500000002</v>
      </c>
      <c r="J6" s="17">
        <f>SUM(J7:J9)</f>
        <v>5780458.0199999996</v>
      </c>
      <c r="L6" s="13">
        <v>3552970.1199999996</v>
      </c>
      <c r="M6" s="13">
        <v>1819452.33</v>
      </c>
      <c r="N6" s="17">
        <v>5372422.4500000002</v>
      </c>
      <c r="P6" s="13">
        <f>SUM(P7:P9)</f>
        <v>4001081.01</v>
      </c>
      <c r="Q6" s="13">
        <f>SUM(Q7:Q9)</f>
        <v>1669836.33</v>
      </c>
      <c r="R6" s="17">
        <f>SUM(R7:R9)</f>
        <v>5670917.3399999999</v>
      </c>
    </row>
    <row r="7" spans="1:18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>SUM(B7:F7)</f>
        <v>1351445.73</v>
      </c>
      <c r="I7" s="14">
        <v>827441.69</v>
      </c>
      <c r="J7" s="18">
        <f>SUM(H7:I7)</f>
        <v>2178887.42</v>
      </c>
      <c r="L7" s="14">
        <v>1296785.26</v>
      </c>
      <c r="M7" s="14">
        <v>715421.3</v>
      </c>
      <c r="N7" s="18">
        <v>2012206.56</v>
      </c>
      <c r="P7" s="14">
        <v>1192737.69</v>
      </c>
      <c r="Q7" s="14">
        <v>443467</v>
      </c>
      <c r="R7" s="18">
        <f t="shared" ref="R7:R8" si="1">SUM(P7:Q7)</f>
        <v>1636204.69</v>
      </c>
    </row>
    <row r="8" spans="1:18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>SUM(B8:F8)</f>
        <v>974180.54999999993</v>
      </c>
      <c r="I8" s="14">
        <v>812820.45000000007</v>
      </c>
      <c r="J8" s="18">
        <f>SUM(H8:I8)</f>
        <v>1787001</v>
      </c>
      <c r="L8" s="14">
        <v>1328529.25</v>
      </c>
      <c r="M8" s="14">
        <v>470912.65</v>
      </c>
      <c r="N8" s="18">
        <v>1799441.9</v>
      </c>
      <c r="P8" s="14">
        <v>1569379.5</v>
      </c>
      <c r="Q8" s="14">
        <v>437987.23</v>
      </c>
      <c r="R8" s="18">
        <f t="shared" si="1"/>
        <v>2007366.73</v>
      </c>
    </row>
    <row r="9" spans="1:18" ht="24" customHeight="1" x14ac:dyDescent="0.25">
      <c r="A9" s="8" t="s">
        <v>464</v>
      </c>
      <c r="B9" s="5">
        <v>250648.91</v>
      </c>
      <c r="C9" s="5">
        <v>451223.42000000004</v>
      </c>
      <c r="D9" s="5">
        <v>900</v>
      </c>
      <c r="E9" s="5">
        <v>174085.56</v>
      </c>
      <c r="F9" s="5">
        <v>297376.89999999997</v>
      </c>
      <c r="G9" s="4"/>
      <c r="H9" s="14">
        <f>SUM(B9:F9)</f>
        <v>1174234.79</v>
      </c>
      <c r="I9" s="14">
        <v>640334.81000000006</v>
      </c>
      <c r="J9" s="18">
        <f>SUM(H9:I9)</f>
        <v>1814569.6</v>
      </c>
      <c r="K9" s="4"/>
      <c r="L9" s="14">
        <v>927655.61</v>
      </c>
      <c r="M9" s="14">
        <v>633118.38</v>
      </c>
      <c r="N9" s="18">
        <v>1560773.99</v>
      </c>
      <c r="O9" s="4"/>
      <c r="P9" s="14">
        <v>1238963.82</v>
      </c>
      <c r="Q9" s="14">
        <v>788382.1</v>
      </c>
      <c r="R9" s="18">
        <f>SUM(P9:Q9)</f>
        <v>2027345.9199999999</v>
      </c>
    </row>
    <row r="10" spans="1:18" ht="24.95" customHeight="1" x14ac:dyDescent="0.25">
      <c r="A10" s="9" t="s">
        <v>52</v>
      </c>
      <c r="B10" s="7">
        <f>SUM(B11:B14)</f>
        <v>376529.15</v>
      </c>
      <c r="C10" s="7">
        <f>SUM(C11:C14)</f>
        <v>927427.03</v>
      </c>
      <c r="D10" s="7">
        <f>SUM(D11:D14)</f>
        <v>106455</v>
      </c>
      <c r="E10" s="7">
        <f>SUM(E11:E14)</f>
        <v>879116.24</v>
      </c>
      <c r="F10" s="7">
        <f>SUM(F11:F14)</f>
        <v>655693.35</v>
      </c>
      <c r="G10" s="4"/>
      <c r="H10" s="13">
        <f>SUM(H11:H14)</f>
        <v>2945220.77</v>
      </c>
      <c r="I10" s="13">
        <f>SUM(I11:I14)</f>
        <v>2471992.4003154766</v>
      </c>
      <c r="J10" s="17">
        <f>SUM(J11:J14)</f>
        <v>5417213.1703154761</v>
      </c>
      <c r="K10" s="4"/>
      <c r="L10" s="13">
        <v>2269989.77</v>
      </c>
      <c r="M10" s="13">
        <f>SUM(M11:M14)</f>
        <v>1662661.3060714286</v>
      </c>
      <c r="N10" s="17">
        <v>3932651.0760714286</v>
      </c>
      <c r="O10" s="4"/>
      <c r="P10" s="13">
        <f>SUM(P11:P14)</f>
        <v>2950173.27</v>
      </c>
      <c r="Q10" s="13">
        <f>SUM(Q11:Q14)</f>
        <v>2296448.0300000003</v>
      </c>
      <c r="R10" s="17">
        <f>SUM(R11:R14)</f>
        <v>5246621.3</v>
      </c>
    </row>
    <row r="11" spans="1:18" ht="24" customHeight="1" x14ac:dyDescent="0.25">
      <c r="A11" s="8" t="s">
        <v>557</v>
      </c>
      <c r="B11" s="5">
        <v>185395.15</v>
      </c>
      <c r="C11" s="5">
        <v>550704.03</v>
      </c>
      <c r="D11" s="5">
        <v>900</v>
      </c>
      <c r="E11" s="5">
        <v>204977.24</v>
      </c>
      <c r="F11" s="5">
        <v>347527.35</v>
      </c>
      <c r="H11" s="14">
        <f>SUM(B11:F11)</f>
        <v>1289503.77</v>
      </c>
      <c r="I11" s="14">
        <v>41237.379999999997</v>
      </c>
      <c r="J11" s="18">
        <f>SUM(H11:I11)</f>
        <v>1330741.1499999999</v>
      </c>
      <c r="L11" s="14">
        <v>858999.77</v>
      </c>
      <c r="M11" s="14">
        <v>139396.38145833332</v>
      </c>
      <c r="N11" s="18">
        <v>998396.15145833336</v>
      </c>
      <c r="P11" s="14">
        <v>910259.27</v>
      </c>
      <c r="Q11" s="14">
        <v>179547.15</v>
      </c>
      <c r="R11" s="18">
        <f t="shared" ref="R11:R14" si="2">SUM(P11:Q11)</f>
        <v>1089806.42</v>
      </c>
    </row>
    <row r="12" spans="1:18" ht="24" customHeight="1" x14ac:dyDescent="0.25">
      <c r="A12" s="8" t="s">
        <v>80</v>
      </c>
      <c r="B12" s="5">
        <v>49672</v>
      </c>
      <c r="C12" s="5">
        <v>131607</v>
      </c>
      <c r="D12" s="5">
        <v>86017</v>
      </c>
      <c r="E12" s="5">
        <v>377910</v>
      </c>
      <c r="F12" s="5">
        <v>97596</v>
      </c>
      <c r="H12" s="14">
        <f>SUM(B12:F12)</f>
        <v>742802</v>
      </c>
      <c r="I12" s="14">
        <v>831691.3630416668</v>
      </c>
      <c r="J12" s="18">
        <f>SUM(H12:I12)</f>
        <v>1574493.3630416668</v>
      </c>
      <c r="L12" s="14">
        <v>268060</v>
      </c>
      <c r="M12" s="14">
        <v>418189.14437499992</v>
      </c>
      <c r="N12" s="18">
        <v>686249.14437499992</v>
      </c>
      <c r="P12" s="14">
        <v>444464</v>
      </c>
      <c r="Q12" s="14">
        <v>372442.57</v>
      </c>
      <c r="R12" s="18">
        <f t="shared" si="2"/>
        <v>816906.57000000007</v>
      </c>
    </row>
    <row r="13" spans="1:18" ht="24.95" customHeight="1" x14ac:dyDescent="0.25">
      <c r="A13" s="8" t="s">
        <v>81</v>
      </c>
      <c r="B13" s="5">
        <v>138402</v>
      </c>
      <c r="C13" s="5">
        <v>237508</v>
      </c>
      <c r="D13" s="5">
        <v>17738</v>
      </c>
      <c r="E13" s="5">
        <v>284641</v>
      </c>
      <c r="F13" s="5">
        <v>206575</v>
      </c>
      <c r="H13" s="14">
        <f>SUM(B13:F13)</f>
        <v>884864</v>
      </c>
      <c r="I13" s="14">
        <v>850541.31347023812</v>
      </c>
      <c r="J13" s="18">
        <f>SUM(H13:I13)</f>
        <v>1735405.3134702381</v>
      </c>
      <c r="L13" s="14">
        <v>702181</v>
      </c>
      <c r="M13" s="14">
        <v>568310.34011904756</v>
      </c>
      <c r="N13" s="18">
        <v>1270491.3401190476</v>
      </c>
      <c r="P13" s="14">
        <v>1264898</v>
      </c>
      <c r="Q13" s="14">
        <v>972070.56</v>
      </c>
      <c r="R13" s="18">
        <f t="shared" si="2"/>
        <v>2236968.56</v>
      </c>
    </row>
    <row r="14" spans="1:18" ht="24.95" customHeight="1" x14ac:dyDescent="0.25">
      <c r="A14" s="8" t="s">
        <v>82</v>
      </c>
      <c r="B14" s="5">
        <v>3060</v>
      </c>
      <c r="C14" s="5">
        <v>7608</v>
      </c>
      <c r="D14" s="5">
        <v>1800</v>
      </c>
      <c r="E14" s="5">
        <v>11588</v>
      </c>
      <c r="F14" s="5">
        <v>3995</v>
      </c>
      <c r="H14" s="14">
        <f>SUM(B14:F14)</f>
        <v>28051</v>
      </c>
      <c r="I14" s="14">
        <v>748522.3438035713</v>
      </c>
      <c r="J14" s="18">
        <f>SUM(H14:I14)</f>
        <v>776573.3438035713</v>
      </c>
      <c r="L14" s="14">
        <v>440749</v>
      </c>
      <c r="M14" s="14">
        <v>536765.44011904753</v>
      </c>
      <c r="N14" s="18">
        <v>977514.44011904753</v>
      </c>
      <c r="P14" s="14">
        <v>330552</v>
      </c>
      <c r="Q14" s="14">
        <v>772387.75</v>
      </c>
      <c r="R14" s="18">
        <f t="shared" si="2"/>
        <v>1102939.75</v>
      </c>
    </row>
    <row r="15" spans="1:18" ht="24.95" customHeight="1" x14ac:dyDescent="0.25">
      <c r="A15" s="9" t="s">
        <v>53</v>
      </c>
      <c r="B15" s="7">
        <f>SUM(B16:B18)</f>
        <v>363925</v>
      </c>
      <c r="C15" s="7">
        <f>SUM(C16:C18)</f>
        <v>473058</v>
      </c>
      <c r="D15" s="7">
        <f>SUM(D16:D18)</f>
        <v>5400</v>
      </c>
      <c r="E15" s="7">
        <f>SUM(E16:E18)</f>
        <v>258996</v>
      </c>
      <c r="F15" s="7">
        <f>SUM(F16:F18)</f>
        <v>543767</v>
      </c>
      <c r="H15" s="13">
        <f>SUM(H16:H18)</f>
        <v>1645146</v>
      </c>
      <c r="I15" s="13">
        <f>SUM(I16:I18)</f>
        <v>2628246.9839107138</v>
      </c>
      <c r="J15" s="17">
        <f>SUM(J16:J18)</f>
        <v>4273392.9839107133</v>
      </c>
      <c r="L15" s="13">
        <v>1426866</v>
      </c>
      <c r="M15" s="13">
        <f>SUM(M16:M18)</f>
        <v>2097350.5003571431</v>
      </c>
      <c r="N15" s="17">
        <v>3524216.5003571436</v>
      </c>
      <c r="P15" s="13">
        <f>SUM(P16:P18)</f>
        <v>1508794</v>
      </c>
      <c r="Q15" s="13">
        <f>SUM(Q16:Q18)</f>
        <v>1999705.1099999999</v>
      </c>
      <c r="R15" s="17">
        <f>SUM(R16:R18)</f>
        <v>3508499.1100000003</v>
      </c>
    </row>
    <row r="16" spans="1:18" ht="24.95" customHeight="1" x14ac:dyDescent="0.25">
      <c r="A16" s="8" t="s">
        <v>83</v>
      </c>
      <c r="B16" s="5">
        <v>162451</v>
      </c>
      <c r="C16" s="5">
        <v>363688</v>
      </c>
      <c r="D16" s="5">
        <v>1800</v>
      </c>
      <c r="E16" s="5">
        <v>224206</v>
      </c>
      <c r="F16" s="5">
        <v>75884</v>
      </c>
      <c r="H16" s="14">
        <f>SUM(B16:F16)</f>
        <v>828029</v>
      </c>
      <c r="I16" s="14">
        <v>876082.32797023794</v>
      </c>
      <c r="J16" s="18">
        <f>SUM(H16:I16)</f>
        <v>1704111.3279702379</v>
      </c>
      <c r="L16" s="14">
        <v>916406</v>
      </c>
      <c r="M16" s="14">
        <v>699116.83345238108</v>
      </c>
      <c r="N16" s="18">
        <v>1615522.8334523812</v>
      </c>
      <c r="P16" s="14">
        <v>789944</v>
      </c>
      <c r="Q16" s="14">
        <v>693124.37</v>
      </c>
      <c r="R16" s="18">
        <f t="shared" ref="R16:R18" si="3">SUM(P16:Q16)</f>
        <v>1483068.37</v>
      </c>
    </row>
    <row r="17" spans="1:18" ht="24.95" customHeight="1" x14ac:dyDescent="0.25">
      <c r="A17" s="8" t="s">
        <v>84</v>
      </c>
      <c r="B17" s="5">
        <v>201474</v>
      </c>
      <c r="C17" s="5">
        <v>109370</v>
      </c>
      <c r="D17" s="5">
        <v>1800</v>
      </c>
      <c r="E17" s="5">
        <v>34790</v>
      </c>
      <c r="F17" s="5">
        <v>467883</v>
      </c>
      <c r="H17" s="14">
        <f>SUM(B17:F17)</f>
        <v>815317</v>
      </c>
      <c r="I17" s="14">
        <v>876082.32797023794</v>
      </c>
      <c r="J17" s="18">
        <f>SUM(H17:I17)</f>
        <v>1691399.3279702379</v>
      </c>
      <c r="L17" s="14">
        <v>423142</v>
      </c>
      <c r="M17" s="14">
        <v>699116.83345238108</v>
      </c>
      <c r="N17" s="18">
        <v>1122258.8334523812</v>
      </c>
      <c r="P17" s="14">
        <v>375334</v>
      </c>
      <c r="Q17" s="14">
        <v>653290.37</v>
      </c>
      <c r="R17" s="18">
        <f t="shared" si="3"/>
        <v>1028624.37</v>
      </c>
    </row>
    <row r="18" spans="1:18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>SUM(B18:F18)</f>
        <v>1800</v>
      </c>
      <c r="I18" s="14">
        <v>876082.32797023794</v>
      </c>
      <c r="J18" s="18">
        <f>SUM(H18:I18)</f>
        <v>877882.32797023794</v>
      </c>
      <c r="L18" s="14">
        <v>87318</v>
      </c>
      <c r="M18" s="14">
        <v>699116.83345238108</v>
      </c>
      <c r="N18" s="18">
        <v>786434.83345238108</v>
      </c>
      <c r="P18" s="14">
        <v>343516</v>
      </c>
      <c r="Q18" s="14">
        <v>653290.37</v>
      </c>
      <c r="R18" s="18">
        <f t="shared" si="3"/>
        <v>996806.37</v>
      </c>
    </row>
    <row r="19" spans="1:18" ht="24.95" customHeight="1" x14ac:dyDescent="0.25">
      <c r="A19" s="10" t="s">
        <v>131</v>
      </c>
      <c r="B19" s="6">
        <f>SUM(B3:B5,B7:B9,B11)</f>
        <v>1299362.3499999999</v>
      </c>
      <c r="C19" s="6">
        <f t="shared" ref="C19:F19" si="4">SUM(C3:C5,C7:C9,C11)</f>
        <v>2873085.6500000004</v>
      </c>
      <c r="D19" s="6">
        <f t="shared" si="4"/>
        <v>324638.49</v>
      </c>
      <c r="E19" s="6">
        <f t="shared" si="4"/>
        <v>1612016.34</v>
      </c>
      <c r="F19" s="6">
        <f t="shared" si="4"/>
        <v>2164075.86</v>
      </c>
      <c r="H19" s="15">
        <f>SUM(H3:H5,H7:H9,H11)</f>
        <v>8273178.6899999995</v>
      </c>
      <c r="I19" s="15">
        <f t="shared" ref="I19:J19" si="5">SUM(I3:I5,I7:I9,I11)</f>
        <v>4201323.4200000009</v>
      </c>
      <c r="J19" s="15">
        <f t="shared" si="5"/>
        <v>12474502.109999999</v>
      </c>
      <c r="L19" s="15">
        <v>8318623.1300000008</v>
      </c>
      <c r="M19" s="15">
        <v>3838158.6714583333</v>
      </c>
      <c r="N19" s="15">
        <v>12156781.801458333</v>
      </c>
      <c r="P19" s="15">
        <f t="shared" ref="P19:R19" si="6">SUM(P11,P7:P9,P3:P5)</f>
        <v>8023087.8599999994</v>
      </c>
      <c r="Q19" s="15">
        <f t="shared" si="6"/>
        <v>3758389.12</v>
      </c>
      <c r="R19" s="15">
        <f t="shared" si="6"/>
        <v>11781476.98</v>
      </c>
    </row>
    <row r="20" spans="1:18" ht="24.95" customHeight="1" x14ac:dyDescent="0.25">
      <c r="A20" s="10" t="s">
        <v>132</v>
      </c>
      <c r="B20" s="6">
        <f>SUM(B12:B14,B16:B18)</f>
        <v>555059</v>
      </c>
      <c r="C20" s="6">
        <f t="shared" ref="C20:F20" si="7">SUM(C12:C14,C16:C18)</f>
        <v>849781</v>
      </c>
      <c r="D20" s="6">
        <f t="shared" si="7"/>
        <v>110955</v>
      </c>
      <c r="E20" s="6">
        <f t="shared" si="7"/>
        <v>933135</v>
      </c>
      <c r="F20" s="6">
        <f t="shared" si="7"/>
        <v>851933</v>
      </c>
      <c r="H20" s="15">
        <f>SUM(H16:H18,H12:H14)</f>
        <v>3300863</v>
      </c>
      <c r="I20" s="15">
        <f t="shared" ref="I20:J20" si="8">SUM(I16:I18,I12:I14)</f>
        <v>5059002.00422619</v>
      </c>
      <c r="J20" s="15">
        <f t="shared" si="8"/>
        <v>8359865.00422619</v>
      </c>
      <c r="L20" s="15">
        <v>2837856</v>
      </c>
      <c r="M20" s="15">
        <v>3620615.424970238</v>
      </c>
      <c r="N20" s="15">
        <v>6458471.4249702385</v>
      </c>
      <c r="P20" s="15">
        <f t="shared" ref="P20:R20" si="9">SUM(P16:P18,P12:P14)</f>
        <v>3548708</v>
      </c>
      <c r="Q20" s="15">
        <f t="shared" si="9"/>
        <v>4116605.9899999998</v>
      </c>
      <c r="R20" s="15">
        <f t="shared" si="9"/>
        <v>7665313.9900000002</v>
      </c>
    </row>
    <row r="21" spans="1:18" ht="24.95" customHeight="1" x14ac:dyDescent="0.25">
      <c r="A21" s="19" t="s">
        <v>794</v>
      </c>
      <c r="B21" s="6">
        <f>SUM(B19:B20)</f>
        <v>1854421.3499999999</v>
      </c>
      <c r="C21" s="6">
        <f>SUM(C19:C20)</f>
        <v>3722866.6500000004</v>
      </c>
      <c r="D21" s="6">
        <f>SUM(D19:D20)</f>
        <v>435593.49</v>
      </c>
      <c r="E21" s="6">
        <f>SUM(E19:E20)</f>
        <v>2545151.34</v>
      </c>
      <c r="F21" s="6">
        <f>SUM(F19:F20)</f>
        <v>3016008.86</v>
      </c>
      <c r="H21" s="20">
        <f>SUM(H19:H20)</f>
        <v>11574041.689999999</v>
      </c>
      <c r="I21" s="20">
        <f>SUM(I19:I20)</f>
        <v>9260325.4242261909</v>
      </c>
      <c r="J21" s="20">
        <f>SUM(J19:J20)</f>
        <v>20834367.114226189</v>
      </c>
      <c r="L21" s="20">
        <v>11156479.130000001</v>
      </c>
      <c r="M21" s="20">
        <v>7458774.0964285713</v>
      </c>
      <c r="N21" s="20">
        <v>18615253.226428572</v>
      </c>
      <c r="P21" s="20">
        <f t="shared" ref="P21:R21" si="10">SUM(P19:P20)</f>
        <v>11571795.859999999</v>
      </c>
      <c r="Q21" s="20">
        <f t="shared" si="10"/>
        <v>7874995.1099999994</v>
      </c>
      <c r="R21" s="20">
        <f t="shared" si="10"/>
        <v>19446790.969999999</v>
      </c>
    </row>
  </sheetData>
  <printOptions horizontalCentered="1"/>
  <pageMargins left="0.7" right="0.7" top="1.25" bottom="0.75" header="0.3" footer="0.3"/>
  <pageSetup scale="63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9618-886C-4524-AE43-C66BCE7878BB}">
  <sheetPr>
    <pageSetUpPr fitToPage="1"/>
  </sheetPr>
  <dimension ref="A1:R21"/>
  <sheetViews>
    <sheetView tabSelected="1" zoomScale="130" zoomScaleNormal="130" zoomScaleSheetLayoutView="130" workbookViewId="0">
      <pane ySplit="1" topLeftCell="A2" activePane="bottomLeft" state="frozen"/>
      <selection activeCell="F3" sqref="F3"/>
      <selection pane="bottomLeft" activeCell="I4" sqref="I4"/>
    </sheetView>
  </sheetViews>
  <sheetFormatPr defaultRowHeight="15" x14ac:dyDescent="0.25"/>
  <cols>
    <col min="1" max="1" width="21.42578125" customWidth="1"/>
    <col min="2" max="6" width="13.42578125" customWidth="1"/>
    <col min="7" max="7" width="1.5703125" customWidth="1"/>
    <col min="8" max="10" width="16.85546875" customWidth="1"/>
    <col min="11" max="11" width="1.5703125" customWidth="1"/>
    <col min="12" max="14" width="16.85546875" customWidth="1"/>
    <col min="15" max="15" width="2.28515625" customWidth="1"/>
    <col min="16" max="16" width="16" customWidth="1"/>
    <col min="17" max="17" width="15.5703125" customWidth="1"/>
    <col min="18" max="18" width="16.42578125" customWidth="1"/>
  </cols>
  <sheetData>
    <row r="1" spans="1:18" ht="30" x14ac:dyDescent="0.25">
      <c r="A1" s="29" t="s">
        <v>59</v>
      </c>
      <c r="B1" s="29" t="s">
        <v>818</v>
      </c>
      <c r="C1" s="29" t="s">
        <v>60</v>
      </c>
      <c r="D1" s="29" t="s">
        <v>819</v>
      </c>
      <c r="E1" s="29" t="s">
        <v>862</v>
      </c>
      <c r="F1" s="29" t="s">
        <v>94</v>
      </c>
      <c r="H1" s="25" t="s">
        <v>1467</v>
      </c>
      <c r="I1" s="25" t="s">
        <v>1468</v>
      </c>
      <c r="J1" s="25" t="s">
        <v>1469</v>
      </c>
      <c r="L1" s="25" t="s">
        <v>1465</v>
      </c>
      <c r="M1" s="25" t="s">
        <v>1298</v>
      </c>
      <c r="N1" s="25" t="s">
        <v>804</v>
      </c>
      <c r="P1" s="25" t="s">
        <v>1466</v>
      </c>
      <c r="Q1" s="25" t="s">
        <v>1368</v>
      </c>
      <c r="R1" s="28" t="s">
        <v>803</v>
      </c>
    </row>
    <row r="2" spans="1:18" ht="24.95" customHeight="1" x14ac:dyDescent="0.25">
      <c r="A2" s="9" t="s">
        <v>50</v>
      </c>
      <c r="B2" s="7">
        <f>SUM(B3:B5)</f>
        <v>480372.01999999996</v>
      </c>
      <c r="C2" s="7">
        <f>SUM(C3:C5)</f>
        <v>994240.78</v>
      </c>
      <c r="D2" s="7">
        <f>SUM(D3:D5)</f>
        <v>307925.5</v>
      </c>
      <c r="E2" s="7">
        <f>SUM(E3:E5)</f>
        <v>589908.59000000008</v>
      </c>
      <c r="F2" s="7">
        <f>SUM(F3:F5)</f>
        <v>1111366.96</v>
      </c>
      <c r="H2" s="13">
        <f>SUM(H3:H5)</f>
        <v>3483813.8499999996</v>
      </c>
      <c r="I2" s="13">
        <f>SUM(I3:I5)</f>
        <v>1879489.09</v>
      </c>
      <c r="J2" s="17">
        <f>SUM(J3:J5)</f>
        <v>5363302.9399999995</v>
      </c>
      <c r="L2" s="13">
        <v>3906653.24</v>
      </c>
      <c r="M2" s="13">
        <v>1879309.96</v>
      </c>
      <c r="N2" s="17">
        <v>5785963.1999999993</v>
      </c>
      <c r="P2" s="13">
        <v>3111747.58</v>
      </c>
      <c r="Q2" s="13">
        <v>1909005.6400000001</v>
      </c>
      <c r="R2" s="17">
        <v>5020753.22</v>
      </c>
    </row>
    <row r="3" spans="1:18" ht="24.95" customHeight="1" x14ac:dyDescent="0.25">
      <c r="A3" s="8" t="s">
        <v>77</v>
      </c>
      <c r="B3" s="5">
        <v>145626.94</v>
      </c>
      <c r="C3" s="5">
        <v>287118.23</v>
      </c>
      <c r="D3" s="5">
        <v>107975</v>
      </c>
      <c r="E3" s="5">
        <v>15290</v>
      </c>
      <c r="F3" s="5">
        <v>651666.46</v>
      </c>
      <c r="H3" s="14">
        <f>SUM(B3:F3)</f>
        <v>1207676.6299999999</v>
      </c>
      <c r="I3" s="14">
        <v>470659.07</v>
      </c>
      <c r="J3" s="18">
        <f>SUM(H3:I3)</f>
        <v>1678335.7</v>
      </c>
      <c r="L3" s="14">
        <v>1586287.2099999997</v>
      </c>
      <c r="M3" s="14">
        <v>604506.73</v>
      </c>
      <c r="N3" s="18">
        <v>2190793.9399999995</v>
      </c>
      <c r="P3" s="14">
        <v>1297120.81</v>
      </c>
      <c r="Q3" s="14">
        <v>598057.52</v>
      </c>
      <c r="R3" s="18">
        <v>1895178.33</v>
      </c>
    </row>
    <row r="4" spans="1:18" ht="24.95" customHeight="1" x14ac:dyDescent="0.25">
      <c r="A4" s="8" t="s">
        <v>95</v>
      </c>
      <c r="B4" s="5">
        <v>200000.65</v>
      </c>
      <c r="C4" s="5">
        <v>471021.25</v>
      </c>
      <c r="D4" s="5">
        <v>199950.5</v>
      </c>
      <c r="E4" s="5">
        <v>204724.14</v>
      </c>
      <c r="F4" s="5">
        <v>178991</v>
      </c>
      <c r="H4" s="14">
        <f>SUM(B4:F4)</f>
        <v>1254687.54</v>
      </c>
      <c r="I4" s="14">
        <v>723335.47</v>
      </c>
      <c r="J4" s="18">
        <f>SUM(H4:I4)</f>
        <v>1978023.01</v>
      </c>
      <c r="L4" s="14">
        <v>1145494.42</v>
      </c>
      <c r="M4" s="14">
        <v>569351.72</v>
      </c>
      <c r="N4" s="18">
        <v>1714846.14</v>
      </c>
      <c r="P4" s="14">
        <v>695855.77</v>
      </c>
      <c r="Q4" s="14">
        <v>678532.49</v>
      </c>
      <c r="R4" s="18">
        <v>1374388.26</v>
      </c>
    </row>
    <row r="5" spans="1:18" ht="24.95" customHeight="1" x14ac:dyDescent="0.25">
      <c r="A5" s="8" t="s">
        <v>96</v>
      </c>
      <c r="B5" s="5">
        <v>134744.43</v>
      </c>
      <c r="C5" s="5">
        <v>236101.30000000002</v>
      </c>
      <c r="D5" s="5">
        <v>0</v>
      </c>
      <c r="E5" s="5">
        <v>369894.45</v>
      </c>
      <c r="F5" s="5">
        <v>280709.5</v>
      </c>
      <c r="H5" s="14">
        <f>SUM(B5:F5)</f>
        <v>1021449.6799999999</v>
      </c>
      <c r="I5" s="14">
        <v>685494.55</v>
      </c>
      <c r="J5" s="18">
        <f>SUM(H5:I5)</f>
        <v>1706944.23</v>
      </c>
      <c r="L5" s="14">
        <v>1174871.6100000001</v>
      </c>
      <c r="M5" s="14">
        <v>705451.51000000013</v>
      </c>
      <c r="N5" s="18">
        <v>1880323.12</v>
      </c>
      <c r="P5" s="14">
        <v>1118771</v>
      </c>
      <c r="Q5" s="14">
        <v>632415.63</v>
      </c>
      <c r="R5" s="18">
        <v>1751186.63</v>
      </c>
    </row>
    <row r="6" spans="1:18" ht="24.95" customHeight="1" x14ac:dyDescent="0.25">
      <c r="A6" s="9" t="s">
        <v>51</v>
      </c>
      <c r="B6" s="7">
        <f>SUM(B7:B9)</f>
        <v>633595.18000000005</v>
      </c>
      <c r="C6" s="7">
        <f>SUM(C7:C9)</f>
        <v>1328140.8400000001</v>
      </c>
      <c r="D6" s="7">
        <f>SUM(D7:D9)</f>
        <v>15812.99</v>
      </c>
      <c r="E6" s="7">
        <f>SUM(E7:E9)</f>
        <v>817130.51</v>
      </c>
      <c r="F6" s="7">
        <f>SUM(F7:F9)</f>
        <v>705181.55</v>
      </c>
      <c r="H6" s="13">
        <f>SUM(H7:H9)</f>
        <v>3499861.07</v>
      </c>
      <c r="I6" s="13">
        <f>SUM(I7:I9)</f>
        <v>2280596.9500000002</v>
      </c>
      <c r="J6" s="17">
        <f>SUM(J7:J9)</f>
        <v>5780458.0199999996</v>
      </c>
      <c r="L6" s="13">
        <v>3552970.1199999996</v>
      </c>
      <c r="M6" s="13">
        <v>1819452.33</v>
      </c>
      <c r="N6" s="17">
        <v>5372422.4500000002</v>
      </c>
      <c r="P6" s="13">
        <v>4001081.01</v>
      </c>
      <c r="Q6" s="13">
        <v>1669836.33</v>
      </c>
      <c r="R6" s="17">
        <v>5670917.3399999999</v>
      </c>
    </row>
    <row r="7" spans="1:18" ht="24.95" customHeight="1" x14ac:dyDescent="0.25">
      <c r="A7" s="8" t="s">
        <v>105</v>
      </c>
      <c r="B7" s="5">
        <v>148989.53999999998</v>
      </c>
      <c r="C7" s="5">
        <v>629559.94000000006</v>
      </c>
      <c r="D7" s="5">
        <v>900</v>
      </c>
      <c r="E7" s="5">
        <v>418473.2</v>
      </c>
      <c r="F7" s="5">
        <v>153523.04999999999</v>
      </c>
      <c r="H7" s="14">
        <f>SUM(B7:F7)</f>
        <v>1351445.73</v>
      </c>
      <c r="I7" s="14">
        <v>827441.69</v>
      </c>
      <c r="J7" s="18">
        <f>SUM(H7:I7)</f>
        <v>2178887.42</v>
      </c>
      <c r="L7" s="14">
        <v>1296785.26</v>
      </c>
      <c r="M7" s="14">
        <v>715421.3</v>
      </c>
      <c r="N7" s="18">
        <v>2012206.56</v>
      </c>
      <c r="P7" s="14">
        <v>1192737.69</v>
      </c>
      <c r="Q7" s="14">
        <v>443467</v>
      </c>
      <c r="R7" s="18">
        <v>1636204.69</v>
      </c>
    </row>
    <row r="8" spans="1:18" ht="24.95" customHeight="1" x14ac:dyDescent="0.25">
      <c r="A8" s="8" t="s">
        <v>348</v>
      </c>
      <c r="B8" s="5">
        <v>233956.73</v>
      </c>
      <c r="C8" s="5">
        <v>247357.47999999998</v>
      </c>
      <c r="D8" s="5">
        <v>14012.99</v>
      </c>
      <c r="E8" s="5">
        <v>224571.75</v>
      </c>
      <c r="F8" s="5">
        <v>254281.60000000001</v>
      </c>
      <c r="H8" s="14">
        <f>SUM(B8:F8)</f>
        <v>974180.54999999993</v>
      </c>
      <c r="I8" s="14">
        <v>812820.45000000007</v>
      </c>
      <c r="J8" s="18">
        <f>SUM(H8:I8)</f>
        <v>1787001</v>
      </c>
      <c r="L8" s="14">
        <v>1328529.25</v>
      </c>
      <c r="M8" s="14">
        <v>470912.65</v>
      </c>
      <c r="N8" s="18">
        <v>1799441.9</v>
      </c>
      <c r="P8" s="14">
        <v>1569379.5</v>
      </c>
      <c r="Q8" s="14">
        <v>437987.23</v>
      </c>
      <c r="R8" s="18">
        <v>2007366.73</v>
      </c>
    </row>
    <row r="9" spans="1:18" ht="24" customHeight="1" x14ac:dyDescent="0.25">
      <c r="A9" s="8" t="s">
        <v>464</v>
      </c>
      <c r="B9" s="5">
        <v>250648.91</v>
      </c>
      <c r="C9" s="5">
        <v>451223.42000000004</v>
      </c>
      <c r="D9" s="5">
        <v>900</v>
      </c>
      <c r="E9" s="5">
        <v>174085.56</v>
      </c>
      <c r="F9" s="5">
        <v>297376.89999999997</v>
      </c>
      <c r="G9" s="4"/>
      <c r="H9" s="14">
        <f>SUM(B9:F9)</f>
        <v>1174234.79</v>
      </c>
      <c r="I9" s="14">
        <v>640334.81000000006</v>
      </c>
      <c r="J9" s="18">
        <f>SUM(H9:I9)</f>
        <v>1814569.6</v>
      </c>
      <c r="K9" s="4"/>
      <c r="L9" s="14">
        <v>927655.61</v>
      </c>
      <c r="M9" s="14">
        <v>633118.38</v>
      </c>
      <c r="N9" s="18">
        <v>1560773.99</v>
      </c>
      <c r="O9" s="4"/>
      <c r="P9" s="14">
        <v>1238963.82</v>
      </c>
      <c r="Q9" s="14">
        <v>788382.1</v>
      </c>
      <c r="R9" s="18">
        <v>2027345.9199999999</v>
      </c>
    </row>
    <row r="10" spans="1:18" ht="24.95" customHeight="1" x14ac:dyDescent="0.25">
      <c r="A10" s="9" t="s">
        <v>52</v>
      </c>
      <c r="B10" s="7">
        <f>SUM(B11:B14)</f>
        <v>391609.4</v>
      </c>
      <c r="C10" s="7">
        <f>SUM(C11:C14)</f>
        <v>922652.28</v>
      </c>
      <c r="D10" s="7">
        <f>SUM(D11:D14)</f>
        <v>108377.85</v>
      </c>
      <c r="E10" s="7">
        <f>SUM(E11:E14)</f>
        <v>700365.4</v>
      </c>
      <c r="F10" s="7">
        <f>SUM(F11:F14)</f>
        <v>579106.39999999991</v>
      </c>
      <c r="G10" s="4"/>
      <c r="H10" s="13">
        <f>SUM(H11:H14)</f>
        <v>2702111.33</v>
      </c>
      <c r="I10" s="13">
        <f>SUM(I11:I14)</f>
        <v>2471992.4003154766</v>
      </c>
      <c r="J10" s="17">
        <f>SUM(J11:J14)</f>
        <v>5174103.7303154767</v>
      </c>
      <c r="K10" s="4"/>
      <c r="L10" s="13">
        <v>2477678.02</v>
      </c>
      <c r="M10" s="13">
        <f>SUM(M11:M14)</f>
        <v>1662661.3060714286</v>
      </c>
      <c r="N10" s="17">
        <v>4140339.3260714281</v>
      </c>
      <c r="O10" s="4"/>
      <c r="P10" s="13">
        <v>2868432.31</v>
      </c>
      <c r="Q10" s="13">
        <v>2296448.0300000003</v>
      </c>
      <c r="R10" s="17">
        <v>5164880.34</v>
      </c>
    </row>
    <row r="11" spans="1:18" ht="24" customHeight="1" x14ac:dyDescent="0.25">
      <c r="A11" s="8" t="s">
        <v>557</v>
      </c>
      <c r="B11" s="5">
        <v>199055.4</v>
      </c>
      <c r="C11" s="5">
        <v>619882.28</v>
      </c>
      <c r="D11" s="5">
        <v>43292.85</v>
      </c>
      <c r="E11" s="5">
        <v>365498.4</v>
      </c>
      <c r="F11" s="5">
        <v>423011.39999999997</v>
      </c>
      <c r="H11" s="14">
        <f>SUM(B11:F11)</f>
        <v>1650740.33</v>
      </c>
      <c r="I11" s="14">
        <v>41237.379999999997</v>
      </c>
      <c r="J11" s="18">
        <f>SUM(H11:I11)</f>
        <v>1691977.71</v>
      </c>
      <c r="L11" s="14">
        <v>1052191.02</v>
      </c>
      <c r="M11" s="14">
        <v>139396.38145833332</v>
      </c>
      <c r="N11" s="18">
        <v>1191587.4014583332</v>
      </c>
      <c r="P11" s="14">
        <v>1121323.31</v>
      </c>
      <c r="Q11" s="14">
        <v>179547.15</v>
      </c>
      <c r="R11" s="18">
        <v>1300870.46</v>
      </c>
    </row>
    <row r="12" spans="1:18" ht="24" customHeight="1" x14ac:dyDescent="0.25">
      <c r="A12" s="8" t="s">
        <v>80</v>
      </c>
      <c r="B12" s="5">
        <v>2413</v>
      </c>
      <c r="C12" s="5">
        <v>34704</v>
      </c>
      <c r="D12" s="5">
        <v>45547</v>
      </c>
      <c r="E12" s="5">
        <v>87001</v>
      </c>
      <c r="F12" s="5">
        <v>10801</v>
      </c>
      <c r="H12" s="14">
        <f>SUM(B12:F12)</f>
        <v>180466</v>
      </c>
      <c r="I12" s="14">
        <v>831691.3630416668</v>
      </c>
      <c r="J12" s="18">
        <f>SUM(H12:I12)</f>
        <v>1012157.3630416668</v>
      </c>
      <c r="L12" s="14">
        <v>110074</v>
      </c>
      <c r="M12" s="14">
        <v>418189.14437499992</v>
      </c>
      <c r="N12" s="18">
        <v>528263.14437499992</v>
      </c>
      <c r="P12" s="14">
        <v>237909</v>
      </c>
      <c r="Q12" s="14">
        <v>372442.57</v>
      </c>
      <c r="R12" s="18">
        <v>610351.57000000007</v>
      </c>
    </row>
    <row r="13" spans="1:18" ht="24.95" customHeight="1" x14ac:dyDescent="0.25">
      <c r="A13" s="8" t="s">
        <v>81</v>
      </c>
      <c r="B13" s="5">
        <v>187081</v>
      </c>
      <c r="C13" s="5">
        <v>247503</v>
      </c>
      <c r="D13" s="5">
        <v>17738</v>
      </c>
      <c r="E13" s="5">
        <v>236278</v>
      </c>
      <c r="F13" s="5">
        <v>145294</v>
      </c>
      <c r="H13" s="14">
        <f>SUM(B13:F13)</f>
        <v>833894</v>
      </c>
      <c r="I13" s="14">
        <v>850541.31347023812</v>
      </c>
      <c r="J13" s="18">
        <f>SUM(H13:I13)</f>
        <v>1684435.3134702381</v>
      </c>
      <c r="L13" s="14">
        <v>870724</v>
      </c>
      <c r="M13" s="14">
        <v>568310.34011904756</v>
      </c>
      <c r="N13" s="18">
        <v>1439034.3401190476</v>
      </c>
      <c r="P13" s="14">
        <v>1224348</v>
      </c>
      <c r="Q13" s="14">
        <v>972070.56</v>
      </c>
      <c r="R13" s="18">
        <v>2196418.5600000001</v>
      </c>
    </row>
    <row r="14" spans="1:18" ht="24.95" customHeight="1" x14ac:dyDescent="0.25">
      <c r="A14" s="8" t="s">
        <v>82</v>
      </c>
      <c r="B14" s="5">
        <v>3060</v>
      </c>
      <c r="C14" s="5">
        <v>20563</v>
      </c>
      <c r="D14" s="5">
        <v>1800</v>
      </c>
      <c r="E14" s="5">
        <v>11588</v>
      </c>
      <c r="F14" s="5"/>
      <c r="H14" s="14">
        <f>SUM(B14:F14)</f>
        <v>37011</v>
      </c>
      <c r="I14" s="14">
        <v>748522.3438035713</v>
      </c>
      <c r="J14" s="18">
        <f>SUM(H14:I14)</f>
        <v>785533.3438035713</v>
      </c>
      <c r="L14" s="14">
        <v>444689</v>
      </c>
      <c r="M14" s="14">
        <v>536765.44011904753</v>
      </c>
      <c r="N14" s="18">
        <v>981454.44011904753</v>
      </c>
      <c r="P14" s="14">
        <v>284852</v>
      </c>
      <c r="Q14" s="14">
        <v>772387.75</v>
      </c>
      <c r="R14" s="18">
        <v>1057239.75</v>
      </c>
    </row>
    <row r="15" spans="1:18" ht="24.95" customHeight="1" x14ac:dyDescent="0.25">
      <c r="A15" s="9" t="s">
        <v>53</v>
      </c>
      <c r="B15" s="7">
        <f>SUM(B16:B18)</f>
        <v>350018</v>
      </c>
      <c r="C15" s="7">
        <f>SUM(C16:C18)</f>
        <v>477973</v>
      </c>
      <c r="D15" s="7">
        <f>SUM(D16:D18)</f>
        <v>5412</v>
      </c>
      <c r="E15" s="7">
        <f>SUM(E16:E18)</f>
        <v>385945</v>
      </c>
      <c r="F15" s="7">
        <f>SUM(F16:F18)</f>
        <v>543767</v>
      </c>
      <c r="H15" s="13">
        <f>SUM(H16:H18)</f>
        <v>1763115</v>
      </c>
      <c r="I15" s="13">
        <f>SUM(I16:I18)</f>
        <v>2628246.9839107138</v>
      </c>
      <c r="J15" s="17">
        <f>SUM(J16:J18)</f>
        <v>4391361.9839107133</v>
      </c>
      <c r="L15" s="13">
        <v>1434534</v>
      </c>
      <c r="M15" s="13">
        <f>SUM(M16:M18)</f>
        <v>2097350.5003571431</v>
      </c>
      <c r="N15" s="17">
        <v>3531884.5003571436</v>
      </c>
      <c r="P15" s="13">
        <v>1591709</v>
      </c>
      <c r="Q15" s="13">
        <v>1999705.1099999999</v>
      </c>
      <c r="R15" s="17">
        <v>3591414.1100000003</v>
      </c>
    </row>
    <row r="16" spans="1:18" ht="24.95" customHeight="1" x14ac:dyDescent="0.25">
      <c r="A16" s="8" t="s">
        <v>83</v>
      </c>
      <c r="B16" s="5">
        <v>162451</v>
      </c>
      <c r="C16" s="5">
        <v>368603</v>
      </c>
      <c r="D16" s="5">
        <v>1800</v>
      </c>
      <c r="E16" s="5">
        <v>235155</v>
      </c>
      <c r="F16" s="5">
        <v>75884</v>
      </c>
      <c r="H16" s="14">
        <f>SUM(B16:F16)</f>
        <v>843893</v>
      </c>
      <c r="I16" s="14">
        <v>876082.32797023794</v>
      </c>
      <c r="J16" s="18">
        <f>SUM(H16:I16)</f>
        <v>1719975.3279702379</v>
      </c>
      <c r="L16" s="14">
        <v>923429</v>
      </c>
      <c r="M16" s="14">
        <v>699116.83345238108</v>
      </c>
      <c r="N16" s="18">
        <v>1622545.8334523812</v>
      </c>
      <c r="P16" s="14">
        <v>874796</v>
      </c>
      <c r="Q16" s="14">
        <v>693124.37</v>
      </c>
      <c r="R16" s="18">
        <v>1567920.37</v>
      </c>
    </row>
    <row r="17" spans="1:18" ht="24.95" customHeight="1" x14ac:dyDescent="0.25">
      <c r="A17" s="8" t="s">
        <v>84</v>
      </c>
      <c r="B17" s="5">
        <v>187567</v>
      </c>
      <c r="C17" s="5">
        <v>109370</v>
      </c>
      <c r="D17" s="5">
        <v>1812</v>
      </c>
      <c r="E17" s="5">
        <v>150790</v>
      </c>
      <c r="F17" s="5">
        <v>467883</v>
      </c>
      <c r="H17" s="14">
        <f>SUM(B17:F17)</f>
        <v>917422</v>
      </c>
      <c r="I17" s="14">
        <v>876082.32797023794</v>
      </c>
      <c r="J17" s="18">
        <f>SUM(H17:I17)</f>
        <v>1793504.3279702379</v>
      </c>
      <c r="L17" s="14">
        <v>423787</v>
      </c>
      <c r="M17" s="14">
        <v>699116.83345238108</v>
      </c>
      <c r="N17" s="18">
        <v>1122903.8334523812</v>
      </c>
      <c r="P17" s="14">
        <v>373397</v>
      </c>
      <c r="Q17" s="14">
        <v>653290.37</v>
      </c>
      <c r="R17" s="18">
        <v>1026687.37</v>
      </c>
    </row>
    <row r="18" spans="1:18" ht="24.95" customHeight="1" x14ac:dyDescent="0.25">
      <c r="A18" s="8" t="s">
        <v>85</v>
      </c>
      <c r="B18" s="5"/>
      <c r="C18" s="5"/>
      <c r="D18" s="5">
        <v>1800</v>
      </c>
      <c r="E18" s="5"/>
      <c r="F18" s="5"/>
      <c r="H18" s="14">
        <f>SUM(B18:F18)</f>
        <v>1800</v>
      </c>
      <c r="I18" s="14">
        <v>876082.32797023794</v>
      </c>
      <c r="J18" s="18">
        <f>SUM(H18:I18)</f>
        <v>877882.32797023794</v>
      </c>
      <c r="L18" s="14">
        <v>87318</v>
      </c>
      <c r="M18" s="14">
        <v>699116.83345238108</v>
      </c>
      <c r="N18" s="18">
        <v>786434.83345238108</v>
      </c>
      <c r="P18" s="14">
        <v>343516</v>
      </c>
      <c r="Q18" s="14">
        <v>653290.37</v>
      </c>
      <c r="R18" s="18">
        <v>996806.37</v>
      </c>
    </row>
    <row r="19" spans="1:18" ht="24.95" customHeight="1" x14ac:dyDescent="0.25">
      <c r="A19" s="10" t="s">
        <v>131</v>
      </c>
      <c r="B19" s="6">
        <f>SUM(B3:B5,B7:B9,B11)</f>
        <v>1313022.5999999999</v>
      </c>
      <c r="C19" s="6">
        <f t="shared" ref="C19:F19" si="0">SUM(C3:C5,C7:C9,C11)</f>
        <v>2942263.9000000004</v>
      </c>
      <c r="D19" s="6">
        <f t="shared" si="0"/>
        <v>367031.33999999997</v>
      </c>
      <c r="E19" s="6">
        <f t="shared" si="0"/>
        <v>1772537.5</v>
      </c>
      <c r="F19" s="6">
        <f t="shared" si="0"/>
        <v>2239559.91</v>
      </c>
      <c r="H19" s="15">
        <f>SUM(H3:H5,H7:H9,H11)</f>
        <v>8634415.25</v>
      </c>
      <c r="I19" s="15">
        <f t="shared" ref="I19:J19" si="1">SUM(I3:I5,I7:I9,I11)</f>
        <v>4201323.4200000009</v>
      </c>
      <c r="J19" s="15">
        <f t="shared" si="1"/>
        <v>12835738.669999998</v>
      </c>
      <c r="L19" s="15">
        <v>8511814.3800000008</v>
      </c>
      <c r="M19" s="15">
        <v>3838158.6714583333</v>
      </c>
      <c r="N19" s="15">
        <v>12349973.051458333</v>
      </c>
      <c r="P19" s="15">
        <v>8234151.9000000004</v>
      </c>
      <c r="Q19" s="15">
        <v>3758389.12</v>
      </c>
      <c r="R19" s="15">
        <v>11992541.02</v>
      </c>
    </row>
    <row r="20" spans="1:18" ht="24.95" customHeight="1" x14ac:dyDescent="0.25">
      <c r="A20" s="10" t="s">
        <v>132</v>
      </c>
      <c r="B20" s="6">
        <f>SUM(B12:B14,B16:B18)</f>
        <v>542572</v>
      </c>
      <c r="C20" s="6">
        <f t="shared" ref="C20:F20" si="2">SUM(C12:C14,C16:C18)</f>
        <v>780743</v>
      </c>
      <c r="D20" s="6">
        <f t="shared" si="2"/>
        <v>70497</v>
      </c>
      <c r="E20" s="6">
        <f t="shared" si="2"/>
        <v>720812</v>
      </c>
      <c r="F20" s="6">
        <f t="shared" si="2"/>
        <v>699862</v>
      </c>
      <c r="H20" s="15">
        <f>SUM(H16:H18,H12:H14)</f>
        <v>2814486</v>
      </c>
      <c r="I20" s="15">
        <f t="shared" ref="I20:J20" si="3">SUM(I16:I18,I12:I14)</f>
        <v>5059002.00422619</v>
      </c>
      <c r="J20" s="15">
        <f t="shared" si="3"/>
        <v>7873488.00422619</v>
      </c>
      <c r="L20" s="15">
        <v>2860021</v>
      </c>
      <c r="M20" s="15">
        <v>3620615.424970238</v>
      </c>
      <c r="N20" s="15">
        <v>6480636.4249702385</v>
      </c>
      <c r="P20" s="15">
        <v>3338818</v>
      </c>
      <c r="Q20" s="15">
        <v>4116605.9899999998</v>
      </c>
      <c r="R20" s="15">
        <v>7455423.9900000002</v>
      </c>
    </row>
    <row r="21" spans="1:18" ht="24.95" customHeight="1" x14ac:dyDescent="0.25">
      <c r="A21" s="19" t="s">
        <v>794</v>
      </c>
      <c r="B21" s="6">
        <f>SUM(B19:B20)</f>
        <v>1855594.5999999999</v>
      </c>
      <c r="C21" s="6">
        <f>SUM(C19:C20)</f>
        <v>3723006.9000000004</v>
      </c>
      <c r="D21" s="6">
        <f>SUM(D19:D20)</f>
        <v>437528.33999999997</v>
      </c>
      <c r="E21" s="6">
        <f>SUM(E19:E20)</f>
        <v>2493349.5</v>
      </c>
      <c r="F21" s="6">
        <f>SUM(F19:F20)</f>
        <v>2939421.91</v>
      </c>
      <c r="H21" s="20">
        <f>SUM(H19:H20)</f>
        <v>11448901.25</v>
      </c>
      <c r="I21" s="20">
        <f>SUM(I19:I20)</f>
        <v>9260325.4242261909</v>
      </c>
      <c r="J21" s="20">
        <f>SUM(J19:J20)</f>
        <v>20709226.674226187</v>
      </c>
      <c r="L21" s="20">
        <v>11371835.380000001</v>
      </c>
      <c r="M21" s="20">
        <v>7458774.0964285713</v>
      </c>
      <c r="N21" s="20">
        <v>18830609.476428572</v>
      </c>
      <c r="P21" s="20">
        <v>11572969.9</v>
      </c>
      <c r="Q21" s="20">
        <v>7874995.1099999994</v>
      </c>
      <c r="R21" s="20">
        <v>19447965.009999998</v>
      </c>
    </row>
  </sheetData>
  <printOptions horizontalCentered="1"/>
  <pageMargins left="0.7" right="0.2" top="1.25" bottom="0.75" header="0.3" footer="0.3"/>
  <pageSetup scale="52" orientation="landscape" r:id="rId1"/>
  <headerFooter>
    <oddHeader>&amp;C&amp;"Arial Black,Regular"&amp;16SALES REPORT
&amp;12 2026 COMPLETED + SCHEDULED</oddHeader>
    <oddFooter>&amp;L&amp;10&amp;F&amp;R&amp;10&amp;D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CFEF-25E1-409F-A7CA-3B39B1E7D2E6}">
  <dimension ref="A3:G17"/>
  <sheetViews>
    <sheetView workbookViewId="0">
      <selection activeCell="B11" sqref="B11:F13"/>
    </sheetView>
  </sheetViews>
  <sheetFormatPr defaultRowHeight="15" x14ac:dyDescent="0.25"/>
  <cols>
    <col min="1" max="1" width="15.7109375" bestFit="1" customWidth="1"/>
    <col min="2" max="2" width="16.85546875" bestFit="1" customWidth="1"/>
    <col min="3" max="3" width="8" bestFit="1" customWidth="1"/>
    <col min="4" max="4" width="6" bestFit="1" customWidth="1"/>
    <col min="5" max="5" width="8" bestFit="1" customWidth="1"/>
    <col min="6" max="6" width="9.85546875" customWidth="1"/>
    <col min="7" max="7" width="11.28515625" bestFit="1" customWidth="1"/>
  </cols>
  <sheetData>
    <row r="3" spans="1:7" x14ac:dyDescent="0.25">
      <c r="A3" s="3" t="s">
        <v>57</v>
      </c>
      <c r="B3" s="3" t="s">
        <v>58</v>
      </c>
    </row>
    <row r="4" spans="1:7" x14ac:dyDescent="0.25">
      <c r="A4" s="3" t="s">
        <v>393</v>
      </c>
      <c r="B4" t="s">
        <v>817</v>
      </c>
      <c r="C4" t="s">
        <v>40</v>
      </c>
      <c r="D4" t="s">
        <v>1090</v>
      </c>
      <c r="E4" t="s">
        <v>878</v>
      </c>
      <c r="F4" t="s">
        <v>16</v>
      </c>
      <c r="G4" t="s">
        <v>394</v>
      </c>
    </row>
    <row r="5" spans="1:7" x14ac:dyDescent="0.25">
      <c r="A5" s="21" t="s">
        <v>872</v>
      </c>
      <c r="B5">
        <v>542572</v>
      </c>
      <c r="C5">
        <v>780743</v>
      </c>
      <c r="D5">
        <v>70497</v>
      </c>
      <c r="E5">
        <v>720812</v>
      </c>
      <c r="F5">
        <v>699862</v>
      </c>
      <c r="G5">
        <v>2814486</v>
      </c>
    </row>
    <row r="6" spans="1:7" x14ac:dyDescent="0.25">
      <c r="A6" s="22" t="s">
        <v>52</v>
      </c>
      <c r="B6">
        <v>192554</v>
      </c>
      <c r="C6">
        <v>302770</v>
      </c>
      <c r="D6">
        <v>65085</v>
      </c>
      <c r="E6">
        <v>334867</v>
      </c>
      <c r="F6">
        <v>156095</v>
      </c>
      <c r="G6">
        <v>1051371</v>
      </c>
    </row>
    <row r="7" spans="1:7" x14ac:dyDescent="0.25">
      <c r="A7" s="23" t="s">
        <v>873</v>
      </c>
      <c r="B7">
        <v>2413</v>
      </c>
      <c r="C7">
        <v>34704</v>
      </c>
      <c r="D7">
        <v>45547</v>
      </c>
      <c r="E7">
        <v>87001</v>
      </c>
      <c r="F7">
        <v>10801</v>
      </c>
      <c r="G7">
        <v>180466</v>
      </c>
    </row>
    <row r="8" spans="1:7" x14ac:dyDescent="0.25">
      <c r="A8" s="23" t="s">
        <v>73</v>
      </c>
      <c r="B8">
        <v>187081</v>
      </c>
      <c r="C8">
        <v>247503</v>
      </c>
      <c r="D8">
        <v>17738</v>
      </c>
      <c r="E8">
        <v>236278</v>
      </c>
      <c r="F8">
        <v>145294</v>
      </c>
      <c r="G8">
        <v>833894</v>
      </c>
    </row>
    <row r="9" spans="1:7" x14ac:dyDescent="0.25">
      <c r="A9" s="23" t="s">
        <v>103</v>
      </c>
      <c r="B9">
        <v>3060</v>
      </c>
      <c r="C9">
        <v>20563</v>
      </c>
      <c r="D9">
        <v>1800</v>
      </c>
      <c r="E9">
        <v>11588</v>
      </c>
      <c r="G9">
        <v>37011</v>
      </c>
    </row>
    <row r="10" spans="1:7" x14ac:dyDescent="0.25">
      <c r="A10" s="22" t="s">
        <v>53</v>
      </c>
      <c r="B10">
        <v>350018</v>
      </c>
      <c r="C10">
        <v>477973</v>
      </c>
      <c r="D10">
        <v>5412</v>
      </c>
      <c r="E10">
        <v>385945</v>
      </c>
      <c r="F10">
        <v>543767</v>
      </c>
      <c r="G10">
        <v>1763115</v>
      </c>
    </row>
    <row r="11" spans="1:7" x14ac:dyDescent="0.25">
      <c r="A11" s="23" t="s">
        <v>74</v>
      </c>
      <c r="B11">
        <v>162451</v>
      </c>
      <c r="C11">
        <v>368603</v>
      </c>
      <c r="D11">
        <v>1800</v>
      </c>
      <c r="E11">
        <v>235155</v>
      </c>
      <c r="F11">
        <v>75884</v>
      </c>
      <c r="G11">
        <v>843893</v>
      </c>
    </row>
    <row r="12" spans="1:7" x14ac:dyDescent="0.25">
      <c r="A12" s="23" t="s">
        <v>75</v>
      </c>
      <c r="B12">
        <v>187567</v>
      </c>
      <c r="C12">
        <v>109370</v>
      </c>
      <c r="D12">
        <v>1812</v>
      </c>
      <c r="E12">
        <v>150790</v>
      </c>
      <c r="F12">
        <v>467883</v>
      </c>
      <c r="G12">
        <v>917422</v>
      </c>
    </row>
    <row r="13" spans="1:7" x14ac:dyDescent="0.25">
      <c r="A13" s="23" t="s">
        <v>123</v>
      </c>
      <c r="D13">
        <v>1800</v>
      </c>
      <c r="G13">
        <v>1800</v>
      </c>
    </row>
    <row r="14" spans="1:7" x14ac:dyDescent="0.25">
      <c r="A14" s="21" t="s">
        <v>1199</v>
      </c>
      <c r="B14">
        <v>526183</v>
      </c>
      <c r="C14">
        <v>772415</v>
      </c>
      <c r="E14">
        <v>670098</v>
      </c>
      <c r="F14">
        <v>154224</v>
      </c>
      <c r="G14">
        <v>2122920</v>
      </c>
    </row>
    <row r="15" spans="1:7" x14ac:dyDescent="0.25">
      <c r="A15" s="21" t="s">
        <v>1200</v>
      </c>
      <c r="B15">
        <v>201608</v>
      </c>
      <c r="C15">
        <v>426780</v>
      </c>
      <c r="E15">
        <v>382817</v>
      </c>
      <c r="G15">
        <v>1011205</v>
      </c>
    </row>
    <row r="16" spans="1:7" x14ac:dyDescent="0.25">
      <c r="A16" s="21" t="s">
        <v>1201</v>
      </c>
      <c r="B16">
        <v>6335</v>
      </c>
      <c r="C16">
        <v>84960</v>
      </c>
      <c r="E16">
        <v>37497</v>
      </c>
      <c r="G16">
        <v>128792</v>
      </c>
    </row>
    <row r="17" spans="1:7" x14ac:dyDescent="0.25">
      <c r="A17" s="21" t="s">
        <v>394</v>
      </c>
      <c r="B17">
        <v>1276698</v>
      </c>
      <c r="C17">
        <v>2064898</v>
      </c>
      <c r="D17">
        <v>70497</v>
      </c>
      <c r="E17">
        <v>1811224</v>
      </c>
      <c r="F17">
        <v>854086</v>
      </c>
      <c r="G17">
        <v>6077403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AE43-8B33-4CB9-B4A9-66D5703984B9}">
  <dimension ref="A1:L520"/>
  <sheetViews>
    <sheetView workbookViewId="0">
      <selection activeCell="J150" sqref="J150"/>
    </sheetView>
  </sheetViews>
  <sheetFormatPr defaultRowHeight="15" x14ac:dyDescent="0.25"/>
  <cols>
    <col min="1" max="1" width="37.7109375" bestFit="1" customWidth="1"/>
    <col min="2" max="2" width="103.28515625" bestFit="1" customWidth="1"/>
    <col min="3" max="3" width="21.85546875" bestFit="1" customWidth="1"/>
    <col min="4" max="4" width="11" bestFit="1" customWidth="1"/>
    <col min="5" max="7" width="10.28515625" bestFit="1" customWidth="1"/>
    <col min="8" max="8" width="10.5703125" bestFit="1" customWidth="1"/>
    <col min="9" max="9" width="9.140625" bestFit="1" customWidth="1"/>
    <col min="10" max="10" width="6.28515625" bestFit="1" customWidth="1"/>
    <col min="11" max="12" width="9.28515625" bestFit="1" customWidth="1"/>
  </cols>
  <sheetData>
    <row r="1" spans="1:12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6</v>
      </c>
      <c r="G1" t="s">
        <v>7</v>
      </c>
      <c r="H1" t="s">
        <v>1</v>
      </c>
      <c r="I1" t="s">
        <v>12</v>
      </c>
      <c r="J1" t="s">
        <v>13</v>
      </c>
      <c r="K1" t="s">
        <v>526</v>
      </c>
      <c r="L1" t="s">
        <v>527</v>
      </c>
    </row>
    <row r="2" spans="1:12" x14ac:dyDescent="0.25">
      <c r="A2" t="s">
        <v>88</v>
      </c>
      <c r="B2" t="s">
        <v>1464</v>
      </c>
      <c r="C2" t="s">
        <v>14</v>
      </c>
      <c r="D2" s="2">
        <v>46220</v>
      </c>
      <c r="F2" s="2">
        <v>46121</v>
      </c>
      <c r="G2" s="2">
        <v>46226</v>
      </c>
      <c r="H2" s="1">
        <v>2000</v>
      </c>
      <c r="I2">
        <v>0</v>
      </c>
      <c r="J2" t="s">
        <v>40</v>
      </c>
      <c r="L2" t="s">
        <v>528</v>
      </c>
    </row>
    <row r="3" spans="1:12" x14ac:dyDescent="0.25">
      <c r="A3" t="s">
        <v>1358</v>
      </c>
      <c r="B3" t="s">
        <v>1463</v>
      </c>
      <c r="C3" t="s">
        <v>99</v>
      </c>
      <c r="D3" s="2">
        <v>46227</v>
      </c>
      <c r="F3" s="2">
        <v>46226</v>
      </c>
      <c r="G3" s="2">
        <v>46226</v>
      </c>
      <c r="H3" s="1">
        <v>2280</v>
      </c>
      <c r="I3">
        <v>107.75</v>
      </c>
      <c r="J3" t="s">
        <v>878</v>
      </c>
    </row>
    <row r="4" spans="1:12" x14ac:dyDescent="0.25">
      <c r="A4" t="s">
        <v>69</v>
      </c>
      <c r="B4" t="s">
        <v>1462</v>
      </c>
      <c r="C4" t="s">
        <v>99</v>
      </c>
      <c r="D4" s="2">
        <v>46044</v>
      </c>
      <c r="E4" s="2">
        <v>46216</v>
      </c>
      <c r="F4" s="2">
        <v>46226</v>
      </c>
      <c r="G4" s="2">
        <v>46227</v>
      </c>
      <c r="H4" s="1">
        <v>5981</v>
      </c>
      <c r="I4">
        <v>108.65</v>
      </c>
      <c r="J4" t="s">
        <v>878</v>
      </c>
      <c r="L4" t="s">
        <v>528</v>
      </c>
    </row>
    <row r="5" spans="1:12" x14ac:dyDescent="0.25">
      <c r="A5" t="s">
        <v>70</v>
      </c>
      <c r="B5" t="s">
        <v>1461</v>
      </c>
      <c r="C5" t="s">
        <v>62</v>
      </c>
      <c r="D5" s="2">
        <v>45965</v>
      </c>
      <c r="E5" s="2">
        <v>45965</v>
      </c>
      <c r="F5" s="2">
        <v>46174</v>
      </c>
      <c r="G5" s="2">
        <v>46231</v>
      </c>
      <c r="H5">
        <v>1</v>
      </c>
      <c r="I5">
        <v>0.01</v>
      </c>
      <c r="J5" t="s">
        <v>16</v>
      </c>
    </row>
    <row r="6" spans="1:12" x14ac:dyDescent="0.25">
      <c r="A6" t="s">
        <v>826</v>
      </c>
      <c r="B6" t="s">
        <v>1297</v>
      </c>
      <c r="C6" t="s">
        <v>1296</v>
      </c>
      <c r="D6" s="2">
        <v>46210</v>
      </c>
      <c r="E6" s="2">
        <v>46212</v>
      </c>
      <c r="F6" s="2">
        <v>46219</v>
      </c>
      <c r="G6" s="2">
        <v>46231</v>
      </c>
      <c r="H6" s="1">
        <v>10800</v>
      </c>
      <c r="I6">
        <v>174.47</v>
      </c>
      <c r="J6" t="s">
        <v>16</v>
      </c>
      <c r="K6" t="s">
        <v>528</v>
      </c>
      <c r="L6" t="s">
        <v>528</v>
      </c>
    </row>
    <row r="7" spans="1:12" x14ac:dyDescent="0.25">
      <c r="A7" t="s">
        <v>1304</v>
      </c>
      <c r="B7" t="s">
        <v>1460</v>
      </c>
      <c r="C7" t="s">
        <v>32</v>
      </c>
      <c r="D7" s="2">
        <v>46212</v>
      </c>
      <c r="E7" s="2">
        <v>46218</v>
      </c>
      <c r="F7" s="2">
        <v>46223</v>
      </c>
      <c r="G7" s="2">
        <v>46232</v>
      </c>
      <c r="H7" s="1">
        <v>28610</v>
      </c>
      <c r="I7">
        <v>130.53</v>
      </c>
      <c r="J7" t="s">
        <v>878</v>
      </c>
      <c r="L7" t="s">
        <v>528</v>
      </c>
    </row>
    <row r="8" spans="1:12" x14ac:dyDescent="0.25">
      <c r="A8" t="s">
        <v>15</v>
      </c>
      <c r="B8" t="s">
        <v>1238</v>
      </c>
      <c r="C8" t="s">
        <v>18</v>
      </c>
      <c r="D8" s="2">
        <v>46168</v>
      </c>
      <c r="E8" s="2">
        <v>46198</v>
      </c>
      <c r="F8" s="2">
        <v>46231</v>
      </c>
      <c r="G8" s="2">
        <v>46232</v>
      </c>
      <c r="H8" s="1">
        <v>3479</v>
      </c>
      <c r="I8">
        <v>183.37</v>
      </c>
      <c r="J8" t="s">
        <v>40</v>
      </c>
      <c r="K8" t="s">
        <v>528</v>
      </c>
      <c r="L8" t="s">
        <v>528</v>
      </c>
    </row>
    <row r="9" spans="1:12" x14ac:dyDescent="0.25">
      <c r="A9" t="s">
        <v>70</v>
      </c>
      <c r="B9" t="s">
        <v>1247</v>
      </c>
      <c r="C9" t="s">
        <v>62</v>
      </c>
      <c r="D9" s="2">
        <v>45965</v>
      </c>
      <c r="E9" s="2">
        <v>45965</v>
      </c>
      <c r="F9" s="2">
        <v>45957</v>
      </c>
      <c r="G9" s="2">
        <v>46232</v>
      </c>
      <c r="H9">
        <v>0</v>
      </c>
      <c r="I9">
        <v>0</v>
      </c>
      <c r="J9" t="s">
        <v>16</v>
      </c>
    </row>
    <row r="10" spans="1:12" x14ac:dyDescent="0.25">
      <c r="A10" t="s">
        <v>70</v>
      </c>
      <c r="B10" t="s">
        <v>1246</v>
      </c>
      <c r="C10" t="s">
        <v>62</v>
      </c>
      <c r="D10" s="2">
        <v>45965</v>
      </c>
      <c r="E10" s="2">
        <v>45965</v>
      </c>
      <c r="F10" s="2">
        <v>45965</v>
      </c>
      <c r="G10" s="2">
        <v>46232</v>
      </c>
      <c r="H10">
        <v>0</v>
      </c>
      <c r="I10">
        <v>0</v>
      </c>
      <c r="J10" t="s">
        <v>16</v>
      </c>
    </row>
    <row r="11" spans="1:12" x14ac:dyDescent="0.25">
      <c r="A11" t="s">
        <v>93</v>
      </c>
      <c r="B11" t="s">
        <v>1459</v>
      </c>
      <c r="C11" t="s">
        <v>14</v>
      </c>
      <c r="D11" s="2">
        <v>46227</v>
      </c>
      <c r="F11" s="2">
        <v>46231</v>
      </c>
      <c r="G11" s="2">
        <v>46232</v>
      </c>
      <c r="H11" s="1">
        <v>1761</v>
      </c>
      <c r="I11">
        <v>130.41</v>
      </c>
      <c r="J11" t="s">
        <v>1090</v>
      </c>
      <c r="K11" t="s">
        <v>528</v>
      </c>
    </row>
    <row r="12" spans="1:12" x14ac:dyDescent="0.25">
      <c r="A12" t="s">
        <v>88</v>
      </c>
      <c r="B12" t="s">
        <v>1324</v>
      </c>
      <c r="C12" t="s">
        <v>18</v>
      </c>
      <c r="D12" s="2">
        <v>46211</v>
      </c>
      <c r="E12" s="2">
        <v>46227</v>
      </c>
      <c r="F12" s="2">
        <v>46232</v>
      </c>
      <c r="G12" s="2">
        <v>46232</v>
      </c>
      <c r="H12" s="1">
        <v>1445</v>
      </c>
      <c r="I12">
        <v>0</v>
      </c>
      <c r="J12" t="s">
        <v>40</v>
      </c>
    </row>
    <row r="13" spans="1:12" x14ac:dyDescent="0.25">
      <c r="A13" t="s">
        <v>88</v>
      </c>
      <c r="B13" t="s">
        <v>1337</v>
      </c>
      <c r="C13" t="s">
        <v>24</v>
      </c>
      <c r="D13" s="2">
        <v>46219</v>
      </c>
      <c r="E13" s="2">
        <v>46219</v>
      </c>
      <c r="F13" s="2">
        <v>46224</v>
      </c>
      <c r="G13" s="2">
        <v>46232</v>
      </c>
      <c r="H13" s="1">
        <v>1880</v>
      </c>
      <c r="I13">
        <v>159.32</v>
      </c>
      <c r="J13" t="s">
        <v>40</v>
      </c>
      <c r="K13" t="s">
        <v>528</v>
      </c>
      <c r="L13" t="s">
        <v>528</v>
      </c>
    </row>
    <row r="14" spans="1:12" x14ac:dyDescent="0.25">
      <c r="A14" t="s">
        <v>816</v>
      </c>
      <c r="B14" t="s">
        <v>1458</v>
      </c>
      <c r="C14" t="s">
        <v>25</v>
      </c>
      <c r="D14" s="2">
        <v>46211</v>
      </c>
      <c r="F14" s="2">
        <v>46232</v>
      </c>
      <c r="G14" s="2">
        <v>46232</v>
      </c>
      <c r="H14" s="1">
        <v>1720</v>
      </c>
      <c r="I14">
        <v>64.44</v>
      </c>
      <c r="J14" t="s">
        <v>40</v>
      </c>
    </row>
    <row r="15" spans="1:12" x14ac:dyDescent="0.25">
      <c r="A15" t="s">
        <v>1304</v>
      </c>
      <c r="B15" t="s">
        <v>1457</v>
      </c>
      <c r="C15" t="s">
        <v>32</v>
      </c>
      <c r="D15" s="2">
        <v>46212</v>
      </c>
      <c r="E15" s="2">
        <v>46218</v>
      </c>
      <c r="F15" s="2">
        <v>46227</v>
      </c>
      <c r="G15" s="2">
        <v>46233</v>
      </c>
      <c r="H15" s="1">
        <v>5045</v>
      </c>
      <c r="I15">
        <v>136.38999999999999</v>
      </c>
      <c r="J15" t="s">
        <v>878</v>
      </c>
    </row>
    <row r="16" spans="1:12" x14ac:dyDescent="0.25">
      <c r="A16" t="s">
        <v>1304</v>
      </c>
      <c r="B16" t="s">
        <v>1456</v>
      </c>
      <c r="C16" t="s">
        <v>32</v>
      </c>
      <c r="D16" s="2">
        <v>46212</v>
      </c>
      <c r="E16" s="2">
        <v>46218</v>
      </c>
      <c r="F16" s="2">
        <v>46232</v>
      </c>
      <c r="G16" s="2">
        <v>46233</v>
      </c>
      <c r="H16" s="1">
        <v>5370</v>
      </c>
      <c r="I16">
        <v>132.59</v>
      </c>
      <c r="J16" t="s">
        <v>878</v>
      </c>
    </row>
    <row r="17" spans="1:12" x14ac:dyDescent="0.25">
      <c r="A17" t="s">
        <v>15</v>
      </c>
      <c r="B17" t="s">
        <v>1237</v>
      </c>
      <c r="C17" t="s">
        <v>18</v>
      </c>
      <c r="D17" s="2">
        <v>46170</v>
      </c>
      <c r="E17" s="2">
        <v>46198</v>
      </c>
      <c r="F17" s="2">
        <v>46231</v>
      </c>
      <c r="G17" s="2">
        <v>46233</v>
      </c>
      <c r="H17" s="1">
        <v>10625</v>
      </c>
      <c r="I17">
        <v>118.71</v>
      </c>
      <c r="J17" t="s">
        <v>40</v>
      </c>
      <c r="K17" t="s">
        <v>528</v>
      </c>
      <c r="L17" t="s">
        <v>528</v>
      </c>
    </row>
    <row r="18" spans="1:12" x14ac:dyDescent="0.25">
      <c r="A18" t="s">
        <v>387</v>
      </c>
      <c r="B18" t="s">
        <v>563</v>
      </c>
      <c r="C18" t="s">
        <v>14</v>
      </c>
      <c r="D18" s="2">
        <v>45415</v>
      </c>
      <c r="E18" s="2">
        <v>45870</v>
      </c>
      <c r="F18" s="2">
        <v>46233</v>
      </c>
      <c r="G18" s="2">
        <v>46233</v>
      </c>
      <c r="H18" s="1">
        <v>29420</v>
      </c>
      <c r="I18">
        <v>0</v>
      </c>
      <c r="J18" t="s">
        <v>878</v>
      </c>
    </row>
    <row r="19" spans="1:12" x14ac:dyDescent="0.25">
      <c r="A19" t="s">
        <v>3</v>
      </c>
      <c r="B19" t="s">
        <v>1241</v>
      </c>
      <c r="C19" t="s">
        <v>34</v>
      </c>
      <c r="D19" s="2">
        <v>46161</v>
      </c>
      <c r="F19" s="2">
        <v>46233</v>
      </c>
      <c r="G19" s="2">
        <v>46233</v>
      </c>
      <c r="H19" s="1">
        <v>1449</v>
      </c>
      <c r="I19">
        <v>161.05000000000001</v>
      </c>
      <c r="J19" t="s">
        <v>817</v>
      </c>
    </row>
    <row r="20" spans="1:12" x14ac:dyDescent="0.25">
      <c r="A20" t="s">
        <v>88</v>
      </c>
      <c r="B20" t="s">
        <v>947</v>
      </c>
      <c r="C20" t="s">
        <v>34</v>
      </c>
      <c r="D20" s="2">
        <v>46070</v>
      </c>
      <c r="F20" s="2">
        <v>46233</v>
      </c>
      <c r="G20" s="2">
        <v>46233</v>
      </c>
      <c r="H20">
        <v>964</v>
      </c>
      <c r="I20">
        <v>107.14</v>
      </c>
      <c r="J20" t="s">
        <v>817</v>
      </c>
    </row>
    <row r="21" spans="1:12" x14ac:dyDescent="0.25">
      <c r="A21" t="s">
        <v>88</v>
      </c>
      <c r="B21" t="s">
        <v>1177</v>
      </c>
      <c r="C21" t="s">
        <v>18</v>
      </c>
      <c r="D21" s="2">
        <v>46104</v>
      </c>
      <c r="F21" s="2">
        <v>46233</v>
      </c>
      <c r="G21" s="2">
        <v>46233</v>
      </c>
      <c r="H21">
        <v>375</v>
      </c>
      <c r="I21">
        <v>13.89</v>
      </c>
      <c r="J21" t="s">
        <v>40</v>
      </c>
    </row>
    <row r="22" spans="1:12" x14ac:dyDescent="0.25">
      <c r="A22" t="s">
        <v>813</v>
      </c>
      <c r="B22" t="s">
        <v>1012</v>
      </c>
      <c r="C22" t="s">
        <v>20</v>
      </c>
      <c r="D22" s="2">
        <v>46106</v>
      </c>
      <c r="E22" s="2">
        <v>46218</v>
      </c>
      <c r="F22" s="2">
        <v>46232</v>
      </c>
      <c r="G22" s="2">
        <v>46233</v>
      </c>
      <c r="H22" s="1">
        <v>6077</v>
      </c>
      <c r="I22">
        <v>135.05000000000001</v>
      </c>
      <c r="J22" t="s">
        <v>40</v>
      </c>
      <c r="L22" t="s">
        <v>528</v>
      </c>
    </row>
    <row r="23" spans="1:12" x14ac:dyDescent="0.25">
      <c r="A23" t="s">
        <v>1307</v>
      </c>
      <c r="B23" t="s">
        <v>1325</v>
      </c>
      <c r="C23" t="s">
        <v>55</v>
      </c>
      <c r="D23" s="2">
        <v>46218</v>
      </c>
      <c r="E23" s="2">
        <v>46218</v>
      </c>
      <c r="F23" s="2">
        <v>46232</v>
      </c>
      <c r="G23" s="2">
        <v>46233</v>
      </c>
      <c r="H23" s="1">
        <v>7090</v>
      </c>
      <c r="I23">
        <v>131.30000000000001</v>
      </c>
      <c r="J23" t="s">
        <v>878</v>
      </c>
      <c r="K23" t="s">
        <v>528</v>
      </c>
      <c r="L23" t="s">
        <v>528</v>
      </c>
    </row>
    <row r="24" spans="1:12" x14ac:dyDescent="0.25">
      <c r="A24" t="s">
        <v>43</v>
      </c>
      <c r="B24" t="s">
        <v>1083</v>
      </c>
      <c r="C24" t="s">
        <v>18</v>
      </c>
      <c r="D24" s="2">
        <v>45953</v>
      </c>
      <c r="F24" s="2">
        <v>46233</v>
      </c>
      <c r="G24" s="2">
        <v>46233</v>
      </c>
      <c r="H24">
        <v>700</v>
      </c>
      <c r="I24">
        <v>77.78</v>
      </c>
      <c r="J24" t="s">
        <v>40</v>
      </c>
      <c r="L24" t="s">
        <v>528</v>
      </c>
    </row>
    <row r="25" spans="1:12" x14ac:dyDescent="0.25">
      <c r="A25" t="s">
        <v>816</v>
      </c>
      <c r="B25" t="s">
        <v>1240</v>
      </c>
      <c r="C25" t="s">
        <v>25</v>
      </c>
      <c r="D25" s="2">
        <v>46177</v>
      </c>
      <c r="F25" s="2">
        <v>46233</v>
      </c>
      <c r="G25" s="2">
        <v>46233</v>
      </c>
      <c r="H25" s="1">
        <v>1118</v>
      </c>
      <c r="I25">
        <v>124.22</v>
      </c>
      <c r="J25" t="s">
        <v>40</v>
      </c>
    </row>
    <row r="26" spans="1:12" x14ac:dyDescent="0.25">
      <c r="A26" t="s">
        <v>1304</v>
      </c>
      <c r="B26" t="s">
        <v>1455</v>
      </c>
      <c r="C26" t="s">
        <v>32</v>
      </c>
      <c r="D26" s="2">
        <v>46212</v>
      </c>
      <c r="E26" s="2">
        <v>46226</v>
      </c>
      <c r="F26" s="2">
        <v>46234</v>
      </c>
      <c r="G26" s="2">
        <v>46234</v>
      </c>
      <c r="H26" s="1">
        <v>1630</v>
      </c>
      <c r="I26">
        <v>135.83000000000001</v>
      </c>
      <c r="J26" t="s">
        <v>878</v>
      </c>
    </row>
    <row r="27" spans="1:12" x14ac:dyDescent="0.25">
      <c r="A27" t="s">
        <v>1304</v>
      </c>
      <c r="B27" t="s">
        <v>1454</v>
      </c>
      <c r="C27" t="s">
        <v>32</v>
      </c>
      <c r="D27" s="2">
        <v>46212</v>
      </c>
      <c r="F27" s="2">
        <v>46234</v>
      </c>
      <c r="G27" s="2">
        <v>46234</v>
      </c>
      <c r="H27" s="1">
        <v>1575</v>
      </c>
      <c r="I27">
        <v>131.25</v>
      </c>
      <c r="J27" t="s">
        <v>878</v>
      </c>
    </row>
    <row r="28" spans="1:12" x14ac:dyDescent="0.25">
      <c r="A28" t="s">
        <v>1084</v>
      </c>
      <c r="B28" t="s">
        <v>1175</v>
      </c>
      <c r="C28" t="s">
        <v>14</v>
      </c>
      <c r="D28" s="2">
        <v>45636</v>
      </c>
      <c r="F28" s="2">
        <v>46234</v>
      </c>
      <c r="G28" s="2">
        <v>46234</v>
      </c>
      <c r="H28">
        <v>900</v>
      </c>
      <c r="I28">
        <v>100</v>
      </c>
      <c r="J28" t="s">
        <v>1090</v>
      </c>
    </row>
    <row r="29" spans="1:12" x14ac:dyDescent="0.25">
      <c r="A29" t="s">
        <v>15</v>
      </c>
      <c r="B29" t="s">
        <v>1355</v>
      </c>
      <c r="C29" t="s">
        <v>35</v>
      </c>
      <c r="D29" s="2">
        <v>46223</v>
      </c>
      <c r="E29" s="2">
        <v>46224</v>
      </c>
      <c r="F29" s="2">
        <v>46234</v>
      </c>
      <c r="G29" s="2">
        <v>46234</v>
      </c>
      <c r="H29">
        <v>495</v>
      </c>
      <c r="I29">
        <v>165</v>
      </c>
      <c r="J29" t="s">
        <v>40</v>
      </c>
      <c r="L29" t="s">
        <v>528</v>
      </c>
    </row>
    <row r="30" spans="1:12" x14ac:dyDescent="0.25">
      <c r="A30" t="s">
        <v>15</v>
      </c>
      <c r="B30" t="s">
        <v>1354</v>
      </c>
      <c r="C30" t="s">
        <v>35</v>
      </c>
      <c r="D30" s="2">
        <v>46220</v>
      </c>
      <c r="E30" s="2">
        <v>46224</v>
      </c>
      <c r="F30" s="2">
        <v>46234</v>
      </c>
      <c r="G30" s="2">
        <v>46234</v>
      </c>
      <c r="H30" s="1">
        <v>1995</v>
      </c>
      <c r="I30">
        <v>133</v>
      </c>
      <c r="J30" t="s">
        <v>40</v>
      </c>
      <c r="K30" t="s">
        <v>528</v>
      </c>
      <c r="L30" t="s">
        <v>528</v>
      </c>
    </row>
    <row r="31" spans="1:12" x14ac:dyDescent="0.25">
      <c r="A31" t="s">
        <v>93</v>
      </c>
      <c r="B31" t="s">
        <v>1353</v>
      </c>
      <c r="C31" t="s">
        <v>14</v>
      </c>
      <c r="D31" s="2">
        <v>46223</v>
      </c>
      <c r="E31" s="2">
        <v>46224</v>
      </c>
      <c r="F31" s="2">
        <v>46230</v>
      </c>
      <c r="G31" s="2">
        <v>46234</v>
      </c>
      <c r="H31" s="1">
        <v>18353</v>
      </c>
      <c r="I31">
        <v>135.88</v>
      </c>
      <c r="J31" t="s">
        <v>1090</v>
      </c>
    </row>
    <row r="32" spans="1:12" x14ac:dyDescent="0.25">
      <c r="A32" t="s">
        <v>93</v>
      </c>
      <c r="B32" t="s">
        <v>1352</v>
      </c>
      <c r="C32" t="s">
        <v>14</v>
      </c>
      <c r="D32" s="2">
        <v>46223</v>
      </c>
      <c r="E32" s="2">
        <v>46224</v>
      </c>
      <c r="F32" s="2">
        <v>46226</v>
      </c>
      <c r="G32" s="2">
        <v>46234</v>
      </c>
      <c r="H32" s="1">
        <v>24533</v>
      </c>
      <c r="I32">
        <v>143.21</v>
      </c>
      <c r="J32" t="s">
        <v>1090</v>
      </c>
    </row>
    <row r="33" spans="1:12" x14ac:dyDescent="0.25">
      <c r="A33" t="s">
        <v>88</v>
      </c>
      <c r="B33" t="s">
        <v>1327</v>
      </c>
      <c r="C33" t="s">
        <v>24</v>
      </c>
      <c r="D33" s="2">
        <v>46213</v>
      </c>
      <c r="E33" s="2">
        <v>46224</v>
      </c>
      <c r="F33" s="2">
        <v>46234</v>
      </c>
      <c r="G33" s="2">
        <v>46234</v>
      </c>
      <c r="H33" s="1">
        <v>2795</v>
      </c>
      <c r="I33">
        <v>133.1</v>
      </c>
      <c r="J33" t="s">
        <v>40</v>
      </c>
      <c r="K33" t="s">
        <v>528</v>
      </c>
      <c r="L33" t="s">
        <v>528</v>
      </c>
    </row>
    <row r="34" spans="1:12" x14ac:dyDescent="0.25">
      <c r="A34" t="s">
        <v>1358</v>
      </c>
      <c r="B34" t="s">
        <v>1360</v>
      </c>
      <c r="C34" t="s">
        <v>99</v>
      </c>
      <c r="D34" s="2">
        <v>46220</v>
      </c>
      <c r="E34" s="2">
        <v>46220</v>
      </c>
      <c r="F34" s="2">
        <v>46235</v>
      </c>
      <c r="G34" s="2">
        <v>46235</v>
      </c>
      <c r="H34" s="1">
        <v>1156</v>
      </c>
      <c r="I34">
        <v>128.41999999999999</v>
      </c>
      <c r="J34" t="s">
        <v>878</v>
      </c>
    </row>
    <row r="35" spans="1:12" x14ac:dyDescent="0.25">
      <c r="A35" t="s">
        <v>1358</v>
      </c>
      <c r="B35" t="s">
        <v>1359</v>
      </c>
      <c r="C35" t="s">
        <v>99</v>
      </c>
      <c r="D35" s="2">
        <v>46220</v>
      </c>
      <c r="E35" s="2">
        <v>46220</v>
      </c>
      <c r="F35" s="2">
        <v>46235</v>
      </c>
      <c r="G35" s="2">
        <v>46235</v>
      </c>
      <c r="H35" s="1">
        <v>2380</v>
      </c>
      <c r="I35">
        <v>132.22</v>
      </c>
      <c r="J35" t="s">
        <v>878</v>
      </c>
    </row>
    <row r="36" spans="1:12" x14ac:dyDescent="0.25">
      <c r="A36" t="s">
        <v>607</v>
      </c>
      <c r="B36" t="s">
        <v>1056</v>
      </c>
      <c r="C36" t="s">
        <v>21</v>
      </c>
      <c r="D36" s="2">
        <v>46107</v>
      </c>
      <c r="E36" s="2">
        <v>46220</v>
      </c>
      <c r="F36" s="2">
        <v>46235</v>
      </c>
      <c r="G36" s="2">
        <v>46235</v>
      </c>
      <c r="H36" s="1">
        <v>3078</v>
      </c>
      <c r="I36">
        <v>128.25</v>
      </c>
      <c r="J36" t="s">
        <v>878</v>
      </c>
      <c r="L36" t="s">
        <v>528</v>
      </c>
    </row>
    <row r="37" spans="1:12" x14ac:dyDescent="0.25">
      <c r="A37" t="s">
        <v>104</v>
      </c>
      <c r="B37" t="s">
        <v>1357</v>
      </c>
      <c r="C37" t="s">
        <v>850</v>
      </c>
      <c r="D37" s="2">
        <v>46217</v>
      </c>
      <c r="E37" s="2">
        <v>46220</v>
      </c>
      <c r="F37" s="2">
        <v>46235</v>
      </c>
      <c r="G37" s="2">
        <v>46235</v>
      </c>
      <c r="H37" s="1">
        <v>2480</v>
      </c>
      <c r="I37">
        <v>137.78</v>
      </c>
      <c r="J37" t="s">
        <v>16</v>
      </c>
      <c r="K37" t="s">
        <v>528</v>
      </c>
      <c r="L37" t="s">
        <v>528</v>
      </c>
    </row>
    <row r="38" spans="1:12" x14ac:dyDescent="0.25">
      <c r="A38" t="s">
        <v>2</v>
      </c>
      <c r="B38" t="s">
        <v>1362</v>
      </c>
      <c r="C38" t="s">
        <v>14</v>
      </c>
      <c r="D38" s="2">
        <v>46224</v>
      </c>
      <c r="E38" s="2">
        <v>46225</v>
      </c>
      <c r="F38" s="2">
        <v>46237</v>
      </c>
      <c r="G38" s="2">
        <v>46237</v>
      </c>
      <c r="H38">
        <v>400</v>
      </c>
      <c r="I38">
        <v>133.33000000000001</v>
      </c>
      <c r="J38" t="s">
        <v>40</v>
      </c>
      <c r="L38" t="s">
        <v>528</v>
      </c>
    </row>
    <row r="39" spans="1:12" x14ac:dyDescent="0.25">
      <c r="A39" t="s">
        <v>39</v>
      </c>
      <c r="B39" t="s">
        <v>1044</v>
      </c>
      <c r="C39" t="s">
        <v>14</v>
      </c>
      <c r="D39" s="2">
        <v>46108</v>
      </c>
      <c r="E39" s="2">
        <v>46218</v>
      </c>
      <c r="F39" s="2">
        <v>46230</v>
      </c>
      <c r="G39" s="2">
        <v>46237</v>
      </c>
      <c r="H39" s="1">
        <v>33599</v>
      </c>
      <c r="I39">
        <v>132.91</v>
      </c>
      <c r="J39" t="s">
        <v>817</v>
      </c>
      <c r="L39" t="s">
        <v>528</v>
      </c>
    </row>
    <row r="40" spans="1:12" x14ac:dyDescent="0.25">
      <c r="A40" t="s">
        <v>1304</v>
      </c>
      <c r="B40" t="s">
        <v>1453</v>
      </c>
      <c r="C40" t="s">
        <v>32</v>
      </c>
      <c r="D40" s="2">
        <v>46212</v>
      </c>
      <c r="E40" s="2">
        <v>46226</v>
      </c>
      <c r="F40" s="2">
        <v>46234</v>
      </c>
      <c r="G40" s="2">
        <v>46237</v>
      </c>
      <c r="H40" s="1">
        <v>3275</v>
      </c>
      <c r="I40">
        <v>116.96</v>
      </c>
      <c r="J40" t="s">
        <v>878</v>
      </c>
      <c r="L40" t="s">
        <v>528</v>
      </c>
    </row>
    <row r="41" spans="1:12" x14ac:dyDescent="0.25">
      <c r="A41" t="s">
        <v>661</v>
      </c>
      <c r="B41" t="s">
        <v>1351</v>
      </c>
      <c r="C41" t="s">
        <v>14</v>
      </c>
      <c r="D41" s="2">
        <v>46216</v>
      </c>
      <c r="E41" s="2">
        <v>46219</v>
      </c>
      <c r="F41" s="2">
        <v>46230</v>
      </c>
      <c r="G41" s="2">
        <v>46237</v>
      </c>
      <c r="H41" s="1">
        <v>20245</v>
      </c>
      <c r="I41">
        <v>132.07</v>
      </c>
      <c r="J41" t="s">
        <v>16</v>
      </c>
      <c r="L41" t="s">
        <v>528</v>
      </c>
    </row>
    <row r="42" spans="1:12" x14ac:dyDescent="0.25">
      <c r="A42" t="s">
        <v>88</v>
      </c>
      <c r="B42" t="s">
        <v>1318</v>
      </c>
      <c r="C42" t="s">
        <v>1103</v>
      </c>
      <c r="D42" s="2">
        <v>46210</v>
      </c>
      <c r="E42" s="2">
        <v>46218</v>
      </c>
      <c r="F42" s="2">
        <v>46237</v>
      </c>
      <c r="G42" s="2">
        <v>46237</v>
      </c>
      <c r="H42" s="1">
        <v>3120</v>
      </c>
      <c r="I42">
        <v>130</v>
      </c>
      <c r="J42" t="s">
        <v>40</v>
      </c>
    </row>
    <row r="43" spans="1:12" x14ac:dyDescent="0.25">
      <c r="A43" t="s">
        <v>88</v>
      </c>
      <c r="B43" t="s">
        <v>1339</v>
      </c>
      <c r="C43" t="s">
        <v>14</v>
      </c>
      <c r="D43" s="2">
        <v>46224</v>
      </c>
      <c r="E43" s="2">
        <v>46225</v>
      </c>
      <c r="F43" s="2">
        <v>46237</v>
      </c>
      <c r="G43" s="2">
        <v>46237</v>
      </c>
      <c r="H43" s="1">
        <v>1950</v>
      </c>
      <c r="I43">
        <v>130</v>
      </c>
      <c r="J43" t="s">
        <v>817</v>
      </c>
      <c r="K43" t="s">
        <v>528</v>
      </c>
      <c r="L43" t="s">
        <v>528</v>
      </c>
    </row>
    <row r="44" spans="1:12" x14ac:dyDescent="0.25">
      <c r="A44" t="s">
        <v>88</v>
      </c>
      <c r="B44" t="s">
        <v>1336</v>
      </c>
      <c r="C44" t="s">
        <v>38</v>
      </c>
      <c r="D44" s="2">
        <v>46224</v>
      </c>
      <c r="E44" s="2">
        <v>46225</v>
      </c>
      <c r="F44" s="2">
        <v>46237</v>
      </c>
      <c r="G44" s="2">
        <v>46237</v>
      </c>
      <c r="H44" s="1">
        <v>2250</v>
      </c>
      <c r="I44">
        <v>150</v>
      </c>
      <c r="J44" t="s">
        <v>40</v>
      </c>
      <c r="L44" t="s">
        <v>528</v>
      </c>
    </row>
    <row r="45" spans="1:12" x14ac:dyDescent="0.25">
      <c r="A45" t="s">
        <v>88</v>
      </c>
      <c r="B45" t="s">
        <v>1335</v>
      </c>
      <c r="C45" t="s">
        <v>38</v>
      </c>
      <c r="D45" s="2">
        <v>46224</v>
      </c>
      <c r="E45" s="2">
        <v>46225</v>
      </c>
      <c r="F45" s="2">
        <v>46237</v>
      </c>
      <c r="G45" s="2">
        <v>46237</v>
      </c>
      <c r="H45">
        <v>395</v>
      </c>
      <c r="I45">
        <v>131.66999999999999</v>
      </c>
      <c r="J45" t="s">
        <v>40</v>
      </c>
      <c r="K45" t="s">
        <v>528</v>
      </c>
      <c r="L45" t="s">
        <v>528</v>
      </c>
    </row>
    <row r="46" spans="1:12" x14ac:dyDescent="0.25">
      <c r="A46" t="s">
        <v>88</v>
      </c>
      <c r="B46" t="s">
        <v>1319</v>
      </c>
      <c r="C46" t="s">
        <v>32</v>
      </c>
      <c r="D46" s="2">
        <v>46071</v>
      </c>
      <c r="E46" s="2">
        <v>46216</v>
      </c>
      <c r="F46" s="2">
        <v>46230</v>
      </c>
      <c r="G46" s="2">
        <v>46237</v>
      </c>
      <c r="H46" s="1">
        <v>23746</v>
      </c>
      <c r="I46">
        <v>125.74</v>
      </c>
      <c r="J46" t="s">
        <v>878</v>
      </c>
      <c r="L46" t="s">
        <v>528</v>
      </c>
    </row>
    <row r="47" spans="1:12" x14ac:dyDescent="0.25">
      <c r="A47" t="s">
        <v>92</v>
      </c>
      <c r="B47" t="s">
        <v>1244</v>
      </c>
      <c r="C47" t="s">
        <v>20</v>
      </c>
      <c r="D47" s="2">
        <v>46185</v>
      </c>
      <c r="F47" s="2">
        <v>46237</v>
      </c>
      <c r="G47" s="2">
        <v>46237</v>
      </c>
      <c r="H47" s="1">
        <v>2260</v>
      </c>
      <c r="I47">
        <v>80</v>
      </c>
      <c r="J47" t="s">
        <v>817</v>
      </c>
    </row>
    <row r="48" spans="1:12" x14ac:dyDescent="0.25">
      <c r="A48" t="s">
        <v>124</v>
      </c>
      <c r="B48" t="s">
        <v>974</v>
      </c>
      <c r="C48" t="s">
        <v>42</v>
      </c>
      <c r="D48" s="2">
        <v>46097</v>
      </c>
      <c r="E48" s="2">
        <v>46226</v>
      </c>
      <c r="F48" s="2">
        <v>46238</v>
      </c>
      <c r="G48" s="2">
        <v>46238</v>
      </c>
      <c r="H48" s="1">
        <v>1275</v>
      </c>
      <c r="I48">
        <v>141.66999999999999</v>
      </c>
      <c r="J48" t="s">
        <v>40</v>
      </c>
      <c r="L48" t="s">
        <v>528</v>
      </c>
    </row>
    <row r="49" spans="1:12" x14ac:dyDescent="0.25">
      <c r="A49" t="s">
        <v>69</v>
      </c>
      <c r="B49" t="s">
        <v>1021</v>
      </c>
      <c r="C49" t="s">
        <v>14</v>
      </c>
      <c r="D49" s="2">
        <v>46097</v>
      </c>
      <c r="E49" s="2">
        <v>46225</v>
      </c>
      <c r="F49" s="2">
        <v>46238</v>
      </c>
      <c r="G49" s="2">
        <v>46238</v>
      </c>
      <c r="H49" s="1">
        <v>4876</v>
      </c>
      <c r="I49">
        <v>135.44</v>
      </c>
      <c r="J49" t="s">
        <v>40</v>
      </c>
      <c r="L49" t="s">
        <v>528</v>
      </c>
    </row>
    <row r="50" spans="1:12" x14ac:dyDescent="0.25">
      <c r="A50" t="s">
        <v>1304</v>
      </c>
      <c r="B50" t="s">
        <v>1452</v>
      </c>
      <c r="C50" t="s">
        <v>32</v>
      </c>
      <c r="D50" s="2">
        <v>46212</v>
      </c>
      <c r="F50" s="2">
        <v>46238</v>
      </c>
      <c r="G50" s="2">
        <v>46238</v>
      </c>
      <c r="H50" s="1">
        <v>1930</v>
      </c>
      <c r="I50">
        <v>120.63</v>
      </c>
      <c r="J50" t="s">
        <v>878</v>
      </c>
      <c r="L50" t="s">
        <v>528</v>
      </c>
    </row>
    <row r="51" spans="1:12" x14ac:dyDescent="0.25">
      <c r="A51" t="s">
        <v>1304</v>
      </c>
      <c r="B51" t="s">
        <v>1451</v>
      </c>
      <c r="C51" t="s">
        <v>32</v>
      </c>
      <c r="D51" s="2">
        <v>46212</v>
      </c>
      <c r="F51" s="2">
        <v>46238</v>
      </c>
      <c r="G51" s="2">
        <v>46238</v>
      </c>
      <c r="H51" s="1">
        <v>1425</v>
      </c>
      <c r="I51">
        <v>118.75</v>
      </c>
      <c r="J51" t="s">
        <v>878</v>
      </c>
    </row>
    <row r="52" spans="1:12" x14ac:dyDescent="0.25">
      <c r="A52" t="s">
        <v>1304</v>
      </c>
      <c r="B52" t="s">
        <v>1450</v>
      </c>
      <c r="C52" t="s">
        <v>32</v>
      </c>
      <c r="D52" s="2">
        <v>46212</v>
      </c>
      <c r="F52" s="2">
        <v>46238</v>
      </c>
      <c r="G52" s="2">
        <v>46238</v>
      </c>
      <c r="H52" s="1">
        <v>1110</v>
      </c>
      <c r="I52">
        <v>138.75</v>
      </c>
      <c r="J52" t="s">
        <v>878</v>
      </c>
    </row>
    <row r="53" spans="1:12" x14ac:dyDescent="0.25">
      <c r="A53" t="s">
        <v>210</v>
      </c>
      <c r="B53" t="s">
        <v>1449</v>
      </c>
      <c r="C53" t="s">
        <v>857</v>
      </c>
      <c r="D53" s="2">
        <v>46230</v>
      </c>
      <c r="E53" s="2">
        <v>46227</v>
      </c>
      <c r="F53" s="2">
        <v>46237</v>
      </c>
      <c r="G53" s="2">
        <v>46238</v>
      </c>
      <c r="H53" s="1">
        <v>7570</v>
      </c>
      <c r="I53">
        <v>140.18</v>
      </c>
      <c r="J53" t="s">
        <v>16</v>
      </c>
      <c r="L53" t="s">
        <v>528</v>
      </c>
    </row>
    <row r="54" spans="1:12" x14ac:dyDescent="0.25">
      <c r="A54" t="s">
        <v>3</v>
      </c>
      <c r="B54" t="s">
        <v>1448</v>
      </c>
      <c r="C54" t="s">
        <v>98</v>
      </c>
      <c r="D54" s="2">
        <v>46227</v>
      </c>
      <c r="E54" s="2">
        <v>46227</v>
      </c>
      <c r="F54" s="2">
        <v>46238</v>
      </c>
      <c r="G54" s="2">
        <v>46238</v>
      </c>
      <c r="H54" s="1">
        <v>6423</v>
      </c>
      <c r="I54">
        <v>178.42</v>
      </c>
      <c r="J54" t="s">
        <v>16</v>
      </c>
      <c r="L54" t="s">
        <v>528</v>
      </c>
    </row>
    <row r="55" spans="1:12" x14ac:dyDescent="0.25">
      <c r="A55" t="s">
        <v>88</v>
      </c>
      <c r="B55" t="s">
        <v>1340</v>
      </c>
      <c r="C55" t="s">
        <v>14</v>
      </c>
      <c r="D55" s="2">
        <v>46220</v>
      </c>
      <c r="E55" s="2">
        <v>46224</v>
      </c>
      <c r="F55" s="2">
        <v>46232</v>
      </c>
      <c r="G55" s="2">
        <v>46238</v>
      </c>
      <c r="H55" s="1">
        <v>22293</v>
      </c>
      <c r="I55">
        <v>130.37</v>
      </c>
      <c r="J55" t="s">
        <v>817</v>
      </c>
      <c r="L55" t="s">
        <v>528</v>
      </c>
    </row>
    <row r="56" spans="1:12" x14ac:dyDescent="0.25">
      <c r="A56" t="s">
        <v>1307</v>
      </c>
      <c r="B56" t="s">
        <v>1323</v>
      </c>
      <c r="C56" t="s">
        <v>55</v>
      </c>
      <c r="D56" s="2">
        <v>46218</v>
      </c>
      <c r="E56" s="2">
        <v>46218</v>
      </c>
      <c r="F56" s="2">
        <v>46234</v>
      </c>
      <c r="G56" s="2">
        <v>46238</v>
      </c>
      <c r="H56" s="1">
        <v>8998</v>
      </c>
      <c r="I56">
        <v>133.30000000000001</v>
      </c>
      <c r="J56" t="s">
        <v>878</v>
      </c>
      <c r="L56" t="s">
        <v>528</v>
      </c>
    </row>
    <row r="57" spans="1:12" x14ac:dyDescent="0.25">
      <c r="A57" t="s">
        <v>88</v>
      </c>
      <c r="B57" t="s">
        <v>1123</v>
      </c>
      <c r="C57" t="s">
        <v>35</v>
      </c>
      <c r="D57" s="2">
        <v>46135</v>
      </c>
      <c r="E57" s="2">
        <v>46225</v>
      </c>
      <c r="F57" s="2">
        <v>46239</v>
      </c>
      <c r="G57" s="2">
        <v>46239</v>
      </c>
      <c r="H57" s="1">
        <v>4944</v>
      </c>
      <c r="I57">
        <v>137.32</v>
      </c>
      <c r="J57" t="s">
        <v>40</v>
      </c>
      <c r="L57" t="s">
        <v>528</v>
      </c>
    </row>
    <row r="58" spans="1:12" x14ac:dyDescent="0.25">
      <c r="A58" t="s">
        <v>2</v>
      </c>
      <c r="B58" t="s">
        <v>1284</v>
      </c>
      <c r="C58" t="s">
        <v>26</v>
      </c>
      <c r="D58" s="2">
        <v>46197</v>
      </c>
      <c r="F58" s="2">
        <v>46240</v>
      </c>
      <c r="G58" s="2">
        <v>46240</v>
      </c>
      <c r="H58" s="1">
        <v>6000</v>
      </c>
      <c r="I58">
        <v>208.33</v>
      </c>
      <c r="J58" t="s">
        <v>40</v>
      </c>
      <c r="L58" t="s">
        <v>528</v>
      </c>
    </row>
    <row r="59" spans="1:12" x14ac:dyDescent="0.25">
      <c r="A59" t="s">
        <v>1304</v>
      </c>
      <c r="B59" t="s">
        <v>1447</v>
      </c>
      <c r="C59" t="s">
        <v>32</v>
      </c>
      <c r="D59" s="2">
        <v>46212</v>
      </c>
      <c r="F59" s="2">
        <v>46240</v>
      </c>
      <c r="G59" s="2">
        <v>46240</v>
      </c>
      <c r="H59" s="1">
        <v>13561</v>
      </c>
      <c r="I59">
        <v>0</v>
      </c>
      <c r="J59" t="s">
        <v>878</v>
      </c>
    </row>
    <row r="60" spans="1:12" x14ac:dyDescent="0.25">
      <c r="A60" t="s">
        <v>1304</v>
      </c>
      <c r="B60" t="s">
        <v>1446</v>
      </c>
      <c r="C60" t="s">
        <v>32</v>
      </c>
      <c r="D60" s="2">
        <v>46212</v>
      </c>
      <c r="F60" s="2">
        <v>46240</v>
      </c>
      <c r="G60" s="2">
        <v>46240</v>
      </c>
      <c r="H60">
        <v>612</v>
      </c>
      <c r="I60">
        <v>8.7899999999999991</v>
      </c>
      <c r="J60" t="s">
        <v>878</v>
      </c>
      <c r="L60" t="s">
        <v>528</v>
      </c>
    </row>
    <row r="61" spans="1:12" x14ac:dyDescent="0.25">
      <c r="A61" t="s">
        <v>1304</v>
      </c>
      <c r="B61" t="s">
        <v>1445</v>
      </c>
      <c r="C61" t="s">
        <v>32</v>
      </c>
      <c r="D61" s="2">
        <v>46212</v>
      </c>
      <c r="F61" s="2">
        <v>46240</v>
      </c>
      <c r="G61" s="2">
        <v>46240</v>
      </c>
      <c r="H61">
        <v>671</v>
      </c>
      <c r="I61">
        <v>0</v>
      </c>
      <c r="J61" t="s">
        <v>878</v>
      </c>
    </row>
    <row r="62" spans="1:12" x14ac:dyDescent="0.25">
      <c r="A62" t="s">
        <v>33</v>
      </c>
      <c r="B62" t="s">
        <v>1345</v>
      </c>
      <c r="C62" t="s">
        <v>42</v>
      </c>
      <c r="D62" s="2">
        <v>46220</v>
      </c>
      <c r="E62" s="2">
        <v>46226</v>
      </c>
      <c r="F62" s="2">
        <v>46239</v>
      </c>
      <c r="G62" s="2">
        <v>46240</v>
      </c>
      <c r="H62" s="1">
        <v>6988</v>
      </c>
      <c r="I62">
        <v>129.4</v>
      </c>
      <c r="J62" t="s">
        <v>878</v>
      </c>
      <c r="L62" t="s">
        <v>528</v>
      </c>
    </row>
    <row r="63" spans="1:12" x14ac:dyDescent="0.25">
      <c r="A63" t="s">
        <v>92</v>
      </c>
      <c r="B63" t="s">
        <v>892</v>
      </c>
      <c r="C63" t="s">
        <v>23</v>
      </c>
      <c r="D63" s="2">
        <v>46044</v>
      </c>
      <c r="E63" s="2">
        <v>46225</v>
      </c>
      <c r="F63" s="2">
        <v>46239</v>
      </c>
      <c r="G63" s="2">
        <v>46240</v>
      </c>
      <c r="H63" s="1">
        <v>8090</v>
      </c>
      <c r="I63">
        <v>134.83000000000001</v>
      </c>
      <c r="J63" t="s">
        <v>40</v>
      </c>
    </row>
    <row r="64" spans="1:12" x14ac:dyDescent="0.25">
      <c r="A64" t="s">
        <v>69</v>
      </c>
      <c r="B64" t="s">
        <v>949</v>
      </c>
      <c r="C64" t="s">
        <v>97</v>
      </c>
      <c r="D64" s="2">
        <v>46091</v>
      </c>
      <c r="E64" s="2">
        <v>46230</v>
      </c>
      <c r="F64" s="2">
        <v>46241</v>
      </c>
      <c r="G64" s="2">
        <v>46241</v>
      </c>
      <c r="H64" s="1">
        <v>1900</v>
      </c>
      <c r="I64">
        <v>158.33000000000001</v>
      </c>
      <c r="J64" t="s">
        <v>878</v>
      </c>
    </row>
    <row r="65" spans="1:12" x14ac:dyDescent="0.25">
      <c r="A65" t="s">
        <v>1444</v>
      </c>
      <c r="B65" t="s">
        <v>1443</v>
      </c>
      <c r="C65" t="s">
        <v>20</v>
      </c>
      <c r="D65" s="2">
        <v>46230</v>
      </c>
      <c r="E65" s="2">
        <v>46230</v>
      </c>
      <c r="F65" s="2">
        <v>46240</v>
      </c>
      <c r="G65" s="2">
        <v>46241</v>
      </c>
      <c r="H65" s="1">
        <v>10350</v>
      </c>
      <c r="I65">
        <v>143.75</v>
      </c>
      <c r="J65" t="s">
        <v>817</v>
      </c>
      <c r="K65" t="s">
        <v>528</v>
      </c>
      <c r="L65" t="s">
        <v>528</v>
      </c>
    </row>
    <row r="66" spans="1:12" x14ac:dyDescent="0.25">
      <c r="A66" t="s">
        <v>111</v>
      </c>
      <c r="B66" t="s">
        <v>1220</v>
      </c>
      <c r="C66" t="s">
        <v>14</v>
      </c>
      <c r="D66" s="2">
        <v>46169</v>
      </c>
      <c r="F66" s="2">
        <v>46241</v>
      </c>
      <c r="G66" s="2">
        <v>46241</v>
      </c>
      <c r="H66">
        <v>66</v>
      </c>
      <c r="I66">
        <v>3.67</v>
      </c>
      <c r="J66" t="s">
        <v>16</v>
      </c>
    </row>
    <row r="67" spans="1:12" x14ac:dyDescent="0.25">
      <c r="A67" t="s">
        <v>812</v>
      </c>
      <c r="B67" t="s">
        <v>1011</v>
      </c>
      <c r="C67" t="s">
        <v>18</v>
      </c>
      <c r="D67" s="2">
        <v>46100</v>
      </c>
      <c r="E67" s="2">
        <v>46226</v>
      </c>
      <c r="F67" s="2">
        <v>46240</v>
      </c>
      <c r="G67" s="2">
        <v>46241</v>
      </c>
      <c r="H67" s="1">
        <v>9078</v>
      </c>
      <c r="I67">
        <v>144.09</v>
      </c>
      <c r="J67" t="s">
        <v>40</v>
      </c>
      <c r="L67" t="s">
        <v>528</v>
      </c>
    </row>
    <row r="68" spans="1:12" x14ac:dyDescent="0.25">
      <c r="A68" t="s">
        <v>662</v>
      </c>
      <c r="B68" t="s">
        <v>980</v>
      </c>
      <c r="C68" t="s">
        <v>64</v>
      </c>
      <c r="D68" s="2">
        <v>46105</v>
      </c>
      <c r="E68" s="2">
        <v>46225</v>
      </c>
      <c r="F68" s="2">
        <v>46237</v>
      </c>
      <c r="G68" s="2">
        <v>46241</v>
      </c>
      <c r="H68" s="1">
        <v>17314</v>
      </c>
      <c r="I68">
        <v>131.16</v>
      </c>
      <c r="J68" t="s">
        <v>40</v>
      </c>
      <c r="L68" t="s">
        <v>528</v>
      </c>
    </row>
    <row r="69" spans="1:12" x14ac:dyDescent="0.25">
      <c r="A69" t="s">
        <v>662</v>
      </c>
      <c r="B69" t="s">
        <v>1316</v>
      </c>
      <c r="C69" t="s">
        <v>23</v>
      </c>
      <c r="D69" s="2">
        <v>46212</v>
      </c>
      <c r="E69" s="2">
        <v>46225</v>
      </c>
      <c r="F69" s="2">
        <v>46238</v>
      </c>
      <c r="G69" s="2">
        <v>46241</v>
      </c>
      <c r="H69" s="1">
        <v>14260</v>
      </c>
      <c r="I69">
        <v>132.04</v>
      </c>
      <c r="J69" t="s">
        <v>40</v>
      </c>
      <c r="L69" t="s">
        <v>528</v>
      </c>
    </row>
    <row r="70" spans="1:12" x14ac:dyDescent="0.25">
      <c r="A70" t="s">
        <v>92</v>
      </c>
      <c r="B70" t="s">
        <v>1243</v>
      </c>
      <c r="C70" t="s">
        <v>20</v>
      </c>
      <c r="D70" s="2">
        <v>46185</v>
      </c>
      <c r="E70" s="2">
        <v>46226</v>
      </c>
      <c r="F70" s="2">
        <v>46237</v>
      </c>
      <c r="G70" s="2">
        <v>46241</v>
      </c>
      <c r="H70" s="1">
        <v>34850</v>
      </c>
      <c r="I70">
        <v>138.29</v>
      </c>
      <c r="J70" t="s">
        <v>817</v>
      </c>
    </row>
    <row r="71" spans="1:12" x14ac:dyDescent="0.25">
      <c r="A71" t="s">
        <v>4</v>
      </c>
      <c r="B71" t="s">
        <v>1317</v>
      </c>
      <c r="C71" t="s">
        <v>45</v>
      </c>
      <c r="D71" s="2">
        <v>45947</v>
      </c>
      <c r="E71" s="2">
        <v>46230</v>
      </c>
      <c r="F71" s="2">
        <v>46241</v>
      </c>
      <c r="G71" s="2">
        <v>46241</v>
      </c>
      <c r="H71" s="1">
        <v>1700</v>
      </c>
      <c r="I71">
        <v>141.66999999999999</v>
      </c>
      <c r="J71" t="s">
        <v>878</v>
      </c>
    </row>
    <row r="72" spans="1:12" x14ac:dyDescent="0.25">
      <c r="A72" t="s">
        <v>825</v>
      </c>
      <c r="B72" t="s">
        <v>1057</v>
      </c>
      <c r="C72" t="s">
        <v>46</v>
      </c>
      <c r="D72" s="2">
        <v>46107</v>
      </c>
      <c r="F72" s="2">
        <v>46242</v>
      </c>
      <c r="G72" s="2">
        <v>46242</v>
      </c>
      <c r="H72" s="1">
        <v>3612</v>
      </c>
      <c r="I72">
        <v>133.78</v>
      </c>
      <c r="J72" t="s">
        <v>817</v>
      </c>
      <c r="L72" t="s">
        <v>528</v>
      </c>
    </row>
    <row r="73" spans="1:12" x14ac:dyDescent="0.25">
      <c r="A73" t="s">
        <v>825</v>
      </c>
      <c r="B73" t="s">
        <v>1058</v>
      </c>
      <c r="C73" t="s">
        <v>46</v>
      </c>
      <c r="D73" s="2">
        <v>46107</v>
      </c>
      <c r="E73" s="2">
        <v>46220</v>
      </c>
      <c r="F73" s="2">
        <v>46235</v>
      </c>
      <c r="G73" s="2">
        <v>46242</v>
      </c>
      <c r="H73" s="1">
        <v>10185</v>
      </c>
      <c r="I73">
        <v>141.46</v>
      </c>
      <c r="J73" t="s">
        <v>817</v>
      </c>
      <c r="L73" t="s">
        <v>528</v>
      </c>
    </row>
    <row r="74" spans="1:12" x14ac:dyDescent="0.25">
      <c r="A74" t="s">
        <v>699</v>
      </c>
      <c r="B74" t="s">
        <v>1104</v>
      </c>
      <c r="C74" t="s">
        <v>31</v>
      </c>
      <c r="D74" s="2">
        <v>46105</v>
      </c>
      <c r="E74" s="2">
        <v>46230</v>
      </c>
      <c r="F74" s="2">
        <v>46242</v>
      </c>
      <c r="G74" s="2">
        <v>46242</v>
      </c>
      <c r="H74" s="1">
        <v>9940</v>
      </c>
      <c r="I74">
        <v>140.99</v>
      </c>
      <c r="J74" t="s">
        <v>878</v>
      </c>
      <c r="L74" t="s">
        <v>528</v>
      </c>
    </row>
    <row r="75" spans="1:12" x14ac:dyDescent="0.25">
      <c r="A75" t="s">
        <v>699</v>
      </c>
      <c r="B75" t="s">
        <v>1107</v>
      </c>
      <c r="C75" t="s">
        <v>31</v>
      </c>
      <c r="D75" s="2">
        <v>46101</v>
      </c>
      <c r="F75" s="2">
        <v>46242</v>
      </c>
      <c r="G75" s="2">
        <v>46242</v>
      </c>
      <c r="H75">
        <v>975</v>
      </c>
      <c r="I75">
        <v>25</v>
      </c>
      <c r="J75" t="s">
        <v>878</v>
      </c>
    </row>
    <row r="76" spans="1:12" x14ac:dyDescent="0.25">
      <c r="A76" t="s">
        <v>1442</v>
      </c>
      <c r="B76" t="s">
        <v>1441</v>
      </c>
      <c r="C76" t="s">
        <v>211</v>
      </c>
      <c r="D76" s="2">
        <v>46227</v>
      </c>
      <c r="E76" s="2">
        <v>46227</v>
      </c>
      <c r="F76" s="2">
        <v>46235</v>
      </c>
      <c r="G76" s="2">
        <v>46242</v>
      </c>
      <c r="H76" s="1">
        <v>17950</v>
      </c>
      <c r="I76">
        <v>132.96</v>
      </c>
      <c r="J76" t="s">
        <v>16</v>
      </c>
      <c r="K76" t="s">
        <v>528</v>
      </c>
      <c r="L76" t="s">
        <v>528</v>
      </c>
    </row>
    <row r="77" spans="1:12" x14ac:dyDescent="0.25">
      <c r="A77" t="s">
        <v>162</v>
      </c>
      <c r="B77" t="s">
        <v>932</v>
      </c>
      <c r="C77" t="s">
        <v>14</v>
      </c>
      <c r="D77" s="2">
        <v>46084</v>
      </c>
      <c r="E77" s="2">
        <v>46143</v>
      </c>
      <c r="F77" s="2">
        <v>46242</v>
      </c>
      <c r="G77" s="2">
        <v>46242</v>
      </c>
      <c r="H77" s="1">
        <v>7290</v>
      </c>
      <c r="I77">
        <v>171.53</v>
      </c>
      <c r="J77" t="s">
        <v>817</v>
      </c>
      <c r="L77" t="s">
        <v>528</v>
      </c>
    </row>
    <row r="78" spans="1:12" x14ac:dyDescent="0.25">
      <c r="A78" t="s">
        <v>69</v>
      </c>
      <c r="B78" t="s">
        <v>1440</v>
      </c>
      <c r="C78" t="s">
        <v>20</v>
      </c>
      <c r="D78" s="2">
        <v>46231</v>
      </c>
      <c r="E78" s="2">
        <v>46231</v>
      </c>
      <c r="F78" s="2">
        <v>46244</v>
      </c>
      <c r="G78" s="2">
        <v>46244</v>
      </c>
      <c r="H78" s="1">
        <v>3480</v>
      </c>
      <c r="I78">
        <v>128.88999999999999</v>
      </c>
      <c r="J78" t="s">
        <v>817</v>
      </c>
      <c r="L78" t="s">
        <v>528</v>
      </c>
    </row>
    <row r="79" spans="1:12" x14ac:dyDescent="0.25">
      <c r="A79" t="s">
        <v>250</v>
      </c>
      <c r="B79" t="s">
        <v>884</v>
      </c>
      <c r="C79" t="s">
        <v>42</v>
      </c>
      <c r="D79" s="2">
        <v>45919</v>
      </c>
      <c r="E79" s="2">
        <v>46036</v>
      </c>
      <c r="F79" s="2">
        <v>46244</v>
      </c>
      <c r="G79" s="2">
        <v>46244</v>
      </c>
      <c r="H79">
        <v>695</v>
      </c>
      <c r="I79">
        <v>139</v>
      </c>
      <c r="J79" t="s">
        <v>878</v>
      </c>
      <c r="K79" t="s">
        <v>528</v>
      </c>
      <c r="L79" t="s">
        <v>528</v>
      </c>
    </row>
    <row r="80" spans="1:12" x14ac:dyDescent="0.25">
      <c r="A80" t="s">
        <v>250</v>
      </c>
      <c r="B80" t="s">
        <v>885</v>
      </c>
      <c r="C80" t="s">
        <v>42</v>
      </c>
      <c r="D80" s="2">
        <v>45828</v>
      </c>
      <c r="E80" s="2">
        <v>46036</v>
      </c>
      <c r="F80" s="2">
        <v>46244</v>
      </c>
      <c r="G80" s="2">
        <v>46244</v>
      </c>
      <c r="H80" s="1">
        <v>2290</v>
      </c>
      <c r="I80">
        <v>130.86000000000001</v>
      </c>
      <c r="J80" t="s">
        <v>878</v>
      </c>
      <c r="K80" t="s">
        <v>528</v>
      </c>
      <c r="L80" t="s">
        <v>528</v>
      </c>
    </row>
    <row r="81" spans="1:12" x14ac:dyDescent="0.25">
      <c r="A81" t="s">
        <v>250</v>
      </c>
      <c r="B81" t="s">
        <v>893</v>
      </c>
      <c r="C81" t="s">
        <v>42</v>
      </c>
      <c r="D81" s="2">
        <v>46051</v>
      </c>
      <c r="F81" s="2">
        <v>46244</v>
      </c>
      <c r="G81" s="2">
        <v>46244</v>
      </c>
      <c r="H81" s="1">
        <v>9000</v>
      </c>
      <c r="I81">
        <v>128.57</v>
      </c>
      <c r="J81" t="s">
        <v>878</v>
      </c>
      <c r="K81" t="s">
        <v>528</v>
      </c>
      <c r="L81" t="s">
        <v>528</v>
      </c>
    </row>
    <row r="82" spans="1:12" x14ac:dyDescent="0.25">
      <c r="A82" t="s">
        <v>111</v>
      </c>
      <c r="B82" t="s">
        <v>1164</v>
      </c>
      <c r="C82" t="s">
        <v>14</v>
      </c>
      <c r="D82" s="2">
        <v>46141</v>
      </c>
      <c r="F82" s="2">
        <v>46244</v>
      </c>
      <c r="G82" s="2">
        <v>46244</v>
      </c>
      <c r="H82" s="1">
        <v>2046</v>
      </c>
      <c r="I82">
        <v>113.67</v>
      </c>
      <c r="J82" t="s">
        <v>16</v>
      </c>
    </row>
    <row r="83" spans="1:12" x14ac:dyDescent="0.25">
      <c r="A83" t="s">
        <v>33</v>
      </c>
      <c r="B83" t="s">
        <v>1439</v>
      </c>
      <c r="C83" t="s">
        <v>23</v>
      </c>
      <c r="D83" s="2">
        <v>46226</v>
      </c>
      <c r="E83" s="2">
        <v>46227</v>
      </c>
      <c r="F83" s="2">
        <v>46244</v>
      </c>
      <c r="G83" s="2">
        <v>46244</v>
      </c>
      <c r="H83" s="1">
        <v>5400</v>
      </c>
      <c r="I83">
        <v>150</v>
      </c>
      <c r="J83" t="s">
        <v>40</v>
      </c>
      <c r="K83" t="s">
        <v>528</v>
      </c>
      <c r="L83" t="s">
        <v>528</v>
      </c>
    </row>
    <row r="84" spans="1:12" x14ac:dyDescent="0.25">
      <c r="A84" t="s">
        <v>3</v>
      </c>
      <c r="B84" t="s">
        <v>1322</v>
      </c>
      <c r="C84" t="s">
        <v>18</v>
      </c>
      <c r="D84" s="2">
        <v>46210</v>
      </c>
      <c r="E84" s="2">
        <v>46227</v>
      </c>
      <c r="F84" s="2">
        <v>46244</v>
      </c>
      <c r="G84" s="2">
        <v>46244</v>
      </c>
      <c r="H84">
        <v>225</v>
      </c>
      <c r="I84">
        <v>150</v>
      </c>
      <c r="J84" t="s">
        <v>40</v>
      </c>
      <c r="L84" t="s">
        <v>528</v>
      </c>
    </row>
    <row r="85" spans="1:12" x14ac:dyDescent="0.25">
      <c r="A85" t="s">
        <v>88</v>
      </c>
      <c r="B85" t="s">
        <v>1019</v>
      </c>
      <c r="C85" t="s">
        <v>25</v>
      </c>
      <c r="D85" s="2">
        <v>46105</v>
      </c>
      <c r="E85" s="2">
        <v>46225</v>
      </c>
      <c r="F85" s="2">
        <v>46232</v>
      </c>
      <c r="G85" s="2">
        <v>46244</v>
      </c>
      <c r="H85" s="1">
        <v>32761</v>
      </c>
      <c r="I85">
        <v>134.82</v>
      </c>
      <c r="J85" t="s">
        <v>40</v>
      </c>
      <c r="L85" t="s">
        <v>528</v>
      </c>
    </row>
    <row r="86" spans="1:12" x14ac:dyDescent="0.25">
      <c r="A86" t="s">
        <v>106</v>
      </c>
      <c r="B86" t="s">
        <v>1438</v>
      </c>
      <c r="C86" t="s">
        <v>35</v>
      </c>
      <c r="D86" s="2">
        <v>46134</v>
      </c>
      <c r="E86" s="2">
        <v>46225</v>
      </c>
      <c r="F86" s="2">
        <v>46238</v>
      </c>
      <c r="G86" s="2">
        <v>46244</v>
      </c>
      <c r="H86" s="1">
        <v>20865</v>
      </c>
      <c r="I86">
        <v>136.37</v>
      </c>
      <c r="J86" t="s">
        <v>40</v>
      </c>
    </row>
    <row r="87" spans="1:12" x14ac:dyDescent="0.25">
      <c r="A87" t="s">
        <v>65</v>
      </c>
      <c r="B87" t="s">
        <v>1054</v>
      </c>
      <c r="C87" t="s">
        <v>14</v>
      </c>
      <c r="D87" s="2">
        <v>46107</v>
      </c>
      <c r="E87" s="2">
        <v>46232</v>
      </c>
      <c r="F87" s="2">
        <v>46245</v>
      </c>
      <c r="G87" s="2">
        <v>46245</v>
      </c>
      <c r="H87" s="1">
        <v>5384</v>
      </c>
      <c r="I87">
        <v>134.6</v>
      </c>
      <c r="J87" t="s">
        <v>817</v>
      </c>
      <c r="L87" t="s">
        <v>528</v>
      </c>
    </row>
    <row r="88" spans="1:12" x14ac:dyDescent="0.25">
      <c r="A88" t="s">
        <v>111</v>
      </c>
      <c r="B88" t="s">
        <v>1163</v>
      </c>
      <c r="C88" t="s">
        <v>14</v>
      </c>
      <c r="D88" s="2">
        <v>46141</v>
      </c>
      <c r="F88" s="2">
        <v>46245</v>
      </c>
      <c r="G88" s="2">
        <v>46245</v>
      </c>
      <c r="H88" s="1">
        <v>1485</v>
      </c>
      <c r="I88">
        <v>82.5</v>
      </c>
      <c r="J88" t="s">
        <v>16</v>
      </c>
    </row>
    <row r="89" spans="1:12" x14ac:dyDescent="0.25">
      <c r="A89" t="s">
        <v>33</v>
      </c>
      <c r="B89" t="s">
        <v>1258</v>
      </c>
      <c r="C89" t="s">
        <v>42</v>
      </c>
      <c r="D89" s="2">
        <v>46140</v>
      </c>
      <c r="E89" s="2">
        <v>46164</v>
      </c>
      <c r="F89" s="2">
        <v>46245</v>
      </c>
      <c r="G89" s="2">
        <v>46245</v>
      </c>
      <c r="H89" s="1">
        <v>15010</v>
      </c>
      <c r="I89" s="27">
        <v>1667.78</v>
      </c>
      <c r="J89" t="s">
        <v>40</v>
      </c>
    </row>
    <row r="90" spans="1:12" x14ac:dyDescent="0.25">
      <c r="A90" t="s">
        <v>3</v>
      </c>
      <c r="B90" t="s">
        <v>1082</v>
      </c>
      <c r="C90" t="s">
        <v>35</v>
      </c>
      <c r="D90" s="2">
        <v>46119</v>
      </c>
      <c r="F90" s="2">
        <v>46245</v>
      </c>
      <c r="G90" s="2">
        <v>46245</v>
      </c>
      <c r="H90" s="1">
        <v>4609</v>
      </c>
      <c r="I90">
        <v>128.03</v>
      </c>
      <c r="J90" t="s">
        <v>40</v>
      </c>
      <c r="L90" t="s">
        <v>528</v>
      </c>
    </row>
    <row r="91" spans="1:12" x14ac:dyDescent="0.25">
      <c r="A91" t="s">
        <v>3</v>
      </c>
      <c r="B91" t="s">
        <v>1293</v>
      </c>
      <c r="C91" t="s">
        <v>32</v>
      </c>
      <c r="D91" s="2">
        <v>46205</v>
      </c>
      <c r="E91" s="2">
        <v>46231</v>
      </c>
      <c r="F91" s="2">
        <v>46239</v>
      </c>
      <c r="G91" s="2">
        <v>46245</v>
      </c>
      <c r="H91" s="1">
        <v>28565</v>
      </c>
      <c r="I91">
        <v>132.25</v>
      </c>
      <c r="J91" t="s">
        <v>878</v>
      </c>
      <c r="L91" t="s">
        <v>528</v>
      </c>
    </row>
    <row r="92" spans="1:12" x14ac:dyDescent="0.25">
      <c r="A92" t="s">
        <v>834</v>
      </c>
      <c r="B92" t="s">
        <v>1437</v>
      </c>
      <c r="C92" t="s">
        <v>35</v>
      </c>
      <c r="D92" s="2">
        <v>46227</v>
      </c>
      <c r="E92" s="2">
        <v>46227</v>
      </c>
      <c r="F92" s="2">
        <v>46244</v>
      </c>
      <c r="G92" s="2">
        <v>46245</v>
      </c>
      <c r="H92" s="1">
        <v>7740</v>
      </c>
      <c r="I92">
        <v>135.79</v>
      </c>
      <c r="J92" t="s">
        <v>40</v>
      </c>
      <c r="K92" t="s">
        <v>528</v>
      </c>
      <c r="L92" t="s">
        <v>528</v>
      </c>
    </row>
    <row r="93" spans="1:12" x14ac:dyDescent="0.25">
      <c r="A93" t="s">
        <v>65</v>
      </c>
      <c r="B93" t="s">
        <v>864</v>
      </c>
      <c r="C93" t="s">
        <v>14</v>
      </c>
      <c r="D93" s="2">
        <v>45987</v>
      </c>
      <c r="E93" s="2">
        <v>46232</v>
      </c>
      <c r="F93" s="2">
        <v>46245</v>
      </c>
      <c r="G93" s="2">
        <v>46246</v>
      </c>
      <c r="H93" s="1">
        <v>8060</v>
      </c>
      <c r="I93">
        <v>134.33000000000001</v>
      </c>
      <c r="J93" t="s">
        <v>817</v>
      </c>
      <c r="L93" t="s">
        <v>528</v>
      </c>
    </row>
    <row r="94" spans="1:12" x14ac:dyDescent="0.25">
      <c r="A94" t="s">
        <v>851</v>
      </c>
      <c r="B94" t="s">
        <v>1109</v>
      </c>
      <c r="C94" t="s">
        <v>852</v>
      </c>
      <c r="D94" s="2">
        <v>46105</v>
      </c>
      <c r="E94" s="2">
        <v>46119</v>
      </c>
      <c r="F94" s="2">
        <v>46246</v>
      </c>
      <c r="G94" s="2">
        <v>46246</v>
      </c>
      <c r="H94" s="1">
        <v>4015</v>
      </c>
      <c r="I94">
        <v>148.69999999999999</v>
      </c>
      <c r="J94" t="s">
        <v>878</v>
      </c>
    </row>
    <row r="95" spans="1:12" x14ac:dyDescent="0.25">
      <c r="A95" t="s">
        <v>111</v>
      </c>
      <c r="B95" t="s">
        <v>1219</v>
      </c>
      <c r="C95" t="s">
        <v>14</v>
      </c>
      <c r="D95" s="2">
        <v>46170</v>
      </c>
      <c r="F95" s="2">
        <v>46246</v>
      </c>
      <c r="G95" s="2">
        <v>46246</v>
      </c>
      <c r="H95">
        <v>231</v>
      </c>
      <c r="I95">
        <v>25.67</v>
      </c>
      <c r="J95" t="s">
        <v>16</v>
      </c>
      <c r="L95" t="s">
        <v>528</v>
      </c>
    </row>
    <row r="96" spans="1:12" x14ac:dyDescent="0.25">
      <c r="A96" t="s">
        <v>111</v>
      </c>
      <c r="B96" t="s">
        <v>1436</v>
      </c>
      <c r="C96" t="s">
        <v>20</v>
      </c>
      <c r="D96" s="2">
        <v>46231</v>
      </c>
      <c r="F96" s="2">
        <v>46246</v>
      </c>
      <c r="G96" s="2">
        <v>46246</v>
      </c>
      <c r="H96" s="1">
        <v>4092</v>
      </c>
      <c r="I96">
        <v>127.88</v>
      </c>
      <c r="J96" t="s">
        <v>16</v>
      </c>
    </row>
    <row r="97" spans="1:12" x14ac:dyDescent="0.25">
      <c r="A97" t="s">
        <v>816</v>
      </c>
      <c r="B97" t="s">
        <v>1326</v>
      </c>
      <c r="C97" t="s">
        <v>25</v>
      </c>
      <c r="D97" s="2">
        <v>46211</v>
      </c>
      <c r="F97" s="2">
        <v>46246</v>
      </c>
      <c r="G97" s="2">
        <v>46246</v>
      </c>
      <c r="H97" s="1">
        <v>1085</v>
      </c>
      <c r="I97">
        <v>40.19</v>
      </c>
      <c r="J97" t="s">
        <v>40</v>
      </c>
      <c r="K97" t="s">
        <v>528</v>
      </c>
      <c r="L97" t="s">
        <v>528</v>
      </c>
    </row>
    <row r="98" spans="1:12" x14ac:dyDescent="0.25">
      <c r="A98" t="s">
        <v>39</v>
      </c>
      <c r="B98" t="s">
        <v>1086</v>
      </c>
      <c r="C98" t="s">
        <v>14</v>
      </c>
      <c r="D98" s="2">
        <v>46119</v>
      </c>
      <c r="E98" s="2">
        <v>46226</v>
      </c>
      <c r="F98" s="2">
        <v>46241</v>
      </c>
      <c r="G98" s="2">
        <v>46247</v>
      </c>
      <c r="H98" s="1">
        <v>17830</v>
      </c>
      <c r="I98">
        <v>132.07</v>
      </c>
      <c r="J98" t="s">
        <v>817</v>
      </c>
      <c r="L98" t="s">
        <v>528</v>
      </c>
    </row>
    <row r="99" spans="1:12" x14ac:dyDescent="0.25">
      <c r="A99" t="s">
        <v>735</v>
      </c>
      <c r="B99" t="s">
        <v>1435</v>
      </c>
      <c r="C99" t="s">
        <v>31</v>
      </c>
      <c r="D99" s="2">
        <v>46223</v>
      </c>
      <c r="E99" s="2">
        <v>46226</v>
      </c>
      <c r="F99" s="2">
        <v>46247</v>
      </c>
      <c r="G99" s="2">
        <v>46247</v>
      </c>
      <c r="H99" s="1">
        <v>7480</v>
      </c>
      <c r="I99">
        <v>166.22</v>
      </c>
      <c r="J99" t="s">
        <v>16</v>
      </c>
      <c r="K99" t="s">
        <v>528</v>
      </c>
      <c r="L99" t="s">
        <v>528</v>
      </c>
    </row>
    <row r="100" spans="1:12" x14ac:dyDescent="0.25">
      <c r="A100" t="s">
        <v>15</v>
      </c>
      <c r="B100" t="s">
        <v>1239</v>
      </c>
      <c r="C100" t="s">
        <v>23</v>
      </c>
      <c r="D100" s="2">
        <v>46181</v>
      </c>
      <c r="F100" s="2">
        <v>46247</v>
      </c>
      <c r="G100" s="2">
        <v>46247</v>
      </c>
      <c r="H100">
        <v>187</v>
      </c>
      <c r="I100">
        <v>20.82</v>
      </c>
      <c r="J100" t="s">
        <v>40</v>
      </c>
      <c r="L100" t="s">
        <v>528</v>
      </c>
    </row>
    <row r="101" spans="1:12" x14ac:dyDescent="0.25">
      <c r="A101" t="s">
        <v>111</v>
      </c>
      <c r="B101" t="s">
        <v>1434</v>
      </c>
      <c r="C101" t="s">
        <v>20</v>
      </c>
      <c r="D101" s="2">
        <v>46230</v>
      </c>
      <c r="F101" s="2">
        <v>46247</v>
      </c>
      <c r="G101" s="2">
        <v>46247</v>
      </c>
      <c r="H101" s="1">
        <v>4092</v>
      </c>
      <c r="I101">
        <v>127.88</v>
      </c>
      <c r="J101" t="s">
        <v>16</v>
      </c>
    </row>
    <row r="102" spans="1:12" x14ac:dyDescent="0.25">
      <c r="A102" t="s">
        <v>3</v>
      </c>
      <c r="B102" t="s">
        <v>1108</v>
      </c>
      <c r="C102" t="s">
        <v>1103</v>
      </c>
      <c r="D102" s="2">
        <v>46132</v>
      </c>
      <c r="E102" s="2">
        <v>46143</v>
      </c>
      <c r="F102" s="2">
        <v>46247</v>
      </c>
      <c r="G102" s="2">
        <v>46247</v>
      </c>
      <c r="H102">
        <v>495</v>
      </c>
      <c r="I102">
        <v>165</v>
      </c>
      <c r="J102" t="s">
        <v>40</v>
      </c>
      <c r="K102" t="s">
        <v>528</v>
      </c>
      <c r="L102" t="s">
        <v>528</v>
      </c>
    </row>
    <row r="103" spans="1:12" x14ac:dyDescent="0.25">
      <c r="A103" t="s">
        <v>65</v>
      </c>
      <c r="B103" t="s">
        <v>1433</v>
      </c>
      <c r="C103" t="s">
        <v>14</v>
      </c>
      <c r="D103" s="2">
        <v>46231</v>
      </c>
      <c r="E103" s="2">
        <v>46232</v>
      </c>
      <c r="F103" s="2">
        <v>46248</v>
      </c>
      <c r="G103" s="2">
        <v>46248</v>
      </c>
      <c r="H103" s="1">
        <v>1250</v>
      </c>
      <c r="I103">
        <v>166.67</v>
      </c>
      <c r="J103" t="s">
        <v>817</v>
      </c>
      <c r="K103" t="s">
        <v>528</v>
      </c>
      <c r="L103" t="s">
        <v>528</v>
      </c>
    </row>
    <row r="104" spans="1:12" x14ac:dyDescent="0.25">
      <c r="A104" t="s">
        <v>735</v>
      </c>
      <c r="B104" t="s">
        <v>1101</v>
      </c>
      <c r="C104" t="s">
        <v>31</v>
      </c>
      <c r="D104" s="2">
        <v>46118</v>
      </c>
      <c r="E104" s="2">
        <v>46226</v>
      </c>
      <c r="F104" s="2">
        <v>46248</v>
      </c>
      <c r="G104" s="2">
        <v>46248</v>
      </c>
      <c r="H104" s="1">
        <v>3995</v>
      </c>
      <c r="I104">
        <v>147.96</v>
      </c>
      <c r="J104" t="s">
        <v>16</v>
      </c>
      <c r="K104" t="s">
        <v>528</v>
      </c>
      <c r="L104" t="s">
        <v>528</v>
      </c>
    </row>
    <row r="105" spans="1:12" x14ac:dyDescent="0.25">
      <c r="A105" t="s">
        <v>1084</v>
      </c>
      <c r="B105" t="s">
        <v>1174</v>
      </c>
      <c r="C105" t="s">
        <v>14</v>
      </c>
      <c r="D105" s="2">
        <v>45636</v>
      </c>
      <c r="F105" s="2">
        <v>46248</v>
      </c>
      <c r="G105" s="2">
        <v>46248</v>
      </c>
      <c r="H105">
        <v>900</v>
      </c>
      <c r="I105">
        <v>100</v>
      </c>
      <c r="J105" t="s">
        <v>1090</v>
      </c>
    </row>
    <row r="106" spans="1:12" x14ac:dyDescent="0.25">
      <c r="A106" t="s">
        <v>15</v>
      </c>
      <c r="B106" t="s">
        <v>1014</v>
      </c>
      <c r="C106" t="s">
        <v>23</v>
      </c>
      <c r="D106" s="2">
        <v>46106</v>
      </c>
      <c r="F106" s="2">
        <v>46248</v>
      </c>
      <c r="G106" s="2">
        <v>46248</v>
      </c>
      <c r="H106" s="1">
        <v>3225</v>
      </c>
      <c r="I106">
        <v>119.45</v>
      </c>
      <c r="J106" t="s">
        <v>40</v>
      </c>
      <c r="L106" t="s">
        <v>528</v>
      </c>
    </row>
    <row r="107" spans="1:12" x14ac:dyDescent="0.25">
      <c r="A107" t="s">
        <v>111</v>
      </c>
      <c r="B107" t="s">
        <v>1162</v>
      </c>
      <c r="C107" t="s">
        <v>14</v>
      </c>
      <c r="D107" s="2">
        <v>46141</v>
      </c>
      <c r="F107" s="2">
        <v>46247</v>
      </c>
      <c r="G107" s="2">
        <v>46248</v>
      </c>
      <c r="H107" s="1">
        <v>3465</v>
      </c>
      <c r="I107">
        <v>192.5</v>
      </c>
      <c r="J107" t="s">
        <v>16</v>
      </c>
    </row>
    <row r="108" spans="1:12" x14ac:dyDescent="0.25">
      <c r="A108" t="s">
        <v>111</v>
      </c>
      <c r="B108" t="s">
        <v>1183</v>
      </c>
      <c r="C108" t="s">
        <v>20</v>
      </c>
      <c r="D108" s="2">
        <v>46141</v>
      </c>
      <c r="F108" s="2">
        <v>46248</v>
      </c>
      <c r="G108" s="2">
        <v>46248</v>
      </c>
      <c r="H108">
        <v>594</v>
      </c>
      <c r="I108">
        <v>148.5</v>
      </c>
      <c r="J108" t="s">
        <v>16</v>
      </c>
    </row>
    <row r="109" spans="1:12" x14ac:dyDescent="0.25">
      <c r="A109" t="s">
        <v>111</v>
      </c>
      <c r="B109" t="s">
        <v>1432</v>
      </c>
      <c r="C109" t="s">
        <v>20</v>
      </c>
      <c r="D109" s="2">
        <v>46140</v>
      </c>
      <c r="F109" s="2">
        <v>46248</v>
      </c>
      <c r="G109" s="2">
        <v>46248</v>
      </c>
      <c r="H109">
        <v>594</v>
      </c>
      <c r="I109">
        <v>148.5</v>
      </c>
      <c r="J109" t="s">
        <v>16</v>
      </c>
    </row>
    <row r="110" spans="1:12" x14ac:dyDescent="0.25">
      <c r="A110" t="s">
        <v>111</v>
      </c>
      <c r="B110" t="s">
        <v>1431</v>
      </c>
      <c r="C110" t="s">
        <v>20</v>
      </c>
      <c r="D110" s="2">
        <v>46140</v>
      </c>
      <c r="F110" s="2">
        <v>46248</v>
      </c>
      <c r="G110" s="2">
        <v>46248</v>
      </c>
      <c r="H110">
        <v>693</v>
      </c>
      <c r="I110">
        <v>462</v>
      </c>
      <c r="J110" t="s">
        <v>16</v>
      </c>
    </row>
    <row r="111" spans="1:12" x14ac:dyDescent="0.25">
      <c r="A111" t="s">
        <v>111</v>
      </c>
      <c r="B111" t="s">
        <v>1430</v>
      </c>
      <c r="C111" t="s">
        <v>20</v>
      </c>
      <c r="D111" s="2">
        <v>46231</v>
      </c>
      <c r="F111" s="2">
        <v>46248</v>
      </c>
      <c r="G111" s="2">
        <v>46248</v>
      </c>
      <c r="H111" s="1">
        <v>1364</v>
      </c>
      <c r="I111">
        <v>58.04</v>
      </c>
      <c r="J111" t="s">
        <v>16</v>
      </c>
    </row>
    <row r="112" spans="1:12" x14ac:dyDescent="0.25">
      <c r="A112" t="s">
        <v>27</v>
      </c>
      <c r="B112" t="s">
        <v>1110</v>
      </c>
      <c r="C112" t="s">
        <v>28</v>
      </c>
      <c r="D112" s="2">
        <v>46069</v>
      </c>
      <c r="F112" s="2">
        <v>46248</v>
      </c>
      <c r="G112" s="2">
        <v>46248</v>
      </c>
      <c r="H112" s="1">
        <v>75800</v>
      </c>
      <c r="I112">
        <v>0</v>
      </c>
      <c r="J112" t="s">
        <v>878</v>
      </c>
      <c r="K112" t="s">
        <v>528</v>
      </c>
      <c r="L112" t="s">
        <v>528</v>
      </c>
    </row>
    <row r="113" spans="1:12" x14ac:dyDescent="0.25">
      <c r="A113" t="s">
        <v>27</v>
      </c>
      <c r="B113" t="s">
        <v>849</v>
      </c>
      <c r="C113" t="s">
        <v>28</v>
      </c>
      <c r="D113" s="2">
        <v>45933</v>
      </c>
      <c r="F113" s="2">
        <v>46248</v>
      </c>
      <c r="G113" s="2">
        <v>46248</v>
      </c>
      <c r="H113">
        <v>300</v>
      </c>
      <c r="I113">
        <v>0</v>
      </c>
      <c r="J113" t="s">
        <v>878</v>
      </c>
      <c r="K113" t="s">
        <v>528</v>
      </c>
      <c r="L113" t="s">
        <v>528</v>
      </c>
    </row>
    <row r="114" spans="1:12" x14ac:dyDescent="0.25">
      <c r="A114" t="s">
        <v>27</v>
      </c>
      <c r="B114" t="s">
        <v>835</v>
      </c>
      <c r="C114" t="s">
        <v>28</v>
      </c>
      <c r="D114" s="2">
        <v>45405</v>
      </c>
      <c r="E114" s="2">
        <v>45646</v>
      </c>
      <c r="F114" s="2">
        <v>46248</v>
      </c>
      <c r="G114" s="2">
        <v>46248</v>
      </c>
      <c r="H114" s="1">
        <v>12085</v>
      </c>
      <c r="I114">
        <v>134.28</v>
      </c>
      <c r="J114" t="s">
        <v>878</v>
      </c>
      <c r="K114" t="s">
        <v>528</v>
      </c>
      <c r="L114" t="s">
        <v>528</v>
      </c>
    </row>
    <row r="115" spans="1:12" x14ac:dyDescent="0.25">
      <c r="A115" t="s">
        <v>27</v>
      </c>
      <c r="B115" t="s">
        <v>1112</v>
      </c>
      <c r="C115" t="s">
        <v>28</v>
      </c>
      <c r="D115" s="2">
        <v>45405</v>
      </c>
      <c r="F115" s="2">
        <v>46248</v>
      </c>
      <c r="G115" s="2">
        <v>46248</v>
      </c>
      <c r="H115" s="1">
        <v>13295</v>
      </c>
      <c r="I115">
        <v>738.61</v>
      </c>
      <c r="J115" t="s">
        <v>878</v>
      </c>
      <c r="K115" t="s">
        <v>528</v>
      </c>
      <c r="L115" t="s">
        <v>528</v>
      </c>
    </row>
    <row r="116" spans="1:12" x14ac:dyDescent="0.25">
      <c r="A116" t="s">
        <v>3</v>
      </c>
      <c r="B116" t="s">
        <v>1321</v>
      </c>
      <c r="C116" t="s">
        <v>18</v>
      </c>
      <c r="D116" s="2">
        <v>46210</v>
      </c>
      <c r="E116" s="2">
        <v>46227</v>
      </c>
      <c r="F116" s="2">
        <v>46244</v>
      </c>
      <c r="G116" s="2">
        <v>46248</v>
      </c>
      <c r="H116" s="1">
        <v>18470</v>
      </c>
      <c r="I116">
        <v>136.81</v>
      </c>
      <c r="J116" t="s">
        <v>40</v>
      </c>
      <c r="L116" t="s">
        <v>528</v>
      </c>
    </row>
    <row r="117" spans="1:12" x14ac:dyDescent="0.25">
      <c r="A117" t="s">
        <v>3</v>
      </c>
      <c r="B117" t="s">
        <v>1102</v>
      </c>
      <c r="C117" t="s">
        <v>1103</v>
      </c>
      <c r="D117" s="2">
        <v>46132</v>
      </c>
      <c r="E117" s="2">
        <v>46143</v>
      </c>
      <c r="F117" s="2">
        <v>46247</v>
      </c>
      <c r="G117" s="2">
        <v>46248</v>
      </c>
      <c r="H117" s="1">
        <v>6305</v>
      </c>
      <c r="I117">
        <v>131.35</v>
      </c>
      <c r="J117" t="s">
        <v>40</v>
      </c>
    </row>
    <row r="118" spans="1:12" x14ac:dyDescent="0.25">
      <c r="A118" t="s">
        <v>4</v>
      </c>
      <c r="B118" t="s">
        <v>1236</v>
      </c>
      <c r="C118" t="s">
        <v>14</v>
      </c>
      <c r="D118" s="2">
        <v>46176</v>
      </c>
      <c r="E118" s="2">
        <v>46232</v>
      </c>
      <c r="F118" s="2">
        <v>46246</v>
      </c>
      <c r="G118" s="2">
        <v>46248</v>
      </c>
      <c r="H118" s="1">
        <v>9795</v>
      </c>
      <c r="I118">
        <v>130.6</v>
      </c>
      <c r="J118" t="s">
        <v>817</v>
      </c>
    </row>
    <row r="119" spans="1:12" x14ac:dyDescent="0.25">
      <c r="A119" t="s">
        <v>109</v>
      </c>
      <c r="B119" t="s">
        <v>1185</v>
      </c>
      <c r="C119" t="s">
        <v>143</v>
      </c>
      <c r="D119" s="2">
        <v>46154</v>
      </c>
      <c r="E119" s="2">
        <v>46156</v>
      </c>
      <c r="F119" s="2">
        <v>46217</v>
      </c>
      <c r="G119" s="2">
        <v>46249</v>
      </c>
      <c r="H119" s="1">
        <v>35750</v>
      </c>
      <c r="I119">
        <v>130.02000000000001</v>
      </c>
      <c r="J119" t="s">
        <v>16</v>
      </c>
    </row>
    <row r="120" spans="1:12" x14ac:dyDescent="0.25">
      <c r="A120" t="s">
        <v>111</v>
      </c>
      <c r="B120" t="s">
        <v>1184</v>
      </c>
      <c r="C120" t="s">
        <v>20</v>
      </c>
      <c r="D120" s="2">
        <v>46141</v>
      </c>
      <c r="F120" s="2">
        <v>46251</v>
      </c>
      <c r="G120" s="2">
        <v>46251</v>
      </c>
      <c r="H120">
        <v>198</v>
      </c>
      <c r="I120">
        <v>132</v>
      </c>
      <c r="J120" t="s">
        <v>16</v>
      </c>
    </row>
    <row r="121" spans="1:12" x14ac:dyDescent="0.25">
      <c r="A121" t="s">
        <v>111</v>
      </c>
      <c r="B121" t="s">
        <v>1429</v>
      </c>
      <c r="C121" t="s">
        <v>14</v>
      </c>
      <c r="D121" s="2">
        <v>46231</v>
      </c>
      <c r="F121" s="2">
        <v>46251</v>
      </c>
      <c r="G121" s="2">
        <v>46251</v>
      </c>
      <c r="H121" s="1">
        <v>2860</v>
      </c>
      <c r="I121">
        <v>0</v>
      </c>
      <c r="J121" t="s">
        <v>16</v>
      </c>
    </row>
    <row r="122" spans="1:12" x14ac:dyDescent="0.25">
      <c r="A122" t="s">
        <v>111</v>
      </c>
      <c r="B122" t="s">
        <v>1428</v>
      </c>
      <c r="C122" t="s">
        <v>20</v>
      </c>
      <c r="D122" s="2">
        <v>46231</v>
      </c>
      <c r="F122" s="2">
        <v>46251</v>
      </c>
      <c r="G122" s="2">
        <v>46251</v>
      </c>
      <c r="H122" s="1">
        <v>3300</v>
      </c>
      <c r="I122">
        <v>137.5</v>
      </c>
      <c r="J122" t="s">
        <v>16</v>
      </c>
    </row>
    <row r="123" spans="1:12" x14ac:dyDescent="0.25">
      <c r="A123" t="s">
        <v>662</v>
      </c>
      <c r="B123" t="s">
        <v>1043</v>
      </c>
      <c r="C123" t="s">
        <v>46</v>
      </c>
      <c r="D123" s="2">
        <v>46108</v>
      </c>
      <c r="E123" s="2">
        <v>46230</v>
      </c>
      <c r="F123" s="2">
        <v>46251</v>
      </c>
      <c r="G123" s="2">
        <v>46251</v>
      </c>
      <c r="H123" s="1">
        <v>6226</v>
      </c>
      <c r="I123">
        <v>183.13</v>
      </c>
      <c r="J123" t="s">
        <v>878</v>
      </c>
      <c r="L123" t="s">
        <v>528</v>
      </c>
    </row>
    <row r="124" spans="1:12" x14ac:dyDescent="0.25">
      <c r="A124" t="s">
        <v>662</v>
      </c>
      <c r="B124" t="s">
        <v>935</v>
      </c>
      <c r="C124" t="s">
        <v>46</v>
      </c>
      <c r="D124" s="2">
        <v>46084</v>
      </c>
      <c r="E124" s="2">
        <v>46230</v>
      </c>
      <c r="F124" s="2">
        <v>46251</v>
      </c>
      <c r="G124" s="2">
        <v>46251</v>
      </c>
      <c r="H124">
        <v>308</v>
      </c>
      <c r="I124">
        <v>153.75</v>
      </c>
      <c r="J124" t="s">
        <v>878</v>
      </c>
      <c r="L124" t="s">
        <v>528</v>
      </c>
    </row>
    <row r="125" spans="1:12" x14ac:dyDescent="0.25">
      <c r="A125" t="s">
        <v>39</v>
      </c>
      <c r="B125" t="s">
        <v>1013</v>
      </c>
      <c r="C125" t="s">
        <v>14</v>
      </c>
      <c r="D125" s="2">
        <v>46105</v>
      </c>
      <c r="F125" s="2">
        <v>46252</v>
      </c>
      <c r="G125" s="2">
        <v>46253</v>
      </c>
      <c r="H125" s="1">
        <v>7846</v>
      </c>
      <c r="I125">
        <v>145.30000000000001</v>
      </c>
      <c r="J125" t="s">
        <v>40</v>
      </c>
      <c r="L125" t="s">
        <v>528</v>
      </c>
    </row>
    <row r="126" spans="1:12" x14ac:dyDescent="0.25">
      <c r="A126" t="s">
        <v>111</v>
      </c>
      <c r="B126" t="s">
        <v>1161</v>
      </c>
      <c r="C126" t="s">
        <v>14</v>
      </c>
      <c r="D126" s="2">
        <v>46141</v>
      </c>
      <c r="F126" s="2">
        <v>46251</v>
      </c>
      <c r="G126" s="2">
        <v>46253</v>
      </c>
      <c r="H126" s="1">
        <v>7425</v>
      </c>
      <c r="I126">
        <v>0</v>
      </c>
      <c r="J126" t="s">
        <v>16</v>
      </c>
    </row>
    <row r="127" spans="1:12" x14ac:dyDescent="0.25">
      <c r="A127" t="s">
        <v>88</v>
      </c>
      <c r="B127" t="s">
        <v>1138</v>
      </c>
      <c r="C127" t="s">
        <v>14</v>
      </c>
      <c r="D127" s="2">
        <v>46106</v>
      </c>
      <c r="F127" s="2">
        <v>46251</v>
      </c>
      <c r="G127" s="2">
        <v>46253</v>
      </c>
      <c r="H127" s="1">
        <v>11690</v>
      </c>
      <c r="I127" s="27">
        <v>1298.8900000000001</v>
      </c>
      <c r="J127" t="s">
        <v>40</v>
      </c>
      <c r="L127" t="s">
        <v>528</v>
      </c>
    </row>
    <row r="128" spans="1:12" x14ac:dyDescent="0.25">
      <c r="A128" t="s">
        <v>111</v>
      </c>
      <c r="B128" t="s">
        <v>1427</v>
      </c>
      <c r="C128" t="s">
        <v>14</v>
      </c>
      <c r="D128" s="2">
        <v>46231</v>
      </c>
      <c r="F128" s="2">
        <v>46254</v>
      </c>
      <c r="G128" s="2">
        <v>46254</v>
      </c>
      <c r="H128" s="1">
        <v>2008</v>
      </c>
      <c r="I128">
        <v>0</v>
      </c>
      <c r="J128" t="s">
        <v>16</v>
      </c>
    </row>
    <row r="129" spans="1:12" x14ac:dyDescent="0.25">
      <c r="A129" t="s">
        <v>88</v>
      </c>
      <c r="B129" t="s">
        <v>1154</v>
      </c>
      <c r="C129" t="s">
        <v>14</v>
      </c>
      <c r="D129" s="2">
        <v>46153</v>
      </c>
      <c r="F129" s="2">
        <v>46254</v>
      </c>
      <c r="G129" s="2">
        <v>46254</v>
      </c>
      <c r="H129">
        <v>520</v>
      </c>
      <c r="I129">
        <v>173.33</v>
      </c>
      <c r="J129" t="s">
        <v>40</v>
      </c>
    </row>
    <row r="130" spans="1:12" x14ac:dyDescent="0.25">
      <c r="A130" t="s">
        <v>111</v>
      </c>
      <c r="B130" t="s">
        <v>1198</v>
      </c>
      <c r="C130" t="s">
        <v>14</v>
      </c>
      <c r="D130" s="2">
        <v>46161</v>
      </c>
      <c r="F130" s="2">
        <v>46255</v>
      </c>
      <c r="G130" s="2">
        <v>46255</v>
      </c>
      <c r="H130">
        <v>66</v>
      </c>
      <c r="I130">
        <v>2.44</v>
      </c>
      <c r="J130" t="s">
        <v>16</v>
      </c>
    </row>
    <row r="131" spans="1:12" x14ac:dyDescent="0.25">
      <c r="A131" t="s">
        <v>111</v>
      </c>
      <c r="B131" t="s">
        <v>1197</v>
      </c>
      <c r="C131" t="s">
        <v>14</v>
      </c>
      <c r="D131" s="2">
        <v>46168</v>
      </c>
      <c r="F131" s="2">
        <v>46255</v>
      </c>
      <c r="G131" s="2">
        <v>46255</v>
      </c>
      <c r="H131">
        <v>528</v>
      </c>
      <c r="I131">
        <v>58.67</v>
      </c>
      <c r="J131" t="s">
        <v>16</v>
      </c>
    </row>
    <row r="132" spans="1:12" x14ac:dyDescent="0.25">
      <c r="A132" t="s">
        <v>111</v>
      </c>
      <c r="B132" t="s">
        <v>1426</v>
      </c>
      <c r="C132" t="s">
        <v>14</v>
      </c>
      <c r="D132" s="2">
        <v>46141</v>
      </c>
      <c r="F132" s="2">
        <v>46255</v>
      </c>
      <c r="G132" s="2">
        <v>46255</v>
      </c>
      <c r="H132">
        <v>99</v>
      </c>
      <c r="I132">
        <v>5.82</v>
      </c>
      <c r="J132" t="s">
        <v>16</v>
      </c>
    </row>
    <row r="133" spans="1:12" x14ac:dyDescent="0.25">
      <c r="A133" t="s">
        <v>111</v>
      </c>
      <c r="B133" t="s">
        <v>1159</v>
      </c>
      <c r="C133" t="s">
        <v>14</v>
      </c>
      <c r="D133" s="2">
        <v>46141</v>
      </c>
      <c r="F133" s="2">
        <v>46255</v>
      </c>
      <c r="G133" s="2">
        <v>46255</v>
      </c>
      <c r="H133">
        <v>990</v>
      </c>
      <c r="I133">
        <v>110</v>
      </c>
      <c r="J133" t="s">
        <v>16</v>
      </c>
    </row>
    <row r="134" spans="1:12" x14ac:dyDescent="0.25">
      <c r="A134" t="s">
        <v>111</v>
      </c>
      <c r="B134" t="s">
        <v>1158</v>
      </c>
      <c r="C134" t="s">
        <v>14</v>
      </c>
      <c r="D134" s="2">
        <v>46141</v>
      </c>
      <c r="F134" s="2">
        <v>46255</v>
      </c>
      <c r="G134" s="2">
        <v>46255</v>
      </c>
      <c r="H134">
        <v>396</v>
      </c>
      <c r="I134">
        <v>44</v>
      </c>
      <c r="J134" t="s">
        <v>16</v>
      </c>
    </row>
    <row r="135" spans="1:12" x14ac:dyDescent="0.25">
      <c r="A135" t="s">
        <v>111</v>
      </c>
      <c r="B135" t="s">
        <v>1218</v>
      </c>
      <c r="C135" t="s">
        <v>14</v>
      </c>
      <c r="D135" s="2">
        <v>46169</v>
      </c>
      <c r="F135" s="2">
        <v>46255</v>
      </c>
      <c r="G135" s="2">
        <v>46255</v>
      </c>
      <c r="H135">
        <v>264</v>
      </c>
      <c r="I135">
        <v>9.7799999999999994</v>
      </c>
      <c r="J135" t="s">
        <v>16</v>
      </c>
    </row>
    <row r="136" spans="1:12" x14ac:dyDescent="0.25">
      <c r="A136" t="s">
        <v>111</v>
      </c>
      <c r="B136" t="s">
        <v>1196</v>
      </c>
      <c r="C136" t="s">
        <v>14</v>
      </c>
      <c r="D136" s="2">
        <v>46168</v>
      </c>
      <c r="F136" s="2">
        <v>46255</v>
      </c>
      <c r="G136" s="2">
        <v>46255</v>
      </c>
      <c r="H136">
        <v>275</v>
      </c>
      <c r="I136">
        <v>10.19</v>
      </c>
      <c r="J136" t="s">
        <v>16</v>
      </c>
    </row>
    <row r="137" spans="1:12" x14ac:dyDescent="0.25">
      <c r="A137" t="s">
        <v>111</v>
      </c>
      <c r="B137" t="s">
        <v>1195</v>
      </c>
      <c r="C137" t="s">
        <v>14</v>
      </c>
      <c r="D137" s="2">
        <v>46168</v>
      </c>
      <c r="F137" s="2">
        <v>46255</v>
      </c>
      <c r="G137" s="2">
        <v>46255</v>
      </c>
      <c r="H137">
        <v>462</v>
      </c>
      <c r="I137">
        <v>25.67</v>
      </c>
      <c r="J137" t="s">
        <v>16</v>
      </c>
    </row>
    <row r="138" spans="1:12" x14ac:dyDescent="0.25">
      <c r="A138" t="s">
        <v>111</v>
      </c>
      <c r="B138" t="s">
        <v>1156</v>
      </c>
      <c r="C138" t="s">
        <v>14</v>
      </c>
      <c r="D138" s="2">
        <v>46135</v>
      </c>
      <c r="F138" s="2">
        <v>46255</v>
      </c>
      <c r="G138" s="2">
        <v>46255</v>
      </c>
      <c r="H138">
        <v>198</v>
      </c>
      <c r="I138">
        <v>22</v>
      </c>
      <c r="J138" t="s">
        <v>16</v>
      </c>
    </row>
    <row r="139" spans="1:12" x14ac:dyDescent="0.25">
      <c r="A139" t="s">
        <v>111</v>
      </c>
      <c r="B139" t="s">
        <v>1425</v>
      </c>
      <c r="C139" t="s">
        <v>14</v>
      </c>
      <c r="D139" s="2">
        <v>46141</v>
      </c>
      <c r="F139" s="2">
        <v>46255</v>
      </c>
      <c r="G139" s="2">
        <v>46255</v>
      </c>
      <c r="H139">
        <v>264</v>
      </c>
      <c r="I139">
        <v>29.33</v>
      </c>
      <c r="J139" t="s">
        <v>16</v>
      </c>
    </row>
    <row r="140" spans="1:12" x14ac:dyDescent="0.25">
      <c r="A140" t="s">
        <v>88</v>
      </c>
      <c r="B140" t="s">
        <v>879</v>
      </c>
      <c r="C140" t="s">
        <v>14</v>
      </c>
      <c r="D140" s="2">
        <v>46036</v>
      </c>
      <c r="F140" s="2">
        <v>46246</v>
      </c>
      <c r="G140" s="2">
        <v>46255</v>
      </c>
      <c r="H140" s="1">
        <v>14440</v>
      </c>
      <c r="I140" s="27">
        <v>1604.44</v>
      </c>
      <c r="J140" t="s">
        <v>40</v>
      </c>
      <c r="L140" t="s">
        <v>528</v>
      </c>
    </row>
    <row r="141" spans="1:12" x14ac:dyDescent="0.25">
      <c r="A141" t="s">
        <v>5</v>
      </c>
      <c r="B141" t="s">
        <v>1193</v>
      </c>
      <c r="C141" t="s">
        <v>18</v>
      </c>
      <c r="D141" s="2">
        <v>46162</v>
      </c>
      <c r="F141" s="2">
        <v>46255</v>
      </c>
      <c r="G141" s="2">
        <v>46255</v>
      </c>
      <c r="H141">
        <v>195</v>
      </c>
      <c r="I141">
        <v>10.83</v>
      </c>
      <c r="J141" t="s">
        <v>40</v>
      </c>
      <c r="K141" t="s">
        <v>528</v>
      </c>
      <c r="L141" t="s">
        <v>528</v>
      </c>
    </row>
    <row r="142" spans="1:12" x14ac:dyDescent="0.25">
      <c r="A142" t="s">
        <v>5</v>
      </c>
      <c r="B142" t="s">
        <v>1152</v>
      </c>
      <c r="C142" t="s">
        <v>18</v>
      </c>
      <c r="D142" s="2">
        <v>46139</v>
      </c>
      <c r="F142" s="2">
        <v>46255</v>
      </c>
      <c r="G142" s="2">
        <v>46255</v>
      </c>
      <c r="H142">
        <v>410</v>
      </c>
      <c r="I142">
        <v>22.8</v>
      </c>
      <c r="J142" t="s">
        <v>40</v>
      </c>
    </row>
    <row r="143" spans="1:12" x14ac:dyDescent="0.25">
      <c r="A143" t="s">
        <v>4</v>
      </c>
      <c r="B143" t="s">
        <v>951</v>
      </c>
      <c r="C143" t="s">
        <v>28</v>
      </c>
      <c r="D143" s="2">
        <v>46086</v>
      </c>
      <c r="F143" s="2">
        <v>46256</v>
      </c>
      <c r="G143" s="2">
        <v>46256</v>
      </c>
      <c r="H143">
        <v>250</v>
      </c>
      <c r="I143">
        <v>0</v>
      </c>
      <c r="J143" t="s">
        <v>878</v>
      </c>
      <c r="K143" t="s">
        <v>528</v>
      </c>
      <c r="L143" t="s">
        <v>528</v>
      </c>
    </row>
    <row r="144" spans="1:12" x14ac:dyDescent="0.25">
      <c r="A144" t="s">
        <v>39</v>
      </c>
      <c r="B144" t="s">
        <v>1295</v>
      </c>
      <c r="C144" t="s">
        <v>23</v>
      </c>
      <c r="D144" s="2">
        <v>46120</v>
      </c>
      <c r="E144" s="2">
        <v>46196</v>
      </c>
      <c r="F144" s="2">
        <v>46258</v>
      </c>
      <c r="G144" s="2">
        <v>46258</v>
      </c>
      <c r="H144" s="1">
        <v>14473</v>
      </c>
      <c r="I144">
        <v>536.02</v>
      </c>
      <c r="J144" t="s">
        <v>40</v>
      </c>
      <c r="L144" t="s">
        <v>528</v>
      </c>
    </row>
    <row r="145" spans="1:12" x14ac:dyDescent="0.25">
      <c r="A145" t="s">
        <v>106</v>
      </c>
      <c r="B145" t="s">
        <v>1424</v>
      </c>
      <c r="C145" t="s">
        <v>34</v>
      </c>
      <c r="D145" s="2">
        <v>46134</v>
      </c>
      <c r="F145" s="2">
        <v>46258</v>
      </c>
      <c r="G145" s="2">
        <v>46258</v>
      </c>
      <c r="H145" s="1">
        <v>6040</v>
      </c>
      <c r="I145">
        <v>167.78</v>
      </c>
      <c r="J145" t="s">
        <v>817</v>
      </c>
      <c r="L145" t="s">
        <v>528</v>
      </c>
    </row>
    <row r="146" spans="1:12" x14ac:dyDescent="0.25">
      <c r="A146" t="s">
        <v>816</v>
      </c>
      <c r="B146" t="s">
        <v>1423</v>
      </c>
      <c r="C146" t="s">
        <v>42</v>
      </c>
      <c r="D146" s="2">
        <v>46192</v>
      </c>
      <c r="F146" s="2">
        <v>46258</v>
      </c>
      <c r="G146" s="2">
        <v>46258</v>
      </c>
      <c r="H146">
        <v>4</v>
      </c>
      <c r="I146">
        <v>0.44</v>
      </c>
      <c r="J146" t="s">
        <v>878</v>
      </c>
    </row>
    <row r="147" spans="1:12" x14ac:dyDescent="0.25">
      <c r="A147" t="s">
        <v>39</v>
      </c>
      <c r="B147" t="s">
        <v>1422</v>
      </c>
      <c r="C147" t="s">
        <v>14</v>
      </c>
      <c r="D147" s="2">
        <v>46227</v>
      </c>
      <c r="E147" s="2">
        <v>46218</v>
      </c>
      <c r="F147" s="2">
        <v>46258</v>
      </c>
      <c r="G147" s="2">
        <v>46259</v>
      </c>
      <c r="H147" s="1">
        <v>8853</v>
      </c>
      <c r="I147">
        <v>140.52000000000001</v>
      </c>
      <c r="J147" t="s">
        <v>817</v>
      </c>
      <c r="L147" t="s">
        <v>528</v>
      </c>
    </row>
    <row r="148" spans="1:12" x14ac:dyDescent="0.25">
      <c r="A148" t="s">
        <v>92</v>
      </c>
      <c r="B148" t="s">
        <v>1294</v>
      </c>
      <c r="C148" t="s">
        <v>24</v>
      </c>
      <c r="D148" s="2">
        <v>46195</v>
      </c>
      <c r="E148" s="2">
        <v>46196</v>
      </c>
      <c r="F148" s="2">
        <v>46259</v>
      </c>
      <c r="G148" s="2">
        <v>46259</v>
      </c>
      <c r="H148" s="1">
        <v>9550</v>
      </c>
      <c r="I148">
        <v>353.7</v>
      </c>
      <c r="J148" t="s">
        <v>40</v>
      </c>
      <c r="K148" t="s">
        <v>528</v>
      </c>
      <c r="L148" t="s">
        <v>528</v>
      </c>
    </row>
    <row r="149" spans="1:12" x14ac:dyDescent="0.25">
      <c r="A149" t="s">
        <v>111</v>
      </c>
      <c r="B149" t="s">
        <v>1160</v>
      </c>
      <c r="C149" t="s">
        <v>14</v>
      </c>
      <c r="D149" s="2">
        <v>46141</v>
      </c>
      <c r="F149" s="2">
        <v>46258</v>
      </c>
      <c r="G149" s="2">
        <v>46260</v>
      </c>
      <c r="H149" s="1">
        <v>5346</v>
      </c>
      <c r="I149">
        <v>594</v>
      </c>
      <c r="J149" t="s">
        <v>16</v>
      </c>
    </row>
    <row r="150" spans="1:12" x14ac:dyDescent="0.25">
      <c r="A150" t="s">
        <v>1084</v>
      </c>
      <c r="B150" t="s">
        <v>1173</v>
      </c>
      <c r="C150" t="s">
        <v>14</v>
      </c>
      <c r="D150" s="2">
        <v>45636</v>
      </c>
      <c r="F150" s="2">
        <v>46262</v>
      </c>
      <c r="G150" s="2">
        <v>46262</v>
      </c>
      <c r="H150">
        <v>900</v>
      </c>
      <c r="I150">
        <v>100</v>
      </c>
      <c r="J150" t="s">
        <v>1090</v>
      </c>
    </row>
    <row r="151" spans="1:12" x14ac:dyDescent="0.25">
      <c r="A151" t="s">
        <v>93</v>
      </c>
      <c r="B151" t="s">
        <v>1314</v>
      </c>
      <c r="C151" t="s">
        <v>14</v>
      </c>
      <c r="D151" s="2">
        <v>46206</v>
      </c>
      <c r="E151" s="2">
        <v>46211</v>
      </c>
      <c r="F151" s="2">
        <v>46262</v>
      </c>
      <c r="G151" s="2">
        <v>46262</v>
      </c>
      <c r="H151" s="1">
        <v>15938</v>
      </c>
      <c r="I151">
        <v>885.43</v>
      </c>
      <c r="J151" t="s">
        <v>1090</v>
      </c>
    </row>
    <row r="152" spans="1:12" x14ac:dyDescent="0.25">
      <c r="A152" t="s">
        <v>39</v>
      </c>
      <c r="B152" t="s">
        <v>1085</v>
      </c>
      <c r="C152" t="s">
        <v>14</v>
      </c>
      <c r="D152" s="2">
        <v>46119</v>
      </c>
      <c r="F152" s="2">
        <v>46266</v>
      </c>
      <c r="G152" s="2">
        <v>46266</v>
      </c>
      <c r="H152" s="1">
        <v>3060</v>
      </c>
      <c r="I152">
        <v>113.33</v>
      </c>
      <c r="J152" t="s">
        <v>817</v>
      </c>
      <c r="L152" t="s">
        <v>528</v>
      </c>
    </row>
    <row r="153" spans="1:12" x14ac:dyDescent="0.25">
      <c r="A153" t="s">
        <v>662</v>
      </c>
      <c r="B153" t="s">
        <v>1313</v>
      </c>
      <c r="C153" t="s">
        <v>24</v>
      </c>
      <c r="D153" s="2">
        <v>46217</v>
      </c>
      <c r="E153" s="2">
        <v>46232</v>
      </c>
      <c r="F153" s="2">
        <v>46267</v>
      </c>
      <c r="G153" s="2">
        <v>46269</v>
      </c>
      <c r="H153" s="1">
        <v>12955</v>
      </c>
      <c r="I153">
        <v>130.85</v>
      </c>
      <c r="J153" t="s">
        <v>40</v>
      </c>
      <c r="L153" t="s">
        <v>528</v>
      </c>
    </row>
    <row r="154" spans="1:12" x14ac:dyDescent="0.25">
      <c r="A154" t="s">
        <v>1084</v>
      </c>
      <c r="B154" t="s">
        <v>1172</v>
      </c>
      <c r="C154" t="s">
        <v>14</v>
      </c>
      <c r="D154" s="2">
        <v>45636</v>
      </c>
      <c r="F154" s="2">
        <v>46276</v>
      </c>
      <c r="G154" s="2">
        <v>46276</v>
      </c>
      <c r="H154">
        <v>900</v>
      </c>
      <c r="I154">
        <v>100</v>
      </c>
      <c r="J154" t="s">
        <v>1090</v>
      </c>
    </row>
    <row r="155" spans="1:12" x14ac:dyDescent="0.25">
      <c r="A155" t="s">
        <v>43</v>
      </c>
      <c r="B155" t="s">
        <v>1235</v>
      </c>
      <c r="C155" t="s">
        <v>32</v>
      </c>
      <c r="D155" s="2">
        <v>46182</v>
      </c>
      <c r="F155" s="2">
        <v>46279</v>
      </c>
      <c r="G155" s="2">
        <v>46281</v>
      </c>
      <c r="H155" s="1">
        <v>11588</v>
      </c>
      <c r="I155">
        <v>125.95</v>
      </c>
      <c r="J155" t="s">
        <v>878</v>
      </c>
    </row>
    <row r="156" spans="1:12" x14ac:dyDescent="0.25">
      <c r="A156" t="s">
        <v>816</v>
      </c>
      <c r="B156" t="s">
        <v>1234</v>
      </c>
      <c r="C156" t="s">
        <v>25</v>
      </c>
      <c r="D156" s="2">
        <v>46177</v>
      </c>
      <c r="F156" s="2">
        <v>46283</v>
      </c>
      <c r="G156" s="2">
        <v>46283</v>
      </c>
      <c r="H156" s="1">
        <v>1118</v>
      </c>
      <c r="I156">
        <v>124.22</v>
      </c>
      <c r="J156" t="s">
        <v>40</v>
      </c>
    </row>
    <row r="157" spans="1:12" x14ac:dyDescent="0.25">
      <c r="A157" t="s">
        <v>39</v>
      </c>
      <c r="B157" t="s">
        <v>822</v>
      </c>
      <c r="C157" t="s">
        <v>14</v>
      </c>
      <c r="D157" s="2">
        <v>45887</v>
      </c>
      <c r="F157" s="2">
        <v>46290</v>
      </c>
      <c r="G157" s="2">
        <v>46290</v>
      </c>
      <c r="H157" s="1">
        <v>2000</v>
      </c>
      <c r="I157">
        <v>0</v>
      </c>
      <c r="J157" t="s">
        <v>40</v>
      </c>
      <c r="L157" t="s">
        <v>528</v>
      </c>
    </row>
    <row r="158" spans="1:12" x14ac:dyDescent="0.25">
      <c r="A158" t="s">
        <v>1084</v>
      </c>
      <c r="B158" t="s">
        <v>1171</v>
      </c>
      <c r="C158" t="s">
        <v>14</v>
      </c>
      <c r="D158" s="2">
        <v>45636</v>
      </c>
      <c r="F158" s="2">
        <v>46290</v>
      </c>
      <c r="G158" s="2">
        <v>46290</v>
      </c>
      <c r="H158">
        <v>900</v>
      </c>
      <c r="I158">
        <v>100</v>
      </c>
      <c r="J158" t="s">
        <v>1090</v>
      </c>
    </row>
    <row r="159" spans="1:12" x14ac:dyDescent="0.25">
      <c r="A159" t="s">
        <v>33</v>
      </c>
      <c r="B159" t="s">
        <v>971</v>
      </c>
      <c r="C159" t="s">
        <v>38</v>
      </c>
      <c r="D159" s="2">
        <v>46097</v>
      </c>
      <c r="F159" s="2">
        <v>46295</v>
      </c>
      <c r="G159" s="2">
        <v>46295</v>
      </c>
      <c r="H159" s="1">
        <v>3045</v>
      </c>
      <c r="I159">
        <v>112.78</v>
      </c>
      <c r="J159" t="s">
        <v>40</v>
      </c>
      <c r="L159" t="s">
        <v>528</v>
      </c>
    </row>
    <row r="160" spans="1:12" x14ac:dyDescent="0.25">
      <c r="A160" t="s">
        <v>88</v>
      </c>
      <c r="B160" t="s">
        <v>1312</v>
      </c>
      <c r="C160" t="s">
        <v>18</v>
      </c>
      <c r="D160" s="2">
        <v>46211</v>
      </c>
      <c r="F160" s="2">
        <v>46295</v>
      </c>
      <c r="G160" s="2">
        <v>46295</v>
      </c>
      <c r="H160" s="1">
        <v>1445</v>
      </c>
      <c r="I160">
        <v>47.22</v>
      </c>
      <c r="J160" t="s">
        <v>40</v>
      </c>
    </row>
    <row r="161" spans="1:12" x14ac:dyDescent="0.25">
      <c r="A161" t="s">
        <v>39</v>
      </c>
      <c r="B161" t="s">
        <v>821</v>
      </c>
      <c r="C161" t="s">
        <v>493</v>
      </c>
      <c r="D161" s="2">
        <v>45903</v>
      </c>
      <c r="F161" s="2">
        <v>46296</v>
      </c>
      <c r="G161" s="2">
        <v>46296</v>
      </c>
      <c r="H161" s="1">
        <v>3422</v>
      </c>
      <c r="I161">
        <v>126.73</v>
      </c>
      <c r="J161" t="s">
        <v>878</v>
      </c>
    </row>
    <row r="162" spans="1:12" x14ac:dyDescent="0.25">
      <c r="A162" t="s">
        <v>3</v>
      </c>
      <c r="B162" t="s">
        <v>1047</v>
      </c>
      <c r="C162" t="s">
        <v>46</v>
      </c>
      <c r="D162" s="2">
        <v>46107</v>
      </c>
      <c r="F162" s="2">
        <v>46296</v>
      </c>
      <c r="G162" s="2">
        <v>46296</v>
      </c>
      <c r="H162" s="1">
        <v>1582</v>
      </c>
      <c r="I162">
        <v>140.59</v>
      </c>
      <c r="J162" t="s">
        <v>878</v>
      </c>
      <c r="L162" t="s">
        <v>528</v>
      </c>
    </row>
    <row r="163" spans="1:12" x14ac:dyDescent="0.25">
      <c r="A163" t="s">
        <v>88</v>
      </c>
      <c r="B163" t="s">
        <v>863</v>
      </c>
      <c r="C163" t="s">
        <v>35</v>
      </c>
      <c r="D163" s="2">
        <v>45999</v>
      </c>
      <c r="F163" s="2">
        <v>46296</v>
      </c>
      <c r="G163" s="2">
        <v>46296</v>
      </c>
      <c r="H163">
        <v>588</v>
      </c>
      <c r="I163">
        <v>21.78</v>
      </c>
      <c r="J163" t="s">
        <v>40</v>
      </c>
      <c r="L163" t="s">
        <v>528</v>
      </c>
    </row>
    <row r="164" spans="1:12" x14ac:dyDescent="0.25">
      <c r="A164" t="s">
        <v>816</v>
      </c>
      <c r="B164" t="s">
        <v>1233</v>
      </c>
      <c r="C164" t="s">
        <v>25</v>
      </c>
      <c r="D164" s="2">
        <v>46177</v>
      </c>
      <c r="F164" s="2">
        <v>46296</v>
      </c>
      <c r="G164" s="2">
        <v>46296</v>
      </c>
      <c r="H164" s="1">
        <v>5060</v>
      </c>
      <c r="I164">
        <v>562.22</v>
      </c>
      <c r="J164" t="s">
        <v>40</v>
      </c>
      <c r="L164" t="s">
        <v>528</v>
      </c>
    </row>
    <row r="165" spans="1:12" x14ac:dyDescent="0.25">
      <c r="A165" t="s">
        <v>124</v>
      </c>
      <c r="B165" t="s">
        <v>973</v>
      </c>
      <c r="C165" t="s">
        <v>42</v>
      </c>
      <c r="D165" s="2">
        <v>46097</v>
      </c>
      <c r="F165" s="2">
        <v>46297</v>
      </c>
      <c r="G165" s="2">
        <v>46297</v>
      </c>
      <c r="H165" s="1">
        <v>1275</v>
      </c>
      <c r="I165">
        <v>141.66999999999999</v>
      </c>
      <c r="J165" t="s">
        <v>40</v>
      </c>
      <c r="L165" t="s">
        <v>528</v>
      </c>
    </row>
    <row r="166" spans="1:12" x14ac:dyDescent="0.25">
      <c r="A166" t="s">
        <v>15</v>
      </c>
      <c r="B166" t="s">
        <v>1257</v>
      </c>
      <c r="C166" t="s">
        <v>35</v>
      </c>
      <c r="D166" s="2">
        <v>46192</v>
      </c>
      <c r="F166" s="2">
        <v>46296</v>
      </c>
      <c r="G166" s="2">
        <v>46297</v>
      </c>
      <c r="H166" s="1">
        <v>6410</v>
      </c>
      <c r="I166">
        <v>118.7</v>
      </c>
      <c r="J166" t="s">
        <v>40</v>
      </c>
      <c r="L166" t="s">
        <v>528</v>
      </c>
    </row>
    <row r="167" spans="1:12" x14ac:dyDescent="0.25">
      <c r="A167" t="s">
        <v>33</v>
      </c>
      <c r="B167" t="s">
        <v>1048</v>
      </c>
      <c r="C167" t="s">
        <v>37</v>
      </c>
      <c r="D167" s="2">
        <v>46108</v>
      </c>
      <c r="F167" s="2">
        <v>46296</v>
      </c>
      <c r="G167" s="2">
        <v>46297</v>
      </c>
      <c r="H167" s="1">
        <v>9441</v>
      </c>
      <c r="I167">
        <v>134.87</v>
      </c>
      <c r="J167" t="s">
        <v>817</v>
      </c>
      <c r="L167" t="s">
        <v>528</v>
      </c>
    </row>
    <row r="168" spans="1:12" x14ac:dyDescent="0.25">
      <c r="A168" t="s">
        <v>887</v>
      </c>
      <c r="B168" t="s">
        <v>889</v>
      </c>
      <c r="C168" t="s">
        <v>48</v>
      </c>
      <c r="D168" s="2">
        <v>46044</v>
      </c>
      <c r="F168" s="2">
        <v>46297</v>
      </c>
      <c r="G168" s="2">
        <v>46297</v>
      </c>
      <c r="H168" s="1">
        <v>2615</v>
      </c>
      <c r="I168">
        <v>96.85</v>
      </c>
      <c r="J168" t="s">
        <v>40</v>
      </c>
      <c r="L168" t="s">
        <v>528</v>
      </c>
    </row>
    <row r="169" spans="1:12" x14ac:dyDescent="0.25">
      <c r="A169" t="s">
        <v>4</v>
      </c>
      <c r="B169" t="s">
        <v>1216</v>
      </c>
      <c r="C169" t="s">
        <v>14</v>
      </c>
      <c r="D169" s="2">
        <v>46169</v>
      </c>
      <c r="E169" s="2">
        <v>46198</v>
      </c>
      <c r="F169" s="2">
        <v>46297</v>
      </c>
      <c r="G169" s="2">
        <v>46297</v>
      </c>
      <c r="H169" s="1">
        <v>3280</v>
      </c>
      <c r="I169">
        <v>136.66999999999999</v>
      </c>
      <c r="J169" t="s">
        <v>817</v>
      </c>
      <c r="L169" t="s">
        <v>528</v>
      </c>
    </row>
    <row r="170" spans="1:12" x14ac:dyDescent="0.25">
      <c r="A170" t="s">
        <v>27</v>
      </c>
      <c r="B170" t="s">
        <v>854</v>
      </c>
      <c r="C170" t="s">
        <v>21</v>
      </c>
      <c r="D170" s="2">
        <v>45954</v>
      </c>
      <c r="F170" s="2">
        <v>46300</v>
      </c>
      <c r="G170" s="2">
        <v>46300</v>
      </c>
      <c r="H170" s="1">
        <v>19375</v>
      </c>
      <c r="I170">
        <v>0</v>
      </c>
      <c r="J170" t="s">
        <v>878</v>
      </c>
    </row>
    <row r="171" spans="1:12" x14ac:dyDescent="0.25">
      <c r="A171" t="s">
        <v>3</v>
      </c>
      <c r="B171" t="s">
        <v>948</v>
      </c>
      <c r="C171" t="s">
        <v>14</v>
      </c>
      <c r="D171" s="2">
        <v>46083</v>
      </c>
      <c r="F171" s="2">
        <v>46300</v>
      </c>
      <c r="G171" s="2">
        <v>46300</v>
      </c>
      <c r="H171" s="1">
        <v>2848</v>
      </c>
      <c r="I171">
        <v>135.62</v>
      </c>
      <c r="J171" t="s">
        <v>817</v>
      </c>
      <c r="L171" t="s">
        <v>528</v>
      </c>
    </row>
    <row r="172" spans="1:12" x14ac:dyDescent="0.25">
      <c r="A172" t="s">
        <v>88</v>
      </c>
      <c r="B172" t="s">
        <v>1060</v>
      </c>
      <c r="C172" t="s">
        <v>14</v>
      </c>
      <c r="D172" s="2">
        <v>46108</v>
      </c>
      <c r="F172" s="2">
        <v>46300</v>
      </c>
      <c r="G172" s="2">
        <v>46300</v>
      </c>
      <c r="H172" s="1">
        <v>7686</v>
      </c>
      <c r="I172">
        <v>213.5</v>
      </c>
      <c r="J172" t="s">
        <v>817</v>
      </c>
      <c r="L172" t="s">
        <v>528</v>
      </c>
    </row>
    <row r="173" spans="1:12" x14ac:dyDescent="0.25">
      <c r="A173" t="s">
        <v>88</v>
      </c>
      <c r="B173" t="s">
        <v>1129</v>
      </c>
      <c r="C173" t="s">
        <v>49</v>
      </c>
      <c r="D173" s="2">
        <v>46136</v>
      </c>
      <c r="E173" s="2">
        <v>46212</v>
      </c>
      <c r="F173" s="2">
        <v>46300</v>
      </c>
      <c r="G173" s="2">
        <v>46300</v>
      </c>
      <c r="H173" s="1">
        <v>1213</v>
      </c>
      <c r="I173">
        <v>121.28</v>
      </c>
      <c r="J173" t="s">
        <v>878</v>
      </c>
    </row>
    <row r="174" spans="1:12" x14ac:dyDescent="0.25">
      <c r="A174" t="s">
        <v>88</v>
      </c>
      <c r="B174" t="s">
        <v>1217</v>
      </c>
      <c r="C174" t="s">
        <v>49</v>
      </c>
      <c r="D174" s="2">
        <v>46176</v>
      </c>
      <c r="E174" s="2">
        <v>46212</v>
      </c>
      <c r="F174" s="2">
        <v>46300</v>
      </c>
      <c r="G174" s="2">
        <v>46300</v>
      </c>
      <c r="H174">
        <v>600</v>
      </c>
      <c r="I174">
        <v>120</v>
      </c>
      <c r="J174" t="s">
        <v>878</v>
      </c>
      <c r="K174" t="s">
        <v>528</v>
      </c>
      <c r="L174" t="s">
        <v>528</v>
      </c>
    </row>
    <row r="175" spans="1:12" x14ac:dyDescent="0.25">
      <c r="A175" t="s">
        <v>88</v>
      </c>
      <c r="B175" t="s">
        <v>1311</v>
      </c>
      <c r="C175" t="s">
        <v>49</v>
      </c>
      <c r="D175" s="2">
        <v>46149</v>
      </c>
      <c r="E175" s="2">
        <v>46212</v>
      </c>
      <c r="F175" s="2">
        <v>46300</v>
      </c>
      <c r="G175" s="2">
        <v>46300</v>
      </c>
      <c r="H175" s="1">
        <v>1990</v>
      </c>
      <c r="I175">
        <v>132.66999999999999</v>
      </c>
      <c r="J175" t="s">
        <v>878</v>
      </c>
      <c r="K175" t="s">
        <v>528</v>
      </c>
      <c r="L175" t="s">
        <v>528</v>
      </c>
    </row>
    <row r="176" spans="1:12" x14ac:dyDescent="0.25">
      <c r="A176" t="s">
        <v>5</v>
      </c>
      <c r="B176" t="s">
        <v>983</v>
      </c>
      <c r="C176" t="s">
        <v>14</v>
      </c>
      <c r="D176" s="2">
        <v>46104</v>
      </c>
      <c r="F176" s="2">
        <v>46300</v>
      </c>
      <c r="G176" s="2">
        <v>46300</v>
      </c>
      <c r="H176" s="1">
        <v>5372</v>
      </c>
      <c r="I176">
        <v>596.84</v>
      </c>
      <c r="J176" t="s">
        <v>40</v>
      </c>
      <c r="L176" t="s">
        <v>528</v>
      </c>
    </row>
    <row r="177" spans="1:12" x14ac:dyDescent="0.25">
      <c r="A177" t="s">
        <v>104</v>
      </c>
      <c r="B177" t="s">
        <v>1105</v>
      </c>
      <c r="C177" t="s">
        <v>1106</v>
      </c>
      <c r="D177" s="2">
        <v>46129</v>
      </c>
      <c r="F177" s="2">
        <v>46296</v>
      </c>
      <c r="G177" s="2">
        <v>46301</v>
      </c>
      <c r="H177" s="1">
        <v>17310</v>
      </c>
      <c r="I177">
        <v>127.28</v>
      </c>
      <c r="J177" t="s">
        <v>16</v>
      </c>
    </row>
    <row r="178" spans="1:12" x14ac:dyDescent="0.25">
      <c r="A178" t="s">
        <v>1304</v>
      </c>
      <c r="B178" t="s">
        <v>1421</v>
      </c>
      <c r="C178" t="s">
        <v>32</v>
      </c>
      <c r="D178" s="2">
        <v>46212</v>
      </c>
      <c r="F178" s="2">
        <v>46301</v>
      </c>
      <c r="G178" s="2">
        <v>46301</v>
      </c>
      <c r="H178">
        <v>671</v>
      </c>
      <c r="I178">
        <v>17.190000000000001</v>
      </c>
      <c r="J178" t="s">
        <v>878</v>
      </c>
    </row>
    <row r="179" spans="1:12" x14ac:dyDescent="0.25">
      <c r="A179" t="s">
        <v>15</v>
      </c>
      <c r="B179" t="s">
        <v>1126</v>
      </c>
      <c r="C179" t="s">
        <v>25</v>
      </c>
      <c r="D179" s="2">
        <v>46097</v>
      </c>
      <c r="F179" s="2">
        <v>46301</v>
      </c>
      <c r="G179" s="2">
        <v>46301</v>
      </c>
      <c r="H179" s="1">
        <v>1201</v>
      </c>
      <c r="I179">
        <v>133.38999999999999</v>
      </c>
      <c r="J179" t="s">
        <v>40</v>
      </c>
      <c r="L179" t="s">
        <v>528</v>
      </c>
    </row>
    <row r="180" spans="1:12" x14ac:dyDescent="0.25">
      <c r="A180" t="s">
        <v>88</v>
      </c>
      <c r="B180" t="s">
        <v>1212</v>
      </c>
      <c r="C180" t="s">
        <v>49</v>
      </c>
      <c r="D180" s="2">
        <v>46169</v>
      </c>
      <c r="E180" s="2">
        <v>46212</v>
      </c>
      <c r="F180" s="2">
        <v>46300</v>
      </c>
      <c r="G180" s="2">
        <v>46301</v>
      </c>
      <c r="H180" s="1">
        <v>4738</v>
      </c>
      <c r="I180">
        <v>116.99</v>
      </c>
      <c r="J180" t="s">
        <v>878</v>
      </c>
      <c r="L180" t="s">
        <v>528</v>
      </c>
    </row>
    <row r="181" spans="1:12" x14ac:dyDescent="0.25">
      <c r="A181" t="s">
        <v>1304</v>
      </c>
      <c r="B181" t="s">
        <v>1420</v>
      </c>
      <c r="C181" t="s">
        <v>32</v>
      </c>
      <c r="D181" s="2">
        <v>46212</v>
      </c>
      <c r="F181" s="2">
        <v>46302</v>
      </c>
      <c r="G181" s="2">
        <v>46302</v>
      </c>
      <c r="H181">
        <v>722</v>
      </c>
      <c r="I181">
        <v>20.93</v>
      </c>
      <c r="J181" t="s">
        <v>878</v>
      </c>
      <c r="L181" t="s">
        <v>528</v>
      </c>
    </row>
    <row r="182" spans="1:12" x14ac:dyDescent="0.25">
      <c r="A182" t="s">
        <v>88</v>
      </c>
      <c r="B182" t="s">
        <v>981</v>
      </c>
      <c r="C182" t="s">
        <v>14</v>
      </c>
      <c r="D182" s="2">
        <v>46105</v>
      </c>
      <c r="F182" s="2">
        <v>46301</v>
      </c>
      <c r="G182" s="2">
        <v>46302</v>
      </c>
      <c r="H182" s="1">
        <v>15289</v>
      </c>
      <c r="I182">
        <v>212.35</v>
      </c>
      <c r="J182" t="s">
        <v>40</v>
      </c>
      <c r="L182" t="s">
        <v>528</v>
      </c>
    </row>
    <row r="183" spans="1:12" x14ac:dyDescent="0.25">
      <c r="A183" t="s">
        <v>1304</v>
      </c>
      <c r="B183" t="s">
        <v>1419</v>
      </c>
      <c r="C183" t="s">
        <v>32</v>
      </c>
      <c r="D183" s="2">
        <v>46212</v>
      </c>
      <c r="F183" s="2">
        <v>46303</v>
      </c>
      <c r="G183" s="2">
        <v>46303</v>
      </c>
      <c r="H183" s="1">
        <v>16896</v>
      </c>
      <c r="I183">
        <v>0</v>
      </c>
      <c r="J183" t="s">
        <v>878</v>
      </c>
    </row>
    <row r="184" spans="1:12" x14ac:dyDescent="0.25">
      <c r="A184" t="s">
        <v>15</v>
      </c>
      <c r="B184" t="s">
        <v>945</v>
      </c>
      <c r="C184" t="s">
        <v>23</v>
      </c>
      <c r="D184" s="2">
        <v>46091</v>
      </c>
      <c r="F184" s="2">
        <v>46303</v>
      </c>
      <c r="G184" s="2">
        <v>46303</v>
      </c>
      <c r="H184" s="1">
        <v>6302</v>
      </c>
      <c r="I184">
        <v>350.08</v>
      </c>
      <c r="J184" t="s">
        <v>40</v>
      </c>
      <c r="L184" t="s">
        <v>528</v>
      </c>
    </row>
    <row r="185" spans="1:12" x14ac:dyDescent="0.25">
      <c r="A185" t="s">
        <v>39</v>
      </c>
      <c r="B185" t="s">
        <v>1049</v>
      </c>
      <c r="C185" t="s">
        <v>20</v>
      </c>
      <c r="D185" s="2">
        <v>46108</v>
      </c>
      <c r="F185" s="2">
        <v>46304</v>
      </c>
      <c r="G185" s="2">
        <v>46304</v>
      </c>
      <c r="H185">
        <v>993</v>
      </c>
      <c r="I185">
        <v>82.78</v>
      </c>
      <c r="J185" t="s">
        <v>817</v>
      </c>
      <c r="L185" t="s">
        <v>528</v>
      </c>
    </row>
    <row r="186" spans="1:12" x14ac:dyDescent="0.25">
      <c r="A186" t="s">
        <v>39</v>
      </c>
      <c r="B186" t="s">
        <v>1059</v>
      </c>
      <c r="C186" t="s">
        <v>14</v>
      </c>
      <c r="D186" s="2">
        <v>46105</v>
      </c>
      <c r="F186" s="2">
        <v>46304</v>
      </c>
      <c r="G186" s="2">
        <v>46304</v>
      </c>
      <c r="H186" s="1">
        <v>4533</v>
      </c>
      <c r="I186">
        <v>503.69</v>
      </c>
      <c r="J186" t="s">
        <v>817</v>
      </c>
      <c r="L186" t="s">
        <v>528</v>
      </c>
    </row>
    <row r="187" spans="1:12" x14ac:dyDescent="0.25">
      <c r="A187" t="s">
        <v>39</v>
      </c>
      <c r="B187" t="s">
        <v>1361</v>
      </c>
      <c r="C187" t="s">
        <v>20</v>
      </c>
      <c r="D187" s="2">
        <v>46218</v>
      </c>
      <c r="F187" s="2">
        <v>46304</v>
      </c>
      <c r="G187" s="2">
        <v>46304</v>
      </c>
      <c r="H187">
        <v>168</v>
      </c>
      <c r="I187">
        <v>18.670000000000002</v>
      </c>
      <c r="J187" t="s">
        <v>817</v>
      </c>
    </row>
    <row r="188" spans="1:12" x14ac:dyDescent="0.25">
      <c r="A188" t="s">
        <v>69</v>
      </c>
      <c r="B188" t="s">
        <v>1283</v>
      </c>
      <c r="C188" t="s">
        <v>14</v>
      </c>
      <c r="D188" s="2">
        <v>46204</v>
      </c>
      <c r="F188" s="2">
        <v>46303</v>
      </c>
      <c r="G188" s="2">
        <v>46304</v>
      </c>
      <c r="H188" s="1">
        <v>9636</v>
      </c>
      <c r="I188">
        <v>535.32000000000005</v>
      </c>
      <c r="J188" t="s">
        <v>40</v>
      </c>
      <c r="L188" t="s">
        <v>528</v>
      </c>
    </row>
    <row r="189" spans="1:12" x14ac:dyDescent="0.25">
      <c r="A189" t="s">
        <v>1084</v>
      </c>
      <c r="B189" t="s">
        <v>1170</v>
      </c>
      <c r="C189" t="s">
        <v>14</v>
      </c>
      <c r="D189" s="2">
        <v>45636</v>
      </c>
      <c r="F189" s="2">
        <v>46304</v>
      </c>
      <c r="G189" s="2">
        <v>46304</v>
      </c>
      <c r="H189">
        <v>900</v>
      </c>
      <c r="I189">
        <v>100</v>
      </c>
      <c r="J189" t="s">
        <v>1090</v>
      </c>
    </row>
    <row r="190" spans="1:12" x14ac:dyDescent="0.25">
      <c r="A190" t="s">
        <v>15</v>
      </c>
      <c r="B190" t="s">
        <v>1418</v>
      </c>
      <c r="C190" t="s">
        <v>41</v>
      </c>
      <c r="D190" s="2">
        <v>46224</v>
      </c>
      <c r="F190" s="2">
        <v>46303</v>
      </c>
      <c r="G190" s="2">
        <v>46304</v>
      </c>
      <c r="H190" s="1">
        <v>10705</v>
      </c>
      <c r="I190">
        <v>148.68</v>
      </c>
      <c r="J190" t="s">
        <v>878</v>
      </c>
      <c r="K190" t="s">
        <v>528</v>
      </c>
      <c r="L190" t="s">
        <v>528</v>
      </c>
    </row>
    <row r="191" spans="1:12" x14ac:dyDescent="0.25">
      <c r="A191" t="s">
        <v>3</v>
      </c>
      <c r="B191" t="s">
        <v>1125</v>
      </c>
      <c r="C191" t="s">
        <v>14</v>
      </c>
      <c r="D191" s="2">
        <v>46139</v>
      </c>
      <c r="F191" s="2">
        <v>46300</v>
      </c>
      <c r="G191" s="2">
        <v>46304</v>
      </c>
      <c r="H191" s="1">
        <v>26246</v>
      </c>
      <c r="I191">
        <v>116.65</v>
      </c>
      <c r="J191" t="s">
        <v>817</v>
      </c>
      <c r="L191" t="s">
        <v>528</v>
      </c>
    </row>
    <row r="192" spans="1:12" x14ac:dyDescent="0.25">
      <c r="A192" t="s">
        <v>88</v>
      </c>
      <c r="B192" t="s">
        <v>888</v>
      </c>
      <c r="C192" t="s">
        <v>34</v>
      </c>
      <c r="D192" s="2">
        <v>46049</v>
      </c>
      <c r="F192" s="2">
        <v>46301</v>
      </c>
      <c r="G192" s="2">
        <v>46304</v>
      </c>
      <c r="H192" s="1">
        <v>20939</v>
      </c>
      <c r="I192">
        <v>145.41</v>
      </c>
      <c r="J192" t="s">
        <v>817</v>
      </c>
      <c r="L192" t="s">
        <v>528</v>
      </c>
    </row>
    <row r="193" spans="1:12" x14ac:dyDescent="0.25">
      <c r="A193" t="s">
        <v>88</v>
      </c>
      <c r="B193" t="s">
        <v>1139</v>
      </c>
      <c r="C193" t="s">
        <v>20</v>
      </c>
      <c r="D193" s="2">
        <v>46147</v>
      </c>
      <c r="F193" s="2">
        <v>46300</v>
      </c>
      <c r="G193" s="2">
        <v>46304</v>
      </c>
      <c r="H193" s="1">
        <v>16472</v>
      </c>
      <c r="I193">
        <v>129.19</v>
      </c>
      <c r="J193" t="s">
        <v>40</v>
      </c>
      <c r="L193" t="s">
        <v>528</v>
      </c>
    </row>
    <row r="194" spans="1:12" x14ac:dyDescent="0.25">
      <c r="A194" t="s">
        <v>467</v>
      </c>
      <c r="B194" t="s">
        <v>1027</v>
      </c>
      <c r="C194" t="s">
        <v>17</v>
      </c>
      <c r="D194" s="2">
        <v>46106</v>
      </c>
      <c r="F194" s="2">
        <v>46300</v>
      </c>
      <c r="G194" s="2">
        <v>46304</v>
      </c>
      <c r="H194" s="1">
        <v>18592</v>
      </c>
      <c r="I194">
        <v>137.72</v>
      </c>
      <c r="J194" t="s">
        <v>878</v>
      </c>
      <c r="L194" t="s">
        <v>528</v>
      </c>
    </row>
    <row r="195" spans="1:12" x14ac:dyDescent="0.25">
      <c r="A195" t="s">
        <v>104</v>
      </c>
      <c r="B195" t="s">
        <v>860</v>
      </c>
      <c r="C195" t="s">
        <v>858</v>
      </c>
      <c r="D195" s="2">
        <v>46002</v>
      </c>
      <c r="F195" s="2">
        <v>46298</v>
      </c>
      <c r="G195" s="2">
        <v>46305</v>
      </c>
      <c r="H195" s="1">
        <v>7830</v>
      </c>
      <c r="I195">
        <v>122.34</v>
      </c>
      <c r="J195" t="s">
        <v>16</v>
      </c>
      <c r="L195" t="s">
        <v>528</v>
      </c>
    </row>
    <row r="196" spans="1:12" x14ac:dyDescent="0.25">
      <c r="A196" t="s">
        <v>793</v>
      </c>
      <c r="B196" t="s">
        <v>946</v>
      </c>
      <c r="C196" t="s">
        <v>25</v>
      </c>
      <c r="D196" s="2">
        <v>46093</v>
      </c>
      <c r="F196" s="2">
        <v>46305</v>
      </c>
      <c r="G196" s="2">
        <v>46305</v>
      </c>
      <c r="H196" s="1">
        <v>3612</v>
      </c>
      <c r="I196">
        <v>100.33</v>
      </c>
      <c r="J196" t="s">
        <v>40</v>
      </c>
      <c r="L196" t="s">
        <v>528</v>
      </c>
    </row>
    <row r="197" spans="1:12" x14ac:dyDescent="0.25">
      <c r="A197" t="s">
        <v>816</v>
      </c>
      <c r="B197" t="s">
        <v>1232</v>
      </c>
      <c r="C197" t="s">
        <v>26</v>
      </c>
      <c r="D197" s="2">
        <v>46178</v>
      </c>
      <c r="F197" s="2">
        <v>46305</v>
      </c>
      <c r="G197" s="2">
        <v>46305</v>
      </c>
      <c r="H197" s="1">
        <v>5680</v>
      </c>
      <c r="I197">
        <v>631.11</v>
      </c>
      <c r="J197" t="s">
        <v>40</v>
      </c>
    </row>
    <row r="198" spans="1:12" x14ac:dyDescent="0.25">
      <c r="A198" t="s">
        <v>15</v>
      </c>
      <c r="B198" t="s">
        <v>1061</v>
      </c>
      <c r="C198" t="s">
        <v>23</v>
      </c>
      <c r="D198" s="2">
        <v>46107</v>
      </c>
      <c r="F198" s="2">
        <v>46307</v>
      </c>
      <c r="G198" s="2">
        <v>46307</v>
      </c>
      <c r="H198" s="1">
        <v>7077</v>
      </c>
      <c r="I198">
        <v>157.27000000000001</v>
      </c>
      <c r="J198" t="s">
        <v>40</v>
      </c>
      <c r="L198" t="s">
        <v>528</v>
      </c>
    </row>
    <row r="199" spans="1:12" x14ac:dyDescent="0.25">
      <c r="A199" t="s">
        <v>27</v>
      </c>
      <c r="B199" t="s">
        <v>979</v>
      </c>
      <c r="C199" t="s">
        <v>21</v>
      </c>
      <c r="D199" s="2">
        <v>46099</v>
      </c>
      <c r="F199" s="2">
        <v>46300</v>
      </c>
      <c r="G199" s="2">
        <v>46307</v>
      </c>
      <c r="H199" s="1">
        <v>27986</v>
      </c>
      <c r="I199">
        <v>129.56</v>
      </c>
      <c r="J199" t="s">
        <v>878</v>
      </c>
      <c r="L199" t="s">
        <v>528</v>
      </c>
    </row>
    <row r="200" spans="1:12" x14ac:dyDescent="0.25">
      <c r="A200" t="s">
        <v>39</v>
      </c>
      <c r="B200" t="s">
        <v>1023</v>
      </c>
      <c r="C200" t="s">
        <v>14</v>
      </c>
      <c r="D200" s="2">
        <v>46105</v>
      </c>
      <c r="F200" s="2">
        <v>46307</v>
      </c>
      <c r="G200" s="2">
        <v>46308</v>
      </c>
      <c r="H200" s="1">
        <v>11581</v>
      </c>
      <c r="I200">
        <v>160.85</v>
      </c>
      <c r="J200" t="s">
        <v>40</v>
      </c>
      <c r="L200" t="s">
        <v>528</v>
      </c>
    </row>
    <row r="201" spans="1:12" x14ac:dyDescent="0.25">
      <c r="A201" t="s">
        <v>88</v>
      </c>
      <c r="B201" t="s">
        <v>1153</v>
      </c>
      <c r="C201" t="s">
        <v>25</v>
      </c>
      <c r="D201" s="2">
        <v>46126</v>
      </c>
      <c r="F201" s="2">
        <v>46308</v>
      </c>
      <c r="G201" s="2">
        <v>46308</v>
      </c>
      <c r="H201">
        <v>435</v>
      </c>
      <c r="I201">
        <v>16.11</v>
      </c>
      <c r="J201" t="s">
        <v>40</v>
      </c>
      <c r="L201" t="s">
        <v>528</v>
      </c>
    </row>
    <row r="202" spans="1:12" x14ac:dyDescent="0.25">
      <c r="A202" t="s">
        <v>788</v>
      </c>
      <c r="B202" t="s">
        <v>959</v>
      </c>
      <c r="C202" t="s">
        <v>789</v>
      </c>
      <c r="D202" s="2">
        <v>46098</v>
      </c>
      <c r="F202" s="2">
        <v>46307</v>
      </c>
      <c r="G202" s="2">
        <v>46309</v>
      </c>
      <c r="H202" s="1">
        <v>9743</v>
      </c>
      <c r="I202">
        <v>120.28</v>
      </c>
      <c r="J202" t="s">
        <v>16</v>
      </c>
      <c r="L202" t="s">
        <v>528</v>
      </c>
    </row>
    <row r="203" spans="1:12" x14ac:dyDescent="0.25">
      <c r="A203" t="s">
        <v>29</v>
      </c>
      <c r="B203" t="s">
        <v>1356</v>
      </c>
      <c r="C203" t="s">
        <v>400</v>
      </c>
      <c r="D203" s="2">
        <v>46220</v>
      </c>
      <c r="F203" s="2">
        <v>46307</v>
      </c>
      <c r="G203" s="2">
        <v>46309</v>
      </c>
      <c r="H203" s="1">
        <v>11366</v>
      </c>
      <c r="I203">
        <v>140.32</v>
      </c>
      <c r="J203" t="s">
        <v>16</v>
      </c>
      <c r="L203" t="s">
        <v>528</v>
      </c>
    </row>
    <row r="204" spans="1:12" x14ac:dyDescent="0.25">
      <c r="A204" t="s">
        <v>88</v>
      </c>
      <c r="B204" t="s">
        <v>1338</v>
      </c>
      <c r="C204" t="s">
        <v>23</v>
      </c>
      <c r="D204" s="2">
        <v>46224</v>
      </c>
      <c r="F204" s="2">
        <v>46309</v>
      </c>
      <c r="G204" s="2">
        <v>46309</v>
      </c>
      <c r="H204" s="1">
        <v>1053</v>
      </c>
      <c r="I204">
        <v>29.25</v>
      </c>
      <c r="J204" t="s">
        <v>40</v>
      </c>
      <c r="L204" t="s">
        <v>528</v>
      </c>
    </row>
    <row r="205" spans="1:12" x14ac:dyDescent="0.25">
      <c r="A205" t="s">
        <v>499</v>
      </c>
      <c r="B205" t="s">
        <v>1052</v>
      </c>
      <c r="C205" t="s">
        <v>45</v>
      </c>
      <c r="D205" s="2">
        <v>46107</v>
      </c>
      <c r="F205" s="2">
        <v>46307</v>
      </c>
      <c r="G205" s="2">
        <v>46309</v>
      </c>
      <c r="H205" s="1">
        <v>8991</v>
      </c>
      <c r="I205">
        <v>111</v>
      </c>
      <c r="J205" t="s">
        <v>878</v>
      </c>
      <c r="L205" t="s">
        <v>528</v>
      </c>
    </row>
    <row r="206" spans="1:12" x14ac:dyDescent="0.25">
      <c r="A206" t="s">
        <v>33</v>
      </c>
      <c r="B206" t="s">
        <v>1346</v>
      </c>
      <c r="C206" t="s">
        <v>38</v>
      </c>
      <c r="D206" s="2">
        <v>46224</v>
      </c>
      <c r="E206" s="2">
        <v>46219</v>
      </c>
      <c r="F206" s="2">
        <v>46307</v>
      </c>
      <c r="G206" s="2">
        <v>46310</v>
      </c>
      <c r="H206" s="1">
        <v>15561</v>
      </c>
      <c r="I206">
        <v>123.5</v>
      </c>
      <c r="J206" t="s">
        <v>40</v>
      </c>
      <c r="L206" t="s">
        <v>528</v>
      </c>
    </row>
    <row r="207" spans="1:12" x14ac:dyDescent="0.25">
      <c r="A207" t="s">
        <v>662</v>
      </c>
      <c r="B207" t="s">
        <v>982</v>
      </c>
      <c r="C207" t="s">
        <v>64</v>
      </c>
      <c r="D207" s="2">
        <v>46105</v>
      </c>
      <c r="F207" s="2">
        <v>46300</v>
      </c>
      <c r="G207" s="2">
        <v>46310</v>
      </c>
      <c r="H207" s="1">
        <v>33278</v>
      </c>
      <c r="I207">
        <v>136.94999999999999</v>
      </c>
      <c r="J207" t="s">
        <v>40</v>
      </c>
      <c r="L207" t="s">
        <v>528</v>
      </c>
    </row>
    <row r="208" spans="1:12" x14ac:dyDescent="0.25">
      <c r="A208" t="s">
        <v>39</v>
      </c>
      <c r="B208" t="s">
        <v>1053</v>
      </c>
      <c r="C208" t="s">
        <v>20</v>
      </c>
      <c r="D208" s="2">
        <v>46112</v>
      </c>
      <c r="F208" s="2">
        <v>46300</v>
      </c>
      <c r="G208" s="2">
        <v>46311</v>
      </c>
      <c r="H208" s="1">
        <v>34225</v>
      </c>
      <c r="I208">
        <v>126.76</v>
      </c>
      <c r="J208" t="s">
        <v>817</v>
      </c>
      <c r="L208" t="s">
        <v>528</v>
      </c>
    </row>
    <row r="209" spans="1:12" x14ac:dyDescent="0.25">
      <c r="A209" t="s">
        <v>104</v>
      </c>
      <c r="B209" t="s">
        <v>859</v>
      </c>
      <c r="C209" t="s">
        <v>801</v>
      </c>
      <c r="D209" s="2">
        <v>46002</v>
      </c>
      <c r="F209" s="2">
        <v>46310</v>
      </c>
      <c r="G209" s="2">
        <v>46311</v>
      </c>
      <c r="H209" s="1">
        <v>10430</v>
      </c>
      <c r="I209">
        <v>130.38</v>
      </c>
      <c r="J209" t="s">
        <v>16</v>
      </c>
    </row>
    <row r="210" spans="1:12" x14ac:dyDescent="0.25">
      <c r="A210" t="s">
        <v>3</v>
      </c>
      <c r="B210" t="s">
        <v>1046</v>
      </c>
      <c r="C210" t="s">
        <v>32</v>
      </c>
      <c r="D210" s="2">
        <v>46107</v>
      </c>
      <c r="F210" s="2">
        <v>46311</v>
      </c>
      <c r="G210" s="2">
        <v>46311</v>
      </c>
      <c r="H210" s="1">
        <v>2629</v>
      </c>
      <c r="I210">
        <v>97.37</v>
      </c>
      <c r="J210" t="s">
        <v>878</v>
      </c>
      <c r="L210" t="s">
        <v>528</v>
      </c>
    </row>
    <row r="211" spans="1:12" x14ac:dyDescent="0.25">
      <c r="A211" t="s">
        <v>88</v>
      </c>
      <c r="B211" t="s">
        <v>1055</v>
      </c>
      <c r="C211" t="s">
        <v>14</v>
      </c>
      <c r="D211" s="2">
        <v>46112</v>
      </c>
      <c r="F211" s="2">
        <v>46310</v>
      </c>
      <c r="G211" s="2">
        <v>46311</v>
      </c>
      <c r="H211" s="1">
        <v>9574</v>
      </c>
      <c r="I211">
        <v>132.97999999999999</v>
      </c>
      <c r="J211" t="s">
        <v>817</v>
      </c>
      <c r="L211" t="s">
        <v>528</v>
      </c>
    </row>
    <row r="212" spans="1:12" x14ac:dyDescent="0.25">
      <c r="A212" t="s">
        <v>88</v>
      </c>
      <c r="B212" t="s">
        <v>1100</v>
      </c>
      <c r="C212" t="s">
        <v>14</v>
      </c>
      <c r="D212" s="2">
        <v>46098</v>
      </c>
      <c r="F212" s="2">
        <v>46311</v>
      </c>
      <c r="G212" s="2">
        <v>46311</v>
      </c>
      <c r="H212" s="1">
        <v>8525</v>
      </c>
      <c r="I212">
        <v>303.11</v>
      </c>
      <c r="J212" t="s">
        <v>40</v>
      </c>
      <c r="L212" t="s">
        <v>528</v>
      </c>
    </row>
    <row r="213" spans="1:12" x14ac:dyDescent="0.25">
      <c r="A213" t="s">
        <v>36</v>
      </c>
      <c r="B213" t="s">
        <v>1417</v>
      </c>
      <c r="C213" t="s">
        <v>49</v>
      </c>
      <c r="D213" s="2">
        <v>46111</v>
      </c>
      <c r="F213" s="2">
        <v>46314</v>
      </c>
      <c r="G213" s="2">
        <v>46314</v>
      </c>
      <c r="H213">
        <v>594</v>
      </c>
      <c r="I213">
        <v>148.5</v>
      </c>
      <c r="J213" t="s">
        <v>878</v>
      </c>
    </row>
    <row r="214" spans="1:12" x14ac:dyDescent="0.25">
      <c r="A214" t="s">
        <v>39</v>
      </c>
      <c r="B214" t="s">
        <v>999</v>
      </c>
      <c r="C214" t="s">
        <v>23</v>
      </c>
      <c r="D214" s="2">
        <v>46105</v>
      </c>
      <c r="F214" s="2">
        <v>46307</v>
      </c>
      <c r="G214" s="2">
        <v>46314</v>
      </c>
      <c r="H214" s="1">
        <v>29223</v>
      </c>
      <c r="I214">
        <v>135.29</v>
      </c>
      <c r="J214" t="s">
        <v>40</v>
      </c>
      <c r="L214" t="s">
        <v>528</v>
      </c>
    </row>
    <row r="215" spans="1:12" x14ac:dyDescent="0.25">
      <c r="A215" t="s">
        <v>3</v>
      </c>
      <c r="B215" t="s">
        <v>1416</v>
      </c>
      <c r="C215" t="s">
        <v>32</v>
      </c>
      <c r="D215" s="2">
        <v>46226</v>
      </c>
      <c r="F215" s="2">
        <v>46314</v>
      </c>
      <c r="G215" s="2">
        <v>46314</v>
      </c>
      <c r="H215">
        <v>240</v>
      </c>
      <c r="I215">
        <v>13.33</v>
      </c>
      <c r="J215" t="s">
        <v>878</v>
      </c>
      <c r="L215" t="s">
        <v>528</v>
      </c>
    </row>
    <row r="216" spans="1:12" x14ac:dyDescent="0.25">
      <c r="A216" t="s">
        <v>88</v>
      </c>
      <c r="B216" t="s">
        <v>969</v>
      </c>
      <c r="C216" t="s">
        <v>25</v>
      </c>
      <c r="D216" s="2">
        <v>46098</v>
      </c>
      <c r="F216" s="2">
        <v>46308</v>
      </c>
      <c r="G216" s="2">
        <v>46314</v>
      </c>
      <c r="H216" s="1">
        <v>16889</v>
      </c>
      <c r="I216">
        <v>625.5</v>
      </c>
      <c r="J216" t="s">
        <v>40</v>
      </c>
      <c r="L216" t="s">
        <v>528</v>
      </c>
    </row>
    <row r="217" spans="1:12" x14ac:dyDescent="0.25">
      <c r="A217" t="s">
        <v>88</v>
      </c>
      <c r="B217" t="s">
        <v>1320</v>
      </c>
      <c r="C217" t="s">
        <v>18</v>
      </c>
      <c r="D217" s="2">
        <v>46211</v>
      </c>
      <c r="F217" s="2">
        <v>46315</v>
      </c>
      <c r="G217" s="2">
        <v>46315</v>
      </c>
      <c r="H217" s="1">
        <v>4915</v>
      </c>
      <c r="I217">
        <v>546.11</v>
      </c>
      <c r="J217" t="s">
        <v>40</v>
      </c>
      <c r="L217" t="s">
        <v>528</v>
      </c>
    </row>
    <row r="218" spans="1:12" x14ac:dyDescent="0.25">
      <c r="A218" t="s">
        <v>4</v>
      </c>
      <c r="B218" t="s">
        <v>1332</v>
      </c>
      <c r="C218" t="s">
        <v>840</v>
      </c>
      <c r="D218" s="2">
        <v>46220</v>
      </c>
      <c r="F218" s="2">
        <v>46307</v>
      </c>
      <c r="G218" s="2">
        <v>46315</v>
      </c>
      <c r="H218" s="1">
        <v>22490</v>
      </c>
      <c r="I218">
        <v>133.87</v>
      </c>
      <c r="J218" t="s">
        <v>878</v>
      </c>
      <c r="L218" t="s">
        <v>528</v>
      </c>
    </row>
    <row r="219" spans="1:12" x14ac:dyDescent="0.25">
      <c r="A219" t="s">
        <v>36</v>
      </c>
      <c r="B219" t="s">
        <v>1051</v>
      </c>
      <c r="C219" t="s">
        <v>49</v>
      </c>
      <c r="D219" s="2">
        <v>46107</v>
      </c>
      <c r="F219" s="2">
        <v>46314</v>
      </c>
      <c r="G219" s="2">
        <v>46317</v>
      </c>
      <c r="H219" s="1">
        <v>15055</v>
      </c>
      <c r="I219">
        <v>139.4</v>
      </c>
      <c r="J219" t="s">
        <v>878</v>
      </c>
      <c r="L219" t="s">
        <v>528</v>
      </c>
    </row>
    <row r="220" spans="1:12" x14ac:dyDescent="0.25">
      <c r="A220" t="s">
        <v>3</v>
      </c>
      <c r="B220" t="s">
        <v>1015</v>
      </c>
      <c r="C220" t="s">
        <v>14</v>
      </c>
      <c r="D220" s="2">
        <v>46100</v>
      </c>
      <c r="F220" s="2">
        <v>46314</v>
      </c>
      <c r="G220" s="2">
        <v>46317</v>
      </c>
      <c r="H220" s="1">
        <v>14693</v>
      </c>
      <c r="I220">
        <v>136.05000000000001</v>
      </c>
      <c r="J220" t="s">
        <v>40</v>
      </c>
      <c r="L220" t="s">
        <v>528</v>
      </c>
    </row>
    <row r="221" spans="1:12" x14ac:dyDescent="0.25">
      <c r="A221" t="s">
        <v>3</v>
      </c>
      <c r="B221" t="s">
        <v>1292</v>
      </c>
      <c r="C221" t="s">
        <v>32</v>
      </c>
      <c r="D221" s="2">
        <v>46205</v>
      </c>
      <c r="F221" s="2">
        <v>46314</v>
      </c>
      <c r="G221" s="2">
        <v>46317</v>
      </c>
      <c r="H221" s="1">
        <v>21670</v>
      </c>
      <c r="I221">
        <v>150.49</v>
      </c>
      <c r="J221" t="s">
        <v>878</v>
      </c>
      <c r="L221" t="s">
        <v>528</v>
      </c>
    </row>
    <row r="222" spans="1:12" x14ac:dyDescent="0.25">
      <c r="A222" t="s">
        <v>3</v>
      </c>
      <c r="B222" t="s">
        <v>933</v>
      </c>
      <c r="C222" t="s">
        <v>34</v>
      </c>
      <c r="D222" s="2">
        <v>46078</v>
      </c>
      <c r="F222" s="2">
        <v>46314</v>
      </c>
      <c r="G222" s="2">
        <v>46317</v>
      </c>
      <c r="H222" s="1">
        <v>20448</v>
      </c>
      <c r="I222">
        <v>142</v>
      </c>
      <c r="J222" t="s">
        <v>817</v>
      </c>
      <c r="L222" t="s">
        <v>528</v>
      </c>
    </row>
    <row r="223" spans="1:12" x14ac:dyDescent="0.25">
      <c r="A223" t="s">
        <v>92</v>
      </c>
      <c r="B223" t="s">
        <v>1026</v>
      </c>
      <c r="C223" t="s">
        <v>14</v>
      </c>
      <c r="D223" s="2">
        <v>46101</v>
      </c>
      <c r="F223" s="2">
        <v>46314</v>
      </c>
      <c r="G223" s="2">
        <v>46317</v>
      </c>
      <c r="H223" s="1">
        <v>21329</v>
      </c>
      <c r="I223">
        <v>118.49</v>
      </c>
      <c r="J223" t="s">
        <v>40</v>
      </c>
      <c r="L223" t="s">
        <v>528</v>
      </c>
    </row>
    <row r="224" spans="1:12" x14ac:dyDescent="0.25">
      <c r="A224" t="s">
        <v>69</v>
      </c>
      <c r="B224" t="s">
        <v>925</v>
      </c>
      <c r="C224" t="s">
        <v>26</v>
      </c>
      <c r="D224" s="2">
        <v>46064</v>
      </c>
      <c r="F224" s="2">
        <v>46316</v>
      </c>
      <c r="G224" s="2">
        <v>46318</v>
      </c>
      <c r="H224" s="1">
        <v>10670</v>
      </c>
      <c r="I224">
        <v>395.19</v>
      </c>
      <c r="J224" t="s">
        <v>40</v>
      </c>
      <c r="L224" t="s">
        <v>528</v>
      </c>
    </row>
    <row r="225" spans="1:12" x14ac:dyDescent="0.25">
      <c r="A225" t="s">
        <v>1084</v>
      </c>
      <c r="B225" t="s">
        <v>1169</v>
      </c>
      <c r="C225" t="s">
        <v>14</v>
      </c>
      <c r="D225" s="2">
        <v>45636</v>
      </c>
      <c r="F225" s="2">
        <v>46318</v>
      </c>
      <c r="G225" s="2">
        <v>46318</v>
      </c>
      <c r="H225">
        <v>900</v>
      </c>
      <c r="I225">
        <v>100</v>
      </c>
      <c r="J225" t="s">
        <v>1090</v>
      </c>
    </row>
    <row r="226" spans="1:12" x14ac:dyDescent="0.25">
      <c r="A226" t="s">
        <v>793</v>
      </c>
      <c r="B226" t="s">
        <v>1208</v>
      </c>
      <c r="C226" t="s">
        <v>934</v>
      </c>
      <c r="D226" s="2">
        <v>46170</v>
      </c>
      <c r="F226" s="2">
        <v>46317</v>
      </c>
      <c r="G226" s="2">
        <v>46318</v>
      </c>
      <c r="H226" s="1">
        <v>11470</v>
      </c>
      <c r="I226">
        <v>0</v>
      </c>
      <c r="J226" t="s">
        <v>878</v>
      </c>
    </row>
    <row r="227" spans="1:12" x14ac:dyDescent="0.25">
      <c r="A227" t="s">
        <v>27</v>
      </c>
      <c r="B227" t="s">
        <v>1045</v>
      </c>
      <c r="C227" t="s">
        <v>28</v>
      </c>
      <c r="D227" s="2">
        <v>46107</v>
      </c>
      <c r="F227" s="2">
        <v>46310</v>
      </c>
      <c r="G227" s="2">
        <v>46318</v>
      </c>
      <c r="H227" s="1">
        <v>22568</v>
      </c>
      <c r="I227">
        <v>119.41</v>
      </c>
      <c r="J227" t="s">
        <v>878</v>
      </c>
    </row>
    <row r="228" spans="1:12" x14ac:dyDescent="0.25">
      <c r="A228" t="s">
        <v>3</v>
      </c>
      <c r="B228" t="s">
        <v>1344</v>
      </c>
      <c r="C228" t="s">
        <v>34</v>
      </c>
      <c r="D228" s="2">
        <v>46219</v>
      </c>
      <c r="F228" s="2">
        <v>46317</v>
      </c>
      <c r="G228" s="2">
        <v>46318</v>
      </c>
      <c r="H228" s="1">
        <v>8700</v>
      </c>
      <c r="I228">
        <v>135.94</v>
      </c>
      <c r="J228" t="s">
        <v>817</v>
      </c>
      <c r="L228" t="s">
        <v>528</v>
      </c>
    </row>
    <row r="229" spans="1:12" x14ac:dyDescent="0.25">
      <c r="A229" t="s">
        <v>816</v>
      </c>
      <c r="B229" t="s">
        <v>1415</v>
      </c>
      <c r="C229" t="s">
        <v>42</v>
      </c>
      <c r="D229" s="2">
        <v>46192</v>
      </c>
      <c r="F229" s="2">
        <v>46321</v>
      </c>
      <c r="G229" s="2">
        <v>46321</v>
      </c>
      <c r="H229">
        <v>4</v>
      </c>
      <c r="I229">
        <v>0.44</v>
      </c>
      <c r="J229" t="s">
        <v>878</v>
      </c>
    </row>
    <row r="230" spans="1:12" x14ac:dyDescent="0.25">
      <c r="A230" t="s">
        <v>104</v>
      </c>
      <c r="B230" t="s">
        <v>853</v>
      </c>
      <c r="C230" t="s">
        <v>850</v>
      </c>
      <c r="D230" s="2">
        <v>45983</v>
      </c>
      <c r="E230" s="2">
        <v>46226</v>
      </c>
      <c r="F230" s="2">
        <v>46321</v>
      </c>
      <c r="G230" s="2">
        <v>46322</v>
      </c>
      <c r="H230" s="1">
        <v>9702</v>
      </c>
      <c r="I230">
        <v>134.75</v>
      </c>
      <c r="J230" t="s">
        <v>16</v>
      </c>
    </row>
    <row r="231" spans="1:12" x14ac:dyDescent="0.25">
      <c r="A231" t="s">
        <v>785</v>
      </c>
      <c r="B231" t="s">
        <v>1050</v>
      </c>
      <c r="C231" t="s">
        <v>55</v>
      </c>
      <c r="D231" s="2">
        <v>46108</v>
      </c>
      <c r="F231" s="2">
        <v>46321</v>
      </c>
      <c r="G231" s="2">
        <v>46322</v>
      </c>
      <c r="H231" s="1">
        <v>8429</v>
      </c>
      <c r="I231">
        <v>156.1</v>
      </c>
      <c r="J231" t="s">
        <v>878</v>
      </c>
      <c r="L231" t="s">
        <v>528</v>
      </c>
    </row>
    <row r="232" spans="1:12" x14ac:dyDescent="0.25">
      <c r="A232" t="s">
        <v>29</v>
      </c>
      <c r="B232" t="s">
        <v>924</v>
      </c>
      <c r="C232" t="s">
        <v>14</v>
      </c>
      <c r="D232" s="2">
        <v>46058</v>
      </c>
      <c r="F232" s="2">
        <v>46321</v>
      </c>
      <c r="G232" s="2">
        <v>46323</v>
      </c>
      <c r="H232" s="1">
        <v>9503</v>
      </c>
      <c r="I232">
        <v>351.94</v>
      </c>
      <c r="J232" t="s">
        <v>16</v>
      </c>
      <c r="L232" t="s">
        <v>528</v>
      </c>
    </row>
    <row r="233" spans="1:12" x14ac:dyDescent="0.25">
      <c r="A233" t="s">
        <v>33</v>
      </c>
      <c r="B233" t="s">
        <v>1017</v>
      </c>
      <c r="C233" t="s">
        <v>18</v>
      </c>
      <c r="D233" s="2">
        <v>46106</v>
      </c>
      <c r="F233" s="2">
        <v>46323</v>
      </c>
      <c r="G233" s="2">
        <v>46323</v>
      </c>
      <c r="H233" s="1">
        <v>3877</v>
      </c>
      <c r="I233">
        <v>143.6</v>
      </c>
      <c r="J233" t="s">
        <v>40</v>
      </c>
      <c r="L233" t="s">
        <v>528</v>
      </c>
    </row>
    <row r="234" spans="1:12" x14ac:dyDescent="0.25">
      <c r="A234" t="s">
        <v>92</v>
      </c>
      <c r="B234" t="s">
        <v>964</v>
      </c>
      <c r="C234" t="s">
        <v>24</v>
      </c>
      <c r="D234" s="2">
        <v>46097</v>
      </c>
      <c r="F234" s="2">
        <v>46314</v>
      </c>
      <c r="G234" s="2">
        <v>46323</v>
      </c>
      <c r="H234" s="1">
        <v>26147</v>
      </c>
      <c r="I234">
        <v>121.05</v>
      </c>
      <c r="J234" t="s">
        <v>40</v>
      </c>
      <c r="L234" t="s">
        <v>528</v>
      </c>
    </row>
    <row r="235" spans="1:12" x14ac:dyDescent="0.25">
      <c r="A235" t="s">
        <v>92</v>
      </c>
      <c r="B235" t="s">
        <v>1124</v>
      </c>
      <c r="C235" t="s">
        <v>23</v>
      </c>
      <c r="D235" s="2">
        <v>46134</v>
      </c>
      <c r="F235" s="2">
        <v>46321</v>
      </c>
      <c r="G235" s="2">
        <v>46323</v>
      </c>
      <c r="H235" s="1">
        <v>8400</v>
      </c>
      <c r="I235">
        <v>116.66</v>
      </c>
      <c r="J235" t="s">
        <v>40</v>
      </c>
      <c r="L235" t="s">
        <v>528</v>
      </c>
    </row>
    <row r="236" spans="1:12" x14ac:dyDescent="0.25">
      <c r="A236" t="s">
        <v>92</v>
      </c>
      <c r="B236" t="s">
        <v>1088</v>
      </c>
      <c r="C236" t="s">
        <v>14</v>
      </c>
      <c r="D236" s="2">
        <v>46121</v>
      </c>
      <c r="F236" s="2">
        <v>46321</v>
      </c>
      <c r="G236" s="2">
        <v>46323</v>
      </c>
      <c r="H236" s="1">
        <v>13370</v>
      </c>
      <c r="I236" s="27">
        <v>1485.56</v>
      </c>
      <c r="J236" t="s">
        <v>817</v>
      </c>
    </row>
    <row r="237" spans="1:12" x14ac:dyDescent="0.25">
      <c r="A237" t="s">
        <v>43</v>
      </c>
      <c r="B237" t="s">
        <v>970</v>
      </c>
      <c r="C237" t="s">
        <v>627</v>
      </c>
      <c r="D237" s="2">
        <v>46097</v>
      </c>
      <c r="F237" s="2">
        <v>46321</v>
      </c>
      <c r="G237" s="2">
        <v>46323</v>
      </c>
      <c r="H237" s="1">
        <v>12523</v>
      </c>
      <c r="I237">
        <v>130.44999999999999</v>
      </c>
      <c r="J237" t="s">
        <v>878</v>
      </c>
      <c r="L237" t="s">
        <v>528</v>
      </c>
    </row>
    <row r="238" spans="1:12" x14ac:dyDescent="0.25">
      <c r="A238" t="s">
        <v>15</v>
      </c>
      <c r="B238" t="s">
        <v>1248</v>
      </c>
      <c r="C238" t="s">
        <v>25</v>
      </c>
      <c r="D238" s="2">
        <v>46185</v>
      </c>
      <c r="F238" s="2">
        <v>46300</v>
      </c>
      <c r="G238" s="2">
        <v>46325</v>
      </c>
      <c r="H238" s="1">
        <v>69308</v>
      </c>
      <c r="I238">
        <v>128.35</v>
      </c>
      <c r="J238" t="s">
        <v>40</v>
      </c>
      <c r="L238" t="s">
        <v>528</v>
      </c>
    </row>
    <row r="239" spans="1:12" x14ac:dyDescent="0.25">
      <c r="A239" t="s">
        <v>816</v>
      </c>
      <c r="B239" t="s">
        <v>1310</v>
      </c>
      <c r="C239" t="s">
        <v>25</v>
      </c>
      <c r="D239" s="2">
        <v>46211</v>
      </c>
      <c r="F239" s="2">
        <v>46324</v>
      </c>
      <c r="G239" s="2">
        <v>46325</v>
      </c>
      <c r="H239" s="1">
        <v>6130</v>
      </c>
      <c r="I239">
        <v>360.59</v>
      </c>
      <c r="J239" t="s">
        <v>40</v>
      </c>
      <c r="L239" t="s">
        <v>528</v>
      </c>
    </row>
    <row r="240" spans="1:12" x14ac:dyDescent="0.25">
      <c r="A240" t="s">
        <v>39</v>
      </c>
      <c r="B240" t="s">
        <v>1414</v>
      </c>
      <c r="C240" t="s">
        <v>14</v>
      </c>
      <c r="D240" s="2">
        <v>46227</v>
      </c>
      <c r="F240" s="2">
        <v>46324</v>
      </c>
      <c r="G240" s="2">
        <v>46329</v>
      </c>
      <c r="H240" s="1">
        <v>9510</v>
      </c>
      <c r="I240">
        <v>99.06</v>
      </c>
      <c r="J240" t="s">
        <v>817</v>
      </c>
      <c r="L240" t="s">
        <v>528</v>
      </c>
    </row>
    <row r="241" spans="1:12" x14ac:dyDescent="0.25">
      <c r="A241" t="s">
        <v>39</v>
      </c>
      <c r="B241" t="s">
        <v>1087</v>
      </c>
      <c r="C241" t="s">
        <v>14</v>
      </c>
      <c r="D241" s="2">
        <v>46119</v>
      </c>
      <c r="F241" s="2">
        <v>46328</v>
      </c>
      <c r="G241" s="2">
        <v>46329</v>
      </c>
      <c r="H241" s="1">
        <v>5020</v>
      </c>
      <c r="I241">
        <v>185.93</v>
      </c>
      <c r="J241" t="s">
        <v>817</v>
      </c>
      <c r="L241" t="s">
        <v>528</v>
      </c>
    </row>
    <row r="242" spans="1:12" x14ac:dyDescent="0.25">
      <c r="A242" t="s">
        <v>92</v>
      </c>
      <c r="B242" t="s">
        <v>1242</v>
      </c>
      <c r="C242" t="s">
        <v>20</v>
      </c>
      <c r="D242" s="2">
        <v>46185</v>
      </c>
      <c r="F242" s="2">
        <v>46328</v>
      </c>
      <c r="G242" s="2">
        <v>46330</v>
      </c>
      <c r="H242" s="1">
        <v>15225</v>
      </c>
      <c r="I242">
        <v>140.97</v>
      </c>
      <c r="J242" t="s">
        <v>817</v>
      </c>
    </row>
    <row r="243" spans="1:12" x14ac:dyDescent="0.25">
      <c r="A243" t="s">
        <v>65</v>
      </c>
      <c r="B243" t="s">
        <v>1130</v>
      </c>
      <c r="C243" t="s">
        <v>14</v>
      </c>
      <c r="D243" s="2">
        <v>46139</v>
      </c>
      <c r="E243" s="2">
        <v>46088</v>
      </c>
      <c r="F243" s="2">
        <v>46300</v>
      </c>
      <c r="G243" s="2">
        <v>46331</v>
      </c>
      <c r="H243" s="1">
        <v>79020</v>
      </c>
      <c r="I243">
        <v>121.94</v>
      </c>
      <c r="J243" t="s">
        <v>817</v>
      </c>
      <c r="L243" t="s">
        <v>528</v>
      </c>
    </row>
    <row r="244" spans="1:12" x14ac:dyDescent="0.25">
      <c r="A244" t="s">
        <v>3</v>
      </c>
      <c r="B244" t="s">
        <v>891</v>
      </c>
      <c r="C244" t="s">
        <v>14</v>
      </c>
      <c r="D244" s="2">
        <v>46045</v>
      </c>
      <c r="F244" s="2">
        <v>46324</v>
      </c>
      <c r="G244" s="2">
        <v>46331</v>
      </c>
      <c r="H244" s="1">
        <v>18052</v>
      </c>
      <c r="I244">
        <v>125.36</v>
      </c>
      <c r="J244" t="s">
        <v>817</v>
      </c>
      <c r="L244" t="s">
        <v>528</v>
      </c>
    </row>
    <row r="245" spans="1:12" x14ac:dyDescent="0.25">
      <c r="A245" t="s">
        <v>3</v>
      </c>
      <c r="B245" t="s">
        <v>931</v>
      </c>
      <c r="C245" t="s">
        <v>32</v>
      </c>
      <c r="D245" s="2">
        <v>46077</v>
      </c>
      <c r="F245" s="2">
        <v>46328</v>
      </c>
      <c r="G245" s="2">
        <v>46331</v>
      </c>
      <c r="H245" s="1">
        <v>13425</v>
      </c>
      <c r="I245">
        <v>127.86</v>
      </c>
      <c r="J245" t="s">
        <v>878</v>
      </c>
      <c r="L245" t="s">
        <v>528</v>
      </c>
    </row>
    <row r="246" spans="1:12" x14ac:dyDescent="0.25">
      <c r="A246" t="s">
        <v>814</v>
      </c>
      <c r="B246" t="s">
        <v>1309</v>
      </c>
      <c r="C246" t="s">
        <v>14</v>
      </c>
      <c r="D246" s="2">
        <v>46213</v>
      </c>
      <c r="F246" s="2">
        <v>46224</v>
      </c>
      <c r="G246" s="2">
        <v>46331</v>
      </c>
      <c r="H246" s="1">
        <v>44310</v>
      </c>
      <c r="I246">
        <v>130.41999999999999</v>
      </c>
      <c r="J246" t="s">
        <v>817</v>
      </c>
      <c r="L246" t="s">
        <v>528</v>
      </c>
    </row>
    <row r="247" spans="1:12" x14ac:dyDescent="0.25">
      <c r="A247" t="s">
        <v>1084</v>
      </c>
      <c r="B247" t="s">
        <v>1168</v>
      </c>
      <c r="C247" t="s">
        <v>14</v>
      </c>
      <c r="D247" s="2">
        <v>45636</v>
      </c>
      <c r="F247" s="2">
        <v>46332</v>
      </c>
      <c r="G247" s="2">
        <v>46332</v>
      </c>
      <c r="H247">
        <v>900</v>
      </c>
      <c r="I247">
        <v>100</v>
      </c>
      <c r="J247" t="s">
        <v>1090</v>
      </c>
    </row>
    <row r="248" spans="1:12" x14ac:dyDescent="0.25">
      <c r="A248" t="s">
        <v>3</v>
      </c>
      <c r="B248" t="s">
        <v>1024</v>
      </c>
      <c r="C248" t="s">
        <v>55</v>
      </c>
      <c r="D248" s="2">
        <v>46226</v>
      </c>
      <c r="F248" s="2">
        <v>46300</v>
      </c>
      <c r="G248" s="2">
        <v>46332</v>
      </c>
      <c r="H248" s="1">
        <v>116000</v>
      </c>
      <c r="I248">
        <v>128.88999999999999</v>
      </c>
      <c r="J248" t="s">
        <v>878</v>
      </c>
    </row>
    <row r="249" spans="1:12" x14ac:dyDescent="0.25">
      <c r="A249" t="s">
        <v>816</v>
      </c>
      <c r="B249" t="s">
        <v>841</v>
      </c>
      <c r="C249" t="s">
        <v>42</v>
      </c>
      <c r="D249" s="2">
        <v>45933</v>
      </c>
      <c r="F249" s="2">
        <v>46333</v>
      </c>
      <c r="G249" s="2">
        <v>46333</v>
      </c>
      <c r="H249" s="1">
        <v>3085</v>
      </c>
      <c r="I249">
        <v>128.54</v>
      </c>
      <c r="J249" t="s">
        <v>878</v>
      </c>
    </row>
    <row r="250" spans="1:12" x14ac:dyDescent="0.25">
      <c r="A250" t="s">
        <v>111</v>
      </c>
      <c r="B250" t="s">
        <v>1182</v>
      </c>
      <c r="C250" t="s">
        <v>14</v>
      </c>
      <c r="D250" s="2">
        <v>46141</v>
      </c>
      <c r="F250" s="2">
        <v>46335</v>
      </c>
      <c r="G250" s="2">
        <v>46335</v>
      </c>
      <c r="H250" s="1">
        <v>148049</v>
      </c>
      <c r="I250">
        <v>0</v>
      </c>
      <c r="J250" t="s">
        <v>16</v>
      </c>
    </row>
    <row r="251" spans="1:12" x14ac:dyDescent="0.25">
      <c r="A251" t="s">
        <v>106</v>
      </c>
      <c r="B251" t="s">
        <v>1413</v>
      </c>
      <c r="C251" t="s">
        <v>35</v>
      </c>
      <c r="D251" s="2">
        <v>46134</v>
      </c>
      <c r="F251" s="2">
        <v>46335</v>
      </c>
      <c r="G251" s="2">
        <v>46335</v>
      </c>
      <c r="H251" s="1">
        <v>4870</v>
      </c>
      <c r="I251">
        <v>180.37</v>
      </c>
      <c r="J251" t="s">
        <v>40</v>
      </c>
    </row>
    <row r="252" spans="1:12" x14ac:dyDescent="0.25">
      <c r="A252" t="s">
        <v>106</v>
      </c>
      <c r="B252" t="s">
        <v>1194</v>
      </c>
      <c r="C252" t="s">
        <v>14</v>
      </c>
      <c r="D252" s="2">
        <v>46164</v>
      </c>
      <c r="E252" s="2">
        <v>46147</v>
      </c>
      <c r="F252" s="2">
        <v>46335</v>
      </c>
      <c r="G252" s="2">
        <v>46335</v>
      </c>
      <c r="H252" s="1">
        <v>3895</v>
      </c>
      <c r="I252">
        <v>144.26</v>
      </c>
      <c r="J252" t="s">
        <v>817</v>
      </c>
    </row>
    <row r="253" spans="1:12" x14ac:dyDescent="0.25">
      <c r="A253" t="s">
        <v>65</v>
      </c>
      <c r="B253" t="s">
        <v>890</v>
      </c>
      <c r="C253" t="s">
        <v>14</v>
      </c>
      <c r="D253" s="2">
        <v>46002</v>
      </c>
      <c r="F253" s="2">
        <v>46335</v>
      </c>
      <c r="G253" s="2">
        <v>46336</v>
      </c>
      <c r="H253" s="1">
        <v>6515</v>
      </c>
      <c r="I253">
        <v>120.65</v>
      </c>
      <c r="J253" t="s">
        <v>817</v>
      </c>
      <c r="L253" t="s">
        <v>528</v>
      </c>
    </row>
    <row r="254" spans="1:12" x14ac:dyDescent="0.25">
      <c r="A254" t="s">
        <v>39</v>
      </c>
      <c r="B254" t="s">
        <v>1022</v>
      </c>
      <c r="C254" t="s">
        <v>14</v>
      </c>
      <c r="D254" s="2">
        <v>46105</v>
      </c>
      <c r="F254" s="2">
        <v>46324</v>
      </c>
      <c r="G254" s="2">
        <v>46336</v>
      </c>
      <c r="H254" s="1">
        <v>10309</v>
      </c>
      <c r="I254">
        <v>381.8</v>
      </c>
      <c r="J254" t="s">
        <v>40</v>
      </c>
      <c r="L254" t="s">
        <v>528</v>
      </c>
    </row>
    <row r="255" spans="1:12" x14ac:dyDescent="0.25">
      <c r="A255" t="s">
        <v>111</v>
      </c>
      <c r="B255" t="s">
        <v>1181</v>
      </c>
      <c r="C255" t="s">
        <v>14</v>
      </c>
      <c r="D255" s="2">
        <v>46141</v>
      </c>
      <c r="F255" s="2">
        <v>46336</v>
      </c>
      <c r="G255" s="2">
        <v>46336</v>
      </c>
      <c r="H255" s="1">
        <v>78037</v>
      </c>
      <c r="I255">
        <v>0</v>
      </c>
      <c r="J255" t="s">
        <v>16</v>
      </c>
    </row>
    <row r="256" spans="1:12" x14ac:dyDescent="0.25">
      <c r="A256" t="s">
        <v>111</v>
      </c>
      <c r="B256" t="s">
        <v>1180</v>
      </c>
      <c r="C256" t="s">
        <v>14</v>
      </c>
      <c r="D256" s="2">
        <v>46141</v>
      </c>
      <c r="F256" s="2">
        <v>46336</v>
      </c>
      <c r="G256" s="2">
        <v>46336</v>
      </c>
      <c r="H256" s="1">
        <v>79365</v>
      </c>
      <c r="I256">
        <v>0</v>
      </c>
      <c r="J256" t="s">
        <v>16</v>
      </c>
    </row>
    <row r="257" spans="1:12" x14ac:dyDescent="0.25">
      <c r="A257" t="s">
        <v>3</v>
      </c>
      <c r="B257" t="s">
        <v>1245</v>
      </c>
      <c r="C257" t="s">
        <v>18</v>
      </c>
      <c r="D257" s="2">
        <v>46185</v>
      </c>
      <c r="F257" s="2">
        <v>46328</v>
      </c>
      <c r="G257" s="2">
        <v>46336</v>
      </c>
      <c r="H257" s="1">
        <v>26895</v>
      </c>
      <c r="I257" s="27">
        <v>2988.33</v>
      </c>
      <c r="J257" t="s">
        <v>40</v>
      </c>
      <c r="L257" t="s">
        <v>528</v>
      </c>
    </row>
    <row r="258" spans="1:12" x14ac:dyDescent="0.25">
      <c r="A258" t="s">
        <v>47</v>
      </c>
      <c r="B258" t="s">
        <v>1282</v>
      </c>
      <c r="C258" t="s">
        <v>72</v>
      </c>
      <c r="D258" s="2">
        <v>46199</v>
      </c>
      <c r="F258" s="2">
        <v>46335</v>
      </c>
      <c r="G258" s="2">
        <v>46336</v>
      </c>
      <c r="H258" s="1">
        <v>10195</v>
      </c>
      <c r="I258">
        <v>141.6</v>
      </c>
      <c r="J258" t="s">
        <v>878</v>
      </c>
      <c r="L258" t="s">
        <v>528</v>
      </c>
    </row>
    <row r="259" spans="1:12" x14ac:dyDescent="0.25">
      <c r="A259" t="s">
        <v>1304</v>
      </c>
      <c r="B259" t="s">
        <v>1412</v>
      </c>
      <c r="C259" t="s">
        <v>32</v>
      </c>
      <c r="D259" s="2">
        <v>46212</v>
      </c>
      <c r="F259" s="2">
        <v>46337</v>
      </c>
      <c r="G259" s="2">
        <v>46337</v>
      </c>
      <c r="H259" s="1">
        <v>1245</v>
      </c>
      <c r="I259">
        <v>155.63</v>
      </c>
      <c r="J259" t="s">
        <v>878</v>
      </c>
      <c r="L259" t="s">
        <v>528</v>
      </c>
    </row>
    <row r="260" spans="1:12" x14ac:dyDescent="0.25">
      <c r="A260" t="s">
        <v>1304</v>
      </c>
      <c r="B260" t="s">
        <v>1411</v>
      </c>
      <c r="C260" t="s">
        <v>32</v>
      </c>
      <c r="D260" s="2">
        <v>46212</v>
      </c>
      <c r="F260" s="2">
        <v>46337</v>
      </c>
      <c r="G260" s="2">
        <v>46337</v>
      </c>
      <c r="H260">
        <v>910</v>
      </c>
      <c r="I260">
        <v>113.75</v>
      </c>
      <c r="J260" t="s">
        <v>878</v>
      </c>
      <c r="L260" t="s">
        <v>528</v>
      </c>
    </row>
    <row r="261" spans="1:12" x14ac:dyDescent="0.25">
      <c r="A261" t="s">
        <v>61</v>
      </c>
      <c r="B261" t="s">
        <v>1016</v>
      </c>
      <c r="C261" t="s">
        <v>18</v>
      </c>
      <c r="D261" s="2">
        <v>46105</v>
      </c>
      <c r="F261" s="2">
        <v>46337</v>
      </c>
      <c r="G261" s="2">
        <v>46338</v>
      </c>
      <c r="H261" s="1">
        <v>7846</v>
      </c>
      <c r="I261">
        <v>145.30000000000001</v>
      </c>
      <c r="J261" t="s">
        <v>40</v>
      </c>
    </row>
    <row r="262" spans="1:12" x14ac:dyDescent="0.25">
      <c r="A262" t="s">
        <v>1304</v>
      </c>
      <c r="B262" t="s">
        <v>1410</v>
      </c>
      <c r="C262" t="s">
        <v>32</v>
      </c>
      <c r="D262" s="2">
        <v>46212</v>
      </c>
      <c r="F262" s="2">
        <v>46337</v>
      </c>
      <c r="G262" s="2">
        <v>46338</v>
      </c>
      <c r="H262" s="1">
        <v>5930</v>
      </c>
      <c r="I262">
        <v>141.19</v>
      </c>
      <c r="J262" t="s">
        <v>878</v>
      </c>
      <c r="L262" t="s">
        <v>528</v>
      </c>
    </row>
    <row r="263" spans="1:12" x14ac:dyDescent="0.25">
      <c r="A263" t="s">
        <v>111</v>
      </c>
      <c r="B263" t="s">
        <v>1179</v>
      </c>
      <c r="C263" t="s">
        <v>14</v>
      </c>
      <c r="D263" s="2">
        <v>46141</v>
      </c>
      <c r="F263" s="2">
        <v>46338</v>
      </c>
      <c r="G263" s="2">
        <v>46338</v>
      </c>
      <c r="H263" s="1">
        <v>67700</v>
      </c>
      <c r="I263">
        <v>0</v>
      </c>
      <c r="J263" t="s">
        <v>16</v>
      </c>
    </row>
    <row r="264" spans="1:12" x14ac:dyDescent="0.25">
      <c r="A264" t="s">
        <v>111</v>
      </c>
      <c r="B264" t="s">
        <v>1178</v>
      </c>
      <c r="C264" t="s">
        <v>14</v>
      </c>
      <c r="D264" s="2">
        <v>46141</v>
      </c>
      <c r="F264" s="2">
        <v>46338</v>
      </c>
      <c r="G264" s="2">
        <v>46338</v>
      </c>
      <c r="H264" s="1">
        <v>94732</v>
      </c>
      <c r="I264">
        <v>0</v>
      </c>
      <c r="J264" t="s">
        <v>16</v>
      </c>
    </row>
    <row r="265" spans="1:12" x14ac:dyDescent="0.25">
      <c r="A265" t="s">
        <v>3</v>
      </c>
      <c r="B265" t="s">
        <v>1128</v>
      </c>
      <c r="C265" t="s">
        <v>18</v>
      </c>
      <c r="D265" s="2">
        <v>46135</v>
      </c>
      <c r="F265" s="2">
        <v>46338</v>
      </c>
      <c r="G265" s="2">
        <v>46339</v>
      </c>
      <c r="H265" s="1">
        <v>6750</v>
      </c>
      <c r="I265">
        <v>375</v>
      </c>
      <c r="J265" t="s">
        <v>40</v>
      </c>
      <c r="L265" t="s">
        <v>528</v>
      </c>
    </row>
    <row r="266" spans="1:12" x14ac:dyDescent="0.25">
      <c r="A266" t="s">
        <v>106</v>
      </c>
      <c r="B266" t="s">
        <v>1127</v>
      </c>
      <c r="C266" t="s">
        <v>34</v>
      </c>
      <c r="D266" s="2">
        <v>46134</v>
      </c>
      <c r="F266" s="2">
        <v>46342</v>
      </c>
      <c r="G266" s="2">
        <v>46342</v>
      </c>
      <c r="H266" s="1">
        <v>6020</v>
      </c>
      <c r="I266">
        <v>167.22</v>
      </c>
      <c r="J266" t="s">
        <v>817</v>
      </c>
      <c r="L266" t="s">
        <v>528</v>
      </c>
    </row>
    <row r="267" spans="1:12" x14ac:dyDescent="0.25">
      <c r="A267" t="s">
        <v>2</v>
      </c>
      <c r="B267" t="s">
        <v>923</v>
      </c>
      <c r="C267" t="s">
        <v>24</v>
      </c>
      <c r="D267" s="2">
        <v>46071</v>
      </c>
      <c r="F267" s="2">
        <v>46342</v>
      </c>
      <c r="G267" s="2">
        <v>46343</v>
      </c>
      <c r="H267" s="1">
        <v>7486</v>
      </c>
      <c r="I267">
        <v>138.63</v>
      </c>
      <c r="J267" t="s">
        <v>40</v>
      </c>
      <c r="L267" t="s">
        <v>528</v>
      </c>
    </row>
    <row r="268" spans="1:12" x14ac:dyDescent="0.25">
      <c r="A268" t="s">
        <v>92</v>
      </c>
      <c r="B268" t="s">
        <v>1308</v>
      </c>
      <c r="C268" t="s">
        <v>23</v>
      </c>
      <c r="D268" s="2">
        <v>46216</v>
      </c>
      <c r="F268" s="2">
        <v>46335</v>
      </c>
      <c r="G268" s="2">
        <v>46343</v>
      </c>
      <c r="H268" s="1">
        <v>25609</v>
      </c>
      <c r="I268" s="27">
        <v>2845.42</v>
      </c>
      <c r="J268" t="s">
        <v>40</v>
      </c>
      <c r="L268" t="s">
        <v>528</v>
      </c>
    </row>
    <row r="269" spans="1:12" x14ac:dyDescent="0.25">
      <c r="A269" t="s">
        <v>70</v>
      </c>
      <c r="B269" t="s">
        <v>1231</v>
      </c>
      <c r="C269" t="s">
        <v>62</v>
      </c>
      <c r="D269" s="2">
        <v>45965</v>
      </c>
      <c r="E269" s="2">
        <v>45965</v>
      </c>
      <c r="F269" s="2">
        <v>45965</v>
      </c>
      <c r="G269" s="2">
        <v>46344</v>
      </c>
      <c r="H269">
        <v>0</v>
      </c>
      <c r="I269">
        <v>0</v>
      </c>
      <c r="J269" t="s">
        <v>16</v>
      </c>
    </row>
    <row r="270" spans="1:12" x14ac:dyDescent="0.25">
      <c r="A270" t="s">
        <v>1084</v>
      </c>
      <c r="B270" t="s">
        <v>1176</v>
      </c>
      <c r="C270" t="s">
        <v>14</v>
      </c>
      <c r="D270" s="2">
        <v>45636</v>
      </c>
      <c r="F270" s="2">
        <v>46346</v>
      </c>
      <c r="G270" s="2">
        <v>46346</v>
      </c>
      <c r="H270">
        <v>12</v>
      </c>
      <c r="I270">
        <v>0</v>
      </c>
      <c r="J270" t="s">
        <v>1090</v>
      </c>
    </row>
    <row r="271" spans="1:12" x14ac:dyDescent="0.25">
      <c r="A271" t="s">
        <v>1084</v>
      </c>
      <c r="B271" t="s">
        <v>1167</v>
      </c>
      <c r="C271" t="s">
        <v>14</v>
      </c>
      <c r="D271" s="2">
        <v>45636</v>
      </c>
      <c r="F271" s="2">
        <v>46346</v>
      </c>
      <c r="G271" s="2">
        <v>46346</v>
      </c>
      <c r="H271">
        <v>900</v>
      </c>
      <c r="I271">
        <v>100</v>
      </c>
      <c r="J271" t="s">
        <v>1090</v>
      </c>
    </row>
    <row r="272" spans="1:12" x14ac:dyDescent="0.25">
      <c r="A272" t="s">
        <v>826</v>
      </c>
      <c r="B272" t="s">
        <v>1018</v>
      </c>
      <c r="C272" t="s">
        <v>23</v>
      </c>
      <c r="D272" s="2">
        <v>46106</v>
      </c>
      <c r="E272" s="2">
        <v>46192</v>
      </c>
      <c r="F272" s="2">
        <v>46342</v>
      </c>
      <c r="G272" s="2">
        <v>46346</v>
      </c>
      <c r="H272" s="1">
        <v>19605</v>
      </c>
      <c r="I272">
        <v>145.22</v>
      </c>
      <c r="J272" t="s">
        <v>40</v>
      </c>
      <c r="L272" t="s">
        <v>528</v>
      </c>
    </row>
    <row r="273" spans="1:12" x14ac:dyDescent="0.25">
      <c r="A273" t="s">
        <v>1084</v>
      </c>
      <c r="B273" t="s">
        <v>1166</v>
      </c>
      <c r="C273" t="s">
        <v>14</v>
      </c>
      <c r="D273" s="2">
        <v>45636</v>
      </c>
      <c r="F273" s="2">
        <v>46360</v>
      </c>
      <c r="G273" s="2">
        <v>46360</v>
      </c>
      <c r="H273">
        <v>900</v>
      </c>
      <c r="I273">
        <v>100</v>
      </c>
      <c r="J273" t="s">
        <v>1090</v>
      </c>
    </row>
    <row r="274" spans="1:12" x14ac:dyDescent="0.25">
      <c r="A274" t="s">
        <v>1084</v>
      </c>
      <c r="B274" t="s">
        <v>1165</v>
      </c>
      <c r="C274" t="s">
        <v>14</v>
      </c>
      <c r="D274" s="2">
        <v>45636</v>
      </c>
      <c r="F274" s="2">
        <v>46374</v>
      </c>
      <c r="G274" s="2">
        <v>46374</v>
      </c>
      <c r="H274">
        <v>900</v>
      </c>
      <c r="I274">
        <v>100</v>
      </c>
      <c r="J274" t="s">
        <v>1090</v>
      </c>
    </row>
    <row r="275" spans="1:12" x14ac:dyDescent="0.25">
      <c r="A275" t="s">
        <v>3</v>
      </c>
      <c r="B275" t="s">
        <v>1089</v>
      </c>
      <c r="C275" t="s">
        <v>35</v>
      </c>
      <c r="D275" s="2">
        <v>46125</v>
      </c>
      <c r="F275" s="2">
        <v>46388</v>
      </c>
      <c r="G275" s="2">
        <v>46388</v>
      </c>
      <c r="H275" s="1">
        <v>5235</v>
      </c>
      <c r="I275">
        <v>0</v>
      </c>
      <c r="J275" t="s">
        <v>40</v>
      </c>
      <c r="K275" t="s">
        <v>528</v>
      </c>
      <c r="L275" t="s">
        <v>528</v>
      </c>
    </row>
    <row r="276" spans="1:12" x14ac:dyDescent="0.25">
      <c r="A276" t="s">
        <v>92</v>
      </c>
      <c r="B276" t="s">
        <v>1188</v>
      </c>
      <c r="C276" t="s">
        <v>35</v>
      </c>
      <c r="D276" s="2">
        <v>46157</v>
      </c>
      <c r="F276" s="2">
        <v>46391</v>
      </c>
      <c r="G276" s="2">
        <v>46391</v>
      </c>
      <c r="H276" s="1">
        <v>5893</v>
      </c>
      <c r="I276">
        <v>654.78</v>
      </c>
      <c r="J276" t="s">
        <v>40</v>
      </c>
      <c r="L276" t="s">
        <v>528</v>
      </c>
    </row>
    <row r="277" spans="1:12" x14ac:dyDescent="0.25">
      <c r="A277" t="s">
        <v>3</v>
      </c>
      <c r="B277" t="s">
        <v>940</v>
      </c>
      <c r="C277" t="s">
        <v>24</v>
      </c>
      <c r="D277" s="2">
        <v>46092</v>
      </c>
      <c r="F277" s="2">
        <v>46391</v>
      </c>
      <c r="G277" s="2">
        <v>46392</v>
      </c>
      <c r="H277" s="1">
        <v>7138</v>
      </c>
      <c r="I277">
        <v>396.53</v>
      </c>
      <c r="J277" t="s">
        <v>40</v>
      </c>
      <c r="L277" t="s">
        <v>528</v>
      </c>
    </row>
    <row r="278" spans="1:12" x14ac:dyDescent="0.25">
      <c r="A278" t="s">
        <v>88</v>
      </c>
      <c r="B278" t="s">
        <v>1131</v>
      </c>
      <c r="C278" t="s">
        <v>35</v>
      </c>
      <c r="D278" s="2">
        <v>46135</v>
      </c>
      <c r="F278" s="2">
        <v>46391</v>
      </c>
      <c r="G278" s="2">
        <v>46392</v>
      </c>
      <c r="H278" s="1">
        <v>7981</v>
      </c>
      <c r="I278">
        <v>147.79</v>
      </c>
      <c r="J278" t="s">
        <v>40</v>
      </c>
      <c r="L278" t="s">
        <v>528</v>
      </c>
    </row>
    <row r="279" spans="1:12" x14ac:dyDescent="0.25">
      <c r="A279" t="s">
        <v>88</v>
      </c>
      <c r="B279" t="s">
        <v>991</v>
      </c>
      <c r="C279" t="s">
        <v>35</v>
      </c>
      <c r="D279" s="2">
        <v>46104</v>
      </c>
      <c r="F279" s="2">
        <v>46391</v>
      </c>
      <c r="G279" s="2">
        <v>46393</v>
      </c>
      <c r="H279" s="1">
        <v>19345</v>
      </c>
      <c r="I279">
        <v>143.29</v>
      </c>
      <c r="J279" t="s">
        <v>40</v>
      </c>
      <c r="L279" t="s">
        <v>528</v>
      </c>
    </row>
    <row r="280" spans="1:12" x14ac:dyDescent="0.25">
      <c r="A280" t="s">
        <v>826</v>
      </c>
      <c r="B280" t="s">
        <v>1409</v>
      </c>
      <c r="C280" t="s">
        <v>14</v>
      </c>
      <c r="D280" s="2">
        <v>45714</v>
      </c>
      <c r="F280" s="2">
        <v>46391</v>
      </c>
      <c r="G280" s="2">
        <v>46393</v>
      </c>
      <c r="H280" s="1">
        <v>4395</v>
      </c>
      <c r="I280">
        <v>162.78</v>
      </c>
      <c r="J280" t="s">
        <v>817</v>
      </c>
      <c r="L280" t="s">
        <v>528</v>
      </c>
    </row>
    <row r="281" spans="1:12" x14ac:dyDescent="0.25">
      <c r="A281" t="s">
        <v>88</v>
      </c>
      <c r="B281" t="s">
        <v>989</v>
      </c>
      <c r="C281" t="s">
        <v>24</v>
      </c>
      <c r="D281" s="2">
        <v>46106</v>
      </c>
      <c r="F281" s="2">
        <v>46392</v>
      </c>
      <c r="G281" s="2">
        <v>46395</v>
      </c>
      <c r="H281" s="1">
        <v>13246</v>
      </c>
      <c r="I281">
        <v>122.65</v>
      </c>
      <c r="J281" t="s">
        <v>40</v>
      </c>
      <c r="L281" t="s">
        <v>528</v>
      </c>
    </row>
    <row r="282" spans="1:12" x14ac:dyDescent="0.25">
      <c r="A282" t="s">
        <v>4</v>
      </c>
      <c r="B282" t="s">
        <v>953</v>
      </c>
      <c r="C282" t="s">
        <v>28</v>
      </c>
      <c r="D282" s="2">
        <v>46086</v>
      </c>
      <c r="F282" s="2">
        <v>46391</v>
      </c>
      <c r="G282" s="2">
        <v>46395</v>
      </c>
      <c r="H282" s="1">
        <v>21947</v>
      </c>
      <c r="I282">
        <v>121.93</v>
      </c>
      <c r="J282" t="s">
        <v>878</v>
      </c>
    </row>
    <row r="283" spans="1:12" x14ac:dyDescent="0.25">
      <c r="A283" t="s">
        <v>15</v>
      </c>
      <c r="B283" t="s">
        <v>998</v>
      </c>
      <c r="C283" t="s">
        <v>35</v>
      </c>
      <c r="D283" s="2">
        <v>46100</v>
      </c>
      <c r="F283" s="2">
        <v>46398</v>
      </c>
      <c r="G283" s="2">
        <v>46398</v>
      </c>
      <c r="H283" s="1">
        <v>2742</v>
      </c>
      <c r="I283">
        <v>76.16</v>
      </c>
      <c r="J283" t="s">
        <v>40</v>
      </c>
      <c r="L283" t="s">
        <v>528</v>
      </c>
    </row>
    <row r="284" spans="1:12" x14ac:dyDescent="0.25">
      <c r="A284" t="s">
        <v>851</v>
      </c>
      <c r="B284" t="s">
        <v>855</v>
      </c>
      <c r="C284" t="s">
        <v>852</v>
      </c>
      <c r="D284" s="2">
        <v>45981</v>
      </c>
      <c r="F284" s="2">
        <v>46398</v>
      </c>
      <c r="G284" s="2">
        <v>46398</v>
      </c>
      <c r="H284" s="1">
        <v>5095</v>
      </c>
      <c r="I284">
        <v>127.38</v>
      </c>
      <c r="J284" t="s">
        <v>878</v>
      </c>
    </row>
    <row r="285" spans="1:12" x14ac:dyDescent="0.25">
      <c r="A285" t="s">
        <v>88</v>
      </c>
      <c r="B285" t="s">
        <v>880</v>
      </c>
      <c r="C285" t="s">
        <v>25</v>
      </c>
      <c r="D285" s="2">
        <v>46035</v>
      </c>
      <c r="F285" s="2">
        <v>46391</v>
      </c>
      <c r="G285" s="2">
        <v>46398</v>
      </c>
      <c r="H285" s="1">
        <v>20945</v>
      </c>
      <c r="I285">
        <v>129.29</v>
      </c>
      <c r="J285" t="s">
        <v>40</v>
      </c>
      <c r="L285" t="s">
        <v>528</v>
      </c>
    </row>
    <row r="286" spans="1:12" x14ac:dyDescent="0.25">
      <c r="A286" t="s">
        <v>92</v>
      </c>
      <c r="B286" t="s">
        <v>926</v>
      </c>
      <c r="C286" t="s">
        <v>23</v>
      </c>
      <c r="D286" s="2">
        <v>46064</v>
      </c>
      <c r="F286" s="2">
        <v>46393</v>
      </c>
      <c r="G286" s="2">
        <v>46398</v>
      </c>
      <c r="H286" s="1">
        <v>15811</v>
      </c>
      <c r="I286">
        <v>585.57000000000005</v>
      </c>
      <c r="J286" t="s">
        <v>40</v>
      </c>
      <c r="L286" t="s">
        <v>528</v>
      </c>
    </row>
    <row r="287" spans="1:12" x14ac:dyDescent="0.25">
      <c r="A287" t="s">
        <v>33</v>
      </c>
      <c r="B287" t="s">
        <v>1004</v>
      </c>
      <c r="C287" t="s">
        <v>20</v>
      </c>
      <c r="D287" s="2">
        <v>46104</v>
      </c>
      <c r="F287" s="2">
        <v>46391</v>
      </c>
      <c r="G287" s="2">
        <v>46399</v>
      </c>
      <c r="H287" s="1">
        <v>49645</v>
      </c>
      <c r="I287">
        <v>190.21</v>
      </c>
      <c r="J287" t="s">
        <v>817</v>
      </c>
      <c r="L287" t="s">
        <v>528</v>
      </c>
    </row>
    <row r="288" spans="1:12" x14ac:dyDescent="0.25">
      <c r="A288" t="s">
        <v>3</v>
      </c>
      <c r="B288" t="s">
        <v>1281</v>
      </c>
      <c r="C288" t="s">
        <v>14</v>
      </c>
      <c r="D288" s="2">
        <v>46197</v>
      </c>
      <c r="F288" s="2">
        <v>46401</v>
      </c>
      <c r="G288" s="2">
        <v>46402</v>
      </c>
      <c r="H288" s="1">
        <v>8460</v>
      </c>
      <c r="I288">
        <v>128.18</v>
      </c>
      <c r="J288" t="s">
        <v>817</v>
      </c>
      <c r="L288" t="s">
        <v>528</v>
      </c>
    </row>
    <row r="289" spans="1:12" x14ac:dyDescent="0.25">
      <c r="A289" t="s">
        <v>812</v>
      </c>
      <c r="B289" t="s">
        <v>990</v>
      </c>
      <c r="C289" t="s">
        <v>18</v>
      </c>
      <c r="D289" s="2">
        <v>46100</v>
      </c>
      <c r="F289" s="2">
        <v>46399</v>
      </c>
      <c r="G289" s="2">
        <v>46405</v>
      </c>
      <c r="H289" s="1">
        <v>17226</v>
      </c>
      <c r="I289">
        <v>957</v>
      </c>
      <c r="J289" t="s">
        <v>40</v>
      </c>
      <c r="L289" t="s">
        <v>528</v>
      </c>
    </row>
    <row r="290" spans="1:12" x14ac:dyDescent="0.25">
      <c r="A290" t="s">
        <v>662</v>
      </c>
      <c r="B290" t="s">
        <v>950</v>
      </c>
      <c r="C290" t="s">
        <v>46</v>
      </c>
      <c r="D290" s="2">
        <v>46087</v>
      </c>
      <c r="F290" s="2">
        <v>46391</v>
      </c>
      <c r="G290" s="2">
        <v>46405</v>
      </c>
      <c r="H290" s="1">
        <v>31531</v>
      </c>
      <c r="I290">
        <v>106.17</v>
      </c>
      <c r="J290" t="s">
        <v>878</v>
      </c>
      <c r="L290" t="s">
        <v>528</v>
      </c>
    </row>
    <row r="291" spans="1:12" x14ac:dyDescent="0.25">
      <c r="A291" t="s">
        <v>814</v>
      </c>
      <c r="B291" t="s">
        <v>1037</v>
      </c>
      <c r="C291" t="s">
        <v>14</v>
      </c>
      <c r="D291" s="2">
        <v>45824</v>
      </c>
      <c r="F291" s="2">
        <v>46398</v>
      </c>
      <c r="G291" s="2">
        <v>46405</v>
      </c>
      <c r="H291" s="1">
        <v>39765</v>
      </c>
      <c r="I291">
        <v>122.73</v>
      </c>
      <c r="J291" t="s">
        <v>817</v>
      </c>
      <c r="L291" t="s">
        <v>528</v>
      </c>
    </row>
    <row r="292" spans="1:12" x14ac:dyDescent="0.25">
      <c r="A292" t="s">
        <v>33</v>
      </c>
      <c r="B292" t="s">
        <v>1143</v>
      </c>
      <c r="C292" t="s">
        <v>32</v>
      </c>
      <c r="D292" s="2">
        <v>46143</v>
      </c>
      <c r="F292" s="2">
        <v>46401</v>
      </c>
      <c r="G292" s="2">
        <v>46407</v>
      </c>
      <c r="H292" s="1">
        <v>19775</v>
      </c>
      <c r="I292">
        <v>146.47999999999999</v>
      </c>
      <c r="J292" t="s">
        <v>878</v>
      </c>
    </row>
    <row r="293" spans="1:12" x14ac:dyDescent="0.25">
      <c r="A293" t="s">
        <v>88</v>
      </c>
      <c r="B293" t="s">
        <v>895</v>
      </c>
      <c r="C293" t="s">
        <v>32</v>
      </c>
      <c r="D293" s="2">
        <v>46044</v>
      </c>
      <c r="F293" s="2">
        <v>46405</v>
      </c>
      <c r="G293" s="2">
        <v>46407</v>
      </c>
      <c r="H293" s="1">
        <v>18770</v>
      </c>
      <c r="I293">
        <v>139.04</v>
      </c>
      <c r="J293" t="s">
        <v>878</v>
      </c>
      <c r="L293" t="s">
        <v>528</v>
      </c>
    </row>
    <row r="294" spans="1:12" x14ac:dyDescent="0.25">
      <c r="A294" t="s">
        <v>15</v>
      </c>
      <c r="B294" t="s">
        <v>992</v>
      </c>
      <c r="C294" t="s">
        <v>23</v>
      </c>
      <c r="D294" s="2">
        <v>46106</v>
      </c>
      <c r="F294" s="2">
        <v>46408</v>
      </c>
      <c r="G294" s="2">
        <v>46409</v>
      </c>
      <c r="H294" s="1">
        <v>4989</v>
      </c>
      <c r="I294">
        <v>92.4</v>
      </c>
      <c r="J294" t="s">
        <v>40</v>
      </c>
      <c r="L294" t="s">
        <v>528</v>
      </c>
    </row>
    <row r="295" spans="1:12" x14ac:dyDescent="0.25">
      <c r="A295" t="s">
        <v>3</v>
      </c>
      <c r="B295" t="s">
        <v>1291</v>
      </c>
      <c r="C295" t="s">
        <v>32</v>
      </c>
      <c r="D295" s="2">
        <v>46205</v>
      </c>
      <c r="F295" s="2">
        <v>46409</v>
      </c>
      <c r="G295" s="2">
        <v>46409</v>
      </c>
      <c r="H295" s="1">
        <v>6651</v>
      </c>
      <c r="I295">
        <v>184.75</v>
      </c>
      <c r="J295" t="s">
        <v>878</v>
      </c>
      <c r="L295" t="s">
        <v>528</v>
      </c>
    </row>
    <row r="296" spans="1:12" x14ac:dyDescent="0.25">
      <c r="A296" t="s">
        <v>5</v>
      </c>
      <c r="B296" t="s">
        <v>1191</v>
      </c>
      <c r="C296" t="s">
        <v>18</v>
      </c>
      <c r="D296" s="2">
        <v>46162</v>
      </c>
      <c r="F296" s="2">
        <v>46398</v>
      </c>
      <c r="G296" s="2">
        <v>46409</v>
      </c>
      <c r="H296" s="1">
        <v>26471</v>
      </c>
      <c r="I296">
        <v>110.3</v>
      </c>
      <c r="J296" t="s">
        <v>40</v>
      </c>
      <c r="L296" t="s">
        <v>528</v>
      </c>
    </row>
    <row r="297" spans="1:12" x14ac:dyDescent="0.25">
      <c r="A297" t="s">
        <v>88</v>
      </c>
      <c r="B297" t="s">
        <v>829</v>
      </c>
      <c r="C297" t="s">
        <v>48</v>
      </c>
      <c r="D297" s="2">
        <v>45793</v>
      </c>
      <c r="F297" s="2">
        <v>46412</v>
      </c>
      <c r="G297" s="2">
        <v>46412</v>
      </c>
      <c r="H297" s="1">
        <v>1630</v>
      </c>
      <c r="I297">
        <v>90.56</v>
      </c>
      <c r="J297" t="s">
        <v>40</v>
      </c>
      <c r="L297" t="s">
        <v>528</v>
      </c>
    </row>
    <row r="298" spans="1:12" x14ac:dyDescent="0.25">
      <c r="A298" t="s">
        <v>662</v>
      </c>
      <c r="B298" t="s">
        <v>1203</v>
      </c>
      <c r="C298" t="s">
        <v>49</v>
      </c>
      <c r="D298" s="2">
        <v>46164</v>
      </c>
      <c r="F298" s="2">
        <v>46407</v>
      </c>
      <c r="G298" s="2">
        <v>46412</v>
      </c>
      <c r="H298" s="1">
        <v>14342</v>
      </c>
      <c r="I298">
        <v>132.80000000000001</v>
      </c>
      <c r="J298" t="s">
        <v>878</v>
      </c>
      <c r="L298" t="s">
        <v>528</v>
      </c>
    </row>
    <row r="299" spans="1:12" x14ac:dyDescent="0.25">
      <c r="A299" t="s">
        <v>3</v>
      </c>
      <c r="B299" t="s">
        <v>1064</v>
      </c>
      <c r="C299" t="s">
        <v>21</v>
      </c>
      <c r="D299" s="2">
        <v>46111</v>
      </c>
      <c r="F299" s="2">
        <v>46398</v>
      </c>
      <c r="G299" s="2">
        <v>46413</v>
      </c>
      <c r="H299" s="1">
        <v>56274</v>
      </c>
      <c r="I299">
        <v>130.26</v>
      </c>
      <c r="J299" t="s">
        <v>878</v>
      </c>
    </row>
    <row r="300" spans="1:12" x14ac:dyDescent="0.25">
      <c r="A300" t="s">
        <v>88</v>
      </c>
      <c r="B300" t="s">
        <v>1155</v>
      </c>
      <c r="C300" t="s">
        <v>23</v>
      </c>
      <c r="D300" s="2">
        <v>46154</v>
      </c>
      <c r="F300" s="2">
        <v>46406</v>
      </c>
      <c r="G300" s="2">
        <v>46413</v>
      </c>
      <c r="H300" s="1">
        <v>22685</v>
      </c>
      <c r="I300">
        <v>140.03</v>
      </c>
      <c r="J300" t="s">
        <v>40</v>
      </c>
      <c r="L300" t="s">
        <v>528</v>
      </c>
    </row>
    <row r="301" spans="1:12" x14ac:dyDescent="0.25">
      <c r="A301" t="s">
        <v>65</v>
      </c>
      <c r="B301" t="s">
        <v>1230</v>
      </c>
      <c r="C301" t="s">
        <v>14</v>
      </c>
      <c r="D301" s="2">
        <v>46182</v>
      </c>
      <c r="F301" s="2">
        <v>46412</v>
      </c>
      <c r="G301" s="2">
        <v>46415</v>
      </c>
      <c r="H301" s="1">
        <v>16895</v>
      </c>
      <c r="I301">
        <v>131.99</v>
      </c>
      <c r="J301" t="s">
        <v>817</v>
      </c>
      <c r="L301" t="s">
        <v>528</v>
      </c>
    </row>
    <row r="302" spans="1:12" x14ac:dyDescent="0.25">
      <c r="A302" t="s">
        <v>27</v>
      </c>
      <c r="B302" t="s">
        <v>1111</v>
      </c>
      <c r="C302" t="s">
        <v>28</v>
      </c>
      <c r="D302" s="2">
        <v>46069</v>
      </c>
      <c r="F302" s="2">
        <v>46416</v>
      </c>
      <c r="G302" s="2">
        <v>46416</v>
      </c>
      <c r="H302" s="1">
        <v>63400</v>
      </c>
      <c r="I302">
        <v>0</v>
      </c>
      <c r="J302" t="s">
        <v>878</v>
      </c>
      <c r="K302" t="s">
        <v>528</v>
      </c>
      <c r="L302" t="s">
        <v>528</v>
      </c>
    </row>
    <row r="303" spans="1:12" x14ac:dyDescent="0.25">
      <c r="A303" t="s">
        <v>566</v>
      </c>
      <c r="B303" t="s">
        <v>1073</v>
      </c>
      <c r="C303" t="s">
        <v>14</v>
      </c>
      <c r="D303" s="2">
        <v>46126</v>
      </c>
      <c r="F303" s="2">
        <v>46419</v>
      </c>
      <c r="G303" s="2">
        <v>46419</v>
      </c>
      <c r="H303" s="1">
        <v>3904</v>
      </c>
      <c r="I303">
        <v>144.6</v>
      </c>
      <c r="J303" t="s">
        <v>40</v>
      </c>
      <c r="L303" t="s">
        <v>528</v>
      </c>
    </row>
    <row r="304" spans="1:12" x14ac:dyDescent="0.25">
      <c r="A304" t="s">
        <v>88</v>
      </c>
      <c r="B304" t="s">
        <v>1081</v>
      </c>
      <c r="C304" t="s">
        <v>14</v>
      </c>
      <c r="D304" s="2">
        <v>46120</v>
      </c>
      <c r="F304" s="2">
        <v>46419</v>
      </c>
      <c r="G304" s="2">
        <v>46421</v>
      </c>
      <c r="H304" s="1">
        <v>13343</v>
      </c>
      <c r="I304">
        <v>123.55</v>
      </c>
      <c r="J304" t="s">
        <v>817</v>
      </c>
      <c r="L304" t="s">
        <v>528</v>
      </c>
    </row>
    <row r="305" spans="1:12" x14ac:dyDescent="0.25">
      <c r="A305" t="s">
        <v>92</v>
      </c>
      <c r="B305" t="s">
        <v>1003</v>
      </c>
      <c r="C305" t="s">
        <v>35</v>
      </c>
      <c r="D305" s="2">
        <v>46104</v>
      </c>
      <c r="F305" s="2">
        <v>46419</v>
      </c>
      <c r="G305" s="2">
        <v>46421</v>
      </c>
      <c r="H305" s="1">
        <v>10110</v>
      </c>
      <c r="I305" s="27">
        <v>1123.33</v>
      </c>
      <c r="J305" t="s">
        <v>40</v>
      </c>
      <c r="L305" t="s">
        <v>528</v>
      </c>
    </row>
    <row r="306" spans="1:12" x14ac:dyDescent="0.25">
      <c r="A306" t="s">
        <v>88</v>
      </c>
      <c r="B306" t="s">
        <v>1067</v>
      </c>
      <c r="C306" t="s">
        <v>18</v>
      </c>
      <c r="D306" s="2">
        <v>46118</v>
      </c>
      <c r="F306" s="2">
        <v>46419</v>
      </c>
      <c r="G306" s="2">
        <v>46422</v>
      </c>
      <c r="H306" s="1">
        <v>19814</v>
      </c>
      <c r="I306">
        <v>137.6</v>
      </c>
      <c r="J306" t="s">
        <v>40</v>
      </c>
      <c r="L306" t="s">
        <v>528</v>
      </c>
    </row>
    <row r="307" spans="1:12" x14ac:dyDescent="0.25">
      <c r="A307" t="s">
        <v>834</v>
      </c>
      <c r="B307" t="s">
        <v>1209</v>
      </c>
      <c r="C307" t="s">
        <v>35</v>
      </c>
      <c r="D307" s="2">
        <v>46169</v>
      </c>
      <c r="F307" s="2">
        <v>46422</v>
      </c>
      <c r="G307" s="2">
        <v>46423</v>
      </c>
      <c r="H307" s="1">
        <v>9602</v>
      </c>
      <c r="I307">
        <v>133.36000000000001</v>
      </c>
      <c r="J307" t="s">
        <v>40</v>
      </c>
      <c r="L307" t="s">
        <v>528</v>
      </c>
    </row>
    <row r="308" spans="1:12" x14ac:dyDescent="0.25">
      <c r="A308" t="s">
        <v>111</v>
      </c>
      <c r="B308" t="s">
        <v>1157</v>
      </c>
      <c r="C308" t="s">
        <v>14</v>
      </c>
      <c r="D308" s="2">
        <v>46141</v>
      </c>
      <c r="F308" s="2">
        <v>46424</v>
      </c>
      <c r="G308" s="2">
        <v>46424</v>
      </c>
      <c r="H308" s="1">
        <v>16533</v>
      </c>
      <c r="I308">
        <v>0</v>
      </c>
      <c r="J308" t="s">
        <v>16</v>
      </c>
    </row>
    <row r="309" spans="1:12" x14ac:dyDescent="0.25">
      <c r="A309" t="s">
        <v>1307</v>
      </c>
      <c r="B309" t="s">
        <v>1306</v>
      </c>
      <c r="C309" t="s">
        <v>55</v>
      </c>
      <c r="D309" s="2">
        <v>46218</v>
      </c>
      <c r="F309" s="2">
        <v>46419</v>
      </c>
      <c r="G309" s="2">
        <v>46426</v>
      </c>
      <c r="H309" s="1">
        <v>26523</v>
      </c>
      <c r="I309">
        <v>130.02000000000001</v>
      </c>
      <c r="J309" t="s">
        <v>878</v>
      </c>
      <c r="L309" t="s">
        <v>528</v>
      </c>
    </row>
    <row r="310" spans="1:12" x14ac:dyDescent="0.25">
      <c r="A310" t="s">
        <v>886</v>
      </c>
      <c r="B310" t="s">
        <v>966</v>
      </c>
      <c r="C310" t="s">
        <v>17</v>
      </c>
      <c r="D310" s="2">
        <v>46097</v>
      </c>
      <c r="F310" s="2">
        <v>46419</v>
      </c>
      <c r="G310" s="2">
        <v>46436</v>
      </c>
      <c r="H310" s="1">
        <v>68810</v>
      </c>
      <c r="I310">
        <v>136.53</v>
      </c>
      <c r="J310" t="s">
        <v>878</v>
      </c>
    </row>
    <row r="311" spans="1:12" x14ac:dyDescent="0.25">
      <c r="A311" t="s">
        <v>88</v>
      </c>
      <c r="B311" t="s">
        <v>830</v>
      </c>
      <c r="C311" t="s">
        <v>48</v>
      </c>
      <c r="D311" s="2">
        <v>45793</v>
      </c>
      <c r="F311" s="2">
        <v>46447</v>
      </c>
      <c r="G311" s="2">
        <v>46448</v>
      </c>
      <c r="H311" s="1">
        <v>7975</v>
      </c>
      <c r="I311">
        <v>147.69</v>
      </c>
      <c r="J311" t="s">
        <v>40</v>
      </c>
      <c r="L311" t="s">
        <v>528</v>
      </c>
    </row>
    <row r="312" spans="1:12" x14ac:dyDescent="0.25">
      <c r="A312" t="s">
        <v>111</v>
      </c>
      <c r="B312" t="s">
        <v>1408</v>
      </c>
      <c r="C312" t="s">
        <v>14</v>
      </c>
      <c r="D312" s="2">
        <v>46230</v>
      </c>
      <c r="F312" s="2">
        <v>46478</v>
      </c>
      <c r="G312" s="2">
        <v>46478</v>
      </c>
      <c r="H312" s="1">
        <v>1188</v>
      </c>
      <c r="I312">
        <v>66</v>
      </c>
      <c r="J312" t="s">
        <v>16</v>
      </c>
    </row>
    <row r="313" spans="1:12" x14ac:dyDescent="0.25">
      <c r="A313" t="s">
        <v>36</v>
      </c>
      <c r="B313" t="s">
        <v>1034</v>
      </c>
      <c r="C313" t="s">
        <v>49</v>
      </c>
      <c r="D313" s="2">
        <v>46107</v>
      </c>
      <c r="F313" s="2">
        <v>46478</v>
      </c>
      <c r="G313" s="2">
        <v>46479</v>
      </c>
      <c r="H313" s="1">
        <v>8157</v>
      </c>
      <c r="I313">
        <v>151.05000000000001</v>
      </c>
      <c r="J313" t="s">
        <v>878</v>
      </c>
      <c r="L313" t="s">
        <v>528</v>
      </c>
    </row>
    <row r="314" spans="1:12" x14ac:dyDescent="0.25">
      <c r="A314" t="s">
        <v>15</v>
      </c>
      <c r="B314" t="s">
        <v>1020</v>
      </c>
      <c r="C314" t="s">
        <v>35</v>
      </c>
      <c r="D314" s="2">
        <v>46100</v>
      </c>
      <c r="F314" s="2">
        <v>46478</v>
      </c>
      <c r="G314" s="2">
        <v>46479</v>
      </c>
      <c r="H314" s="1">
        <v>17518</v>
      </c>
      <c r="I314">
        <v>973.23</v>
      </c>
      <c r="J314" t="s">
        <v>40</v>
      </c>
      <c r="L314" t="s">
        <v>528</v>
      </c>
    </row>
    <row r="315" spans="1:12" x14ac:dyDescent="0.25">
      <c r="A315" t="s">
        <v>111</v>
      </c>
      <c r="B315" t="s">
        <v>1407</v>
      </c>
      <c r="C315" t="s">
        <v>14</v>
      </c>
      <c r="D315" s="2">
        <v>46231</v>
      </c>
      <c r="F315" s="2">
        <v>46475</v>
      </c>
      <c r="G315" s="2">
        <v>46479</v>
      </c>
      <c r="H315" s="1">
        <v>16137</v>
      </c>
      <c r="I315">
        <v>131.19999999999999</v>
      </c>
      <c r="J315" t="s">
        <v>16</v>
      </c>
    </row>
    <row r="316" spans="1:12" x14ac:dyDescent="0.25">
      <c r="A316" t="s">
        <v>33</v>
      </c>
      <c r="B316" t="s">
        <v>961</v>
      </c>
      <c r="C316" t="s">
        <v>14</v>
      </c>
      <c r="D316" s="2">
        <v>45799</v>
      </c>
      <c r="F316" s="2">
        <v>46478</v>
      </c>
      <c r="G316" s="2">
        <v>46479</v>
      </c>
      <c r="H316" s="1">
        <v>8390</v>
      </c>
      <c r="I316">
        <v>155.37</v>
      </c>
      <c r="J316" t="s">
        <v>40</v>
      </c>
      <c r="L316" t="s">
        <v>528</v>
      </c>
    </row>
    <row r="317" spans="1:12" x14ac:dyDescent="0.25">
      <c r="A317" t="s">
        <v>820</v>
      </c>
      <c r="B317" t="s">
        <v>1096</v>
      </c>
      <c r="C317" t="s">
        <v>64</v>
      </c>
      <c r="D317" s="2">
        <v>46128</v>
      </c>
      <c r="F317" s="2">
        <v>46478</v>
      </c>
      <c r="G317" s="2">
        <v>46479</v>
      </c>
      <c r="H317" s="1">
        <v>7090</v>
      </c>
      <c r="I317">
        <v>131.30000000000001</v>
      </c>
      <c r="J317" t="s">
        <v>40</v>
      </c>
      <c r="L317" t="s">
        <v>528</v>
      </c>
    </row>
    <row r="318" spans="1:12" x14ac:dyDescent="0.25">
      <c r="A318" t="s">
        <v>1115</v>
      </c>
      <c r="B318" t="s">
        <v>1117</v>
      </c>
      <c r="C318" t="s">
        <v>23</v>
      </c>
      <c r="D318" s="2">
        <v>46135</v>
      </c>
      <c r="F318" s="2">
        <v>46479</v>
      </c>
      <c r="G318" s="2">
        <v>46479</v>
      </c>
      <c r="H318" s="1">
        <v>4845</v>
      </c>
      <c r="I318">
        <v>269.17</v>
      </c>
      <c r="J318" t="s">
        <v>40</v>
      </c>
    </row>
    <row r="319" spans="1:12" x14ac:dyDescent="0.25">
      <c r="A319" t="s">
        <v>1304</v>
      </c>
      <c r="B319" t="s">
        <v>1406</v>
      </c>
      <c r="C319" t="s">
        <v>32</v>
      </c>
      <c r="D319" s="2">
        <v>46212</v>
      </c>
      <c r="F319" s="2">
        <v>46482</v>
      </c>
      <c r="G319" s="2">
        <v>46482</v>
      </c>
      <c r="H319">
        <v>671</v>
      </c>
      <c r="I319">
        <v>17.190000000000001</v>
      </c>
      <c r="J319" t="s">
        <v>878</v>
      </c>
    </row>
    <row r="320" spans="1:12" x14ac:dyDescent="0.25">
      <c r="A320" t="s">
        <v>1304</v>
      </c>
      <c r="B320" t="s">
        <v>1405</v>
      </c>
      <c r="C320" t="s">
        <v>32</v>
      </c>
      <c r="D320" s="2">
        <v>46212</v>
      </c>
      <c r="F320" s="2">
        <v>46483</v>
      </c>
      <c r="G320" s="2">
        <v>46483</v>
      </c>
      <c r="H320" s="1">
        <v>13561</v>
      </c>
      <c r="I320">
        <v>0</v>
      </c>
      <c r="J320" t="s">
        <v>878</v>
      </c>
    </row>
    <row r="321" spans="1:12" x14ac:dyDescent="0.25">
      <c r="A321" t="s">
        <v>88</v>
      </c>
      <c r="B321" t="s">
        <v>865</v>
      </c>
      <c r="C321" t="s">
        <v>35</v>
      </c>
      <c r="D321" s="2">
        <v>45999</v>
      </c>
      <c r="F321" s="2">
        <v>46478</v>
      </c>
      <c r="G321" s="2">
        <v>46483</v>
      </c>
      <c r="H321" s="1">
        <v>3450</v>
      </c>
      <c r="I321">
        <v>127.78</v>
      </c>
      <c r="J321" t="s">
        <v>40</v>
      </c>
      <c r="L321" t="s">
        <v>528</v>
      </c>
    </row>
    <row r="322" spans="1:12" x14ac:dyDescent="0.25">
      <c r="A322" t="s">
        <v>1304</v>
      </c>
      <c r="B322" t="s">
        <v>1404</v>
      </c>
      <c r="C322" t="s">
        <v>32</v>
      </c>
      <c r="D322" s="2">
        <v>46212</v>
      </c>
      <c r="F322" s="2">
        <v>46484</v>
      </c>
      <c r="G322" s="2">
        <v>46484</v>
      </c>
      <c r="H322">
        <v>612</v>
      </c>
      <c r="I322">
        <v>0</v>
      </c>
      <c r="J322" t="s">
        <v>878</v>
      </c>
      <c r="L322" t="s">
        <v>528</v>
      </c>
    </row>
    <row r="323" spans="1:12" x14ac:dyDescent="0.25">
      <c r="A323" t="s">
        <v>33</v>
      </c>
      <c r="B323" t="s">
        <v>1028</v>
      </c>
      <c r="C323" t="s">
        <v>20</v>
      </c>
      <c r="D323" s="2">
        <v>46104</v>
      </c>
      <c r="F323" s="2">
        <v>46478</v>
      </c>
      <c r="G323" s="2">
        <v>46484</v>
      </c>
      <c r="H323" s="1">
        <v>14078</v>
      </c>
      <c r="I323">
        <v>104.28</v>
      </c>
      <c r="J323" t="s">
        <v>817</v>
      </c>
      <c r="L323" t="s">
        <v>528</v>
      </c>
    </row>
    <row r="324" spans="1:12" x14ac:dyDescent="0.25">
      <c r="A324" t="s">
        <v>39</v>
      </c>
      <c r="B324" t="s">
        <v>1035</v>
      </c>
      <c r="C324" t="s">
        <v>20</v>
      </c>
      <c r="D324" s="2">
        <v>46112</v>
      </c>
      <c r="F324" s="2">
        <v>46482</v>
      </c>
      <c r="G324" s="2">
        <v>46485</v>
      </c>
      <c r="H324" s="1">
        <v>12593</v>
      </c>
      <c r="I324">
        <v>116.6</v>
      </c>
      <c r="J324" t="s">
        <v>817</v>
      </c>
      <c r="L324" t="s">
        <v>528</v>
      </c>
    </row>
    <row r="325" spans="1:12" x14ac:dyDescent="0.25">
      <c r="A325" t="s">
        <v>39</v>
      </c>
      <c r="B325" t="s">
        <v>1000</v>
      </c>
      <c r="C325" t="s">
        <v>23</v>
      </c>
      <c r="D325" s="2">
        <v>46105</v>
      </c>
      <c r="F325" s="2">
        <v>46482</v>
      </c>
      <c r="G325" s="2">
        <v>46485</v>
      </c>
      <c r="H325" s="1">
        <v>22154</v>
      </c>
      <c r="I325">
        <v>153.85</v>
      </c>
      <c r="J325" t="s">
        <v>40</v>
      </c>
      <c r="L325" t="s">
        <v>528</v>
      </c>
    </row>
    <row r="326" spans="1:12" x14ac:dyDescent="0.25">
      <c r="A326" t="s">
        <v>15</v>
      </c>
      <c r="B326" t="s">
        <v>1066</v>
      </c>
      <c r="C326" t="s">
        <v>35</v>
      </c>
      <c r="D326" s="2">
        <v>46114</v>
      </c>
      <c r="F326" s="2">
        <v>46483</v>
      </c>
      <c r="G326" s="2">
        <v>46485</v>
      </c>
      <c r="H326" s="1">
        <v>9347</v>
      </c>
      <c r="I326">
        <v>115.4</v>
      </c>
      <c r="J326" t="s">
        <v>40</v>
      </c>
      <c r="L326" t="s">
        <v>528</v>
      </c>
    </row>
    <row r="327" spans="1:12" x14ac:dyDescent="0.25">
      <c r="A327" t="s">
        <v>88</v>
      </c>
      <c r="B327" t="s">
        <v>1070</v>
      </c>
      <c r="C327" t="s">
        <v>18</v>
      </c>
      <c r="D327" s="2">
        <v>46118</v>
      </c>
      <c r="F327" s="2">
        <v>46482</v>
      </c>
      <c r="G327" s="2">
        <v>46485</v>
      </c>
      <c r="H327" s="1">
        <v>20398</v>
      </c>
      <c r="I327">
        <v>141.65</v>
      </c>
      <c r="J327" t="s">
        <v>40</v>
      </c>
      <c r="L327" t="s">
        <v>528</v>
      </c>
    </row>
    <row r="328" spans="1:12" x14ac:dyDescent="0.25">
      <c r="A328" t="s">
        <v>834</v>
      </c>
      <c r="B328" t="s">
        <v>986</v>
      </c>
      <c r="C328" t="s">
        <v>35</v>
      </c>
      <c r="D328" s="2">
        <v>46106</v>
      </c>
      <c r="F328" s="2">
        <v>46482</v>
      </c>
      <c r="G328" s="2">
        <v>46485</v>
      </c>
      <c r="H328" s="1">
        <v>16581</v>
      </c>
      <c r="I328">
        <v>153.53</v>
      </c>
      <c r="J328" t="s">
        <v>40</v>
      </c>
      <c r="L328" t="s">
        <v>528</v>
      </c>
    </row>
    <row r="329" spans="1:12" x14ac:dyDescent="0.25">
      <c r="A329" t="s">
        <v>3</v>
      </c>
      <c r="B329" t="s">
        <v>1256</v>
      </c>
      <c r="C329" t="s">
        <v>24</v>
      </c>
      <c r="D329" s="2">
        <v>46091</v>
      </c>
      <c r="F329" s="2">
        <v>46486</v>
      </c>
      <c r="G329" s="2">
        <v>46486</v>
      </c>
      <c r="H329" s="1">
        <v>4325</v>
      </c>
      <c r="I329">
        <v>480.56</v>
      </c>
      <c r="J329" t="s">
        <v>40</v>
      </c>
    </row>
    <row r="330" spans="1:12" x14ac:dyDescent="0.25">
      <c r="A330" t="s">
        <v>4</v>
      </c>
      <c r="B330" t="s">
        <v>952</v>
      </c>
      <c r="C330" t="s">
        <v>28</v>
      </c>
      <c r="D330" s="2">
        <v>46086</v>
      </c>
      <c r="F330" s="2">
        <v>46482</v>
      </c>
      <c r="G330" s="2">
        <v>46486</v>
      </c>
      <c r="H330" s="1">
        <v>23200</v>
      </c>
      <c r="I330">
        <v>128.88999999999999</v>
      </c>
      <c r="J330" t="s">
        <v>878</v>
      </c>
    </row>
    <row r="331" spans="1:12" x14ac:dyDescent="0.25">
      <c r="A331" t="s">
        <v>800</v>
      </c>
      <c r="B331" t="s">
        <v>967</v>
      </c>
      <c r="C331" t="s">
        <v>815</v>
      </c>
      <c r="D331" s="2">
        <v>46099</v>
      </c>
      <c r="F331" s="2">
        <v>46485</v>
      </c>
      <c r="G331" s="2">
        <v>46489</v>
      </c>
      <c r="H331" s="1">
        <v>11065</v>
      </c>
      <c r="I331">
        <v>136.6</v>
      </c>
      <c r="J331" t="s">
        <v>16</v>
      </c>
      <c r="L331" t="s">
        <v>528</v>
      </c>
    </row>
    <row r="332" spans="1:12" x14ac:dyDescent="0.25">
      <c r="A332" t="s">
        <v>3</v>
      </c>
      <c r="B332" t="s">
        <v>985</v>
      </c>
      <c r="C332" t="s">
        <v>14</v>
      </c>
      <c r="D332" s="2">
        <v>46100</v>
      </c>
      <c r="F332" s="2">
        <v>46486</v>
      </c>
      <c r="G332" s="2">
        <v>46489</v>
      </c>
      <c r="H332" s="1">
        <v>6302</v>
      </c>
      <c r="I332">
        <v>116.7</v>
      </c>
      <c r="J332" t="s">
        <v>40</v>
      </c>
      <c r="L332" t="s">
        <v>528</v>
      </c>
    </row>
    <row r="333" spans="1:12" x14ac:dyDescent="0.25">
      <c r="A333" t="s">
        <v>88</v>
      </c>
      <c r="B333" t="s">
        <v>1343</v>
      </c>
      <c r="C333" t="s">
        <v>23</v>
      </c>
      <c r="D333" s="2">
        <v>46224</v>
      </c>
      <c r="F333" s="2">
        <v>46489</v>
      </c>
      <c r="G333" s="2">
        <v>46489</v>
      </c>
      <c r="H333" s="1">
        <v>5405</v>
      </c>
      <c r="I333">
        <v>150.15</v>
      </c>
      <c r="J333" t="s">
        <v>40</v>
      </c>
      <c r="L333" t="s">
        <v>528</v>
      </c>
    </row>
    <row r="334" spans="1:12" x14ac:dyDescent="0.25">
      <c r="A334" t="s">
        <v>88</v>
      </c>
      <c r="B334" t="s">
        <v>894</v>
      </c>
      <c r="C334" t="s">
        <v>32</v>
      </c>
      <c r="D334" s="2">
        <v>46044</v>
      </c>
      <c r="F334" s="2">
        <v>46489</v>
      </c>
      <c r="G334" s="2">
        <v>46489</v>
      </c>
      <c r="H334" s="1">
        <v>6890</v>
      </c>
      <c r="I334">
        <v>153.11000000000001</v>
      </c>
      <c r="J334" t="s">
        <v>878</v>
      </c>
      <c r="L334" t="s">
        <v>528</v>
      </c>
    </row>
    <row r="335" spans="1:12" x14ac:dyDescent="0.25">
      <c r="A335" t="s">
        <v>3</v>
      </c>
      <c r="B335" t="s">
        <v>1280</v>
      </c>
      <c r="C335" t="s">
        <v>14</v>
      </c>
      <c r="D335" s="2">
        <v>46197</v>
      </c>
      <c r="F335" s="2">
        <v>46482</v>
      </c>
      <c r="G335" s="2">
        <v>46490</v>
      </c>
      <c r="H335" s="1">
        <v>26590</v>
      </c>
      <c r="I335">
        <v>140.69</v>
      </c>
      <c r="J335" t="s">
        <v>817</v>
      </c>
      <c r="L335" t="s">
        <v>528</v>
      </c>
    </row>
    <row r="336" spans="1:12" x14ac:dyDescent="0.25">
      <c r="A336" t="s">
        <v>5</v>
      </c>
      <c r="B336" t="s">
        <v>987</v>
      </c>
      <c r="C336" t="s">
        <v>18</v>
      </c>
      <c r="D336" s="2">
        <v>46105</v>
      </c>
      <c r="F336" s="2">
        <v>46489</v>
      </c>
      <c r="G336" s="2">
        <v>46490</v>
      </c>
      <c r="H336" s="1">
        <v>5530</v>
      </c>
      <c r="I336">
        <v>115.2</v>
      </c>
      <c r="J336" t="s">
        <v>40</v>
      </c>
      <c r="L336" t="s">
        <v>528</v>
      </c>
    </row>
    <row r="337" spans="1:12" x14ac:dyDescent="0.25">
      <c r="A337" t="s">
        <v>1304</v>
      </c>
      <c r="B337" t="s">
        <v>1403</v>
      </c>
      <c r="C337" t="s">
        <v>32</v>
      </c>
      <c r="D337" s="2">
        <v>46212</v>
      </c>
      <c r="F337" s="2">
        <v>46491</v>
      </c>
      <c r="G337" s="2">
        <v>46491</v>
      </c>
      <c r="H337" s="1">
        <v>3550</v>
      </c>
      <c r="I337">
        <v>136.54</v>
      </c>
      <c r="J337" t="s">
        <v>878</v>
      </c>
      <c r="L337" t="s">
        <v>528</v>
      </c>
    </row>
    <row r="338" spans="1:12" x14ac:dyDescent="0.25">
      <c r="A338" t="s">
        <v>1304</v>
      </c>
      <c r="B338" t="s">
        <v>1402</v>
      </c>
      <c r="C338" t="s">
        <v>32</v>
      </c>
      <c r="D338" s="2">
        <v>46212</v>
      </c>
      <c r="F338" s="2">
        <v>46491</v>
      </c>
      <c r="G338" s="2">
        <v>46491</v>
      </c>
      <c r="H338" s="1">
        <v>2755</v>
      </c>
      <c r="I338">
        <v>137.75</v>
      </c>
      <c r="J338" t="s">
        <v>878</v>
      </c>
      <c r="L338" t="s">
        <v>528</v>
      </c>
    </row>
    <row r="339" spans="1:12" x14ac:dyDescent="0.25">
      <c r="A339" t="s">
        <v>88</v>
      </c>
      <c r="B339" t="s">
        <v>972</v>
      </c>
      <c r="C339" t="s">
        <v>25</v>
      </c>
      <c r="D339" s="2">
        <v>46098</v>
      </c>
      <c r="F339" s="2">
        <v>46489</v>
      </c>
      <c r="G339" s="2">
        <v>46491</v>
      </c>
      <c r="H339" s="1">
        <v>10573</v>
      </c>
      <c r="I339">
        <v>0</v>
      </c>
      <c r="J339" t="s">
        <v>40</v>
      </c>
      <c r="L339" t="s">
        <v>528</v>
      </c>
    </row>
    <row r="340" spans="1:12" x14ac:dyDescent="0.25">
      <c r="A340" t="s">
        <v>92</v>
      </c>
      <c r="B340" t="s">
        <v>1334</v>
      </c>
      <c r="C340" t="s">
        <v>23</v>
      </c>
      <c r="D340" s="2">
        <v>46220</v>
      </c>
      <c r="F340" s="2">
        <v>46484</v>
      </c>
      <c r="G340" s="2">
        <v>46491</v>
      </c>
      <c r="H340" s="1">
        <v>21804</v>
      </c>
      <c r="I340">
        <v>807.56</v>
      </c>
      <c r="J340" t="s">
        <v>40</v>
      </c>
      <c r="L340" t="s">
        <v>528</v>
      </c>
    </row>
    <row r="341" spans="1:12" x14ac:dyDescent="0.25">
      <c r="A341" t="s">
        <v>33</v>
      </c>
      <c r="B341" t="s">
        <v>1144</v>
      </c>
      <c r="C341" t="s">
        <v>32</v>
      </c>
      <c r="D341" s="2">
        <v>46143</v>
      </c>
      <c r="F341" s="2">
        <v>46489</v>
      </c>
      <c r="G341" s="2">
        <v>46492</v>
      </c>
      <c r="H341" s="1">
        <v>13810</v>
      </c>
      <c r="I341">
        <v>127.87</v>
      </c>
      <c r="J341" t="s">
        <v>878</v>
      </c>
    </row>
    <row r="342" spans="1:12" x14ac:dyDescent="0.25">
      <c r="A342" t="s">
        <v>65</v>
      </c>
      <c r="B342" t="s">
        <v>866</v>
      </c>
      <c r="C342" t="s">
        <v>14</v>
      </c>
      <c r="D342" s="2">
        <v>45987</v>
      </c>
      <c r="F342" s="2">
        <v>46482</v>
      </c>
      <c r="G342" s="2">
        <v>46493</v>
      </c>
      <c r="H342" s="1">
        <v>33075</v>
      </c>
      <c r="I342">
        <v>122.5</v>
      </c>
      <c r="J342" t="s">
        <v>817</v>
      </c>
      <c r="L342" t="s">
        <v>528</v>
      </c>
    </row>
    <row r="343" spans="1:12" x14ac:dyDescent="0.25">
      <c r="A343" t="s">
        <v>69</v>
      </c>
      <c r="B343" t="s">
        <v>1190</v>
      </c>
      <c r="C343" t="s">
        <v>42</v>
      </c>
      <c r="D343" s="2">
        <v>46157</v>
      </c>
      <c r="F343" s="2">
        <v>46482</v>
      </c>
      <c r="G343" s="2">
        <v>46493</v>
      </c>
      <c r="H343" s="1">
        <v>35737</v>
      </c>
      <c r="I343">
        <v>132.36000000000001</v>
      </c>
      <c r="J343" t="s">
        <v>878</v>
      </c>
      <c r="L343" t="s">
        <v>528</v>
      </c>
    </row>
    <row r="344" spans="1:12" x14ac:dyDescent="0.25">
      <c r="A344" t="s">
        <v>662</v>
      </c>
      <c r="B344" t="s">
        <v>984</v>
      </c>
      <c r="C344" t="s">
        <v>24</v>
      </c>
      <c r="D344" s="2">
        <v>46105</v>
      </c>
      <c r="F344" s="2">
        <v>46490</v>
      </c>
      <c r="G344" s="2">
        <v>46493</v>
      </c>
      <c r="H344" s="1">
        <v>15401</v>
      </c>
      <c r="I344">
        <v>142.6</v>
      </c>
      <c r="J344" t="s">
        <v>40</v>
      </c>
      <c r="L344" t="s">
        <v>528</v>
      </c>
    </row>
    <row r="345" spans="1:12" x14ac:dyDescent="0.25">
      <c r="A345" t="s">
        <v>65</v>
      </c>
      <c r="B345" t="s">
        <v>899</v>
      </c>
      <c r="C345" t="s">
        <v>14</v>
      </c>
      <c r="D345" s="2">
        <v>46002</v>
      </c>
      <c r="F345" s="2">
        <v>46496</v>
      </c>
      <c r="G345" s="2">
        <v>46496</v>
      </c>
      <c r="H345" s="1">
        <v>4910</v>
      </c>
      <c r="I345">
        <v>181.85</v>
      </c>
      <c r="J345" t="s">
        <v>817</v>
      </c>
      <c r="L345" t="s">
        <v>528</v>
      </c>
    </row>
    <row r="346" spans="1:12" x14ac:dyDescent="0.25">
      <c r="A346" t="s">
        <v>3</v>
      </c>
      <c r="B346" t="s">
        <v>883</v>
      </c>
      <c r="C346" t="s">
        <v>14</v>
      </c>
      <c r="D346" s="2">
        <v>46057</v>
      </c>
      <c r="F346" s="2">
        <v>46482</v>
      </c>
      <c r="G346" s="2">
        <v>46496</v>
      </c>
      <c r="H346" s="1">
        <v>34825</v>
      </c>
      <c r="I346">
        <v>131.91</v>
      </c>
      <c r="J346" t="s">
        <v>817</v>
      </c>
      <c r="K346" t="s">
        <v>528</v>
      </c>
      <c r="L346" t="s">
        <v>528</v>
      </c>
    </row>
    <row r="347" spans="1:12" x14ac:dyDescent="0.25">
      <c r="A347" t="s">
        <v>814</v>
      </c>
      <c r="B347" t="s">
        <v>1401</v>
      </c>
      <c r="C347" t="s">
        <v>14</v>
      </c>
      <c r="D347" s="2">
        <v>46227</v>
      </c>
      <c r="F347" s="2">
        <v>46492</v>
      </c>
      <c r="G347" s="2">
        <v>46496</v>
      </c>
      <c r="H347" s="1">
        <v>10770</v>
      </c>
      <c r="I347">
        <v>132.96</v>
      </c>
      <c r="J347" t="s">
        <v>817</v>
      </c>
      <c r="L347" t="s">
        <v>528</v>
      </c>
    </row>
    <row r="348" spans="1:12" x14ac:dyDescent="0.25">
      <c r="A348" t="s">
        <v>886</v>
      </c>
      <c r="B348" t="s">
        <v>1151</v>
      </c>
      <c r="C348" t="s">
        <v>17</v>
      </c>
      <c r="D348" s="2">
        <v>46153</v>
      </c>
      <c r="F348" s="2">
        <v>46497</v>
      </c>
      <c r="G348" s="2">
        <v>46497</v>
      </c>
      <c r="H348" s="1">
        <v>5000</v>
      </c>
      <c r="I348">
        <v>138.88999999999999</v>
      </c>
      <c r="J348" t="s">
        <v>878</v>
      </c>
      <c r="K348" t="s">
        <v>528</v>
      </c>
      <c r="L348" t="s">
        <v>528</v>
      </c>
    </row>
    <row r="349" spans="1:12" x14ac:dyDescent="0.25">
      <c r="A349" t="s">
        <v>92</v>
      </c>
      <c r="B349" t="s">
        <v>836</v>
      </c>
      <c r="C349" t="s">
        <v>23</v>
      </c>
      <c r="D349" s="2">
        <v>45915</v>
      </c>
      <c r="F349" s="2">
        <v>46496</v>
      </c>
      <c r="G349" s="2">
        <v>46498</v>
      </c>
      <c r="H349" s="1">
        <v>8315</v>
      </c>
      <c r="I349">
        <v>115.49</v>
      </c>
      <c r="J349" t="s">
        <v>40</v>
      </c>
      <c r="L349" t="s">
        <v>528</v>
      </c>
    </row>
    <row r="350" spans="1:12" x14ac:dyDescent="0.25">
      <c r="A350" t="s">
        <v>1115</v>
      </c>
      <c r="B350" t="s">
        <v>1118</v>
      </c>
      <c r="C350" t="s">
        <v>23</v>
      </c>
      <c r="D350" s="2">
        <v>46135</v>
      </c>
      <c r="F350" s="2">
        <v>46496</v>
      </c>
      <c r="G350" s="2">
        <v>46498</v>
      </c>
      <c r="H350" s="1">
        <v>9365</v>
      </c>
      <c r="I350" s="27">
        <v>1040.56</v>
      </c>
      <c r="J350" t="s">
        <v>40</v>
      </c>
      <c r="L350" t="s">
        <v>528</v>
      </c>
    </row>
    <row r="351" spans="1:12" x14ac:dyDescent="0.25">
      <c r="A351" t="s">
        <v>39</v>
      </c>
      <c r="B351" t="s">
        <v>1205</v>
      </c>
      <c r="C351" t="s">
        <v>14</v>
      </c>
      <c r="D351" s="2">
        <v>46175</v>
      </c>
      <c r="F351" s="2">
        <v>46496</v>
      </c>
      <c r="G351" s="2">
        <v>46499</v>
      </c>
      <c r="H351" s="1">
        <v>13275</v>
      </c>
      <c r="I351">
        <v>122.92</v>
      </c>
      <c r="J351" t="s">
        <v>817</v>
      </c>
      <c r="L351" t="s">
        <v>528</v>
      </c>
    </row>
    <row r="352" spans="1:12" x14ac:dyDescent="0.25">
      <c r="A352" t="s">
        <v>1304</v>
      </c>
      <c r="B352" t="s">
        <v>1400</v>
      </c>
      <c r="C352" t="s">
        <v>32</v>
      </c>
      <c r="D352" s="2">
        <v>46212</v>
      </c>
      <c r="F352" s="2">
        <v>46492</v>
      </c>
      <c r="G352" s="2">
        <v>46500</v>
      </c>
      <c r="H352" s="1">
        <v>31850</v>
      </c>
      <c r="I352">
        <v>130.53</v>
      </c>
      <c r="J352" t="s">
        <v>878</v>
      </c>
      <c r="L352" t="s">
        <v>528</v>
      </c>
    </row>
    <row r="353" spans="1:12" x14ac:dyDescent="0.25">
      <c r="A353" t="s">
        <v>566</v>
      </c>
      <c r="B353" t="s">
        <v>1068</v>
      </c>
      <c r="C353" t="s">
        <v>14</v>
      </c>
      <c r="D353" s="2">
        <v>46126</v>
      </c>
      <c r="F353" s="2">
        <v>46493</v>
      </c>
      <c r="G353" s="2">
        <v>46500</v>
      </c>
      <c r="H353" s="1">
        <v>20812</v>
      </c>
      <c r="I353">
        <v>128.47</v>
      </c>
      <c r="J353" t="s">
        <v>40</v>
      </c>
      <c r="L353" t="s">
        <v>528</v>
      </c>
    </row>
    <row r="354" spans="1:12" x14ac:dyDescent="0.25">
      <c r="A354" t="s">
        <v>88</v>
      </c>
      <c r="B354" t="s">
        <v>1255</v>
      </c>
      <c r="C354" t="s">
        <v>14</v>
      </c>
      <c r="D354" s="2">
        <v>46196</v>
      </c>
      <c r="F354" s="2">
        <v>46503</v>
      </c>
      <c r="G354" s="2">
        <v>46503</v>
      </c>
      <c r="H354" s="1">
        <v>2830</v>
      </c>
      <c r="I354">
        <v>104.81</v>
      </c>
      <c r="J354" t="s">
        <v>40</v>
      </c>
    </row>
    <row r="355" spans="1:12" x14ac:dyDescent="0.25">
      <c r="A355" t="s">
        <v>88</v>
      </c>
      <c r="B355" t="s">
        <v>1069</v>
      </c>
      <c r="C355" t="s">
        <v>23</v>
      </c>
      <c r="D355" s="2">
        <v>46127</v>
      </c>
      <c r="F355" s="2">
        <v>46497</v>
      </c>
      <c r="G355" s="2">
        <v>46503</v>
      </c>
      <c r="H355" s="1">
        <v>18238</v>
      </c>
      <c r="I355">
        <v>135.09</v>
      </c>
      <c r="J355" t="s">
        <v>40</v>
      </c>
      <c r="L355" t="s">
        <v>528</v>
      </c>
    </row>
    <row r="356" spans="1:12" x14ac:dyDescent="0.25">
      <c r="A356" t="s">
        <v>111</v>
      </c>
      <c r="B356" t="s">
        <v>1399</v>
      </c>
      <c r="C356" t="s">
        <v>20</v>
      </c>
      <c r="D356" s="2">
        <v>46223</v>
      </c>
      <c r="F356" s="2">
        <v>46503</v>
      </c>
      <c r="G356" s="2">
        <v>46504</v>
      </c>
      <c r="H356" s="1">
        <v>11385</v>
      </c>
      <c r="I356">
        <v>158.13</v>
      </c>
      <c r="J356" t="s">
        <v>16</v>
      </c>
    </row>
    <row r="357" spans="1:12" x14ac:dyDescent="0.25">
      <c r="A357" t="s">
        <v>111</v>
      </c>
      <c r="B357" t="s">
        <v>1398</v>
      </c>
      <c r="C357" t="s">
        <v>20</v>
      </c>
      <c r="D357" s="2">
        <v>46231</v>
      </c>
      <c r="F357" s="2">
        <v>46503</v>
      </c>
      <c r="G357" s="2">
        <v>46504</v>
      </c>
      <c r="H357" s="1">
        <v>5742</v>
      </c>
      <c r="I357">
        <v>106.33</v>
      </c>
      <c r="J357" t="s">
        <v>16</v>
      </c>
    </row>
    <row r="358" spans="1:12" x14ac:dyDescent="0.25">
      <c r="A358" t="s">
        <v>33</v>
      </c>
      <c r="B358" t="s">
        <v>965</v>
      </c>
      <c r="C358" t="s">
        <v>14</v>
      </c>
      <c r="D358" s="2">
        <v>46077</v>
      </c>
      <c r="F358" s="2">
        <v>46503</v>
      </c>
      <c r="G358" s="2">
        <v>46505</v>
      </c>
      <c r="H358" s="1">
        <v>13810</v>
      </c>
      <c r="I358">
        <v>127.87</v>
      </c>
      <c r="J358" t="s">
        <v>40</v>
      </c>
      <c r="L358" t="s">
        <v>528</v>
      </c>
    </row>
    <row r="359" spans="1:12" x14ac:dyDescent="0.25">
      <c r="A359" t="s">
        <v>1115</v>
      </c>
      <c r="B359" t="s">
        <v>1116</v>
      </c>
      <c r="C359" t="s">
        <v>23</v>
      </c>
      <c r="D359" s="2">
        <v>46135</v>
      </c>
      <c r="F359" s="2">
        <v>46503</v>
      </c>
      <c r="G359" s="2">
        <v>46507</v>
      </c>
      <c r="H359" s="1">
        <v>17565</v>
      </c>
      <c r="I359" s="27">
        <v>1951.67</v>
      </c>
      <c r="J359" t="s">
        <v>40</v>
      </c>
    </row>
    <row r="360" spans="1:12" x14ac:dyDescent="0.25">
      <c r="A360" t="s">
        <v>662</v>
      </c>
      <c r="B360" t="s">
        <v>1211</v>
      </c>
      <c r="C360" t="s">
        <v>49</v>
      </c>
      <c r="D360" s="2">
        <v>46164</v>
      </c>
      <c r="F360" s="2">
        <v>46510</v>
      </c>
      <c r="G360" s="2">
        <v>46510</v>
      </c>
      <c r="H360" s="1">
        <v>4782</v>
      </c>
      <c r="I360">
        <v>177.11</v>
      </c>
      <c r="J360" t="s">
        <v>878</v>
      </c>
      <c r="L360" t="s">
        <v>528</v>
      </c>
    </row>
    <row r="361" spans="1:12" x14ac:dyDescent="0.25">
      <c r="A361" t="s">
        <v>92</v>
      </c>
      <c r="B361" t="s">
        <v>1005</v>
      </c>
      <c r="C361" t="s">
        <v>35</v>
      </c>
      <c r="D361" s="2">
        <v>46104</v>
      </c>
      <c r="F361" s="2">
        <v>46510</v>
      </c>
      <c r="G361" s="2">
        <v>46510</v>
      </c>
      <c r="H361" s="1">
        <v>5920</v>
      </c>
      <c r="I361">
        <v>348.24</v>
      </c>
      <c r="J361" t="s">
        <v>40</v>
      </c>
      <c r="L361" t="s">
        <v>528</v>
      </c>
    </row>
    <row r="362" spans="1:12" x14ac:dyDescent="0.25">
      <c r="A362" t="s">
        <v>71</v>
      </c>
      <c r="B362" t="s">
        <v>1114</v>
      </c>
      <c r="C362" t="s">
        <v>23</v>
      </c>
      <c r="D362" s="2">
        <v>46135</v>
      </c>
      <c r="F362" s="2">
        <v>46510</v>
      </c>
      <c r="G362" s="2">
        <v>46510</v>
      </c>
      <c r="H362" s="1">
        <v>4010</v>
      </c>
      <c r="I362">
        <v>445.56</v>
      </c>
      <c r="J362" t="s">
        <v>40</v>
      </c>
      <c r="L362" t="s">
        <v>528</v>
      </c>
    </row>
    <row r="363" spans="1:12" x14ac:dyDescent="0.25">
      <c r="A363" t="s">
        <v>111</v>
      </c>
      <c r="B363" t="s">
        <v>1397</v>
      </c>
      <c r="C363" t="s">
        <v>20</v>
      </c>
      <c r="D363" s="2">
        <v>46231</v>
      </c>
      <c r="F363" s="2">
        <v>46510</v>
      </c>
      <c r="G363" s="2">
        <v>46512</v>
      </c>
      <c r="H363" s="1">
        <v>15840</v>
      </c>
      <c r="I363">
        <v>146.66999999999999</v>
      </c>
      <c r="J363" t="s">
        <v>16</v>
      </c>
    </row>
    <row r="364" spans="1:12" x14ac:dyDescent="0.25">
      <c r="A364" t="s">
        <v>111</v>
      </c>
      <c r="B364" t="s">
        <v>1315</v>
      </c>
      <c r="C364" t="s">
        <v>14</v>
      </c>
      <c r="D364" s="2">
        <v>46141</v>
      </c>
      <c r="F364" s="2">
        <v>46504</v>
      </c>
      <c r="G364" s="2">
        <v>46513</v>
      </c>
      <c r="H364" s="1">
        <v>28314</v>
      </c>
      <c r="I364">
        <v>149.81</v>
      </c>
      <c r="J364" t="s">
        <v>16</v>
      </c>
    </row>
    <row r="365" spans="1:12" x14ac:dyDescent="0.25">
      <c r="A365" t="s">
        <v>4</v>
      </c>
      <c r="B365" t="s">
        <v>1396</v>
      </c>
      <c r="C365" t="s">
        <v>840</v>
      </c>
      <c r="D365" s="2">
        <v>46220</v>
      </c>
      <c r="F365" s="2">
        <v>46510</v>
      </c>
      <c r="G365" s="2">
        <v>46513</v>
      </c>
      <c r="H365" s="1">
        <v>12640</v>
      </c>
      <c r="I365">
        <v>131.66999999999999</v>
      </c>
      <c r="J365" t="s">
        <v>878</v>
      </c>
      <c r="L365" t="s">
        <v>528</v>
      </c>
    </row>
    <row r="366" spans="1:12" x14ac:dyDescent="0.25">
      <c r="A366" t="s">
        <v>39</v>
      </c>
      <c r="B366" t="s">
        <v>1002</v>
      </c>
      <c r="C366" t="s">
        <v>14</v>
      </c>
      <c r="D366" s="2">
        <v>46099</v>
      </c>
      <c r="F366" s="2">
        <v>46510</v>
      </c>
      <c r="G366" s="2">
        <v>46514</v>
      </c>
      <c r="H366" s="1">
        <v>17600</v>
      </c>
      <c r="I366">
        <v>977.78</v>
      </c>
      <c r="J366" t="s">
        <v>817</v>
      </c>
    </row>
    <row r="367" spans="1:12" x14ac:dyDescent="0.25">
      <c r="A367" t="s">
        <v>111</v>
      </c>
      <c r="B367" t="s">
        <v>1395</v>
      </c>
      <c r="C367" t="s">
        <v>20</v>
      </c>
      <c r="D367" s="2">
        <v>46231</v>
      </c>
      <c r="F367" s="2">
        <v>46517</v>
      </c>
      <c r="G367" s="2">
        <v>46520</v>
      </c>
      <c r="H367" s="1">
        <v>21285</v>
      </c>
      <c r="I367">
        <v>147.81</v>
      </c>
      <c r="J367" t="s">
        <v>16</v>
      </c>
    </row>
    <row r="368" spans="1:12" x14ac:dyDescent="0.25">
      <c r="A368" t="s">
        <v>92</v>
      </c>
      <c r="B368" t="s">
        <v>1189</v>
      </c>
      <c r="C368" t="s">
        <v>35</v>
      </c>
      <c r="D368" s="2">
        <v>46157</v>
      </c>
      <c r="F368" s="2">
        <v>46517</v>
      </c>
      <c r="G368" s="2">
        <v>46521</v>
      </c>
      <c r="H368" s="1">
        <v>17808</v>
      </c>
      <c r="I368" s="27">
        <v>1978.61</v>
      </c>
      <c r="J368" t="s">
        <v>40</v>
      </c>
      <c r="L368" t="s">
        <v>528</v>
      </c>
    </row>
    <row r="369" spans="1:12" x14ac:dyDescent="0.25">
      <c r="A369" t="s">
        <v>886</v>
      </c>
      <c r="B369" t="s">
        <v>909</v>
      </c>
      <c r="C369" t="s">
        <v>17</v>
      </c>
      <c r="D369" s="2">
        <v>46057</v>
      </c>
      <c r="F369" s="2">
        <v>46510</v>
      </c>
      <c r="G369" s="2">
        <v>46525</v>
      </c>
      <c r="H369" s="1">
        <v>55896</v>
      </c>
      <c r="I369">
        <v>129.38999999999999</v>
      </c>
      <c r="J369" t="s">
        <v>878</v>
      </c>
      <c r="L369" t="s">
        <v>528</v>
      </c>
    </row>
    <row r="370" spans="1:12" x14ac:dyDescent="0.25">
      <c r="A370" t="s">
        <v>566</v>
      </c>
      <c r="B370" t="s">
        <v>1394</v>
      </c>
      <c r="C370" t="s">
        <v>24</v>
      </c>
      <c r="D370" s="2">
        <v>46226</v>
      </c>
      <c r="F370" s="2">
        <v>46524</v>
      </c>
      <c r="G370" s="2">
        <v>46528</v>
      </c>
      <c r="H370" s="1">
        <v>18930</v>
      </c>
      <c r="I370" s="27">
        <v>2103.33</v>
      </c>
      <c r="J370" t="s">
        <v>40</v>
      </c>
      <c r="L370" t="s">
        <v>528</v>
      </c>
    </row>
    <row r="371" spans="1:12" x14ac:dyDescent="0.25">
      <c r="A371" t="s">
        <v>33</v>
      </c>
      <c r="B371" t="s">
        <v>1350</v>
      </c>
      <c r="C371" t="s">
        <v>18</v>
      </c>
      <c r="D371" s="2">
        <v>46220</v>
      </c>
      <c r="F371" s="2">
        <v>46539</v>
      </c>
      <c r="G371" s="2">
        <v>46540</v>
      </c>
      <c r="H371" s="1">
        <v>7577</v>
      </c>
      <c r="I371">
        <v>140.32</v>
      </c>
      <c r="J371" t="s">
        <v>40</v>
      </c>
      <c r="L371" t="s">
        <v>528</v>
      </c>
    </row>
    <row r="372" spans="1:12" x14ac:dyDescent="0.25">
      <c r="A372" t="s">
        <v>88</v>
      </c>
      <c r="B372" t="s">
        <v>993</v>
      </c>
      <c r="C372" t="s">
        <v>18</v>
      </c>
      <c r="D372" s="2">
        <v>46105</v>
      </c>
      <c r="F372" s="2">
        <v>46566</v>
      </c>
      <c r="G372" s="2">
        <v>46573</v>
      </c>
      <c r="H372" s="1">
        <v>32679</v>
      </c>
      <c r="I372">
        <v>151.29</v>
      </c>
      <c r="J372" t="s">
        <v>40</v>
      </c>
      <c r="L372" t="s">
        <v>528</v>
      </c>
    </row>
    <row r="373" spans="1:12" x14ac:dyDescent="0.25">
      <c r="A373" t="s">
        <v>827</v>
      </c>
      <c r="B373" t="s">
        <v>1041</v>
      </c>
      <c r="C373" t="s">
        <v>627</v>
      </c>
      <c r="D373" s="2">
        <v>45818</v>
      </c>
      <c r="F373" s="2">
        <v>46569</v>
      </c>
      <c r="G373" s="2">
        <v>46573</v>
      </c>
      <c r="H373" s="1">
        <v>3055</v>
      </c>
      <c r="I373">
        <v>169.72</v>
      </c>
      <c r="J373" t="s">
        <v>878</v>
      </c>
    </row>
    <row r="374" spans="1:12" x14ac:dyDescent="0.25">
      <c r="A374" t="s">
        <v>4</v>
      </c>
      <c r="B374" t="s">
        <v>954</v>
      </c>
      <c r="C374" t="s">
        <v>28</v>
      </c>
      <c r="D374" s="2">
        <v>46086</v>
      </c>
      <c r="F374" s="2">
        <v>46573</v>
      </c>
      <c r="G374" s="2">
        <v>46575</v>
      </c>
      <c r="H374" s="1">
        <v>12651</v>
      </c>
      <c r="I374">
        <v>117.14</v>
      </c>
      <c r="J374" t="s">
        <v>878</v>
      </c>
      <c r="L374" t="s">
        <v>528</v>
      </c>
    </row>
    <row r="375" spans="1:12" x14ac:dyDescent="0.25">
      <c r="A375" t="s">
        <v>39</v>
      </c>
      <c r="B375" t="s">
        <v>1033</v>
      </c>
      <c r="C375" t="s">
        <v>17</v>
      </c>
      <c r="D375" s="2">
        <v>46112</v>
      </c>
      <c r="F375" s="2">
        <v>46574</v>
      </c>
      <c r="G375" s="2">
        <v>46576</v>
      </c>
      <c r="H375" s="1">
        <v>3402</v>
      </c>
      <c r="I375">
        <v>189</v>
      </c>
      <c r="J375" t="s">
        <v>878</v>
      </c>
      <c r="L375" t="s">
        <v>528</v>
      </c>
    </row>
    <row r="376" spans="1:12" x14ac:dyDescent="0.25">
      <c r="A376" t="s">
        <v>88</v>
      </c>
      <c r="B376" t="s">
        <v>929</v>
      </c>
      <c r="C376" t="s">
        <v>32</v>
      </c>
      <c r="D376" s="2">
        <v>46071</v>
      </c>
      <c r="F376" s="2">
        <v>46594</v>
      </c>
      <c r="G376" s="2">
        <v>46597</v>
      </c>
      <c r="H376" s="1">
        <v>22771</v>
      </c>
      <c r="I376">
        <v>126.51</v>
      </c>
      <c r="J376" t="s">
        <v>878</v>
      </c>
      <c r="L376" t="s">
        <v>528</v>
      </c>
    </row>
    <row r="377" spans="1:12" x14ac:dyDescent="0.25">
      <c r="A377" t="s">
        <v>39</v>
      </c>
      <c r="B377" t="s">
        <v>1036</v>
      </c>
      <c r="C377" t="s">
        <v>14</v>
      </c>
      <c r="D377" s="2">
        <v>46108</v>
      </c>
      <c r="F377" s="2">
        <v>46601</v>
      </c>
      <c r="G377" s="2">
        <v>46601</v>
      </c>
      <c r="H377" s="1">
        <v>38399</v>
      </c>
      <c r="I377" s="27">
        <v>2133.3000000000002</v>
      </c>
      <c r="J377" t="s">
        <v>817</v>
      </c>
      <c r="L377" t="s">
        <v>528</v>
      </c>
    </row>
    <row r="378" spans="1:12" x14ac:dyDescent="0.25">
      <c r="A378" t="s">
        <v>15</v>
      </c>
      <c r="B378" t="s">
        <v>1192</v>
      </c>
      <c r="C378" t="s">
        <v>23</v>
      </c>
      <c r="D378" s="2">
        <v>46161</v>
      </c>
      <c r="F378" s="2">
        <v>46601</v>
      </c>
      <c r="G378" s="2">
        <v>46601</v>
      </c>
      <c r="H378" s="1">
        <v>3823</v>
      </c>
      <c r="I378">
        <v>141.58000000000001</v>
      </c>
      <c r="J378" t="s">
        <v>40</v>
      </c>
      <c r="L378" t="s">
        <v>528</v>
      </c>
    </row>
    <row r="379" spans="1:12" x14ac:dyDescent="0.25">
      <c r="A379" t="s">
        <v>33</v>
      </c>
      <c r="B379" t="s">
        <v>1349</v>
      </c>
      <c r="C379" t="s">
        <v>42</v>
      </c>
      <c r="D379" s="2">
        <v>46220</v>
      </c>
      <c r="F379" s="2">
        <v>46601</v>
      </c>
      <c r="G379" s="2">
        <v>46601</v>
      </c>
      <c r="H379" s="1">
        <v>5227</v>
      </c>
      <c r="I379">
        <v>116.16</v>
      </c>
      <c r="J379" t="s">
        <v>878</v>
      </c>
      <c r="L379" t="s">
        <v>528</v>
      </c>
    </row>
    <row r="380" spans="1:12" x14ac:dyDescent="0.25">
      <c r="A380" t="s">
        <v>88</v>
      </c>
      <c r="B380" t="s">
        <v>867</v>
      </c>
      <c r="C380" t="s">
        <v>35</v>
      </c>
      <c r="D380" s="2">
        <v>45999</v>
      </c>
      <c r="F380" s="2">
        <v>46601</v>
      </c>
      <c r="G380" s="2">
        <v>46601</v>
      </c>
      <c r="H380" s="1">
        <v>4163</v>
      </c>
      <c r="I380">
        <v>154.19</v>
      </c>
      <c r="J380" t="s">
        <v>40</v>
      </c>
      <c r="L380" t="s">
        <v>528</v>
      </c>
    </row>
    <row r="381" spans="1:12" x14ac:dyDescent="0.25">
      <c r="A381" t="s">
        <v>662</v>
      </c>
      <c r="B381" t="s">
        <v>1214</v>
      </c>
      <c r="C381" t="s">
        <v>49</v>
      </c>
      <c r="D381" s="2">
        <v>46164</v>
      </c>
      <c r="F381" s="2">
        <v>46601</v>
      </c>
      <c r="G381" s="2">
        <v>46601</v>
      </c>
      <c r="H381" s="1">
        <v>4666</v>
      </c>
      <c r="I381">
        <v>172.8</v>
      </c>
      <c r="J381" t="s">
        <v>878</v>
      </c>
      <c r="L381" t="s">
        <v>528</v>
      </c>
    </row>
    <row r="382" spans="1:12" x14ac:dyDescent="0.25">
      <c r="A382" t="s">
        <v>4</v>
      </c>
      <c r="B382" t="s">
        <v>842</v>
      </c>
      <c r="C382" t="s">
        <v>45</v>
      </c>
      <c r="D382" s="2">
        <v>45947</v>
      </c>
      <c r="F382" s="2">
        <v>46601</v>
      </c>
      <c r="G382" s="2">
        <v>46601</v>
      </c>
      <c r="H382" s="1">
        <v>1700</v>
      </c>
      <c r="I382">
        <v>125.93</v>
      </c>
      <c r="J382" t="s">
        <v>878</v>
      </c>
    </row>
    <row r="383" spans="1:12" x14ac:dyDescent="0.25">
      <c r="A383" t="s">
        <v>65</v>
      </c>
      <c r="B383" t="s">
        <v>1042</v>
      </c>
      <c r="C383" t="s">
        <v>14</v>
      </c>
      <c r="D383" s="2">
        <v>46107</v>
      </c>
      <c r="F383" s="2">
        <v>46601</v>
      </c>
      <c r="G383" s="2">
        <v>46602</v>
      </c>
      <c r="H383" s="1">
        <v>9744</v>
      </c>
      <c r="I383">
        <v>108.27</v>
      </c>
      <c r="J383" t="s">
        <v>817</v>
      </c>
      <c r="L383" t="s">
        <v>528</v>
      </c>
    </row>
    <row r="384" spans="1:12" x14ac:dyDescent="0.25">
      <c r="A384" t="s">
        <v>39</v>
      </c>
      <c r="B384" t="s">
        <v>1071</v>
      </c>
      <c r="C384" t="s">
        <v>14</v>
      </c>
      <c r="D384" s="2">
        <v>46119</v>
      </c>
      <c r="F384" s="2">
        <v>46602</v>
      </c>
      <c r="G384" s="2">
        <v>46602</v>
      </c>
      <c r="H384" s="1">
        <v>2535</v>
      </c>
      <c r="I384">
        <v>93.89</v>
      </c>
      <c r="J384" t="s">
        <v>817</v>
      </c>
      <c r="L384" t="s">
        <v>528</v>
      </c>
    </row>
    <row r="385" spans="1:12" x14ac:dyDescent="0.25">
      <c r="A385" t="s">
        <v>39</v>
      </c>
      <c r="B385" t="s">
        <v>839</v>
      </c>
      <c r="C385" t="s">
        <v>99</v>
      </c>
      <c r="D385" s="2">
        <v>45897</v>
      </c>
      <c r="F385" s="2">
        <v>46601</v>
      </c>
      <c r="G385" s="2">
        <v>46602</v>
      </c>
      <c r="H385" s="1">
        <v>4880</v>
      </c>
      <c r="I385">
        <v>135.56</v>
      </c>
      <c r="J385" t="s">
        <v>878</v>
      </c>
    </row>
    <row r="386" spans="1:12" x14ac:dyDescent="0.25">
      <c r="A386" t="s">
        <v>3</v>
      </c>
      <c r="B386" t="s">
        <v>1001</v>
      </c>
      <c r="C386" t="s">
        <v>35</v>
      </c>
      <c r="D386" s="2">
        <v>46106</v>
      </c>
      <c r="F386" s="2">
        <v>46602</v>
      </c>
      <c r="G386" s="2">
        <v>46603</v>
      </c>
      <c r="H386" s="1">
        <v>7849</v>
      </c>
      <c r="I386">
        <v>109.02</v>
      </c>
      <c r="J386" t="s">
        <v>40</v>
      </c>
      <c r="L386" t="s">
        <v>528</v>
      </c>
    </row>
    <row r="387" spans="1:12" x14ac:dyDescent="0.25">
      <c r="A387" t="s">
        <v>662</v>
      </c>
      <c r="B387" t="s">
        <v>910</v>
      </c>
      <c r="C387" t="s">
        <v>46</v>
      </c>
      <c r="D387" s="2">
        <v>46064</v>
      </c>
      <c r="F387" s="2">
        <v>46601</v>
      </c>
      <c r="G387" s="2">
        <v>46603</v>
      </c>
      <c r="H387" s="1">
        <v>8741</v>
      </c>
      <c r="I387">
        <v>107.92</v>
      </c>
      <c r="J387" t="s">
        <v>878</v>
      </c>
      <c r="L387" t="s">
        <v>528</v>
      </c>
    </row>
    <row r="388" spans="1:12" x14ac:dyDescent="0.25">
      <c r="A388" t="s">
        <v>39</v>
      </c>
      <c r="B388" t="s">
        <v>988</v>
      </c>
      <c r="C388" t="s">
        <v>14</v>
      </c>
      <c r="D388" s="2">
        <v>46105</v>
      </c>
      <c r="F388" s="2">
        <v>46604</v>
      </c>
      <c r="G388" s="2">
        <v>46605</v>
      </c>
      <c r="H388" s="1">
        <v>7846</v>
      </c>
      <c r="I388">
        <v>145.30000000000001</v>
      </c>
      <c r="J388" t="s">
        <v>40</v>
      </c>
      <c r="L388" t="s">
        <v>528</v>
      </c>
    </row>
    <row r="389" spans="1:12" x14ac:dyDescent="0.25">
      <c r="A389" t="s">
        <v>39</v>
      </c>
      <c r="B389" t="s">
        <v>1072</v>
      </c>
      <c r="C389" t="s">
        <v>14</v>
      </c>
      <c r="D389" s="2">
        <v>46119</v>
      </c>
      <c r="F389" s="2">
        <v>46601</v>
      </c>
      <c r="G389" s="2">
        <v>46605</v>
      </c>
      <c r="H389" s="1">
        <v>20710</v>
      </c>
      <c r="I389" s="27">
        <v>2301.11</v>
      </c>
      <c r="J389" t="s">
        <v>817</v>
      </c>
      <c r="L389" t="s">
        <v>528</v>
      </c>
    </row>
    <row r="390" spans="1:12" x14ac:dyDescent="0.25">
      <c r="A390" t="s">
        <v>210</v>
      </c>
      <c r="B390" t="s">
        <v>1393</v>
      </c>
      <c r="C390" t="s">
        <v>857</v>
      </c>
      <c r="D390" s="2">
        <v>46230</v>
      </c>
      <c r="F390" s="2">
        <v>46603</v>
      </c>
      <c r="G390" s="2">
        <v>46609</v>
      </c>
      <c r="H390" s="1">
        <v>23538</v>
      </c>
      <c r="I390">
        <v>147.11000000000001</v>
      </c>
      <c r="J390" t="s">
        <v>16</v>
      </c>
      <c r="L390" t="s">
        <v>528</v>
      </c>
    </row>
    <row r="391" spans="1:12" x14ac:dyDescent="0.25">
      <c r="A391" t="s">
        <v>4</v>
      </c>
      <c r="B391" t="s">
        <v>1065</v>
      </c>
      <c r="C391" t="s">
        <v>14</v>
      </c>
      <c r="D391" s="2">
        <v>46108</v>
      </c>
      <c r="F391" s="2">
        <v>46601</v>
      </c>
      <c r="G391" s="2">
        <v>46610</v>
      </c>
      <c r="H391" s="1">
        <v>27967</v>
      </c>
      <c r="I391">
        <v>145.66</v>
      </c>
      <c r="J391" t="s">
        <v>817</v>
      </c>
      <c r="L391" t="s">
        <v>528</v>
      </c>
    </row>
    <row r="392" spans="1:12" x14ac:dyDescent="0.25">
      <c r="A392" t="s">
        <v>88</v>
      </c>
      <c r="B392" t="s">
        <v>1341</v>
      </c>
      <c r="C392" t="s">
        <v>14</v>
      </c>
      <c r="D392" s="2">
        <v>46220</v>
      </c>
      <c r="F392" s="2">
        <v>46608</v>
      </c>
      <c r="G392" s="2">
        <v>46615</v>
      </c>
      <c r="H392" s="1">
        <v>22293</v>
      </c>
      <c r="I392" s="27">
        <v>1311.36</v>
      </c>
      <c r="J392" t="s">
        <v>817</v>
      </c>
      <c r="L392" t="s">
        <v>528</v>
      </c>
    </row>
    <row r="393" spans="1:12" x14ac:dyDescent="0.25">
      <c r="A393" t="s">
        <v>3</v>
      </c>
      <c r="B393" t="s">
        <v>1290</v>
      </c>
      <c r="C393" t="s">
        <v>24</v>
      </c>
      <c r="D393" s="2">
        <v>46206</v>
      </c>
      <c r="F393" s="2">
        <v>46601</v>
      </c>
      <c r="G393" s="2">
        <v>46617</v>
      </c>
      <c r="H393" s="1">
        <v>45005</v>
      </c>
      <c r="I393" s="27">
        <v>2500.2800000000002</v>
      </c>
      <c r="J393" t="s">
        <v>40</v>
      </c>
      <c r="L393" t="s">
        <v>528</v>
      </c>
    </row>
    <row r="394" spans="1:12" x14ac:dyDescent="0.25">
      <c r="A394" t="s">
        <v>39</v>
      </c>
      <c r="B394" t="s">
        <v>823</v>
      </c>
      <c r="C394" t="s">
        <v>14</v>
      </c>
      <c r="D394" s="2">
        <v>45887</v>
      </c>
      <c r="F394" s="2">
        <v>46654</v>
      </c>
      <c r="G394" s="2">
        <v>46654</v>
      </c>
      <c r="H394" s="1">
        <v>2000</v>
      </c>
      <c r="I394">
        <v>0</v>
      </c>
      <c r="J394" t="s">
        <v>40</v>
      </c>
      <c r="L394" t="s">
        <v>528</v>
      </c>
    </row>
    <row r="395" spans="1:12" x14ac:dyDescent="0.25">
      <c r="A395" t="s">
        <v>3</v>
      </c>
      <c r="B395" t="s">
        <v>996</v>
      </c>
      <c r="C395" t="s">
        <v>14</v>
      </c>
      <c r="D395" s="2">
        <v>46100</v>
      </c>
      <c r="F395" s="2">
        <v>46661</v>
      </c>
      <c r="G395" s="2">
        <v>46661</v>
      </c>
      <c r="H395" s="1">
        <v>4676</v>
      </c>
      <c r="I395">
        <v>173.2</v>
      </c>
      <c r="J395" t="s">
        <v>40</v>
      </c>
      <c r="L395" t="s">
        <v>528</v>
      </c>
    </row>
    <row r="396" spans="1:12" x14ac:dyDescent="0.25">
      <c r="A396" t="s">
        <v>816</v>
      </c>
      <c r="B396" t="s">
        <v>1229</v>
      </c>
      <c r="C396" t="s">
        <v>25</v>
      </c>
      <c r="D396" s="2">
        <v>46178</v>
      </c>
      <c r="F396" s="2">
        <v>46661</v>
      </c>
      <c r="G396" s="2">
        <v>46661</v>
      </c>
      <c r="H396" s="1">
        <v>3950</v>
      </c>
      <c r="I396">
        <v>0</v>
      </c>
      <c r="J396" t="s">
        <v>40</v>
      </c>
      <c r="L396" t="s">
        <v>528</v>
      </c>
    </row>
    <row r="397" spans="1:12" x14ac:dyDescent="0.25">
      <c r="A397" t="s">
        <v>816</v>
      </c>
      <c r="B397" t="s">
        <v>1228</v>
      </c>
      <c r="C397" t="s">
        <v>26</v>
      </c>
      <c r="D397" s="2">
        <v>46178</v>
      </c>
      <c r="F397" s="2">
        <v>46662</v>
      </c>
      <c r="G397" s="2">
        <v>46662</v>
      </c>
      <c r="H397" s="1">
        <v>6455</v>
      </c>
      <c r="I397">
        <v>0</v>
      </c>
      <c r="J397" t="s">
        <v>40</v>
      </c>
    </row>
    <row r="398" spans="1:12" x14ac:dyDescent="0.25">
      <c r="A398" t="s">
        <v>1304</v>
      </c>
      <c r="B398" t="s">
        <v>1392</v>
      </c>
      <c r="C398" t="s">
        <v>32</v>
      </c>
      <c r="D398" s="2">
        <v>46212</v>
      </c>
      <c r="F398" s="2">
        <v>46664</v>
      </c>
      <c r="G398" s="2">
        <v>46664</v>
      </c>
      <c r="H398" s="1">
        <v>1245</v>
      </c>
      <c r="I398">
        <v>124.5</v>
      </c>
      <c r="J398" t="s">
        <v>878</v>
      </c>
      <c r="L398" t="s">
        <v>528</v>
      </c>
    </row>
    <row r="399" spans="1:12" x14ac:dyDescent="0.25">
      <c r="A399" t="s">
        <v>1304</v>
      </c>
      <c r="B399" t="s">
        <v>1391</v>
      </c>
      <c r="C399" t="s">
        <v>32</v>
      </c>
      <c r="D399" s="2">
        <v>46212</v>
      </c>
      <c r="F399" s="2">
        <v>46664</v>
      </c>
      <c r="G399" s="2">
        <v>46664</v>
      </c>
      <c r="H399">
        <v>910</v>
      </c>
      <c r="I399">
        <v>151.66999999999999</v>
      </c>
      <c r="J399" t="s">
        <v>878</v>
      </c>
      <c r="L399" t="s">
        <v>528</v>
      </c>
    </row>
    <row r="400" spans="1:12" x14ac:dyDescent="0.25">
      <c r="A400" t="s">
        <v>1304</v>
      </c>
      <c r="B400" t="s">
        <v>1390</v>
      </c>
      <c r="C400" t="s">
        <v>32</v>
      </c>
      <c r="D400" s="2">
        <v>46212</v>
      </c>
      <c r="F400" s="2">
        <v>46664</v>
      </c>
      <c r="G400" s="2">
        <v>46664</v>
      </c>
      <c r="H400">
        <v>671</v>
      </c>
      <c r="I400">
        <v>0</v>
      </c>
      <c r="J400" t="s">
        <v>878</v>
      </c>
    </row>
    <row r="401" spans="1:12" x14ac:dyDescent="0.25">
      <c r="A401" t="s">
        <v>88</v>
      </c>
      <c r="B401" t="s">
        <v>900</v>
      </c>
      <c r="C401" t="s">
        <v>35</v>
      </c>
      <c r="D401" s="2">
        <v>45999</v>
      </c>
      <c r="F401" s="2">
        <v>46664</v>
      </c>
      <c r="G401" s="2">
        <v>46664</v>
      </c>
      <c r="H401">
        <v>588</v>
      </c>
      <c r="I401">
        <v>21.78</v>
      </c>
      <c r="J401" t="s">
        <v>40</v>
      </c>
      <c r="L401" t="s">
        <v>528</v>
      </c>
    </row>
    <row r="402" spans="1:12" x14ac:dyDescent="0.25">
      <c r="A402" t="s">
        <v>39</v>
      </c>
      <c r="B402" t="s">
        <v>994</v>
      </c>
      <c r="C402" t="s">
        <v>14</v>
      </c>
      <c r="D402" s="2">
        <v>46105</v>
      </c>
      <c r="F402" s="2">
        <v>46664</v>
      </c>
      <c r="G402" s="2">
        <v>46665</v>
      </c>
      <c r="H402" s="1">
        <v>8705</v>
      </c>
      <c r="I402">
        <v>161.19999999999999</v>
      </c>
      <c r="J402" t="s">
        <v>40</v>
      </c>
      <c r="L402" t="s">
        <v>528</v>
      </c>
    </row>
    <row r="403" spans="1:12" x14ac:dyDescent="0.25">
      <c r="A403" t="s">
        <v>1304</v>
      </c>
      <c r="B403" t="s">
        <v>1389</v>
      </c>
      <c r="C403" t="s">
        <v>32</v>
      </c>
      <c r="D403" s="2">
        <v>46212</v>
      </c>
      <c r="F403" s="2">
        <v>46664</v>
      </c>
      <c r="G403" s="2">
        <v>46665</v>
      </c>
      <c r="H403" s="1">
        <v>5930</v>
      </c>
      <c r="I403">
        <v>128.91</v>
      </c>
      <c r="J403" t="s">
        <v>878</v>
      </c>
      <c r="L403" t="s">
        <v>528</v>
      </c>
    </row>
    <row r="404" spans="1:12" x14ac:dyDescent="0.25">
      <c r="A404" t="s">
        <v>1304</v>
      </c>
      <c r="B404" t="s">
        <v>1388</v>
      </c>
      <c r="C404" t="s">
        <v>32</v>
      </c>
      <c r="D404" s="2">
        <v>46212</v>
      </c>
      <c r="F404" s="2">
        <v>46665</v>
      </c>
      <c r="G404" s="2">
        <v>46665</v>
      </c>
      <c r="H404">
        <v>722</v>
      </c>
      <c r="I404">
        <v>0</v>
      </c>
      <c r="J404" t="s">
        <v>878</v>
      </c>
      <c r="L404" t="s">
        <v>528</v>
      </c>
    </row>
    <row r="405" spans="1:12" x14ac:dyDescent="0.25">
      <c r="A405" t="s">
        <v>15</v>
      </c>
      <c r="B405" t="s">
        <v>831</v>
      </c>
      <c r="C405" t="s">
        <v>35</v>
      </c>
      <c r="D405" s="2">
        <v>45797</v>
      </c>
      <c r="F405" s="2">
        <v>46664</v>
      </c>
      <c r="G405" s="2">
        <v>46665</v>
      </c>
      <c r="H405" s="1">
        <v>7345</v>
      </c>
      <c r="I405">
        <v>136.02000000000001</v>
      </c>
      <c r="J405" t="s">
        <v>40</v>
      </c>
      <c r="L405" t="s">
        <v>528</v>
      </c>
    </row>
    <row r="406" spans="1:12" x14ac:dyDescent="0.25">
      <c r="A406" t="s">
        <v>88</v>
      </c>
      <c r="B406" t="s">
        <v>1342</v>
      </c>
      <c r="C406" t="s">
        <v>23</v>
      </c>
      <c r="D406" s="2">
        <v>46224</v>
      </c>
      <c r="F406" s="2">
        <v>46664</v>
      </c>
      <c r="G406" s="2">
        <v>46665</v>
      </c>
      <c r="H406" s="1">
        <v>9461</v>
      </c>
      <c r="I406">
        <v>131.4</v>
      </c>
      <c r="J406" t="s">
        <v>40</v>
      </c>
      <c r="L406" t="s">
        <v>528</v>
      </c>
    </row>
    <row r="407" spans="1:12" x14ac:dyDescent="0.25">
      <c r="A407" t="s">
        <v>1304</v>
      </c>
      <c r="B407" t="s">
        <v>1387</v>
      </c>
      <c r="C407" t="s">
        <v>32</v>
      </c>
      <c r="D407" s="2">
        <v>46212</v>
      </c>
      <c r="F407" s="2">
        <v>46666</v>
      </c>
      <c r="G407" s="2">
        <v>46666</v>
      </c>
      <c r="H407" s="1">
        <v>16896</v>
      </c>
      <c r="I407">
        <v>0</v>
      </c>
      <c r="J407" t="s">
        <v>878</v>
      </c>
    </row>
    <row r="408" spans="1:12" x14ac:dyDescent="0.25">
      <c r="A408" t="s">
        <v>3</v>
      </c>
      <c r="B408" t="s">
        <v>1254</v>
      </c>
      <c r="C408" t="s">
        <v>24</v>
      </c>
      <c r="D408" s="2">
        <v>46091</v>
      </c>
      <c r="F408" s="2">
        <v>46666</v>
      </c>
      <c r="G408" s="2">
        <v>46666</v>
      </c>
      <c r="H408" s="1">
        <v>2225</v>
      </c>
      <c r="I408">
        <v>0</v>
      </c>
      <c r="J408" t="s">
        <v>40</v>
      </c>
    </row>
    <row r="409" spans="1:12" x14ac:dyDescent="0.25">
      <c r="A409" t="s">
        <v>4</v>
      </c>
      <c r="B409" t="s">
        <v>1386</v>
      </c>
      <c r="C409" t="s">
        <v>840</v>
      </c>
      <c r="D409" s="2">
        <v>46220</v>
      </c>
      <c r="F409" s="2">
        <v>46664</v>
      </c>
      <c r="G409" s="2">
        <v>46666</v>
      </c>
      <c r="H409" s="1">
        <v>10049</v>
      </c>
      <c r="I409">
        <v>139.58000000000001</v>
      </c>
      <c r="J409" t="s">
        <v>878</v>
      </c>
      <c r="L409" t="s">
        <v>528</v>
      </c>
    </row>
    <row r="410" spans="1:12" x14ac:dyDescent="0.25">
      <c r="A410" t="s">
        <v>36</v>
      </c>
      <c r="B410" t="s">
        <v>1038</v>
      </c>
      <c r="C410" t="s">
        <v>49</v>
      </c>
      <c r="D410" s="2">
        <v>46107</v>
      </c>
      <c r="F410" s="2">
        <v>46664</v>
      </c>
      <c r="G410" s="2">
        <v>46667</v>
      </c>
      <c r="H410" s="1">
        <v>14353</v>
      </c>
      <c r="I410">
        <v>0</v>
      </c>
      <c r="J410" t="s">
        <v>878</v>
      </c>
      <c r="L410" t="s">
        <v>528</v>
      </c>
    </row>
    <row r="411" spans="1:12" x14ac:dyDescent="0.25">
      <c r="A411" t="s">
        <v>92</v>
      </c>
      <c r="B411" t="s">
        <v>1010</v>
      </c>
      <c r="C411" t="s">
        <v>14</v>
      </c>
      <c r="D411" s="2">
        <v>46101</v>
      </c>
      <c r="F411" s="2">
        <v>46664</v>
      </c>
      <c r="G411" s="2">
        <v>46667</v>
      </c>
      <c r="H411" s="1">
        <v>20582</v>
      </c>
      <c r="I411">
        <v>142.93</v>
      </c>
      <c r="J411" t="s">
        <v>40</v>
      </c>
      <c r="L411" t="s">
        <v>528</v>
      </c>
    </row>
    <row r="412" spans="1:12" x14ac:dyDescent="0.25">
      <c r="A412" t="s">
        <v>92</v>
      </c>
      <c r="B412" t="s">
        <v>1333</v>
      </c>
      <c r="C412" t="s">
        <v>23</v>
      </c>
      <c r="D412" s="2">
        <v>46224</v>
      </c>
      <c r="F412" s="2">
        <v>46666</v>
      </c>
      <c r="G412" s="2">
        <v>46668</v>
      </c>
      <c r="H412" s="1">
        <v>8313</v>
      </c>
      <c r="I412">
        <v>115.45</v>
      </c>
      <c r="J412" t="s">
        <v>40</v>
      </c>
      <c r="L412" t="s">
        <v>528</v>
      </c>
    </row>
    <row r="413" spans="1:12" x14ac:dyDescent="0.25">
      <c r="A413" t="s">
        <v>820</v>
      </c>
      <c r="B413" t="s">
        <v>960</v>
      </c>
      <c r="C413" t="s">
        <v>163</v>
      </c>
      <c r="D413" s="2">
        <v>46098</v>
      </c>
      <c r="F413" s="2">
        <v>46669</v>
      </c>
      <c r="G413" s="2">
        <v>46669</v>
      </c>
      <c r="H413" s="1">
        <v>3197</v>
      </c>
      <c r="I413">
        <v>133.22</v>
      </c>
      <c r="J413" t="s">
        <v>16</v>
      </c>
      <c r="L413" t="s">
        <v>528</v>
      </c>
    </row>
    <row r="414" spans="1:12" x14ac:dyDescent="0.25">
      <c r="A414" t="s">
        <v>39</v>
      </c>
      <c r="B414" t="s">
        <v>1062</v>
      </c>
      <c r="C414" t="s">
        <v>14</v>
      </c>
      <c r="D414" s="2">
        <v>46105</v>
      </c>
      <c r="F414" s="2">
        <v>46671</v>
      </c>
      <c r="G414" s="2">
        <v>46671</v>
      </c>
      <c r="H414" s="1">
        <v>4113</v>
      </c>
      <c r="I414">
        <v>457.03</v>
      </c>
      <c r="J414" t="s">
        <v>817</v>
      </c>
      <c r="L414" t="s">
        <v>528</v>
      </c>
    </row>
    <row r="415" spans="1:12" x14ac:dyDescent="0.25">
      <c r="A415" t="s">
        <v>39</v>
      </c>
      <c r="B415" t="s">
        <v>1040</v>
      </c>
      <c r="C415" t="s">
        <v>20</v>
      </c>
      <c r="D415" s="2">
        <v>46112</v>
      </c>
      <c r="F415" s="2">
        <v>46664</v>
      </c>
      <c r="G415" s="2">
        <v>46672</v>
      </c>
      <c r="H415" s="1">
        <v>11405</v>
      </c>
      <c r="I415">
        <v>0</v>
      </c>
      <c r="J415" t="s">
        <v>817</v>
      </c>
      <c r="L415" t="s">
        <v>528</v>
      </c>
    </row>
    <row r="416" spans="1:12" x14ac:dyDescent="0.25">
      <c r="A416" t="s">
        <v>39</v>
      </c>
      <c r="B416" t="s">
        <v>995</v>
      </c>
      <c r="C416" t="s">
        <v>14</v>
      </c>
      <c r="D416" s="2">
        <v>46105</v>
      </c>
      <c r="F416" s="2">
        <v>46671</v>
      </c>
      <c r="G416" s="2">
        <v>46672</v>
      </c>
      <c r="H416" s="1">
        <v>12452</v>
      </c>
      <c r="I416">
        <v>172.95</v>
      </c>
      <c r="J416" t="s">
        <v>40</v>
      </c>
      <c r="L416" t="s">
        <v>528</v>
      </c>
    </row>
    <row r="417" spans="1:12" x14ac:dyDescent="0.25">
      <c r="A417" t="s">
        <v>814</v>
      </c>
      <c r="B417" t="s">
        <v>1039</v>
      </c>
      <c r="C417" t="s">
        <v>14</v>
      </c>
      <c r="D417" s="2">
        <v>45824</v>
      </c>
      <c r="F417" s="2">
        <v>46664</v>
      </c>
      <c r="G417" s="2">
        <v>46672</v>
      </c>
      <c r="H417" s="1">
        <v>24615</v>
      </c>
      <c r="I417">
        <v>130.24</v>
      </c>
      <c r="J417" t="s">
        <v>817</v>
      </c>
      <c r="L417" t="s">
        <v>528</v>
      </c>
    </row>
    <row r="418" spans="1:12" x14ac:dyDescent="0.25">
      <c r="A418" t="s">
        <v>65</v>
      </c>
      <c r="B418" t="s">
        <v>870</v>
      </c>
      <c r="C418" t="s">
        <v>14</v>
      </c>
      <c r="D418" s="2">
        <v>45987</v>
      </c>
      <c r="F418" s="2">
        <v>46671</v>
      </c>
      <c r="G418" s="2">
        <v>46674</v>
      </c>
      <c r="H418" s="1">
        <v>13930</v>
      </c>
      <c r="I418">
        <v>128.97999999999999</v>
      </c>
      <c r="J418" t="s">
        <v>817</v>
      </c>
      <c r="L418" t="s">
        <v>528</v>
      </c>
    </row>
    <row r="419" spans="1:12" x14ac:dyDescent="0.25">
      <c r="A419" t="s">
        <v>3</v>
      </c>
      <c r="B419" t="s">
        <v>844</v>
      </c>
      <c r="C419" t="s">
        <v>14</v>
      </c>
      <c r="D419" s="2">
        <v>45930</v>
      </c>
      <c r="F419" s="2">
        <v>46671</v>
      </c>
      <c r="G419" s="2">
        <v>46674</v>
      </c>
      <c r="H419" s="1">
        <v>11823</v>
      </c>
      <c r="I419">
        <v>123.15</v>
      </c>
      <c r="J419" t="s">
        <v>817</v>
      </c>
      <c r="L419" t="s">
        <v>528</v>
      </c>
    </row>
    <row r="420" spans="1:12" x14ac:dyDescent="0.25">
      <c r="A420" t="s">
        <v>65</v>
      </c>
      <c r="B420" t="s">
        <v>901</v>
      </c>
      <c r="C420" t="s">
        <v>14</v>
      </c>
      <c r="D420" s="2">
        <v>46002</v>
      </c>
      <c r="F420" s="2">
        <v>46675</v>
      </c>
      <c r="G420" s="2">
        <v>46675</v>
      </c>
      <c r="H420" s="1">
        <v>3670</v>
      </c>
      <c r="I420">
        <v>135.93</v>
      </c>
      <c r="J420" t="s">
        <v>817</v>
      </c>
      <c r="L420" t="s">
        <v>528</v>
      </c>
    </row>
    <row r="421" spans="1:12" x14ac:dyDescent="0.25">
      <c r="A421" t="s">
        <v>39</v>
      </c>
      <c r="B421" t="s">
        <v>1385</v>
      </c>
      <c r="C421" t="s">
        <v>14</v>
      </c>
      <c r="D421" s="2">
        <v>46227</v>
      </c>
      <c r="F421" s="2">
        <v>46673</v>
      </c>
      <c r="G421" s="2">
        <v>46675</v>
      </c>
      <c r="H421" s="1">
        <v>6985</v>
      </c>
      <c r="I421">
        <v>97.01</v>
      </c>
      <c r="J421" t="s">
        <v>817</v>
      </c>
      <c r="L421" t="s">
        <v>528</v>
      </c>
    </row>
    <row r="422" spans="1:12" x14ac:dyDescent="0.25">
      <c r="A422" t="s">
        <v>61</v>
      </c>
      <c r="B422" t="s">
        <v>997</v>
      </c>
      <c r="C422" t="s">
        <v>18</v>
      </c>
      <c r="D422" s="2">
        <v>46105</v>
      </c>
      <c r="F422" s="2">
        <v>46678</v>
      </c>
      <c r="G422" s="2">
        <v>46679</v>
      </c>
      <c r="H422" s="1">
        <v>8008</v>
      </c>
      <c r="I422">
        <v>148.30000000000001</v>
      </c>
      <c r="J422" t="s">
        <v>40</v>
      </c>
    </row>
    <row r="423" spans="1:12" x14ac:dyDescent="0.25">
      <c r="A423" t="s">
        <v>33</v>
      </c>
      <c r="B423" t="s">
        <v>869</v>
      </c>
      <c r="C423" t="s">
        <v>38</v>
      </c>
      <c r="D423" s="2">
        <v>45993</v>
      </c>
      <c r="F423" s="2">
        <v>46678</v>
      </c>
      <c r="G423" s="2">
        <v>46685</v>
      </c>
      <c r="H423" s="1">
        <v>21180</v>
      </c>
      <c r="I423">
        <v>130.74</v>
      </c>
      <c r="J423" t="s">
        <v>40</v>
      </c>
      <c r="L423" t="s">
        <v>528</v>
      </c>
    </row>
    <row r="424" spans="1:12" x14ac:dyDescent="0.25">
      <c r="A424" t="s">
        <v>816</v>
      </c>
      <c r="B424" t="s">
        <v>1305</v>
      </c>
      <c r="C424" t="s">
        <v>25</v>
      </c>
      <c r="D424" s="2">
        <v>46211</v>
      </c>
      <c r="F424" s="2">
        <v>46686</v>
      </c>
      <c r="G424" s="2">
        <v>46687</v>
      </c>
      <c r="H424" s="1">
        <v>8075</v>
      </c>
      <c r="I424">
        <v>897.22</v>
      </c>
      <c r="J424" t="s">
        <v>40</v>
      </c>
      <c r="L424" t="s">
        <v>528</v>
      </c>
    </row>
    <row r="425" spans="1:12" x14ac:dyDescent="0.25">
      <c r="A425" t="s">
        <v>39</v>
      </c>
      <c r="B425" t="s">
        <v>1074</v>
      </c>
      <c r="C425" t="s">
        <v>14</v>
      </c>
      <c r="D425" s="2">
        <v>46119</v>
      </c>
      <c r="F425" s="2">
        <v>46692</v>
      </c>
      <c r="G425" s="2">
        <v>46692</v>
      </c>
      <c r="H425" s="1">
        <v>3800</v>
      </c>
      <c r="I425">
        <v>140.74</v>
      </c>
      <c r="J425" t="s">
        <v>817</v>
      </c>
      <c r="L425" t="s">
        <v>528</v>
      </c>
    </row>
    <row r="426" spans="1:12" x14ac:dyDescent="0.25">
      <c r="A426" t="s">
        <v>92</v>
      </c>
      <c r="B426" t="s">
        <v>1137</v>
      </c>
      <c r="C426" t="s">
        <v>14</v>
      </c>
      <c r="D426" s="2">
        <v>46121</v>
      </c>
      <c r="F426" s="2">
        <v>46692</v>
      </c>
      <c r="G426" s="2">
        <v>46694</v>
      </c>
      <c r="H426" s="1">
        <v>9665</v>
      </c>
      <c r="I426" s="27">
        <v>1073.8900000000001</v>
      </c>
      <c r="J426" t="s">
        <v>817</v>
      </c>
    </row>
    <row r="427" spans="1:12" x14ac:dyDescent="0.25">
      <c r="A427" t="s">
        <v>39</v>
      </c>
      <c r="B427" t="s">
        <v>1075</v>
      </c>
      <c r="C427" t="s">
        <v>14</v>
      </c>
      <c r="D427" s="2">
        <v>46119</v>
      </c>
      <c r="F427" s="2">
        <v>46692</v>
      </c>
      <c r="G427" s="2">
        <v>46695</v>
      </c>
      <c r="H427" s="1">
        <v>14310</v>
      </c>
      <c r="I427" s="27">
        <v>1590</v>
      </c>
      <c r="J427" t="s">
        <v>817</v>
      </c>
      <c r="L427" t="s">
        <v>528</v>
      </c>
    </row>
    <row r="428" spans="1:12" x14ac:dyDescent="0.25">
      <c r="A428" t="s">
        <v>851</v>
      </c>
      <c r="B428" t="s">
        <v>856</v>
      </c>
      <c r="C428" t="s">
        <v>852</v>
      </c>
      <c r="D428" s="2">
        <v>45981</v>
      </c>
      <c r="F428" s="2">
        <v>46755</v>
      </c>
      <c r="G428" s="2">
        <v>46755</v>
      </c>
      <c r="H428" s="1">
        <v>5205</v>
      </c>
      <c r="I428">
        <v>130.13</v>
      </c>
      <c r="J428" t="s">
        <v>878</v>
      </c>
    </row>
    <row r="429" spans="1:12" x14ac:dyDescent="0.25">
      <c r="A429" t="s">
        <v>33</v>
      </c>
      <c r="B429" t="s">
        <v>963</v>
      </c>
      <c r="C429" t="s">
        <v>14</v>
      </c>
      <c r="D429" s="2">
        <v>45799</v>
      </c>
      <c r="F429" s="2">
        <v>46755</v>
      </c>
      <c r="G429" s="2">
        <v>46755</v>
      </c>
      <c r="H429" s="1">
        <v>3780</v>
      </c>
      <c r="I429">
        <v>140</v>
      </c>
      <c r="J429" t="s">
        <v>40</v>
      </c>
      <c r="L429" t="s">
        <v>528</v>
      </c>
    </row>
    <row r="430" spans="1:12" x14ac:dyDescent="0.25">
      <c r="A430" t="s">
        <v>662</v>
      </c>
      <c r="B430" t="s">
        <v>1215</v>
      </c>
      <c r="C430" t="s">
        <v>49</v>
      </c>
      <c r="D430" s="2">
        <v>46164</v>
      </c>
      <c r="F430" s="2">
        <v>46755</v>
      </c>
      <c r="G430" s="2">
        <v>46755</v>
      </c>
      <c r="H430" s="1">
        <v>3441</v>
      </c>
      <c r="I430">
        <v>127.44</v>
      </c>
      <c r="J430" t="s">
        <v>878</v>
      </c>
      <c r="L430" t="s">
        <v>528</v>
      </c>
    </row>
    <row r="431" spans="1:12" x14ac:dyDescent="0.25">
      <c r="A431" t="s">
        <v>3</v>
      </c>
      <c r="B431" t="s">
        <v>846</v>
      </c>
      <c r="C431" t="s">
        <v>14</v>
      </c>
      <c r="D431" s="2">
        <v>45930</v>
      </c>
      <c r="F431" s="2">
        <v>46756</v>
      </c>
      <c r="G431" s="2">
        <v>46759</v>
      </c>
      <c r="H431" s="1">
        <v>13085</v>
      </c>
      <c r="I431">
        <v>136.30000000000001</v>
      </c>
      <c r="J431" t="s">
        <v>817</v>
      </c>
      <c r="L431" t="s">
        <v>528</v>
      </c>
    </row>
    <row r="432" spans="1:12" x14ac:dyDescent="0.25">
      <c r="A432" t="s">
        <v>3</v>
      </c>
      <c r="B432" t="s">
        <v>1384</v>
      </c>
      <c r="C432" t="s">
        <v>24</v>
      </c>
      <c r="D432" s="2">
        <v>46227</v>
      </c>
      <c r="F432" s="2">
        <v>46762</v>
      </c>
      <c r="G432" s="2">
        <v>46762</v>
      </c>
      <c r="H432" s="1">
        <v>5245</v>
      </c>
      <c r="I432">
        <v>194.26</v>
      </c>
      <c r="J432" t="s">
        <v>40</v>
      </c>
      <c r="L432" t="s">
        <v>528</v>
      </c>
    </row>
    <row r="433" spans="1:12" x14ac:dyDescent="0.25">
      <c r="A433" t="s">
        <v>88</v>
      </c>
      <c r="B433" t="s">
        <v>908</v>
      </c>
      <c r="C433" t="s">
        <v>24</v>
      </c>
      <c r="D433" s="2">
        <v>45846</v>
      </c>
      <c r="F433" s="2">
        <v>46755</v>
      </c>
      <c r="G433" s="2">
        <v>46763</v>
      </c>
      <c r="H433" s="1">
        <v>21401</v>
      </c>
      <c r="I433">
        <v>132.11000000000001</v>
      </c>
      <c r="J433" t="s">
        <v>40</v>
      </c>
      <c r="L433" t="s">
        <v>528</v>
      </c>
    </row>
    <row r="434" spans="1:12" x14ac:dyDescent="0.25">
      <c r="A434" t="s">
        <v>3</v>
      </c>
      <c r="B434" t="s">
        <v>861</v>
      </c>
      <c r="C434" t="s">
        <v>21</v>
      </c>
      <c r="D434" s="2">
        <v>46003</v>
      </c>
      <c r="F434" s="2">
        <v>46755</v>
      </c>
      <c r="G434" s="2">
        <v>46764</v>
      </c>
      <c r="H434" s="1">
        <v>37071</v>
      </c>
      <c r="I434">
        <v>128.72</v>
      </c>
      <c r="J434" t="s">
        <v>878</v>
      </c>
    </row>
    <row r="435" spans="1:12" x14ac:dyDescent="0.25">
      <c r="A435" t="s">
        <v>88</v>
      </c>
      <c r="B435" t="s">
        <v>897</v>
      </c>
      <c r="C435" t="s">
        <v>32</v>
      </c>
      <c r="D435" s="2">
        <v>46044</v>
      </c>
      <c r="F435" s="2">
        <v>46762</v>
      </c>
      <c r="G435" s="2">
        <v>46766</v>
      </c>
      <c r="H435" s="1">
        <v>31770</v>
      </c>
      <c r="I435">
        <v>141.19999999999999</v>
      </c>
      <c r="J435" t="s">
        <v>878</v>
      </c>
      <c r="L435" t="s">
        <v>528</v>
      </c>
    </row>
    <row r="436" spans="1:12" x14ac:dyDescent="0.25">
      <c r="A436" t="s">
        <v>4</v>
      </c>
      <c r="B436" t="s">
        <v>1383</v>
      </c>
      <c r="C436" t="s">
        <v>840</v>
      </c>
      <c r="D436" s="2">
        <v>46226</v>
      </c>
      <c r="F436" s="2">
        <v>46762</v>
      </c>
      <c r="G436" s="2">
        <v>46766</v>
      </c>
      <c r="H436" s="1">
        <v>16903</v>
      </c>
      <c r="I436">
        <v>140.86000000000001</v>
      </c>
      <c r="J436" t="s">
        <v>878</v>
      </c>
      <c r="L436" t="s">
        <v>528</v>
      </c>
    </row>
    <row r="437" spans="1:12" x14ac:dyDescent="0.25">
      <c r="A437" t="s">
        <v>33</v>
      </c>
      <c r="B437" t="s">
        <v>1142</v>
      </c>
      <c r="C437" t="s">
        <v>32</v>
      </c>
      <c r="D437" s="2">
        <v>46143</v>
      </c>
      <c r="F437" s="2">
        <v>46769</v>
      </c>
      <c r="G437" s="2">
        <v>46769</v>
      </c>
      <c r="H437" s="1">
        <v>5130</v>
      </c>
      <c r="I437">
        <v>190</v>
      </c>
      <c r="J437" t="s">
        <v>878</v>
      </c>
    </row>
    <row r="438" spans="1:12" x14ac:dyDescent="0.25">
      <c r="A438" t="s">
        <v>88</v>
      </c>
      <c r="B438" t="s">
        <v>881</v>
      </c>
      <c r="C438" t="s">
        <v>25</v>
      </c>
      <c r="D438" s="2">
        <v>46035</v>
      </c>
      <c r="F438" s="2">
        <v>46755</v>
      </c>
      <c r="G438" s="2">
        <v>46769</v>
      </c>
      <c r="H438" s="1">
        <v>40009</v>
      </c>
      <c r="I438" s="27">
        <v>2222.73</v>
      </c>
      <c r="J438" t="s">
        <v>40</v>
      </c>
      <c r="L438" t="s">
        <v>528</v>
      </c>
    </row>
    <row r="439" spans="1:12" x14ac:dyDescent="0.25">
      <c r="A439" t="s">
        <v>3</v>
      </c>
      <c r="B439" t="s">
        <v>927</v>
      </c>
      <c r="C439" t="s">
        <v>35</v>
      </c>
      <c r="D439" s="2">
        <v>46069</v>
      </c>
      <c r="F439" s="2">
        <v>46770</v>
      </c>
      <c r="G439" s="2">
        <v>46771</v>
      </c>
      <c r="H439" s="1">
        <v>6005</v>
      </c>
      <c r="I439">
        <v>667.22</v>
      </c>
      <c r="J439" t="s">
        <v>40</v>
      </c>
      <c r="K439" t="s">
        <v>528</v>
      </c>
      <c r="L439" t="s">
        <v>528</v>
      </c>
    </row>
    <row r="440" spans="1:12" x14ac:dyDescent="0.25">
      <c r="A440" t="s">
        <v>88</v>
      </c>
      <c r="B440" t="s">
        <v>943</v>
      </c>
      <c r="C440" t="s">
        <v>23</v>
      </c>
      <c r="D440" s="2">
        <v>46084</v>
      </c>
      <c r="F440" s="2">
        <v>46764</v>
      </c>
      <c r="G440" s="2">
        <v>46771</v>
      </c>
      <c r="H440" s="1">
        <v>22477</v>
      </c>
      <c r="I440">
        <v>138.75</v>
      </c>
      <c r="J440" t="s">
        <v>40</v>
      </c>
      <c r="L440" t="s">
        <v>528</v>
      </c>
    </row>
    <row r="441" spans="1:12" x14ac:dyDescent="0.25">
      <c r="A441" t="s">
        <v>92</v>
      </c>
      <c r="B441" t="s">
        <v>1006</v>
      </c>
      <c r="C441" t="s">
        <v>35</v>
      </c>
      <c r="D441" s="2">
        <v>46104</v>
      </c>
      <c r="F441" s="2">
        <v>46776</v>
      </c>
      <c r="G441" s="2">
        <v>46778</v>
      </c>
      <c r="H441" s="1">
        <v>11778</v>
      </c>
      <c r="I441" s="27">
        <v>1308.6099999999999</v>
      </c>
      <c r="J441" t="s">
        <v>40</v>
      </c>
      <c r="L441" t="s">
        <v>528</v>
      </c>
    </row>
    <row r="442" spans="1:12" x14ac:dyDescent="0.25">
      <c r="A442" t="s">
        <v>92</v>
      </c>
      <c r="B442" t="s">
        <v>1186</v>
      </c>
      <c r="C442" t="s">
        <v>35</v>
      </c>
      <c r="D442" s="2">
        <v>46155</v>
      </c>
      <c r="F442" s="2">
        <v>46784</v>
      </c>
      <c r="G442" s="2">
        <v>46791</v>
      </c>
      <c r="H442" s="1">
        <v>23284</v>
      </c>
      <c r="I442" s="27">
        <v>2587.08</v>
      </c>
      <c r="J442" t="s">
        <v>40</v>
      </c>
      <c r="L442" t="s">
        <v>528</v>
      </c>
    </row>
    <row r="443" spans="1:12" x14ac:dyDescent="0.25">
      <c r="A443" t="s">
        <v>886</v>
      </c>
      <c r="B443" t="s">
        <v>912</v>
      </c>
      <c r="C443" t="s">
        <v>17</v>
      </c>
      <c r="D443" s="2">
        <v>46057</v>
      </c>
      <c r="F443" s="2">
        <v>46790</v>
      </c>
      <c r="G443" s="2">
        <v>46814</v>
      </c>
      <c r="H443" s="1">
        <v>89274</v>
      </c>
      <c r="I443">
        <v>130.52000000000001</v>
      </c>
      <c r="J443" t="s">
        <v>878</v>
      </c>
      <c r="L443" t="s">
        <v>528</v>
      </c>
    </row>
    <row r="444" spans="1:12" x14ac:dyDescent="0.25">
      <c r="A444" t="s">
        <v>88</v>
      </c>
      <c r="B444" t="s">
        <v>833</v>
      </c>
      <c r="C444" t="s">
        <v>48</v>
      </c>
      <c r="D444" s="2">
        <v>45793</v>
      </c>
      <c r="F444" s="2">
        <v>46813</v>
      </c>
      <c r="G444" s="2">
        <v>46815</v>
      </c>
      <c r="H444" s="1">
        <v>8285</v>
      </c>
      <c r="I444">
        <v>102.28</v>
      </c>
      <c r="J444" t="s">
        <v>40</v>
      </c>
      <c r="L444" t="s">
        <v>528</v>
      </c>
    </row>
    <row r="445" spans="1:12" x14ac:dyDescent="0.25">
      <c r="A445" t="s">
        <v>92</v>
      </c>
      <c r="B445" t="s">
        <v>1098</v>
      </c>
      <c r="C445" t="s">
        <v>23</v>
      </c>
      <c r="D445" s="2">
        <v>46129</v>
      </c>
      <c r="F445" s="2">
        <v>46813</v>
      </c>
      <c r="G445" s="2">
        <v>46818</v>
      </c>
      <c r="H445" s="1">
        <v>12922</v>
      </c>
      <c r="I445">
        <v>478.59</v>
      </c>
      <c r="J445" t="s">
        <v>40</v>
      </c>
      <c r="L445" t="s">
        <v>528</v>
      </c>
    </row>
    <row r="446" spans="1:12" x14ac:dyDescent="0.25">
      <c r="A446" t="s">
        <v>65</v>
      </c>
      <c r="B446" t="s">
        <v>868</v>
      </c>
      <c r="C446" t="s">
        <v>14</v>
      </c>
      <c r="D446" s="2">
        <v>45987</v>
      </c>
      <c r="F446" s="2">
        <v>46603</v>
      </c>
      <c r="G446" s="2">
        <v>46821</v>
      </c>
      <c r="H446" s="1">
        <v>86990</v>
      </c>
      <c r="I446">
        <v>119.33</v>
      </c>
      <c r="J446" t="s">
        <v>817</v>
      </c>
      <c r="L446" t="s">
        <v>528</v>
      </c>
    </row>
    <row r="447" spans="1:12" x14ac:dyDescent="0.25">
      <c r="A447" t="s">
        <v>39</v>
      </c>
      <c r="B447" t="s">
        <v>1008</v>
      </c>
      <c r="C447" t="s">
        <v>14</v>
      </c>
      <c r="D447" s="2">
        <v>46099</v>
      </c>
      <c r="F447" s="2">
        <v>46818</v>
      </c>
      <c r="G447" s="2">
        <v>46822</v>
      </c>
      <c r="H447" s="1">
        <v>17894</v>
      </c>
      <c r="I447">
        <v>994.11</v>
      </c>
      <c r="J447" t="s">
        <v>817</v>
      </c>
    </row>
    <row r="448" spans="1:12" x14ac:dyDescent="0.25">
      <c r="A448" t="s">
        <v>65</v>
      </c>
      <c r="B448" t="s">
        <v>902</v>
      </c>
      <c r="C448" t="s">
        <v>14</v>
      </c>
      <c r="D448" s="2">
        <v>46002</v>
      </c>
      <c r="F448" s="2">
        <v>46846</v>
      </c>
      <c r="G448" s="2">
        <v>46846</v>
      </c>
      <c r="H448" s="1">
        <v>3380</v>
      </c>
      <c r="I448">
        <v>125.19</v>
      </c>
      <c r="J448" t="s">
        <v>817</v>
      </c>
      <c r="L448" t="s">
        <v>528</v>
      </c>
    </row>
    <row r="449" spans="1:12" x14ac:dyDescent="0.25">
      <c r="A449" t="s">
        <v>1304</v>
      </c>
      <c r="B449" t="s">
        <v>1382</v>
      </c>
      <c r="C449" t="s">
        <v>32</v>
      </c>
      <c r="D449" s="2">
        <v>46212</v>
      </c>
      <c r="F449" s="2">
        <v>46846</v>
      </c>
      <c r="G449" s="2">
        <v>46846</v>
      </c>
      <c r="H449">
        <v>671</v>
      </c>
      <c r="I449">
        <v>17.190000000000001</v>
      </c>
      <c r="J449" t="s">
        <v>878</v>
      </c>
    </row>
    <row r="450" spans="1:12" x14ac:dyDescent="0.25">
      <c r="A450" t="s">
        <v>15</v>
      </c>
      <c r="B450" t="s">
        <v>832</v>
      </c>
      <c r="C450" t="s">
        <v>35</v>
      </c>
      <c r="D450" s="2">
        <v>45797</v>
      </c>
      <c r="F450" s="2">
        <v>46846</v>
      </c>
      <c r="G450" s="2">
        <v>46846</v>
      </c>
      <c r="H450" s="1">
        <v>3680</v>
      </c>
      <c r="I450">
        <v>136.30000000000001</v>
      </c>
      <c r="J450" t="s">
        <v>40</v>
      </c>
      <c r="L450" t="s">
        <v>528</v>
      </c>
    </row>
    <row r="451" spans="1:12" x14ac:dyDescent="0.25">
      <c r="A451" t="s">
        <v>1115</v>
      </c>
      <c r="B451" t="s">
        <v>1121</v>
      </c>
      <c r="C451" t="s">
        <v>23</v>
      </c>
      <c r="D451" s="2">
        <v>46135</v>
      </c>
      <c r="F451" s="2">
        <v>46846</v>
      </c>
      <c r="G451" s="2">
        <v>46846</v>
      </c>
      <c r="H451" s="1">
        <v>4080</v>
      </c>
      <c r="I451">
        <v>151.11000000000001</v>
      </c>
      <c r="J451" t="s">
        <v>40</v>
      </c>
    </row>
    <row r="452" spans="1:12" x14ac:dyDescent="0.25">
      <c r="A452" t="s">
        <v>1304</v>
      </c>
      <c r="B452" t="s">
        <v>1381</v>
      </c>
      <c r="C452" t="s">
        <v>32</v>
      </c>
      <c r="D452" s="2">
        <v>46212</v>
      </c>
      <c r="F452" s="2">
        <v>46847</v>
      </c>
      <c r="G452" s="2">
        <v>46847</v>
      </c>
      <c r="H452" s="1">
        <v>13561</v>
      </c>
      <c r="I452">
        <v>0</v>
      </c>
      <c r="J452" t="s">
        <v>878</v>
      </c>
    </row>
    <row r="453" spans="1:12" x14ac:dyDescent="0.25">
      <c r="A453" t="s">
        <v>33</v>
      </c>
      <c r="B453" t="s">
        <v>962</v>
      </c>
      <c r="C453" t="s">
        <v>14</v>
      </c>
      <c r="D453" s="2">
        <v>45799</v>
      </c>
      <c r="F453" s="2">
        <v>46846</v>
      </c>
      <c r="G453" s="2">
        <v>46847</v>
      </c>
      <c r="H453" s="1">
        <v>7175</v>
      </c>
      <c r="I453">
        <v>132.87</v>
      </c>
      <c r="J453" t="s">
        <v>40</v>
      </c>
      <c r="L453" t="s">
        <v>528</v>
      </c>
    </row>
    <row r="454" spans="1:12" x14ac:dyDescent="0.25">
      <c r="A454" t="s">
        <v>820</v>
      </c>
      <c r="B454" t="s">
        <v>1097</v>
      </c>
      <c r="C454" t="s">
        <v>64</v>
      </c>
      <c r="D454" s="2">
        <v>46128</v>
      </c>
      <c r="F454" s="2">
        <v>46846</v>
      </c>
      <c r="G454" s="2">
        <v>46847</v>
      </c>
      <c r="H454" s="1">
        <v>7090</v>
      </c>
      <c r="I454">
        <v>131.30000000000001</v>
      </c>
      <c r="J454" t="s">
        <v>40</v>
      </c>
      <c r="L454" t="s">
        <v>528</v>
      </c>
    </row>
    <row r="455" spans="1:12" x14ac:dyDescent="0.25">
      <c r="A455" t="s">
        <v>88</v>
      </c>
      <c r="B455" t="s">
        <v>896</v>
      </c>
      <c r="C455" t="s">
        <v>32</v>
      </c>
      <c r="D455" s="2">
        <v>46044</v>
      </c>
      <c r="F455" s="2">
        <v>46846</v>
      </c>
      <c r="G455" s="2">
        <v>46847</v>
      </c>
      <c r="H455" s="1">
        <v>6830</v>
      </c>
      <c r="I455">
        <v>126.48</v>
      </c>
      <c r="J455" t="s">
        <v>878</v>
      </c>
      <c r="L455" t="s">
        <v>528</v>
      </c>
    </row>
    <row r="456" spans="1:12" x14ac:dyDescent="0.25">
      <c r="A456" t="s">
        <v>92</v>
      </c>
      <c r="B456" t="s">
        <v>837</v>
      </c>
      <c r="C456" t="s">
        <v>23</v>
      </c>
      <c r="D456" s="2">
        <v>45915</v>
      </c>
      <c r="F456" s="2">
        <v>46846</v>
      </c>
      <c r="G456" s="2">
        <v>46847</v>
      </c>
      <c r="H456" s="1">
        <v>7145</v>
      </c>
      <c r="I456">
        <v>148.85</v>
      </c>
      <c r="J456" t="s">
        <v>40</v>
      </c>
      <c r="L456" t="s">
        <v>528</v>
      </c>
    </row>
    <row r="457" spans="1:12" x14ac:dyDescent="0.25">
      <c r="A457" t="s">
        <v>1304</v>
      </c>
      <c r="B457" t="s">
        <v>1380</v>
      </c>
      <c r="C457" t="s">
        <v>32</v>
      </c>
      <c r="D457" s="2">
        <v>46212</v>
      </c>
      <c r="F457" s="2">
        <v>46848</v>
      </c>
      <c r="G457" s="2">
        <v>46848</v>
      </c>
      <c r="H457">
        <v>612</v>
      </c>
      <c r="I457">
        <v>8.7899999999999991</v>
      </c>
      <c r="J457" t="s">
        <v>878</v>
      </c>
      <c r="L457" t="s">
        <v>528</v>
      </c>
    </row>
    <row r="458" spans="1:12" x14ac:dyDescent="0.25">
      <c r="A458" t="s">
        <v>33</v>
      </c>
      <c r="B458" t="s">
        <v>968</v>
      </c>
      <c r="C458" t="s">
        <v>14</v>
      </c>
      <c r="D458" s="2">
        <v>46077</v>
      </c>
      <c r="F458" s="2">
        <v>46846</v>
      </c>
      <c r="G458" s="2">
        <v>46848</v>
      </c>
      <c r="H458" s="1">
        <v>12760</v>
      </c>
      <c r="I458">
        <v>127.6</v>
      </c>
      <c r="J458" t="s">
        <v>40</v>
      </c>
      <c r="L458" t="s">
        <v>528</v>
      </c>
    </row>
    <row r="459" spans="1:12" x14ac:dyDescent="0.25">
      <c r="A459" t="s">
        <v>3</v>
      </c>
      <c r="B459" t="s">
        <v>845</v>
      </c>
      <c r="C459" t="s">
        <v>14</v>
      </c>
      <c r="D459" s="2">
        <v>45930</v>
      </c>
      <c r="F459" s="2">
        <v>46848</v>
      </c>
      <c r="G459" s="2">
        <v>46848</v>
      </c>
      <c r="H459" s="1">
        <v>3805</v>
      </c>
      <c r="I459">
        <v>158.54</v>
      </c>
      <c r="J459" t="s">
        <v>817</v>
      </c>
      <c r="L459" t="s">
        <v>528</v>
      </c>
    </row>
    <row r="460" spans="1:12" x14ac:dyDescent="0.25">
      <c r="A460" t="s">
        <v>88</v>
      </c>
      <c r="B460" t="s">
        <v>882</v>
      </c>
      <c r="C460" t="s">
        <v>25</v>
      </c>
      <c r="D460" s="2">
        <v>46035</v>
      </c>
      <c r="F460" s="2">
        <v>46848</v>
      </c>
      <c r="G460" s="2">
        <v>46848</v>
      </c>
      <c r="H460" s="1">
        <v>4417</v>
      </c>
      <c r="I460">
        <v>245.37</v>
      </c>
      <c r="J460" t="s">
        <v>40</v>
      </c>
      <c r="L460" t="s">
        <v>528</v>
      </c>
    </row>
    <row r="461" spans="1:12" x14ac:dyDescent="0.25">
      <c r="A461" t="s">
        <v>92</v>
      </c>
      <c r="B461" t="s">
        <v>921</v>
      </c>
      <c r="C461" t="s">
        <v>23</v>
      </c>
      <c r="D461" s="2">
        <v>46064</v>
      </c>
      <c r="F461" s="2">
        <v>46846</v>
      </c>
      <c r="G461" s="2">
        <v>46849</v>
      </c>
      <c r="H461" s="1">
        <v>13282</v>
      </c>
      <c r="I461">
        <v>491.92</v>
      </c>
      <c r="J461" t="s">
        <v>40</v>
      </c>
      <c r="L461" t="s">
        <v>528</v>
      </c>
    </row>
    <row r="462" spans="1:12" x14ac:dyDescent="0.25">
      <c r="A462" t="s">
        <v>88</v>
      </c>
      <c r="B462" t="s">
        <v>941</v>
      </c>
      <c r="C462" t="s">
        <v>23</v>
      </c>
      <c r="D462" s="2">
        <v>46084</v>
      </c>
      <c r="F462" s="2">
        <v>46847</v>
      </c>
      <c r="G462" s="2">
        <v>46850</v>
      </c>
      <c r="H462" s="1">
        <v>14873</v>
      </c>
      <c r="I462">
        <v>137.71</v>
      </c>
      <c r="J462" t="s">
        <v>40</v>
      </c>
      <c r="L462" t="s">
        <v>528</v>
      </c>
    </row>
    <row r="463" spans="1:12" x14ac:dyDescent="0.25">
      <c r="A463" t="s">
        <v>3</v>
      </c>
      <c r="B463" t="s">
        <v>1253</v>
      </c>
      <c r="C463" t="s">
        <v>24</v>
      </c>
      <c r="D463" s="2">
        <v>46091</v>
      </c>
      <c r="F463" s="2">
        <v>46853</v>
      </c>
      <c r="G463" s="2">
        <v>46855</v>
      </c>
      <c r="H463" s="1">
        <v>13200</v>
      </c>
      <c r="I463">
        <v>488.89</v>
      </c>
      <c r="J463" t="s">
        <v>40</v>
      </c>
    </row>
    <row r="464" spans="1:12" x14ac:dyDescent="0.25">
      <c r="A464" t="s">
        <v>1115</v>
      </c>
      <c r="B464" t="s">
        <v>1122</v>
      </c>
      <c r="C464" t="s">
        <v>23</v>
      </c>
      <c r="D464" s="2">
        <v>46135</v>
      </c>
      <c r="F464" s="2">
        <v>46853</v>
      </c>
      <c r="G464" s="2">
        <v>46855</v>
      </c>
      <c r="H464" s="1">
        <v>9890</v>
      </c>
      <c r="I464" s="27">
        <v>1098.8900000000001</v>
      </c>
      <c r="J464" t="s">
        <v>40</v>
      </c>
      <c r="L464" t="s">
        <v>528</v>
      </c>
    </row>
    <row r="465" spans="1:12" x14ac:dyDescent="0.25">
      <c r="A465" t="s">
        <v>33</v>
      </c>
      <c r="B465" t="s">
        <v>1141</v>
      </c>
      <c r="C465" t="s">
        <v>32</v>
      </c>
      <c r="D465" s="2">
        <v>46143</v>
      </c>
      <c r="F465" s="2">
        <v>46853</v>
      </c>
      <c r="G465" s="2">
        <v>46856</v>
      </c>
      <c r="H465" s="1">
        <v>12355</v>
      </c>
      <c r="I465">
        <v>132.85</v>
      </c>
      <c r="J465" t="s">
        <v>878</v>
      </c>
    </row>
    <row r="466" spans="1:12" x14ac:dyDescent="0.25">
      <c r="A466" t="s">
        <v>88</v>
      </c>
      <c r="B466" t="s">
        <v>1252</v>
      </c>
      <c r="C466" t="s">
        <v>14</v>
      </c>
      <c r="D466" s="2">
        <v>46196</v>
      </c>
      <c r="F466" s="2">
        <v>46857</v>
      </c>
      <c r="G466" s="2">
        <v>46857</v>
      </c>
      <c r="H466" s="1">
        <v>2830</v>
      </c>
      <c r="I466">
        <v>104.81</v>
      </c>
      <c r="J466" t="s">
        <v>40</v>
      </c>
    </row>
    <row r="467" spans="1:12" x14ac:dyDescent="0.25">
      <c r="A467" t="s">
        <v>1115</v>
      </c>
      <c r="B467" t="s">
        <v>1120</v>
      </c>
      <c r="C467" t="s">
        <v>23</v>
      </c>
      <c r="D467" s="2">
        <v>46135</v>
      </c>
      <c r="F467" s="2">
        <v>46853</v>
      </c>
      <c r="G467" s="2">
        <v>46857</v>
      </c>
      <c r="H467" s="1">
        <v>17565</v>
      </c>
      <c r="I467" s="27">
        <v>1951.67</v>
      </c>
      <c r="J467" t="s">
        <v>40</v>
      </c>
    </row>
    <row r="468" spans="1:12" x14ac:dyDescent="0.25">
      <c r="A468" t="s">
        <v>71</v>
      </c>
      <c r="B468" t="s">
        <v>1119</v>
      </c>
      <c r="C468" t="s">
        <v>23</v>
      </c>
      <c r="D468" s="2">
        <v>46135</v>
      </c>
      <c r="F468" s="2">
        <v>46860</v>
      </c>
      <c r="G468" s="2">
        <v>46860</v>
      </c>
      <c r="H468" s="1">
        <v>4010</v>
      </c>
      <c r="I468">
        <v>445.56</v>
      </c>
      <c r="J468" t="s">
        <v>40</v>
      </c>
      <c r="L468" t="s">
        <v>528</v>
      </c>
    </row>
    <row r="469" spans="1:12" x14ac:dyDescent="0.25">
      <c r="A469" t="s">
        <v>39</v>
      </c>
      <c r="B469" t="s">
        <v>1206</v>
      </c>
      <c r="C469" t="s">
        <v>14</v>
      </c>
      <c r="D469" s="2">
        <v>46175</v>
      </c>
      <c r="F469" s="2">
        <v>46860</v>
      </c>
      <c r="G469" s="2">
        <v>46863</v>
      </c>
      <c r="H469" s="1">
        <v>13150</v>
      </c>
      <c r="I469">
        <v>121.76</v>
      </c>
      <c r="J469" t="s">
        <v>817</v>
      </c>
      <c r="L469" t="s">
        <v>528</v>
      </c>
    </row>
    <row r="470" spans="1:12" x14ac:dyDescent="0.25">
      <c r="A470" t="s">
        <v>92</v>
      </c>
      <c r="B470" t="s">
        <v>1187</v>
      </c>
      <c r="C470" t="s">
        <v>35</v>
      </c>
      <c r="D470" s="2">
        <v>46155</v>
      </c>
      <c r="F470" s="2">
        <v>46862</v>
      </c>
      <c r="G470" s="2">
        <v>46864</v>
      </c>
      <c r="H470" s="1">
        <v>10717</v>
      </c>
      <c r="I470" s="27">
        <v>1190.72</v>
      </c>
      <c r="J470" t="s">
        <v>40</v>
      </c>
      <c r="L470" t="s">
        <v>528</v>
      </c>
    </row>
    <row r="471" spans="1:12" x14ac:dyDescent="0.25">
      <c r="A471" t="s">
        <v>886</v>
      </c>
      <c r="B471" t="s">
        <v>911</v>
      </c>
      <c r="C471" t="s">
        <v>17</v>
      </c>
      <c r="D471" s="2">
        <v>46057</v>
      </c>
      <c r="F471" s="2">
        <v>46853</v>
      </c>
      <c r="G471" s="2">
        <v>46868</v>
      </c>
      <c r="H471" s="1">
        <v>53946</v>
      </c>
      <c r="I471">
        <v>124.88</v>
      </c>
      <c r="J471" t="s">
        <v>878</v>
      </c>
      <c r="L471" t="s">
        <v>528</v>
      </c>
    </row>
    <row r="472" spans="1:12" x14ac:dyDescent="0.25">
      <c r="A472" t="s">
        <v>1304</v>
      </c>
      <c r="B472" t="s">
        <v>1379</v>
      </c>
      <c r="C472" t="s">
        <v>32</v>
      </c>
      <c r="D472" s="2">
        <v>46212</v>
      </c>
      <c r="F472" s="2">
        <v>46870</v>
      </c>
      <c r="G472" s="2">
        <v>46870</v>
      </c>
      <c r="H472" s="1">
        <v>3275</v>
      </c>
      <c r="I472">
        <v>125.96</v>
      </c>
      <c r="J472" t="s">
        <v>878</v>
      </c>
      <c r="L472" t="s">
        <v>528</v>
      </c>
    </row>
    <row r="473" spans="1:12" x14ac:dyDescent="0.25">
      <c r="A473" t="s">
        <v>1304</v>
      </c>
      <c r="B473" t="s">
        <v>1378</v>
      </c>
      <c r="C473" t="s">
        <v>32</v>
      </c>
      <c r="D473" s="2">
        <v>46212</v>
      </c>
      <c r="F473" s="2">
        <v>46870</v>
      </c>
      <c r="G473" s="2">
        <v>46870</v>
      </c>
      <c r="H473" s="1">
        <v>2010</v>
      </c>
      <c r="I473">
        <v>55.83</v>
      </c>
      <c r="J473" t="s">
        <v>878</v>
      </c>
      <c r="L473" t="s">
        <v>528</v>
      </c>
    </row>
    <row r="474" spans="1:12" x14ac:dyDescent="0.25">
      <c r="A474" t="s">
        <v>566</v>
      </c>
      <c r="B474" t="s">
        <v>1377</v>
      </c>
      <c r="C474" t="s">
        <v>24</v>
      </c>
      <c r="D474" s="2">
        <v>46226</v>
      </c>
      <c r="F474" s="2">
        <v>46867</v>
      </c>
      <c r="G474" s="2">
        <v>46871</v>
      </c>
      <c r="H474" s="1">
        <v>17615</v>
      </c>
      <c r="I474" s="27">
        <v>1957.22</v>
      </c>
      <c r="J474" t="s">
        <v>40</v>
      </c>
      <c r="L474" t="s">
        <v>528</v>
      </c>
    </row>
    <row r="475" spans="1:12" x14ac:dyDescent="0.25">
      <c r="A475" t="s">
        <v>92</v>
      </c>
      <c r="B475" t="s">
        <v>1007</v>
      </c>
      <c r="C475" t="s">
        <v>35</v>
      </c>
      <c r="D475" s="2">
        <v>46104</v>
      </c>
      <c r="F475" s="2">
        <v>46874</v>
      </c>
      <c r="G475" s="2">
        <v>46875</v>
      </c>
      <c r="H475" s="1">
        <v>7390</v>
      </c>
      <c r="I475">
        <v>434.71</v>
      </c>
      <c r="J475" t="s">
        <v>40</v>
      </c>
      <c r="L475" t="s">
        <v>528</v>
      </c>
    </row>
    <row r="476" spans="1:12" x14ac:dyDescent="0.25">
      <c r="A476" t="s">
        <v>662</v>
      </c>
      <c r="B476" t="s">
        <v>1207</v>
      </c>
      <c r="C476" t="s">
        <v>49</v>
      </c>
      <c r="D476" s="2">
        <v>46164</v>
      </c>
      <c r="F476" s="2">
        <v>46874</v>
      </c>
      <c r="G476" s="2">
        <v>46877</v>
      </c>
      <c r="H476" s="1">
        <v>11833</v>
      </c>
      <c r="I476">
        <v>119.53</v>
      </c>
      <c r="J476" t="s">
        <v>878</v>
      </c>
      <c r="L476" t="s">
        <v>528</v>
      </c>
    </row>
    <row r="477" spans="1:12" x14ac:dyDescent="0.25">
      <c r="A477" t="s">
        <v>1304</v>
      </c>
      <c r="B477" t="s">
        <v>1376</v>
      </c>
      <c r="C477" t="s">
        <v>32</v>
      </c>
      <c r="D477" s="2">
        <v>46212</v>
      </c>
      <c r="F477" s="2">
        <v>46871</v>
      </c>
      <c r="G477" s="2">
        <v>46881</v>
      </c>
      <c r="H477" s="1">
        <v>32515</v>
      </c>
      <c r="I477">
        <v>129.03</v>
      </c>
      <c r="J477" t="s">
        <v>878</v>
      </c>
      <c r="L477" t="s">
        <v>528</v>
      </c>
    </row>
    <row r="478" spans="1:12" x14ac:dyDescent="0.25">
      <c r="A478" t="s">
        <v>33</v>
      </c>
      <c r="B478" t="s">
        <v>1348</v>
      </c>
      <c r="C478" t="s">
        <v>18</v>
      </c>
      <c r="D478" s="2">
        <v>45896</v>
      </c>
      <c r="F478" s="2">
        <v>46905</v>
      </c>
      <c r="G478" s="2">
        <v>46909</v>
      </c>
      <c r="H478" s="1">
        <v>11210</v>
      </c>
      <c r="I478">
        <v>138.38999999999999</v>
      </c>
      <c r="J478" t="s">
        <v>40</v>
      </c>
      <c r="L478" t="s">
        <v>528</v>
      </c>
    </row>
    <row r="479" spans="1:12" x14ac:dyDescent="0.25">
      <c r="A479" t="s">
        <v>88</v>
      </c>
      <c r="B479" t="s">
        <v>898</v>
      </c>
      <c r="C479" t="s">
        <v>32</v>
      </c>
      <c r="D479" s="2">
        <v>46044</v>
      </c>
      <c r="F479" s="2">
        <v>46958</v>
      </c>
      <c r="G479" s="2">
        <v>46961</v>
      </c>
      <c r="H479" s="1">
        <v>21871</v>
      </c>
      <c r="I479">
        <v>121.51</v>
      </c>
      <c r="J479" t="s">
        <v>878</v>
      </c>
      <c r="L479" t="s">
        <v>528</v>
      </c>
    </row>
    <row r="480" spans="1:12" x14ac:dyDescent="0.25">
      <c r="A480" t="s">
        <v>39</v>
      </c>
      <c r="B480" t="s">
        <v>1076</v>
      </c>
      <c r="C480" t="s">
        <v>14</v>
      </c>
      <c r="D480" s="2">
        <v>46119</v>
      </c>
      <c r="F480" s="2">
        <v>46966</v>
      </c>
      <c r="G480" s="2">
        <v>46966</v>
      </c>
      <c r="H480" s="1">
        <v>3060</v>
      </c>
      <c r="I480">
        <v>113.33</v>
      </c>
      <c r="J480" t="s">
        <v>817</v>
      </c>
      <c r="L480" t="s">
        <v>528</v>
      </c>
    </row>
    <row r="481" spans="1:12" x14ac:dyDescent="0.25">
      <c r="A481" t="s">
        <v>39</v>
      </c>
      <c r="B481" t="s">
        <v>1025</v>
      </c>
      <c r="C481" t="s">
        <v>14</v>
      </c>
      <c r="D481" s="2">
        <v>45887</v>
      </c>
      <c r="F481" s="2">
        <v>46966</v>
      </c>
      <c r="G481" s="2">
        <v>46967</v>
      </c>
      <c r="H481" s="1">
        <v>7340</v>
      </c>
      <c r="I481">
        <v>135.93</v>
      </c>
      <c r="J481" t="s">
        <v>40</v>
      </c>
      <c r="L481" t="s">
        <v>528</v>
      </c>
    </row>
    <row r="482" spans="1:12" x14ac:dyDescent="0.25">
      <c r="A482" t="s">
        <v>33</v>
      </c>
      <c r="B482" t="s">
        <v>930</v>
      </c>
      <c r="C482" t="s">
        <v>42</v>
      </c>
      <c r="D482" s="2">
        <v>46055</v>
      </c>
      <c r="F482" s="2">
        <v>46968</v>
      </c>
      <c r="G482" s="2">
        <v>46968</v>
      </c>
      <c r="H482" s="1">
        <v>6470</v>
      </c>
      <c r="I482">
        <v>179.72</v>
      </c>
      <c r="J482" t="s">
        <v>878</v>
      </c>
      <c r="L482" t="s">
        <v>528</v>
      </c>
    </row>
    <row r="483" spans="1:12" x14ac:dyDescent="0.25">
      <c r="A483" t="s">
        <v>39</v>
      </c>
      <c r="B483" t="s">
        <v>1078</v>
      </c>
      <c r="C483" t="s">
        <v>14</v>
      </c>
      <c r="D483" s="2">
        <v>46119</v>
      </c>
      <c r="F483" s="2">
        <v>46966</v>
      </c>
      <c r="G483" s="2">
        <v>46972</v>
      </c>
      <c r="H483" s="1">
        <v>17830</v>
      </c>
      <c r="I483" s="27">
        <v>1981.11</v>
      </c>
      <c r="J483" t="s">
        <v>817</v>
      </c>
      <c r="L483" t="s">
        <v>528</v>
      </c>
    </row>
    <row r="484" spans="1:12" x14ac:dyDescent="0.25">
      <c r="A484" t="s">
        <v>4</v>
      </c>
      <c r="B484" t="s">
        <v>843</v>
      </c>
      <c r="C484" t="s">
        <v>45</v>
      </c>
      <c r="D484" s="2">
        <v>45947</v>
      </c>
      <c r="F484" s="2">
        <v>46972</v>
      </c>
      <c r="G484" s="2">
        <v>46972</v>
      </c>
      <c r="H484" s="1">
        <v>1700</v>
      </c>
      <c r="I484">
        <v>125.93</v>
      </c>
      <c r="J484" t="s">
        <v>878</v>
      </c>
    </row>
    <row r="485" spans="1:12" x14ac:dyDescent="0.25">
      <c r="A485" t="s">
        <v>3</v>
      </c>
      <c r="B485" t="s">
        <v>942</v>
      </c>
      <c r="C485" t="s">
        <v>24</v>
      </c>
      <c r="D485" s="2">
        <v>46092</v>
      </c>
      <c r="F485" s="2">
        <v>46972</v>
      </c>
      <c r="G485" s="2">
        <v>46987</v>
      </c>
      <c r="H485" s="1">
        <v>45190</v>
      </c>
      <c r="I485" s="27">
        <v>1673.7</v>
      </c>
      <c r="J485" t="s">
        <v>40</v>
      </c>
      <c r="L485" t="s">
        <v>528</v>
      </c>
    </row>
    <row r="486" spans="1:12" x14ac:dyDescent="0.25">
      <c r="A486" t="s">
        <v>39</v>
      </c>
      <c r="B486" t="s">
        <v>824</v>
      </c>
      <c r="C486" t="s">
        <v>14</v>
      </c>
      <c r="D486" s="2">
        <v>45887</v>
      </c>
      <c r="F486" s="2">
        <v>47025</v>
      </c>
      <c r="G486" s="2">
        <v>47025</v>
      </c>
      <c r="H486" s="1">
        <v>2000</v>
      </c>
      <c r="I486">
        <v>0</v>
      </c>
      <c r="J486" t="s">
        <v>40</v>
      </c>
      <c r="L486" t="s">
        <v>528</v>
      </c>
    </row>
    <row r="487" spans="1:12" x14ac:dyDescent="0.25">
      <c r="A487" t="s">
        <v>1304</v>
      </c>
      <c r="B487" t="s">
        <v>1375</v>
      </c>
      <c r="C487" t="s">
        <v>32</v>
      </c>
      <c r="D487" s="2">
        <v>46212</v>
      </c>
      <c r="F487" s="2">
        <v>47028</v>
      </c>
      <c r="G487" s="2">
        <v>47028</v>
      </c>
      <c r="H487">
        <v>671</v>
      </c>
      <c r="I487">
        <v>0</v>
      </c>
      <c r="J487" t="s">
        <v>878</v>
      </c>
    </row>
    <row r="488" spans="1:12" x14ac:dyDescent="0.25">
      <c r="A488" t="s">
        <v>33</v>
      </c>
      <c r="B488" t="s">
        <v>1347</v>
      </c>
      <c r="C488" t="s">
        <v>18</v>
      </c>
      <c r="D488" s="2">
        <v>45896</v>
      </c>
      <c r="F488" s="2">
        <v>47028</v>
      </c>
      <c r="G488" s="2">
        <v>47028</v>
      </c>
      <c r="H488" s="1">
        <v>3590</v>
      </c>
      <c r="I488">
        <v>132.96</v>
      </c>
      <c r="J488" t="s">
        <v>40</v>
      </c>
      <c r="L488" t="s">
        <v>528</v>
      </c>
    </row>
    <row r="489" spans="1:12" x14ac:dyDescent="0.25">
      <c r="A489" t="s">
        <v>816</v>
      </c>
      <c r="B489" t="s">
        <v>1227</v>
      </c>
      <c r="C489" t="s">
        <v>25</v>
      </c>
      <c r="D489" s="2">
        <v>46178</v>
      </c>
      <c r="F489" s="2">
        <v>47028</v>
      </c>
      <c r="G489" s="2">
        <v>47028</v>
      </c>
      <c r="H489" s="1">
        <v>5060</v>
      </c>
      <c r="I489">
        <v>0</v>
      </c>
      <c r="J489" t="s">
        <v>40</v>
      </c>
      <c r="L489" t="s">
        <v>528</v>
      </c>
    </row>
    <row r="490" spans="1:12" x14ac:dyDescent="0.25">
      <c r="A490" t="s">
        <v>61</v>
      </c>
      <c r="B490" t="s">
        <v>903</v>
      </c>
      <c r="C490" t="s">
        <v>18</v>
      </c>
      <c r="D490" s="2">
        <v>46008</v>
      </c>
      <c r="F490" s="2">
        <v>47028</v>
      </c>
      <c r="G490" s="2">
        <v>47029</v>
      </c>
      <c r="H490" s="1">
        <v>7265</v>
      </c>
      <c r="I490">
        <v>134.54</v>
      </c>
      <c r="J490" t="s">
        <v>40</v>
      </c>
    </row>
    <row r="491" spans="1:12" x14ac:dyDescent="0.25">
      <c r="A491" t="s">
        <v>1304</v>
      </c>
      <c r="B491" t="s">
        <v>1374</v>
      </c>
      <c r="C491" t="s">
        <v>32</v>
      </c>
      <c r="D491" s="2">
        <v>46212</v>
      </c>
      <c r="F491" s="2">
        <v>47029</v>
      </c>
      <c r="G491" s="2">
        <v>47029</v>
      </c>
      <c r="H491">
        <v>722</v>
      </c>
      <c r="I491">
        <v>0</v>
      </c>
      <c r="J491" t="s">
        <v>878</v>
      </c>
      <c r="L491" t="s">
        <v>528</v>
      </c>
    </row>
    <row r="492" spans="1:12" x14ac:dyDescent="0.25">
      <c r="A492" t="s">
        <v>39</v>
      </c>
      <c r="B492" t="s">
        <v>828</v>
      </c>
      <c r="C492" t="s">
        <v>14</v>
      </c>
      <c r="D492" s="2">
        <v>45887</v>
      </c>
      <c r="F492" s="2">
        <v>47028</v>
      </c>
      <c r="G492" s="2">
        <v>47030</v>
      </c>
      <c r="H492" s="1">
        <v>9545</v>
      </c>
      <c r="I492">
        <v>117.84</v>
      </c>
      <c r="J492" t="s">
        <v>40</v>
      </c>
      <c r="L492" t="s">
        <v>528</v>
      </c>
    </row>
    <row r="493" spans="1:12" x14ac:dyDescent="0.25">
      <c r="A493" t="s">
        <v>1304</v>
      </c>
      <c r="B493" t="s">
        <v>1373</v>
      </c>
      <c r="C493" t="s">
        <v>32</v>
      </c>
      <c r="D493" s="2">
        <v>46212</v>
      </c>
      <c r="F493" s="2">
        <v>47030</v>
      </c>
      <c r="G493" s="2">
        <v>47030</v>
      </c>
      <c r="H493" s="1">
        <v>16896</v>
      </c>
      <c r="I493">
        <v>0</v>
      </c>
      <c r="J493" t="s">
        <v>878</v>
      </c>
    </row>
    <row r="494" spans="1:12" x14ac:dyDescent="0.25">
      <c r="A494" t="s">
        <v>3</v>
      </c>
      <c r="B494" t="s">
        <v>848</v>
      </c>
      <c r="C494" t="s">
        <v>14</v>
      </c>
      <c r="D494" s="2">
        <v>45930</v>
      </c>
      <c r="F494" s="2">
        <v>47029</v>
      </c>
      <c r="G494" s="2">
        <v>47030</v>
      </c>
      <c r="H494" s="1">
        <v>6881</v>
      </c>
      <c r="I494">
        <v>143.34</v>
      </c>
      <c r="J494" t="s">
        <v>817</v>
      </c>
      <c r="L494" t="s">
        <v>528</v>
      </c>
    </row>
    <row r="495" spans="1:12" x14ac:dyDescent="0.25">
      <c r="A495" t="s">
        <v>92</v>
      </c>
      <c r="B495" t="s">
        <v>838</v>
      </c>
      <c r="C495" t="s">
        <v>23</v>
      </c>
      <c r="D495" s="2">
        <v>45915</v>
      </c>
      <c r="F495" s="2">
        <v>47028</v>
      </c>
      <c r="G495" s="2">
        <v>47030</v>
      </c>
      <c r="H495" s="1">
        <v>8200</v>
      </c>
      <c r="I495">
        <v>113.89</v>
      </c>
      <c r="J495" t="s">
        <v>40</v>
      </c>
      <c r="L495" t="s">
        <v>528</v>
      </c>
    </row>
    <row r="496" spans="1:12" x14ac:dyDescent="0.25">
      <c r="A496" t="s">
        <v>33</v>
      </c>
      <c r="B496" t="s">
        <v>871</v>
      </c>
      <c r="C496" t="s">
        <v>38</v>
      </c>
      <c r="D496" s="2">
        <v>45993</v>
      </c>
      <c r="F496" s="2">
        <v>47031</v>
      </c>
      <c r="G496" s="2">
        <v>47031</v>
      </c>
      <c r="H496" s="1">
        <v>2000</v>
      </c>
      <c r="I496">
        <v>74.069999999999993</v>
      </c>
      <c r="J496" t="s">
        <v>40</v>
      </c>
      <c r="L496" t="s">
        <v>528</v>
      </c>
    </row>
    <row r="497" spans="1:12" x14ac:dyDescent="0.25">
      <c r="A497" t="s">
        <v>816</v>
      </c>
      <c r="B497" t="s">
        <v>1226</v>
      </c>
      <c r="C497" t="s">
        <v>26</v>
      </c>
      <c r="D497" s="2">
        <v>46178</v>
      </c>
      <c r="F497" s="2">
        <v>47033</v>
      </c>
      <c r="G497" s="2">
        <v>47033</v>
      </c>
      <c r="H497" s="1">
        <v>5680</v>
      </c>
      <c r="I497">
        <v>0</v>
      </c>
      <c r="J497" t="s">
        <v>40</v>
      </c>
    </row>
    <row r="498" spans="1:12" x14ac:dyDescent="0.25">
      <c r="A498" t="s">
        <v>39</v>
      </c>
      <c r="B498" t="s">
        <v>1063</v>
      </c>
      <c r="C498" t="s">
        <v>14</v>
      </c>
      <c r="D498" s="2">
        <v>46105</v>
      </c>
      <c r="F498" s="2">
        <v>47035</v>
      </c>
      <c r="G498" s="2">
        <v>47035</v>
      </c>
      <c r="H498" s="1">
        <v>4383</v>
      </c>
      <c r="I498">
        <v>487.03</v>
      </c>
      <c r="J498" t="s">
        <v>817</v>
      </c>
      <c r="L498" t="s">
        <v>528</v>
      </c>
    </row>
    <row r="499" spans="1:12" x14ac:dyDescent="0.25">
      <c r="A499" t="s">
        <v>1304</v>
      </c>
      <c r="B499" t="s">
        <v>1372</v>
      </c>
      <c r="C499" t="s">
        <v>32</v>
      </c>
      <c r="D499" s="2">
        <v>46212</v>
      </c>
      <c r="F499" s="2">
        <v>47035</v>
      </c>
      <c r="G499" s="2">
        <v>47035</v>
      </c>
      <c r="H499" s="1">
        <v>1245</v>
      </c>
      <c r="I499">
        <v>155.63</v>
      </c>
      <c r="J499" t="s">
        <v>878</v>
      </c>
      <c r="L499" t="s">
        <v>528</v>
      </c>
    </row>
    <row r="500" spans="1:12" x14ac:dyDescent="0.25">
      <c r="A500" t="s">
        <v>1304</v>
      </c>
      <c r="B500" t="s">
        <v>1371</v>
      </c>
      <c r="C500" t="s">
        <v>32</v>
      </c>
      <c r="D500" s="2">
        <v>46212</v>
      </c>
      <c r="F500" s="2">
        <v>47035</v>
      </c>
      <c r="G500" s="2">
        <v>47035</v>
      </c>
      <c r="H500">
        <v>910</v>
      </c>
      <c r="I500">
        <v>151.66999999999999</v>
      </c>
      <c r="J500" t="s">
        <v>878</v>
      </c>
      <c r="L500" t="s">
        <v>528</v>
      </c>
    </row>
    <row r="501" spans="1:12" x14ac:dyDescent="0.25">
      <c r="A501" t="s">
        <v>39</v>
      </c>
      <c r="B501" t="s">
        <v>847</v>
      </c>
      <c r="C501" t="s">
        <v>14</v>
      </c>
      <c r="D501" s="2">
        <v>45943</v>
      </c>
      <c r="F501" s="2">
        <v>47031</v>
      </c>
      <c r="G501" s="2">
        <v>47036</v>
      </c>
      <c r="H501" s="1">
        <v>12760</v>
      </c>
      <c r="I501">
        <v>132.91999999999999</v>
      </c>
      <c r="J501" t="s">
        <v>817</v>
      </c>
      <c r="L501" t="s">
        <v>528</v>
      </c>
    </row>
    <row r="502" spans="1:12" x14ac:dyDescent="0.25">
      <c r="A502" t="s">
        <v>1304</v>
      </c>
      <c r="B502" t="s">
        <v>1370</v>
      </c>
      <c r="C502" t="s">
        <v>32</v>
      </c>
      <c r="D502" s="2">
        <v>46212</v>
      </c>
      <c r="F502" s="2">
        <v>47035</v>
      </c>
      <c r="G502" s="2">
        <v>47036</v>
      </c>
      <c r="H502" s="1">
        <v>5930</v>
      </c>
      <c r="I502">
        <v>123.54</v>
      </c>
      <c r="J502" t="s">
        <v>878</v>
      </c>
      <c r="L502" t="s">
        <v>528</v>
      </c>
    </row>
    <row r="503" spans="1:12" x14ac:dyDescent="0.25">
      <c r="A503" t="s">
        <v>816</v>
      </c>
      <c r="B503" t="s">
        <v>1303</v>
      </c>
      <c r="C503" t="s">
        <v>25</v>
      </c>
      <c r="D503" s="2">
        <v>46211</v>
      </c>
      <c r="F503" s="2">
        <v>47035</v>
      </c>
      <c r="G503" s="2">
        <v>47036</v>
      </c>
      <c r="H503" s="1">
        <v>6795</v>
      </c>
      <c r="I503">
        <v>755</v>
      </c>
      <c r="J503" t="s">
        <v>40</v>
      </c>
      <c r="L503" t="s">
        <v>528</v>
      </c>
    </row>
    <row r="504" spans="1:12" x14ac:dyDescent="0.25">
      <c r="A504" t="s">
        <v>92</v>
      </c>
      <c r="B504" t="s">
        <v>1136</v>
      </c>
      <c r="C504" t="s">
        <v>14</v>
      </c>
      <c r="D504" s="2">
        <v>46121</v>
      </c>
      <c r="F504" s="2">
        <v>47038</v>
      </c>
      <c r="G504" s="2">
        <v>47043</v>
      </c>
      <c r="H504" s="1">
        <v>13370</v>
      </c>
      <c r="I504" s="27">
        <v>1485.56</v>
      </c>
      <c r="J504" t="s">
        <v>817</v>
      </c>
    </row>
    <row r="505" spans="1:12" x14ac:dyDescent="0.25">
      <c r="A505" t="s">
        <v>39</v>
      </c>
      <c r="B505" t="s">
        <v>1077</v>
      </c>
      <c r="C505" t="s">
        <v>14</v>
      </c>
      <c r="D505" s="2">
        <v>46119</v>
      </c>
      <c r="F505" s="2">
        <v>47058</v>
      </c>
      <c r="G505" s="2">
        <v>47059</v>
      </c>
      <c r="H505" s="1">
        <v>5020</v>
      </c>
      <c r="I505">
        <v>185.93</v>
      </c>
      <c r="J505" t="s">
        <v>817</v>
      </c>
      <c r="L505" t="s">
        <v>528</v>
      </c>
    </row>
    <row r="506" spans="1:12" x14ac:dyDescent="0.25">
      <c r="A506" t="s">
        <v>3</v>
      </c>
      <c r="B506" t="s">
        <v>944</v>
      </c>
      <c r="C506" t="s">
        <v>24</v>
      </c>
      <c r="D506" s="2">
        <v>46092</v>
      </c>
      <c r="F506" s="2">
        <v>47120</v>
      </c>
      <c r="G506" s="2">
        <v>47120</v>
      </c>
      <c r="H506" s="1">
        <v>2500</v>
      </c>
      <c r="I506">
        <v>277.77999999999997</v>
      </c>
      <c r="J506" t="s">
        <v>40</v>
      </c>
      <c r="L506" t="s">
        <v>528</v>
      </c>
    </row>
    <row r="507" spans="1:12" x14ac:dyDescent="0.25">
      <c r="A507" t="s">
        <v>3</v>
      </c>
      <c r="B507" t="s">
        <v>928</v>
      </c>
      <c r="C507" t="s">
        <v>35</v>
      </c>
      <c r="D507" s="2">
        <v>46069</v>
      </c>
      <c r="F507" s="2">
        <v>47119</v>
      </c>
      <c r="G507" s="2">
        <v>47120</v>
      </c>
      <c r="H507" s="1">
        <v>6100</v>
      </c>
      <c r="I507">
        <v>677.78</v>
      </c>
      <c r="J507" t="s">
        <v>40</v>
      </c>
      <c r="K507" t="s">
        <v>528</v>
      </c>
      <c r="L507" t="s">
        <v>528</v>
      </c>
    </row>
    <row r="508" spans="1:12" x14ac:dyDescent="0.25">
      <c r="A508" t="s">
        <v>662</v>
      </c>
      <c r="B508" t="s">
        <v>1204</v>
      </c>
      <c r="C508" t="s">
        <v>49</v>
      </c>
      <c r="D508" s="2">
        <v>46164</v>
      </c>
      <c r="F508" s="2">
        <v>47119</v>
      </c>
      <c r="G508" s="2">
        <v>47122</v>
      </c>
      <c r="H508" s="1">
        <v>14239</v>
      </c>
      <c r="I508">
        <v>131.84</v>
      </c>
      <c r="J508" t="s">
        <v>878</v>
      </c>
      <c r="L508" t="s">
        <v>528</v>
      </c>
    </row>
    <row r="509" spans="1:12" x14ac:dyDescent="0.25">
      <c r="A509" t="s">
        <v>92</v>
      </c>
      <c r="B509" t="s">
        <v>922</v>
      </c>
      <c r="C509" t="s">
        <v>23</v>
      </c>
      <c r="D509" s="2">
        <v>46064</v>
      </c>
      <c r="F509" s="2">
        <v>47119</v>
      </c>
      <c r="G509" s="2">
        <v>47126</v>
      </c>
      <c r="H509" s="1">
        <v>21414</v>
      </c>
      <c r="I509">
        <v>793.11</v>
      </c>
      <c r="J509" t="s">
        <v>40</v>
      </c>
      <c r="L509" t="s">
        <v>528</v>
      </c>
    </row>
    <row r="510" spans="1:12" x14ac:dyDescent="0.25">
      <c r="A510" t="s">
        <v>92</v>
      </c>
      <c r="B510" t="s">
        <v>1009</v>
      </c>
      <c r="C510" t="s">
        <v>35</v>
      </c>
      <c r="D510" s="2">
        <v>46104</v>
      </c>
      <c r="F510" s="2">
        <v>47126</v>
      </c>
      <c r="G510" s="2">
        <v>47129</v>
      </c>
      <c r="H510" s="1">
        <v>15691</v>
      </c>
      <c r="I510" s="27">
        <v>1743.39</v>
      </c>
      <c r="J510" t="s">
        <v>40</v>
      </c>
      <c r="L510" t="s">
        <v>528</v>
      </c>
    </row>
    <row r="511" spans="1:12" x14ac:dyDescent="0.25">
      <c r="A511" t="s">
        <v>88</v>
      </c>
      <c r="B511" t="s">
        <v>1251</v>
      </c>
      <c r="C511" t="s">
        <v>14</v>
      </c>
      <c r="D511" s="2">
        <v>46196</v>
      </c>
      <c r="F511" s="2">
        <v>47210</v>
      </c>
      <c r="G511" s="2">
        <v>47210</v>
      </c>
      <c r="H511" s="1">
        <v>2830</v>
      </c>
      <c r="I511">
        <v>0</v>
      </c>
      <c r="J511" t="s">
        <v>40</v>
      </c>
    </row>
    <row r="512" spans="1:12" x14ac:dyDescent="0.25">
      <c r="A512" t="s">
        <v>820</v>
      </c>
      <c r="B512" t="s">
        <v>1099</v>
      </c>
      <c r="C512" t="s">
        <v>64</v>
      </c>
      <c r="D512" s="2">
        <v>46128</v>
      </c>
      <c r="F512" s="2">
        <v>47210</v>
      </c>
      <c r="G512" s="2">
        <v>47211</v>
      </c>
      <c r="H512" s="1">
        <v>7090</v>
      </c>
      <c r="I512">
        <v>131.30000000000001</v>
      </c>
      <c r="J512" t="s">
        <v>40</v>
      </c>
      <c r="L512" t="s">
        <v>528</v>
      </c>
    </row>
    <row r="513" spans="1:12" x14ac:dyDescent="0.25">
      <c r="A513" t="s">
        <v>33</v>
      </c>
      <c r="B513" t="s">
        <v>1140</v>
      </c>
      <c r="C513" t="s">
        <v>32</v>
      </c>
      <c r="D513" s="2">
        <v>46143</v>
      </c>
      <c r="F513" s="2">
        <v>47210</v>
      </c>
      <c r="G513" s="2">
        <v>47213</v>
      </c>
      <c r="H513" s="1">
        <v>13810</v>
      </c>
      <c r="I513">
        <v>127.87</v>
      </c>
      <c r="J513" t="s">
        <v>878</v>
      </c>
    </row>
    <row r="514" spans="1:12" x14ac:dyDescent="0.25">
      <c r="A514" t="s">
        <v>566</v>
      </c>
      <c r="B514" t="s">
        <v>1369</v>
      </c>
      <c r="C514" t="s">
        <v>24</v>
      </c>
      <c r="D514" s="2">
        <v>46226</v>
      </c>
      <c r="F514" s="2">
        <v>47213</v>
      </c>
      <c r="G514" s="2">
        <v>47219</v>
      </c>
      <c r="H514" s="1">
        <v>18930</v>
      </c>
      <c r="I514">
        <v>0</v>
      </c>
      <c r="J514" t="s">
        <v>40</v>
      </c>
      <c r="L514" t="s">
        <v>528</v>
      </c>
    </row>
    <row r="515" spans="1:12" x14ac:dyDescent="0.25">
      <c r="A515" t="s">
        <v>662</v>
      </c>
      <c r="B515" t="s">
        <v>1210</v>
      </c>
      <c r="C515" t="s">
        <v>49</v>
      </c>
      <c r="D515" s="2">
        <v>46164</v>
      </c>
      <c r="F515" s="2">
        <v>47240</v>
      </c>
      <c r="G515" s="2">
        <v>47240</v>
      </c>
      <c r="H515" s="1">
        <v>4782</v>
      </c>
      <c r="I515">
        <v>177.11</v>
      </c>
      <c r="J515" t="s">
        <v>878</v>
      </c>
      <c r="L515" t="s">
        <v>528</v>
      </c>
    </row>
    <row r="516" spans="1:12" x14ac:dyDescent="0.25">
      <c r="A516" t="s">
        <v>39</v>
      </c>
      <c r="B516" t="s">
        <v>1079</v>
      </c>
      <c r="C516" t="s">
        <v>14</v>
      </c>
      <c r="D516" s="2">
        <v>46119</v>
      </c>
      <c r="F516" s="2">
        <v>47331</v>
      </c>
      <c r="G516" s="2">
        <v>47331</v>
      </c>
      <c r="H516" s="1">
        <v>2535</v>
      </c>
      <c r="I516">
        <v>0</v>
      </c>
      <c r="J516" t="s">
        <v>817</v>
      </c>
      <c r="L516" t="s">
        <v>528</v>
      </c>
    </row>
    <row r="517" spans="1:12" x14ac:dyDescent="0.25">
      <c r="A517" t="s">
        <v>662</v>
      </c>
      <c r="B517" t="s">
        <v>1213</v>
      </c>
      <c r="C517" t="s">
        <v>49</v>
      </c>
      <c r="D517" s="2">
        <v>46164</v>
      </c>
      <c r="F517" s="2">
        <v>47331</v>
      </c>
      <c r="G517" s="2">
        <v>47331</v>
      </c>
      <c r="H517" s="1">
        <v>4666</v>
      </c>
      <c r="I517">
        <v>172.8</v>
      </c>
      <c r="J517" t="s">
        <v>878</v>
      </c>
      <c r="L517" t="s">
        <v>528</v>
      </c>
    </row>
    <row r="518" spans="1:12" x14ac:dyDescent="0.25">
      <c r="A518" t="s">
        <v>816</v>
      </c>
      <c r="B518" t="s">
        <v>1225</v>
      </c>
      <c r="C518" t="s">
        <v>25</v>
      </c>
      <c r="D518" s="2">
        <v>46178</v>
      </c>
      <c r="F518" s="2">
        <v>47392</v>
      </c>
      <c r="G518" s="2">
        <v>47392</v>
      </c>
      <c r="H518" s="1">
        <v>3950</v>
      </c>
      <c r="I518">
        <v>0</v>
      </c>
      <c r="J518" t="s">
        <v>40</v>
      </c>
      <c r="L518" t="s">
        <v>528</v>
      </c>
    </row>
    <row r="519" spans="1:12" x14ac:dyDescent="0.25">
      <c r="A519" t="s">
        <v>816</v>
      </c>
      <c r="B519" t="s">
        <v>1224</v>
      </c>
      <c r="C519" t="s">
        <v>26</v>
      </c>
      <c r="D519" s="2">
        <v>46178</v>
      </c>
      <c r="F519" s="2">
        <v>47397</v>
      </c>
      <c r="G519" s="2">
        <v>47397</v>
      </c>
      <c r="H519" s="1">
        <v>6455</v>
      </c>
      <c r="I519">
        <v>0</v>
      </c>
      <c r="J519" t="s">
        <v>40</v>
      </c>
    </row>
    <row r="520" spans="1:12" x14ac:dyDescent="0.25">
      <c r="A520" t="s">
        <v>39</v>
      </c>
      <c r="B520" t="s">
        <v>1080</v>
      </c>
      <c r="C520" t="s">
        <v>14</v>
      </c>
      <c r="D520" s="2">
        <v>46119</v>
      </c>
      <c r="F520" s="2">
        <v>47423</v>
      </c>
      <c r="G520" s="2">
        <v>47423</v>
      </c>
      <c r="H520" s="1">
        <v>3800</v>
      </c>
      <c r="I520">
        <v>0</v>
      </c>
      <c r="J520" t="s">
        <v>817</v>
      </c>
      <c r="L520" t="s">
        <v>528</v>
      </c>
    </row>
  </sheetData>
  <autoFilter ref="A1:L1" xr:uid="{737BBEF1-136E-4E3C-A723-11E20B199D64}">
    <sortState xmlns:xlrd2="http://schemas.microsoft.com/office/spreadsheetml/2017/richdata2" ref="A2:L521">
      <sortCondition ref="G1"/>
    </sortState>
  </autoFilter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FEAF-8D48-479E-9CED-C9C014DDA90C}">
  <sheetPr codeName="Sheet41"/>
  <dimension ref="A3:G13"/>
  <sheetViews>
    <sheetView workbookViewId="0">
      <selection activeCell="I18" sqref="I18"/>
    </sheetView>
  </sheetViews>
  <sheetFormatPr defaultRowHeight="15" x14ac:dyDescent="0.25"/>
  <cols>
    <col min="1" max="1" width="15.42578125" bestFit="1" customWidth="1"/>
    <col min="2" max="2" width="16.140625" bestFit="1" customWidth="1"/>
    <col min="3" max="5" width="7" bestFit="1" customWidth="1"/>
    <col min="6" max="6" width="8" bestFit="1" customWidth="1"/>
    <col min="7" max="9" width="11.140625" bestFit="1" customWidth="1"/>
  </cols>
  <sheetData>
    <row r="3" spans="1:7" x14ac:dyDescent="0.25">
      <c r="A3" s="3" t="s">
        <v>57</v>
      </c>
      <c r="B3" s="3" t="s">
        <v>58</v>
      </c>
    </row>
    <row r="4" spans="1:7" x14ac:dyDescent="0.25">
      <c r="A4" s="3" t="s">
        <v>393</v>
      </c>
      <c r="B4" t="s">
        <v>89</v>
      </c>
      <c r="C4" t="s">
        <v>40</v>
      </c>
      <c r="D4" t="s">
        <v>140</v>
      </c>
      <c r="E4" t="s">
        <v>605</v>
      </c>
      <c r="F4" t="s">
        <v>16</v>
      </c>
      <c r="G4" t="s">
        <v>394</v>
      </c>
    </row>
    <row r="5" spans="1:7" x14ac:dyDescent="0.25">
      <c r="A5" s="21" t="s">
        <v>305</v>
      </c>
      <c r="B5">
        <v>497646</v>
      </c>
      <c r="C5">
        <v>802420</v>
      </c>
      <c r="D5">
        <v>156938</v>
      </c>
      <c r="E5">
        <v>327647</v>
      </c>
      <c r="F5">
        <v>1857619</v>
      </c>
      <c r="G5">
        <v>3642270</v>
      </c>
    </row>
    <row r="6" spans="1:7" x14ac:dyDescent="0.25">
      <c r="A6" s="22" t="s">
        <v>52</v>
      </c>
      <c r="B6">
        <v>285867</v>
      </c>
      <c r="C6">
        <v>408252</v>
      </c>
      <c r="D6">
        <v>23908</v>
      </c>
      <c r="E6">
        <v>137490</v>
      </c>
      <c r="F6">
        <v>1041486</v>
      </c>
      <c r="G6">
        <v>1897003</v>
      </c>
    </row>
    <row r="7" spans="1:7" x14ac:dyDescent="0.25">
      <c r="A7" s="23" t="s">
        <v>73</v>
      </c>
      <c r="B7">
        <v>149600</v>
      </c>
      <c r="C7">
        <v>303120</v>
      </c>
      <c r="D7">
        <v>21213</v>
      </c>
      <c r="E7">
        <v>106643</v>
      </c>
      <c r="F7">
        <v>823156</v>
      </c>
      <c r="G7">
        <v>1403732</v>
      </c>
    </row>
    <row r="8" spans="1:7" x14ac:dyDescent="0.25">
      <c r="A8" s="23" t="s">
        <v>103</v>
      </c>
      <c r="B8">
        <v>136267</v>
      </c>
      <c r="C8">
        <v>105132</v>
      </c>
      <c r="D8">
        <v>2695</v>
      </c>
      <c r="E8">
        <v>30847</v>
      </c>
      <c r="F8">
        <v>218330</v>
      </c>
      <c r="G8">
        <v>493271</v>
      </c>
    </row>
    <row r="9" spans="1:7" x14ac:dyDescent="0.25">
      <c r="A9" s="22" t="s">
        <v>53</v>
      </c>
      <c r="B9">
        <v>211779</v>
      </c>
      <c r="C9">
        <v>394168</v>
      </c>
      <c r="D9">
        <v>133030</v>
      </c>
      <c r="E9">
        <v>190157</v>
      </c>
      <c r="F9">
        <v>816133</v>
      </c>
      <c r="G9">
        <v>1745267</v>
      </c>
    </row>
    <row r="10" spans="1:7" x14ac:dyDescent="0.25">
      <c r="A10" s="23" t="s">
        <v>74</v>
      </c>
      <c r="B10">
        <v>139798</v>
      </c>
      <c r="C10">
        <v>293904</v>
      </c>
      <c r="D10">
        <v>86435</v>
      </c>
      <c r="E10">
        <v>143517</v>
      </c>
      <c r="F10">
        <v>225809</v>
      </c>
      <c r="G10">
        <v>889463</v>
      </c>
    </row>
    <row r="11" spans="1:7" x14ac:dyDescent="0.25">
      <c r="A11" s="23" t="s">
        <v>75</v>
      </c>
      <c r="B11">
        <v>71981</v>
      </c>
      <c r="C11">
        <v>89758</v>
      </c>
      <c r="D11">
        <v>46595</v>
      </c>
      <c r="E11">
        <v>46640</v>
      </c>
      <c r="F11">
        <v>260904</v>
      </c>
      <c r="G11">
        <v>515878</v>
      </c>
    </row>
    <row r="12" spans="1:7" x14ac:dyDescent="0.25">
      <c r="A12" s="23" t="s">
        <v>123</v>
      </c>
      <c r="C12">
        <v>10506</v>
      </c>
      <c r="F12">
        <v>329420</v>
      </c>
      <c r="G12">
        <v>339926</v>
      </c>
    </row>
    <row r="13" spans="1:7" x14ac:dyDescent="0.25">
      <c r="A13" s="21" t="s">
        <v>394</v>
      </c>
      <c r="B13">
        <v>497646</v>
      </c>
      <c r="C13">
        <v>802420</v>
      </c>
      <c r="D13">
        <v>156938</v>
      </c>
      <c r="E13">
        <v>327647</v>
      </c>
      <c r="F13">
        <v>1857619</v>
      </c>
      <c r="G13">
        <v>3642270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453A-0E75-4BDE-B2EF-FFCF01E93A44}">
  <sheetPr codeName="Sheet42"/>
  <dimension ref="A1:L598"/>
  <sheetViews>
    <sheetView workbookViewId="0">
      <selection activeCell="I18" sqref="I18"/>
    </sheetView>
  </sheetViews>
  <sheetFormatPr defaultRowHeight="15" x14ac:dyDescent="0.25"/>
  <cols>
    <col min="1" max="1" width="39.42578125" bestFit="1" customWidth="1"/>
    <col min="7" max="7" width="10.85546875" bestFit="1" customWidth="1"/>
  </cols>
  <sheetData>
    <row r="1" spans="1:12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6</v>
      </c>
      <c r="G1" t="s">
        <v>7</v>
      </c>
      <c r="H1" t="s">
        <v>1</v>
      </c>
      <c r="I1" t="s">
        <v>12</v>
      </c>
      <c r="J1" t="s">
        <v>13</v>
      </c>
      <c r="K1" t="s">
        <v>526</v>
      </c>
      <c r="L1" t="s">
        <v>527</v>
      </c>
    </row>
    <row r="2" spans="1:12" x14ac:dyDescent="0.25">
      <c r="A2" t="s">
        <v>534</v>
      </c>
      <c r="B2" t="s">
        <v>558</v>
      </c>
      <c r="C2" t="s">
        <v>535</v>
      </c>
      <c r="D2" s="2">
        <v>45468</v>
      </c>
      <c r="E2" s="2">
        <v>45470</v>
      </c>
      <c r="F2" s="2">
        <v>45476</v>
      </c>
      <c r="G2" s="2">
        <v>45506</v>
      </c>
      <c r="H2" s="1">
        <v>7985</v>
      </c>
      <c r="I2">
        <v>117.43</v>
      </c>
      <c r="J2" t="s">
        <v>16</v>
      </c>
      <c r="K2" t="s">
        <v>528</v>
      </c>
    </row>
    <row r="3" spans="1:12" x14ac:dyDescent="0.25">
      <c r="A3" t="s">
        <v>534</v>
      </c>
      <c r="B3" t="s">
        <v>559</v>
      </c>
      <c r="C3" t="s">
        <v>535</v>
      </c>
      <c r="D3" s="2">
        <v>45463</v>
      </c>
      <c r="E3" s="2">
        <v>45470</v>
      </c>
      <c r="F3" s="2">
        <v>45478</v>
      </c>
      <c r="G3" s="2">
        <v>45506</v>
      </c>
      <c r="H3" s="1">
        <v>4950</v>
      </c>
      <c r="I3">
        <v>91.67</v>
      </c>
      <c r="J3" t="s">
        <v>16</v>
      </c>
    </row>
    <row r="4" spans="1:12" x14ac:dyDescent="0.25">
      <c r="A4" t="s">
        <v>534</v>
      </c>
      <c r="B4" t="s">
        <v>539</v>
      </c>
      <c r="C4" t="s">
        <v>535</v>
      </c>
      <c r="D4" s="2">
        <v>45468</v>
      </c>
      <c r="E4" s="2">
        <v>45470</v>
      </c>
      <c r="F4" s="2">
        <v>45483</v>
      </c>
      <c r="G4" s="2">
        <v>45506</v>
      </c>
      <c r="H4" s="1">
        <v>1990</v>
      </c>
      <c r="I4">
        <v>110.56</v>
      </c>
      <c r="J4" t="s">
        <v>16</v>
      </c>
      <c r="K4" t="s">
        <v>528</v>
      </c>
    </row>
    <row r="5" spans="1:12" x14ac:dyDescent="0.25">
      <c r="A5" t="s">
        <v>534</v>
      </c>
      <c r="B5" t="s">
        <v>610</v>
      </c>
      <c r="C5" t="s">
        <v>535</v>
      </c>
      <c r="D5" s="2">
        <v>45463</v>
      </c>
      <c r="E5" s="2">
        <v>45470</v>
      </c>
      <c r="F5" s="2">
        <v>45478</v>
      </c>
      <c r="G5" s="2">
        <v>45506</v>
      </c>
      <c r="H5" s="1">
        <v>6111</v>
      </c>
      <c r="I5">
        <v>57.11</v>
      </c>
      <c r="J5" t="s">
        <v>16</v>
      </c>
    </row>
    <row r="6" spans="1:12" x14ac:dyDescent="0.25">
      <c r="A6" t="s">
        <v>534</v>
      </c>
      <c r="B6" t="s">
        <v>543</v>
      </c>
      <c r="C6" t="s">
        <v>535</v>
      </c>
      <c r="D6" s="2">
        <v>45463</v>
      </c>
      <c r="E6" s="2">
        <v>45470</v>
      </c>
      <c r="F6" s="2">
        <v>45484</v>
      </c>
      <c r="G6" s="2">
        <v>45506</v>
      </c>
      <c r="H6" s="1">
        <v>3963</v>
      </c>
      <c r="I6">
        <v>67.180000000000007</v>
      </c>
      <c r="J6" t="s">
        <v>16</v>
      </c>
    </row>
    <row r="7" spans="1:12" x14ac:dyDescent="0.25">
      <c r="A7" t="s">
        <v>534</v>
      </c>
      <c r="B7" t="s">
        <v>542</v>
      </c>
      <c r="C7" t="s">
        <v>535</v>
      </c>
      <c r="D7" s="2">
        <v>45463</v>
      </c>
      <c r="E7" s="2">
        <v>45470</v>
      </c>
      <c r="F7" s="2">
        <v>45485</v>
      </c>
      <c r="G7" s="2">
        <v>45506</v>
      </c>
      <c r="H7" s="1">
        <v>4529</v>
      </c>
      <c r="I7">
        <v>52.06</v>
      </c>
      <c r="J7" t="s">
        <v>16</v>
      </c>
    </row>
    <row r="8" spans="1:12" x14ac:dyDescent="0.25">
      <c r="A8" t="s">
        <v>534</v>
      </c>
      <c r="B8" t="s">
        <v>731</v>
      </c>
      <c r="C8" t="s">
        <v>535</v>
      </c>
      <c r="D8" s="2">
        <v>45492</v>
      </c>
      <c r="E8" s="2">
        <v>45470</v>
      </c>
      <c r="F8" s="2">
        <v>45489</v>
      </c>
      <c r="G8" s="2">
        <v>45506</v>
      </c>
      <c r="H8" s="1">
        <v>11871</v>
      </c>
      <c r="I8">
        <v>68.78</v>
      </c>
      <c r="J8" t="s">
        <v>16</v>
      </c>
    </row>
    <row r="9" spans="1:12" x14ac:dyDescent="0.25">
      <c r="A9" t="s">
        <v>534</v>
      </c>
      <c r="B9" t="s">
        <v>537</v>
      </c>
      <c r="C9" t="s">
        <v>535</v>
      </c>
      <c r="D9" s="2">
        <v>45468</v>
      </c>
      <c r="E9" s="2">
        <v>45470</v>
      </c>
      <c r="F9" s="2">
        <v>45497</v>
      </c>
      <c r="G9" s="2">
        <v>45506</v>
      </c>
      <c r="H9">
        <v>595</v>
      </c>
      <c r="I9">
        <v>66.11</v>
      </c>
      <c r="J9" t="s">
        <v>16</v>
      </c>
      <c r="K9" t="s">
        <v>528</v>
      </c>
    </row>
    <row r="10" spans="1:12" x14ac:dyDescent="0.25">
      <c r="A10" t="s">
        <v>534</v>
      </c>
      <c r="B10" t="s">
        <v>612</v>
      </c>
      <c r="C10" t="s">
        <v>535</v>
      </c>
      <c r="D10" s="2">
        <v>45468</v>
      </c>
      <c r="E10" s="2">
        <v>45498</v>
      </c>
      <c r="F10" s="2">
        <v>45503</v>
      </c>
      <c r="G10" s="2">
        <v>45506</v>
      </c>
      <c r="H10" s="1">
        <v>1995</v>
      </c>
      <c r="I10">
        <v>107.84</v>
      </c>
      <c r="J10" t="s">
        <v>16</v>
      </c>
      <c r="K10" t="s">
        <v>528</v>
      </c>
    </row>
    <row r="11" spans="1:12" x14ac:dyDescent="0.25">
      <c r="A11" t="s">
        <v>534</v>
      </c>
      <c r="B11" t="s">
        <v>732</v>
      </c>
      <c r="C11" t="s">
        <v>535</v>
      </c>
      <c r="D11" s="2">
        <v>45492</v>
      </c>
      <c r="E11" s="2">
        <v>45495</v>
      </c>
      <c r="F11" s="2">
        <v>45497</v>
      </c>
      <c r="G11" s="2">
        <v>45506</v>
      </c>
      <c r="H11" s="1">
        <v>19790</v>
      </c>
      <c r="I11">
        <v>143.41</v>
      </c>
      <c r="J11" t="s">
        <v>16</v>
      </c>
      <c r="K11" t="s">
        <v>528</v>
      </c>
    </row>
    <row r="12" spans="1:12" x14ac:dyDescent="0.25">
      <c r="A12" t="s">
        <v>534</v>
      </c>
      <c r="B12" t="s">
        <v>680</v>
      </c>
      <c r="C12" t="s">
        <v>535</v>
      </c>
      <c r="D12" s="2">
        <v>45468</v>
      </c>
      <c r="E12" s="2">
        <v>45498</v>
      </c>
      <c r="F12" s="2">
        <v>45502</v>
      </c>
      <c r="G12" s="2">
        <v>45506</v>
      </c>
      <c r="H12" s="1">
        <v>3590</v>
      </c>
      <c r="I12">
        <v>112.19</v>
      </c>
      <c r="J12" t="s">
        <v>16</v>
      </c>
      <c r="K12" t="s">
        <v>528</v>
      </c>
    </row>
    <row r="13" spans="1:12" x14ac:dyDescent="0.25">
      <c r="A13" t="s">
        <v>534</v>
      </c>
      <c r="B13" t="s">
        <v>685</v>
      </c>
      <c r="C13" t="s">
        <v>535</v>
      </c>
      <c r="D13" s="2">
        <v>45463</v>
      </c>
      <c r="F13" s="2">
        <v>45505</v>
      </c>
      <c r="G13" s="2">
        <v>45506</v>
      </c>
      <c r="H13" s="1">
        <v>2805</v>
      </c>
      <c r="I13">
        <v>77.91</v>
      </c>
      <c r="J13" t="s">
        <v>16</v>
      </c>
    </row>
    <row r="14" spans="1:12" x14ac:dyDescent="0.25">
      <c r="A14" t="s">
        <v>534</v>
      </c>
      <c r="B14" t="s">
        <v>686</v>
      </c>
      <c r="C14" t="s">
        <v>535</v>
      </c>
      <c r="D14" s="2">
        <v>45506</v>
      </c>
      <c r="E14" s="2">
        <v>45498</v>
      </c>
      <c r="F14" s="2">
        <v>45503</v>
      </c>
      <c r="G14" s="2">
        <v>45506</v>
      </c>
      <c r="H14" s="1">
        <v>5968</v>
      </c>
      <c r="I14">
        <v>55.01</v>
      </c>
      <c r="J14" t="s">
        <v>16</v>
      </c>
    </row>
    <row r="15" spans="1:12" x14ac:dyDescent="0.25">
      <c r="A15" t="s">
        <v>534</v>
      </c>
      <c r="B15" t="s">
        <v>687</v>
      </c>
      <c r="C15" t="s">
        <v>535</v>
      </c>
      <c r="D15" s="2">
        <v>45463</v>
      </c>
      <c r="F15" s="2">
        <v>45503</v>
      </c>
      <c r="G15" s="2">
        <v>45507</v>
      </c>
      <c r="H15" s="1">
        <v>15887</v>
      </c>
      <c r="I15">
        <v>84.06</v>
      </c>
      <c r="J15" t="s">
        <v>16</v>
      </c>
    </row>
    <row r="16" spans="1:12" x14ac:dyDescent="0.25">
      <c r="A16" t="s">
        <v>534</v>
      </c>
      <c r="B16" t="s">
        <v>536</v>
      </c>
      <c r="C16" t="s">
        <v>535</v>
      </c>
      <c r="D16" s="2">
        <v>45463</v>
      </c>
      <c r="E16" s="2">
        <v>45470</v>
      </c>
      <c r="F16" s="2">
        <v>45479</v>
      </c>
      <c r="G16" s="2">
        <v>45507</v>
      </c>
      <c r="H16" s="1">
        <v>20909</v>
      </c>
      <c r="I16">
        <v>71</v>
      </c>
      <c r="J16" t="s">
        <v>16</v>
      </c>
    </row>
    <row r="17" spans="1:12" x14ac:dyDescent="0.25">
      <c r="A17" t="s">
        <v>106</v>
      </c>
      <c r="B17" t="s">
        <v>221</v>
      </c>
      <c r="C17" t="s">
        <v>35</v>
      </c>
      <c r="D17" s="2">
        <v>45377</v>
      </c>
      <c r="E17" s="2">
        <v>45503</v>
      </c>
      <c r="F17" s="2">
        <v>45509</v>
      </c>
      <c r="G17" s="2">
        <v>45509</v>
      </c>
      <c r="H17" s="1">
        <v>4435</v>
      </c>
      <c r="I17">
        <v>123.19</v>
      </c>
      <c r="J17" t="s">
        <v>16</v>
      </c>
    </row>
    <row r="18" spans="1:12" x14ac:dyDescent="0.25">
      <c r="A18" t="s">
        <v>634</v>
      </c>
      <c r="B18" t="s">
        <v>684</v>
      </c>
      <c r="C18" t="s">
        <v>17</v>
      </c>
      <c r="D18" s="2">
        <v>45495</v>
      </c>
      <c r="E18" s="2">
        <v>45495</v>
      </c>
      <c r="F18" s="2">
        <v>45510</v>
      </c>
      <c r="G18" s="2">
        <v>45510</v>
      </c>
      <c r="H18" s="1">
        <v>2995</v>
      </c>
      <c r="I18">
        <v>110.93</v>
      </c>
      <c r="J18" t="s">
        <v>89</v>
      </c>
      <c r="K18" t="s">
        <v>528</v>
      </c>
      <c r="L18" t="s">
        <v>528</v>
      </c>
    </row>
    <row r="19" spans="1:12" x14ac:dyDescent="0.25">
      <c r="A19" t="s">
        <v>29</v>
      </c>
      <c r="B19" t="s">
        <v>689</v>
      </c>
      <c r="C19" t="s">
        <v>18</v>
      </c>
      <c r="D19" s="2">
        <v>45387</v>
      </c>
      <c r="E19" s="2">
        <v>45503</v>
      </c>
      <c r="F19" s="2">
        <v>45510</v>
      </c>
      <c r="G19" s="2">
        <v>45510</v>
      </c>
      <c r="H19" s="1">
        <v>2137</v>
      </c>
      <c r="I19">
        <v>115.5</v>
      </c>
      <c r="J19" t="s">
        <v>40</v>
      </c>
      <c r="L19" t="s">
        <v>528</v>
      </c>
    </row>
    <row r="20" spans="1:12" x14ac:dyDescent="0.25">
      <c r="A20" t="s">
        <v>29</v>
      </c>
      <c r="B20" t="s">
        <v>765</v>
      </c>
      <c r="C20" t="s">
        <v>25</v>
      </c>
      <c r="D20" s="2">
        <v>45471</v>
      </c>
      <c r="E20" s="2">
        <v>45503</v>
      </c>
      <c r="F20" s="2">
        <v>45510</v>
      </c>
      <c r="G20" s="2">
        <v>45510</v>
      </c>
      <c r="H20">
        <v>495</v>
      </c>
      <c r="I20">
        <v>123.75</v>
      </c>
      <c r="J20" t="s">
        <v>40</v>
      </c>
      <c r="K20" t="s">
        <v>528</v>
      </c>
      <c r="L20" t="s">
        <v>528</v>
      </c>
    </row>
    <row r="21" spans="1:12" x14ac:dyDescent="0.25">
      <c r="A21" t="s">
        <v>3</v>
      </c>
      <c r="B21" t="s">
        <v>677</v>
      </c>
      <c r="C21" t="s">
        <v>42</v>
      </c>
      <c r="D21" s="2">
        <v>45498</v>
      </c>
      <c r="E21" s="2">
        <v>45498</v>
      </c>
      <c r="F21" s="2">
        <v>45502</v>
      </c>
      <c r="G21" s="2">
        <v>45511</v>
      </c>
      <c r="H21" s="1">
        <v>2220</v>
      </c>
      <c r="I21">
        <v>113.24</v>
      </c>
      <c r="J21" t="s">
        <v>89</v>
      </c>
      <c r="K21" t="s">
        <v>528</v>
      </c>
      <c r="L21" t="s">
        <v>528</v>
      </c>
    </row>
    <row r="22" spans="1:12" x14ac:dyDescent="0.25">
      <c r="A22" t="s">
        <v>534</v>
      </c>
      <c r="B22" t="s">
        <v>541</v>
      </c>
      <c r="C22" t="s">
        <v>535</v>
      </c>
      <c r="D22" s="2">
        <v>45463</v>
      </c>
      <c r="E22" s="2">
        <v>45470</v>
      </c>
      <c r="F22" s="2">
        <v>45484</v>
      </c>
      <c r="G22" s="2">
        <v>45511</v>
      </c>
      <c r="H22" s="1">
        <v>2241</v>
      </c>
      <c r="I22">
        <v>39.32</v>
      </c>
      <c r="J22" t="s">
        <v>16</v>
      </c>
    </row>
    <row r="23" spans="1:12" x14ac:dyDescent="0.25">
      <c r="A23" t="s">
        <v>534</v>
      </c>
      <c r="B23" t="s">
        <v>733</v>
      </c>
      <c r="C23" t="s">
        <v>535</v>
      </c>
      <c r="D23" s="2">
        <v>45492</v>
      </c>
      <c r="E23" s="2">
        <v>45495</v>
      </c>
      <c r="F23" s="2">
        <v>45498</v>
      </c>
      <c r="G23" s="2">
        <v>45511</v>
      </c>
      <c r="H23" s="1">
        <v>30251</v>
      </c>
      <c r="I23">
        <v>141.36000000000001</v>
      </c>
      <c r="J23" t="s">
        <v>16</v>
      </c>
    </row>
    <row r="24" spans="1:12" x14ac:dyDescent="0.25">
      <c r="A24" t="s">
        <v>534</v>
      </c>
      <c r="B24" t="s">
        <v>753</v>
      </c>
      <c r="C24" t="s">
        <v>535</v>
      </c>
      <c r="D24" s="2">
        <v>45463</v>
      </c>
      <c r="F24" s="2">
        <v>45506</v>
      </c>
      <c r="G24" s="2">
        <v>45511</v>
      </c>
      <c r="H24">
        <v>969</v>
      </c>
      <c r="I24">
        <v>32.31</v>
      </c>
      <c r="J24" t="s">
        <v>16</v>
      </c>
    </row>
    <row r="25" spans="1:12" x14ac:dyDescent="0.25">
      <c r="A25" t="s">
        <v>534</v>
      </c>
      <c r="B25" t="s">
        <v>754</v>
      </c>
      <c r="C25" t="s">
        <v>614</v>
      </c>
      <c r="D25" s="2">
        <v>45463</v>
      </c>
      <c r="F25" s="2">
        <v>45507</v>
      </c>
      <c r="G25" s="2">
        <v>45511</v>
      </c>
      <c r="H25" s="1">
        <v>2190</v>
      </c>
      <c r="I25">
        <v>50.93</v>
      </c>
      <c r="J25" t="s">
        <v>16</v>
      </c>
    </row>
    <row r="26" spans="1:12" x14ac:dyDescent="0.25">
      <c r="A26" t="s">
        <v>87</v>
      </c>
      <c r="B26" t="s">
        <v>639</v>
      </c>
      <c r="C26" t="s">
        <v>26</v>
      </c>
      <c r="D26" s="2">
        <v>45496</v>
      </c>
      <c r="E26" s="2">
        <v>45505</v>
      </c>
      <c r="F26" s="2">
        <v>45503</v>
      </c>
      <c r="G26" s="2">
        <v>45511</v>
      </c>
      <c r="H26" s="1">
        <v>7400</v>
      </c>
      <c r="I26">
        <v>43.4</v>
      </c>
      <c r="J26" t="s">
        <v>16</v>
      </c>
      <c r="L26" t="s">
        <v>528</v>
      </c>
    </row>
    <row r="27" spans="1:12" x14ac:dyDescent="0.25">
      <c r="A27" t="s">
        <v>3</v>
      </c>
      <c r="B27" t="s">
        <v>179</v>
      </c>
      <c r="C27" t="s">
        <v>20</v>
      </c>
      <c r="D27" s="2">
        <v>45384</v>
      </c>
      <c r="E27" s="2">
        <v>45379</v>
      </c>
      <c r="F27" s="2">
        <v>45511</v>
      </c>
      <c r="G27" s="2">
        <v>45511</v>
      </c>
      <c r="H27" s="1">
        <v>1990</v>
      </c>
      <c r="I27">
        <v>87.47</v>
      </c>
      <c r="J27" t="s">
        <v>16</v>
      </c>
      <c r="K27" t="s">
        <v>528</v>
      </c>
      <c r="L27" t="s">
        <v>528</v>
      </c>
    </row>
    <row r="28" spans="1:12" x14ac:dyDescent="0.25">
      <c r="A28" t="s">
        <v>3</v>
      </c>
      <c r="B28" t="s">
        <v>420</v>
      </c>
      <c r="C28" t="s">
        <v>34</v>
      </c>
      <c r="D28" s="2">
        <v>45429</v>
      </c>
      <c r="E28" s="2">
        <v>45495</v>
      </c>
      <c r="F28" s="2">
        <v>45506</v>
      </c>
      <c r="G28" s="2">
        <v>45511</v>
      </c>
      <c r="H28" s="1">
        <v>7465</v>
      </c>
      <c r="I28">
        <v>119.92</v>
      </c>
      <c r="J28" t="s">
        <v>605</v>
      </c>
      <c r="L28" t="s">
        <v>528</v>
      </c>
    </row>
    <row r="29" spans="1:12" x14ac:dyDescent="0.25">
      <c r="A29" t="s">
        <v>88</v>
      </c>
      <c r="B29" t="s">
        <v>749</v>
      </c>
      <c r="C29" t="s">
        <v>32</v>
      </c>
      <c r="D29" s="2">
        <v>45490</v>
      </c>
      <c r="E29" s="2">
        <v>45511</v>
      </c>
      <c r="F29" s="2">
        <v>45512</v>
      </c>
      <c r="G29" s="2">
        <v>45512</v>
      </c>
      <c r="H29">
        <v>390</v>
      </c>
      <c r="I29">
        <v>0</v>
      </c>
      <c r="J29" t="s">
        <v>89</v>
      </c>
    </row>
    <row r="30" spans="1:12" x14ac:dyDescent="0.25">
      <c r="A30" t="s">
        <v>92</v>
      </c>
      <c r="B30" t="s">
        <v>466</v>
      </c>
      <c r="C30" t="s">
        <v>23</v>
      </c>
      <c r="D30" s="2">
        <v>45447</v>
      </c>
      <c r="E30" s="2">
        <v>45503</v>
      </c>
      <c r="F30" s="2">
        <v>45509</v>
      </c>
      <c r="G30" s="2">
        <v>45512</v>
      </c>
      <c r="H30" s="1">
        <v>12426</v>
      </c>
      <c r="I30">
        <v>113.48</v>
      </c>
      <c r="J30" t="s">
        <v>40</v>
      </c>
      <c r="L30" t="s">
        <v>528</v>
      </c>
    </row>
    <row r="31" spans="1:12" x14ac:dyDescent="0.25">
      <c r="A31" t="s">
        <v>5</v>
      </c>
      <c r="B31" t="s">
        <v>666</v>
      </c>
      <c r="C31" t="s">
        <v>25</v>
      </c>
      <c r="D31" s="2">
        <v>45405</v>
      </c>
      <c r="E31" s="2">
        <v>45503</v>
      </c>
      <c r="F31" s="2">
        <v>45512</v>
      </c>
      <c r="G31" s="2">
        <v>45512</v>
      </c>
      <c r="H31" s="1">
        <v>2500</v>
      </c>
      <c r="I31">
        <v>119.05</v>
      </c>
      <c r="J31" t="s">
        <v>40</v>
      </c>
      <c r="K31" t="s">
        <v>528</v>
      </c>
      <c r="L31" t="s">
        <v>528</v>
      </c>
    </row>
    <row r="32" spans="1:12" x14ac:dyDescent="0.25">
      <c r="A32" t="s">
        <v>534</v>
      </c>
      <c r="B32" t="s">
        <v>723</v>
      </c>
      <c r="C32" t="s">
        <v>535</v>
      </c>
      <c r="D32" s="2">
        <v>45492</v>
      </c>
      <c r="E32" s="2">
        <v>45470</v>
      </c>
      <c r="F32" s="2">
        <v>45491</v>
      </c>
      <c r="G32" s="2">
        <v>45512</v>
      </c>
      <c r="H32" s="1">
        <v>8496</v>
      </c>
      <c r="I32">
        <v>46.55</v>
      </c>
      <c r="J32" t="s">
        <v>16</v>
      </c>
    </row>
    <row r="33" spans="1:12" x14ac:dyDescent="0.25">
      <c r="A33" t="s">
        <v>534</v>
      </c>
      <c r="B33" t="s">
        <v>724</v>
      </c>
      <c r="C33" t="s">
        <v>535</v>
      </c>
      <c r="D33" s="2">
        <v>45506</v>
      </c>
      <c r="F33" s="2">
        <v>45510</v>
      </c>
      <c r="G33" s="2">
        <v>45512</v>
      </c>
      <c r="H33" s="1">
        <v>10658</v>
      </c>
      <c r="I33">
        <v>131.57</v>
      </c>
      <c r="J33" t="s">
        <v>16</v>
      </c>
    </row>
    <row r="34" spans="1:12" x14ac:dyDescent="0.25">
      <c r="A34" t="s">
        <v>111</v>
      </c>
      <c r="B34" t="s">
        <v>491</v>
      </c>
      <c r="C34" t="s">
        <v>14</v>
      </c>
      <c r="D34" s="2">
        <v>45432</v>
      </c>
      <c r="E34" s="2">
        <v>45471</v>
      </c>
      <c r="F34" s="2">
        <v>45503</v>
      </c>
      <c r="G34" s="2">
        <v>45512</v>
      </c>
      <c r="H34" s="1">
        <v>11850</v>
      </c>
      <c r="I34">
        <v>78.48</v>
      </c>
      <c r="J34" t="s">
        <v>16</v>
      </c>
    </row>
    <row r="35" spans="1:12" x14ac:dyDescent="0.25">
      <c r="A35" t="s">
        <v>111</v>
      </c>
      <c r="B35" t="s">
        <v>486</v>
      </c>
      <c r="C35" t="s">
        <v>14</v>
      </c>
      <c r="D35" s="2">
        <v>45432</v>
      </c>
      <c r="E35" s="2">
        <v>45476</v>
      </c>
      <c r="F35" s="2">
        <v>45512</v>
      </c>
      <c r="G35" s="2">
        <v>45512</v>
      </c>
      <c r="H35">
        <v>960</v>
      </c>
      <c r="I35">
        <v>120</v>
      </c>
      <c r="J35" t="s">
        <v>16</v>
      </c>
    </row>
    <row r="36" spans="1:12" x14ac:dyDescent="0.25">
      <c r="A36" t="s">
        <v>87</v>
      </c>
      <c r="B36" t="s">
        <v>638</v>
      </c>
      <c r="C36" t="s">
        <v>26</v>
      </c>
      <c r="D36" s="2">
        <v>45496</v>
      </c>
      <c r="E36" s="2">
        <v>45503</v>
      </c>
      <c r="F36" s="2">
        <v>45503</v>
      </c>
      <c r="G36" s="2">
        <v>45512</v>
      </c>
      <c r="H36" s="1">
        <v>18400</v>
      </c>
      <c r="I36">
        <v>153.97</v>
      </c>
      <c r="J36" t="s">
        <v>16</v>
      </c>
      <c r="L36" t="s">
        <v>528</v>
      </c>
    </row>
    <row r="37" spans="1:12" x14ac:dyDescent="0.25">
      <c r="A37" t="s">
        <v>87</v>
      </c>
      <c r="B37" t="s">
        <v>641</v>
      </c>
      <c r="C37" t="s">
        <v>26</v>
      </c>
      <c r="D37" s="2">
        <v>45495</v>
      </c>
      <c r="E37" s="2">
        <v>45505</v>
      </c>
      <c r="F37" s="2">
        <v>45504</v>
      </c>
      <c r="G37" s="2">
        <v>45512</v>
      </c>
      <c r="H37" s="1">
        <v>9620</v>
      </c>
      <c r="I37">
        <v>73.72</v>
      </c>
      <c r="J37" t="s">
        <v>16</v>
      </c>
      <c r="L37" t="s">
        <v>528</v>
      </c>
    </row>
    <row r="38" spans="1:12" x14ac:dyDescent="0.25">
      <c r="A38" t="s">
        <v>3</v>
      </c>
      <c r="B38" t="s">
        <v>170</v>
      </c>
      <c r="C38" t="s">
        <v>97</v>
      </c>
      <c r="D38" s="2">
        <v>45320</v>
      </c>
      <c r="E38" s="2">
        <v>45495</v>
      </c>
      <c r="F38" s="2">
        <v>45513</v>
      </c>
      <c r="G38" s="2">
        <v>45513</v>
      </c>
      <c r="H38" s="1">
        <v>2280</v>
      </c>
      <c r="I38">
        <v>126.67</v>
      </c>
      <c r="J38" t="s">
        <v>605</v>
      </c>
    </row>
    <row r="39" spans="1:12" x14ac:dyDescent="0.25">
      <c r="A39" t="s">
        <v>30</v>
      </c>
      <c r="B39" t="s">
        <v>364</v>
      </c>
      <c r="C39" t="s">
        <v>25</v>
      </c>
      <c r="D39" s="2">
        <v>45407</v>
      </c>
      <c r="E39" s="2">
        <v>45443</v>
      </c>
      <c r="F39" s="2">
        <v>45411</v>
      </c>
      <c r="G39" s="2">
        <v>45513</v>
      </c>
      <c r="H39" s="1">
        <v>214896</v>
      </c>
      <c r="I39">
        <v>184.14</v>
      </c>
      <c r="J39" t="s">
        <v>16</v>
      </c>
      <c r="L39" t="s">
        <v>528</v>
      </c>
    </row>
    <row r="40" spans="1:12" x14ac:dyDescent="0.25">
      <c r="A40" t="s">
        <v>3</v>
      </c>
      <c r="B40" t="s">
        <v>760</v>
      </c>
      <c r="C40" t="s">
        <v>20</v>
      </c>
      <c r="D40" s="2">
        <v>45334</v>
      </c>
      <c r="E40" s="2">
        <v>45505</v>
      </c>
      <c r="F40" s="2">
        <v>45510</v>
      </c>
      <c r="G40" s="2">
        <v>45513</v>
      </c>
      <c r="H40" s="1">
        <v>15680</v>
      </c>
      <c r="I40">
        <v>115.51</v>
      </c>
      <c r="J40" t="s">
        <v>16</v>
      </c>
      <c r="L40" t="s">
        <v>528</v>
      </c>
    </row>
    <row r="41" spans="1:12" x14ac:dyDescent="0.25">
      <c r="A41" t="s">
        <v>533</v>
      </c>
      <c r="B41" t="s">
        <v>538</v>
      </c>
      <c r="C41" t="s">
        <v>32</v>
      </c>
      <c r="D41" s="2">
        <v>45463</v>
      </c>
      <c r="E41" s="2">
        <v>45474</v>
      </c>
      <c r="F41" s="2">
        <v>45514</v>
      </c>
      <c r="G41" s="2">
        <v>45514</v>
      </c>
      <c r="H41" s="1">
        <v>5991</v>
      </c>
      <c r="I41">
        <v>110.94</v>
      </c>
      <c r="J41" t="s">
        <v>89</v>
      </c>
    </row>
    <row r="42" spans="1:12" x14ac:dyDescent="0.25">
      <c r="A42" t="s">
        <v>534</v>
      </c>
      <c r="B42" t="s">
        <v>613</v>
      </c>
      <c r="C42" t="s">
        <v>535</v>
      </c>
      <c r="D42" s="2">
        <v>45463</v>
      </c>
      <c r="E42" s="2">
        <v>45498</v>
      </c>
      <c r="F42" s="2">
        <v>45513</v>
      </c>
      <c r="G42" s="2">
        <v>45514</v>
      </c>
      <c r="H42" s="1">
        <v>2760</v>
      </c>
      <c r="I42">
        <v>51.11</v>
      </c>
      <c r="J42" t="s">
        <v>16</v>
      </c>
    </row>
    <row r="43" spans="1:12" x14ac:dyDescent="0.25">
      <c r="A43" t="s">
        <v>93</v>
      </c>
      <c r="B43" t="s">
        <v>716</v>
      </c>
      <c r="C43" t="s">
        <v>14</v>
      </c>
      <c r="D43" s="2">
        <v>45497</v>
      </c>
      <c r="F43" s="2">
        <v>45514</v>
      </c>
      <c r="G43" s="2">
        <v>45514</v>
      </c>
      <c r="H43">
        <v>265</v>
      </c>
      <c r="I43">
        <v>3.27</v>
      </c>
      <c r="J43" t="s">
        <v>16</v>
      </c>
      <c r="K43" t="s">
        <v>528</v>
      </c>
      <c r="L43" t="s">
        <v>528</v>
      </c>
    </row>
    <row r="44" spans="1:12" x14ac:dyDescent="0.25">
      <c r="A44" t="s">
        <v>467</v>
      </c>
      <c r="B44" t="s">
        <v>469</v>
      </c>
      <c r="C44" t="s">
        <v>17</v>
      </c>
      <c r="D44" s="2">
        <v>45448</v>
      </c>
      <c r="E44" s="2">
        <v>45495</v>
      </c>
      <c r="F44" s="2">
        <v>45511</v>
      </c>
      <c r="G44" s="2">
        <v>45516</v>
      </c>
      <c r="H44" s="1">
        <v>9581</v>
      </c>
      <c r="I44">
        <v>129.47</v>
      </c>
      <c r="J44" t="s">
        <v>89</v>
      </c>
      <c r="L44" t="s">
        <v>528</v>
      </c>
    </row>
    <row r="45" spans="1:12" x14ac:dyDescent="0.25">
      <c r="A45" t="s">
        <v>662</v>
      </c>
      <c r="B45" t="s">
        <v>668</v>
      </c>
      <c r="C45" t="s">
        <v>64</v>
      </c>
      <c r="D45" s="2">
        <v>45497</v>
      </c>
      <c r="E45" s="2">
        <v>45499</v>
      </c>
      <c r="F45" s="2">
        <v>45516</v>
      </c>
      <c r="G45" s="2">
        <v>45516</v>
      </c>
      <c r="H45" s="1">
        <v>1785</v>
      </c>
      <c r="I45">
        <v>119</v>
      </c>
      <c r="J45" t="s">
        <v>40</v>
      </c>
      <c r="K45" t="s">
        <v>528</v>
      </c>
      <c r="L45" t="s">
        <v>528</v>
      </c>
    </row>
    <row r="46" spans="1:12" x14ac:dyDescent="0.25">
      <c r="A46" t="s">
        <v>39</v>
      </c>
      <c r="B46" t="s">
        <v>513</v>
      </c>
      <c r="C46" t="s">
        <v>14</v>
      </c>
      <c r="D46" s="2">
        <v>45436</v>
      </c>
      <c r="E46" s="2">
        <v>45448</v>
      </c>
      <c r="F46" s="2">
        <v>45516</v>
      </c>
      <c r="G46" s="2">
        <v>45516</v>
      </c>
      <c r="H46" s="1">
        <v>6908</v>
      </c>
      <c r="I46">
        <v>812.71</v>
      </c>
      <c r="J46" t="s">
        <v>605</v>
      </c>
      <c r="L46" t="s">
        <v>528</v>
      </c>
    </row>
    <row r="47" spans="1:12" x14ac:dyDescent="0.25">
      <c r="A47" t="s">
        <v>111</v>
      </c>
      <c r="B47" t="s">
        <v>492</v>
      </c>
      <c r="C47" t="s">
        <v>14</v>
      </c>
      <c r="D47" s="2">
        <v>45432</v>
      </c>
      <c r="E47" s="2">
        <v>45510</v>
      </c>
      <c r="F47" s="2">
        <v>45513</v>
      </c>
      <c r="G47" s="2">
        <v>45516</v>
      </c>
      <c r="H47" s="1">
        <v>3120</v>
      </c>
      <c r="I47">
        <v>48.75</v>
      </c>
      <c r="J47" t="s">
        <v>16</v>
      </c>
    </row>
    <row r="48" spans="1:12" x14ac:dyDescent="0.25">
      <c r="A48" t="s">
        <v>29</v>
      </c>
      <c r="B48" t="s">
        <v>759</v>
      </c>
      <c r="C48" t="s">
        <v>18</v>
      </c>
      <c r="D48" s="2">
        <v>45387</v>
      </c>
      <c r="E48" s="2">
        <v>45503</v>
      </c>
      <c r="F48" s="2">
        <v>45510</v>
      </c>
      <c r="G48" s="2">
        <v>45517</v>
      </c>
      <c r="H48" s="1">
        <v>15482</v>
      </c>
      <c r="I48">
        <v>101.86</v>
      </c>
      <c r="J48" t="s">
        <v>40</v>
      </c>
      <c r="L48" t="s">
        <v>528</v>
      </c>
    </row>
    <row r="49" spans="1:12" x14ac:dyDescent="0.25">
      <c r="A49" t="s">
        <v>662</v>
      </c>
      <c r="B49" t="s">
        <v>758</v>
      </c>
      <c r="C49" t="s">
        <v>64</v>
      </c>
      <c r="D49" s="2">
        <v>45497</v>
      </c>
      <c r="E49" s="2">
        <v>45499</v>
      </c>
      <c r="F49" s="2">
        <v>45516</v>
      </c>
      <c r="G49" s="2">
        <v>45517</v>
      </c>
      <c r="H49" s="1">
        <v>7835</v>
      </c>
      <c r="I49">
        <v>115.22</v>
      </c>
      <c r="J49" t="s">
        <v>40</v>
      </c>
      <c r="L49" t="s">
        <v>528</v>
      </c>
    </row>
    <row r="50" spans="1:12" x14ac:dyDescent="0.25">
      <c r="A50" t="s">
        <v>92</v>
      </c>
      <c r="B50" t="s">
        <v>691</v>
      </c>
      <c r="C50" t="s">
        <v>14</v>
      </c>
      <c r="D50" s="2">
        <v>45504</v>
      </c>
      <c r="E50" s="2">
        <v>45505</v>
      </c>
      <c r="F50" s="2">
        <v>45513</v>
      </c>
      <c r="G50" s="2">
        <v>45517</v>
      </c>
      <c r="H50" s="1">
        <v>9393</v>
      </c>
      <c r="I50">
        <v>115.96</v>
      </c>
      <c r="J50" t="s">
        <v>140</v>
      </c>
      <c r="K50" t="s">
        <v>528</v>
      </c>
      <c r="L50" t="s">
        <v>528</v>
      </c>
    </row>
    <row r="51" spans="1:12" x14ac:dyDescent="0.25">
      <c r="A51" t="s">
        <v>69</v>
      </c>
      <c r="B51" t="s">
        <v>618</v>
      </c>
      <c r="C51" t="s">
        <v>99</v>
      </c>
      <c r="D51" s="2">
        <v>45364</v>
      </c>
      <c r="E51" s="2">
        <v>45503</v>
      </c>
      <c r="F51" s="2">
        <v>45517</v>
      </c>
      <c r="G51" s="2">
        <v>45517</v>
      </c>
      <c r="H51" s="1">
        <v>1685</v>
      </c>
      <c r="I51">
        <v>120.36</v>
      </c>
      <c r="J51" t="s">
        <v>605</v>
      </c>
      <c r="K51" t="s">
        <v>528</v>
      </c>
      <c r="L51" t="s">
        <v>528</v>
      </c>
    </row>
    <row r="52" spans="1:12" x14ac:dyDescent="0.25">
      <c r="A52" t="s">
        <v>4</v>
      </c>
      <c r="B52" t="s">
        <v>112</v>
      </c>
      <c r="C52" t="s">
        <v>45</v>
      </c>
      <c r="D52" s="2">
        <v>45051</v>
      </c>
      <c r="E52" s="2">
        <v>45503</v>
      </c>
      <c r="F52" s="2">
        <v>45517</v>
      </c>
      <c r="G52" s="2">
        <v>45517</v>
      </c>
      <c r="H52" s="1">
        <v>1500</v>
      </c>
      <c r="I52">
        <v>93.75</v>
      </c>
      <c r="J52" t="s">
        <v>605</v>
      </c>
      <c r="L52" t="s">
        <v>528</v>
      </c>
    </row>
    <row r="53" spans="1:12" x14ac:dyDescent="0.25">
      <c r="A53" t="s">
        <v>111</v>
      </c>
      <c r="B53" t="s">
        <v>692</v>
      </c>
      <c r="C53" t="s">
        <v>14</v>
      </c>
      <c r="D53" s="2">
        <v>45432</v>
      </c>
      <c r="F53" s="2">
        <v>45509</v>
      </c>
      <c r="G53" s="2">
        <v>45517</v>
      </c>
      <c r="H53" s="1">
        <v>2025</v>
      </c>
      <c r="I53">
        <v>61.36</v>
      </c>
      <c r="J53" t="s">
        <v>16</v>
      </c>
    </row>
    <row r="54" spans="1:12" x14ac:dyDescent="0.25">
      <c r="A54" t="s">
        <v>111</v>
      </c>
      <c r="B54" t="s">
        <v>727</v>
      </c>
      <c r="C54" t="s">
        <v>14</v>
      </c>
      <c r="D54" s="2">
        <v>45432</v>
      </c>
      <c r="F54" s="2">
        <v>45509</v>
      </c>
      <c r="G54" s="2">
        <v>45517</v>
      </c>
      <c r="H54" s="1">
        <v>7900</v>
      </c>
      <c r="I54">
        <v>94.33</v>
      </c>
      <c r="J54" t="s">
        <v>16</v>
      </c>
    </row>
    <row r="55" spans="1:12" x14ac:dyDescent="0.25">
      <c r="A55" t="s">
        <v>111</v>
      </c>
      <c r="B55" t="s">
        <v>487</v>
      </c>
      <c r="C55" t="s">
        <v>14</v>
      </c>
      <c r="D55" s="2">
        <v>45432</v>
      </c>
      <c r="E55" s="2">
        <v>45510</v>
      </c>
      <c r="F55" s="2">
        <v>45517</v>
      </c>
      <c r="G55" s="2">
        <v>45517</v>
      </c>
      <c r="H55" s="1">
        <v>1850</v>
      </c>
      <c r="I55">
        <v>97.37</v>
      </c>
      <c r="J55" t="s">
        <v>16</v>
      </c>
    </row>
    <row r="56" spans="1:12" x14ac:dyDescent="0.25">
      <c r="A56" t="s">
        <v>22</v>
      </c>
      <c r="B56" t="s">
        <v>402</v>
      </c>
      <c r="C56" t="s">
        <v>25</v>
      </c>
      <c r="D56" s="2">
        <v>45337</v>
      </c>
      <c r="F56" s="2">
        <v>45517</v>
      </c>
      <c r="G56" s="2">
        <v>45517</v>
      </c>
      <c r="H56" s="1">
        <v>7027</v>
      </c>
      <c r="I56">
        <v>106.46</v>
      </c>
      <c r="J56" t="s">
        <v>16</v>
      </c>
      <c r="L56" t="s">
        <v>528</v>
      </c>
    </row>
    <row r="57" spans="1:12" x14ac:dyDescent="0.25">
      <c r="A57" t="s">
        <v>88</v>
      </c>
      <c r="B57" t="s">
        <v>763</v>
      </c>
      <c r="C57" t="s">
        <v>32</v>
      </c>
      <c r="D57" s="2">
        <v>45505</v>
      </c>
      <c r="E57" s="2">
        <v>45505</v>
      </c>
      <c r="F57" s="2">
        <v>45517</v>
      </c>
      <c r="G57" s="2">
        <v>45518</v>
      </c>
      <c r="H57" s="1">
        <v>5150</v>
      </c>
      <c r="I57">
        <v>114.44</v>
      </c>
      <c r="J57" t="s">
        <v>89</v>
      </c>
      <c r="K57" t="s">
        <v>528</v>
      </c>
      <c r="L57" t="s">
        <v>528</v>
      </c>
    </row>
    <row r="58" spans="1:12" x14ac:dyDescent="0.25">
      <c r="A58" t="s">
        <v>3</v>
      </c>
      <c r="B58" t="s">
        <v>625</v>
      </c>
      <c r="C58" t="s">
        <v>18</v>
      </c>
      <c r="D58" s="2">
        <v>45495</v>
      </c>
      <c r="E58" s="2">
        <v>45510</v>
      </c>
      <c r="F58" s="2">
        <v>45518</v>
      </c>
      <c r="G58" s="2">
        <v>45518</v>
      </c>
      <c r="H58" s="1">
        <v>1245</v>
      </c>
      <c r="I58">
        <v>124.5</v>
      </c>
      <c r="J58" t="s">
        <v>40</v>
      </c>
      <c r="K58" t="s">
        <v>528</v>
      </c>
      <c r="L58" t="s">
        <v>528</v>
      </c>
    </row>
    <row r="59" spans="1:12" x14ac:dyDescent="0.25">
      <c r="A59" t="s">
        <v>3</v>
      </c>
      <c r="B59" t="s">
        <v>632</v>
      </c>
      <c r="C59" t="s">
        <v>18</v>
      </c>
      <c r="D59" s="2">
        <v>45495</v>
      </c>
      <c r="E59" s="2">
        <v>45510</v>
      </c>
      <c r="F59" s="2">
        <v>45518</v>
      </c>
      <c r="G59" s="2">
        <v>45518</v>
      </c>
      <c r="H59" s="1">
        <v>2200</v>
      </c>
      <c r="I59">
        <v>115.79</v>
      </c>
      <c r="J59" t="s">
        <v>40</v>
      </c>
      <c r="K59" t="s">
        <v>528</v>
      </c>
      <c r="L59" t="s">
        <v>528</v>
      </c>
    </row>
    <row r="60" spans="1:12" x14ac:dyDescent="0.25">
      <c r="A60" t="s">
        <v>111</v>
      </c>
      <c r="B60" t="s">
        <v>488</v>
      </c>
      <c r="C60" t="s">
        <v>14</v>
      </c>
      <c r="D60" s="2">
        <v>45432</v>
      </c>
      <c r="E60" s="2">
        <v>45510</v>
      </c>
      <c r="F60" s="2">
        <v>45518</v>
      </c>
      <c r="G60" s="2">
        <v>45518</v>
      </c>
      <c r="H60" s="1">
        <v>1140</v>
      </c>
      <c r="I60">
        <v>60</v>
      </c>
      <c r="J60" t="s">
        <v>16</v>
      </c>
    </row>
    <row r="61" spans="1:12" x14ac:dyDescent="0.25">
      <c r="A61" t="s">
        <v>22</v>
      </c>
      <c r="B61" t="s">
        <v>295</v>
      </c>
      <c r="C61" t="s">
        <v>23</v>
      </c>
      <c r="D61" s="2">
        <v>45309</v>
      </c>
      <c r="F61" s="2">
        <v>45306</v>
      </c>
      <c r="G61" s="2">
        <v>45518</v>
      </c>
      <c r="H61" s="1">
        <v>5828</v>
      </c>
      <c r="I61">
        <v>190.14</v>
      </c>
      <c r="J61" t="s">
        <v>16</v>
      </c>
      <c r="L61" t="s">
        <v>528</v>
      </c>
    </row>
    <row r="62" spans="1:12" x14ac:dyDescent="0.25">
      <c r="A62" t="s">
        <v>88</v>
      </c>
      <c r="B62" t="s">
        <v>762</v>
      </c>
      <c r="C62" t="s">
        <v>32</v>
      </c>
      <c r="D62" s="2">
        <v>45505</v>
      </c>
      <c r="E62" s="2">
        <v>45505</v>
      </c>
      <c r="F62" s="2">
        <v>45518</v>
      </c>
      <c r="G62" s="2">
        <v>45519</v>
      </c>
      <c r="H62" s="1">
        <v>4845</v>
      </c>
      <c r="I62">
        <v>134.58000000000001</v>
      </c>
      <c r="J62" t="s">
        <v>89</v>
      </c>
      <c r="K62" t="s">
        <v>528</v>
      </c>
      <c r="L62" t="s">
        <v>528</v>
      </c>
    </row>
    <row r="63" spans="1:12" x14ac:dyDescent="0.25">
      <c r="A63" t="s">
        <v>606</v>
      </c>
      <c r="B63" t="s">
        <v>663</v>
      </c>
      <c r="C63" t="s">
        <v>72</v>
      </c>
      <c r="D63" s="2">
        <v>45490</v>
      </c>
      <c r="E63" s="2">
        <v>45503</v>
      </c>
      <c r="F63" s="2">
        <v>45517</v>
      </c>
      <c r="G63" s="2">
        <v>45519</v>
      </c>
      <c r="H63" s="1">
        <v>12075</v>
      </c>
      <c r="I63">
        <v>111.81</v>
      </c>
      <c r="J63" t="s">
        <v>89</v>
      </c>
      <c r="L63" t="s">
        <v>528</v>
      </c>
    </row>
    <row r="64" spans="1:12" x14ac:dyDescent="0.25">
      <c r="A64" t="s">
        <v>88</v>
      </c>
      <c r="B64" t="s">
        <v>300</v>
      </c>
      <c r="C64" t="s">
        <v>25</v>
      </c>
      <c r="D64" s="2">
        <v>45349</v>
      </c>
      <c r="E64" s="2">
        <v>45503</v>
      </c>
      <c r="F64" s="2">
        <v>45510</v>
      </c>
      <c r="G64" s="2">
        <v>45519</v>
      </c>
      <c r="H64" s="1">
        <v>30292</v>
      </c>
      <c r="I64">
        <v>122.15</v>
      </c>
      <c r="J64" t="s">
        <v>40</v>
      </c>
      <c r="L64" t="s">
        <v>528</v>
      </c>
    </row>
    <row r="65" spans="1:12" x14ac:dyDescent="0.25">
      <c r="A65" t="s">
        <v>67</v>
      </c>
      <c r="B65" t="s">
        <v>750</v>
      </c>
      <c r="C65" t="s">
        <v>18</v>
      </c>
      <c r="D65" s="2">
        <v>45434</v>
      </c>
      <c r="E65" s="2">
        <v>45510</v>
      </c>
      <c r="F65" s="2">
        <v>45519</v>
      </c>
      <c r="G65" s="2">
        <v>45519</v>
      </c>
      <c r="H65" s="1">
        <v>3376</v>
      </c>
      <c r="I65">
        <v>125.03</v>
      </c>
      <c r="J65" t="s">
        <v>40</v>
      </c>
      <c r="L65" t="s">
        <v>528</v>
      </c>
    </row>
    <row r="66" spans="1:12" x14ac:dyDescent="0.25">
      <c r="A66" t="s">
        <v>69</v>
      </c>
      <c r="B66" t="s">
        <v>167</v>
      </c>
      <c r="C66" t="s">
        <v>99</v>
      </c>
      <c r="D66" s="2">
        <v>45245</v>
      </c>
      <c r="E66" s="2">
        <v>45503</v>
      </c>
      <c r="F66" s="2">
        <v>45517</v>
      </c>
      <c r="G66" s="2">
        <v>45519</v>
      </c>
      <c r="H66" s="1">
        <v>5425</v>
      </c>
      <c r="I66">
        <v>135.63</v>
      </c>
      <c r="J66" t="s">
        <v>605</v>
      </c>
      <c r="L66" t="s">
        <v>528</v>
      </c>
    </row>
    <row r="67" spans="1:12" x14ac:dyDescent="0.25">
      <c r="A67" t="s">
        <v>2</v>
      </c>
      <c r="B67" t="s">
        <v>382</v>
      </c>
      <c r="C67" t="s">
        <v>14</v>
      </c>
      <c r="D67" s="2">
        <v>45224</v>
      </c>
      <c r="E67" s="2">
        <v>45510</v>
      </c>
      <c r="F67" s="2">
        <v>45520</v>
      </c>
      <c r="G67" s="2">
        <v>45520</v>
      </c>
      <c r="H67" s="1">
        <v>4216</v>
      </c>
      <c r="I67">
        <v>117.1</v>
      </c>
      <c r="J67" t="s">
        <v>40</v>
      </c>
      <c r="L67" t="s">
        <v>528</v>
      </c>
    </row>
    <row r="68" spans="1:12" x14ac:dyDescent="0.25">
      <c r="A68" t="s">
        <v>39</v>
      </c>
      <c r="B68" t="s">
        <v>693</v>
      </c>
      <c r="C68" t="s">
        <v>14</v>
      </c>
      <c r="D68" s="2">
        <v>45510</v>
      </c>
      <c r="E68" s="2">
        <v>45510</v>
      </c>
      <c r="F68" s="2">
        <v>45518</v>
      </c>
      <c r="G68" s="2">
        <v>45520</v>
      </c>
      <c r="H68" s="1">
        <v>9810</v>
      </c>
      <c r="I68">
        <v>115.41</v>
      </c>
      <c r="J68" t="s">
        <v>140</v>
      </c>
      <c r="L68" t="s">
        <v>528</v>
      </c>
    </row>
    <row r="69" spans="1:12" x14ac:dyDescent="0.25">
      <c r="A69" t="s">
        <v>33</v>
      </c>
      <c r="B69" t="s">
        <v>751</v>
      </c>
      <c r="C69" t="s">
        <v>14</v>
      </c>
      <c r="D69" s="2">
        <v>45504</v>
      </c>
      <c r="E69" s="2">
        <v>45511</v>
      </c>
      <c r="F69" s="2">
        <v>45520</v>
      </c>
      <c r="G69" s="2">
        <v>45520</v>
      </c>
      <c r="H69" s="1">
        <v>1015</v>
      </c>
      <c r="I69">
        <v>28.19</v>
      </c>
      <c r="J69" t="s">
        <v>140</v>
      </c>
      <c r="K69" t="s">
        <v>528</v>
      </c>
      <c r="L69" t="s">
        <v>528</v>
      </c>
    </row>
    <row r="70" spans="1:12" x14ac:dyDescent="0.25">
      <c r="A70" t="s">
        <v>33</v>
      </c>
      <c r="B70" t="s">
        <v>752</v>
      </c>
      <c r="C70" t="s">
        <v>14</v>
      </c>
      <c r="D70" s="2">
        <v>45504</v>
      </c>
      <c r="E70" s="2">
        <v>45511</v>
      </c>
      <c r="F70" s="2">
        <v>45520</v>
      </c>
      <c r="G70" s="2">
        <v>45520</v>
      </c>
      <c r="H70">
        <v>995</v>
      </c>
      <c r="I70">
        <v>124.38</v>
      </c>
      <c r="J70" t="s">
        <v>140</v>
      </c>
      <c r="K70" t="s">
        <v>528</v>
      </c>
      <c r="L70" t="s">
        <v>528</v>
      </c>
    </row>
    <row r="71" spans="1:12" x14ac:dyDescent="0.25">
      <c r="A71" t="s">
        <v>39</v>
      </c>
      <c r="B71" t="s">
        <v>125</v>
      </c>
      <c r="C71" t="s">
        <v>23</v>
      </c>
      <c r="D71" s="2">
        <v>45168</v>
      </c>
      <c r="E71" s="2">
        <v>45510</v>
      </c>
      <c r="F71" s="2">
        <v>45518</v>
      </c>
      <c r="G71" s="2">
        <v>45520</v>
      </c>
      <c r="H71" s="1">
        <v>12312</v>
      </c>
      <c r="I71">
        <v>114</v>
      </c>
      <c r="J71" t="s">
        <v>16</v>
      </c>
      <c r="L71" t="s">
        <v>528</v>
      </c>
    </row>
    <row r="72" spans="1:12" x14ac:dyDescent="0.25">
      <c r="A72" t="s">
        <v>15</v>
      </c>
      <c r="B72" t="s">
        <v>679</v>
      </c>
      <c r="C72" t="s">
        <v>14</v>
      </c>
      <c r="D72" s="2">
        <v>45407</v>
      </c>
      <c r="E72" s="2">
        <v>45488</v>
      </c>
      <c r="F72" s="2">
        <v>45503</v>
      </c>
      <c r="G72" s="2">
        <v>45520</v>
      </c>
      <c r="H72" s="1">
        <v>49413</v>
      </c>
      <c r="I72">
        <v>114.91</v>
      </c>
      <c r="J72" t="s">
        <v>16</v>
      </c>
      <c r="L72" t="s">
        <v>528</v>
      </c>
    </row>
    <row r="73" spans="1:12" x14ac:dyDescent="0.25">
      <c r="A73" t="s">
        <v>87</v>
      </c>
      <c r="B73" t="s">
        <v>637</v>
      </c>
      <c r="C73" t="s">
        <v>26</v>
      </c>
      <c r="D73" s="2">
        <v>45495</v>
      </c>
      <c r="F73" s="2">
        <v>45516</v>
      </c>
      <c r="G73" s="2">
        <v>45520</v>
      </c>
      <c r="H73" s="1">
        <v>13875</v>
      </c>
      <c r="I73">
        <v>61.67</v>
      </c>
      <c r="J73" t="s">
        <v>16</v>
      </c>
      <c r="L73" t="s">
        <v>528</v>
      </c>
    </row>
    <row r="74" spans="1:12" x14ac:dyDescent="0.25">
      <c r="A74" t="s">
        <v>533</v>
      </c>
      <c r="B74" t="s">
        <v>540</v>
      </c>
      <c r="C74" t="s">
        <v>32</v>
      </c>
      <c r="D74" s="2">
        <v>45463</v>
      </c>
      <c r="E74" s="2">
        <v>45474</v>
      </c>
      <c r="F74" s="2">
        <v>45514</v>
      </c>
      <c r="G74" s="2">
        <v>45521</v>
      </c>
      <c r="H74" s="1">
        <v>4660</v>
      </c>
      <c r="I74">
        <v>103.56</v>
      </c>
      <c r="J74" t="s">
        <v>89</v>
      </c>
    </row>
    <row r="75" spans="1:12" x14ac:dyDescent="0.25">
      <c r="A75" t="s">
        <v>71</v>
      </c>
      <c r="B75" t="s">
        <v>690</v>
      </c>
      <c r="C75" t="s">
        <v>37</v>
      </c>
      <c r="D75" s="2">
        <v>45369</v>
      </c>
      <c r="E75" s="2">
        <v>45509</v>
      </c>
      <c r="F75" s="2">
        <v>45521</v>
      </c>
      <c r="G75" s="2">
        <v>45521</v>
      </c>
      <c r="H75" s="1">
        <v>1656</v>
      </c>
      <c r="I75">
        <v>103.52</v>
      </c>
      <c r="J75" t="s">
        <v>89</v>
      </c>
      <c r="L75" t="s">
        <v>528</v>
      </c>
    </row>
    <row r="76" spans="1:12" x14ac:dyDescent="0.25">
      <c r="A76" t="s">
        <v>669</v>
      </c>
      <c r="B76" t="s">
        <v>670</v>
      </c>
      <c r="C76" t="s">
        <v>17</v>
      </c>
      <c r="D76" s="2">
        <v>45498</v>
      </c>
      <c r="E76" s="2">
        <v>45503</v>
      </c>
      <c r="F76" s="2">
        <v>45521</v>
      </c>
      <c r="G76" s="2">
        <v>45521</v>
      </c>
      <c r="H76" s="1">
        <v>4795</v>
      </c>
      <c r="I76">
        <v>133.19</v>
      </c>
      <c r="J76" t="s">
        <v>16</v>
      </c>
      <c r="K76" t="s">
        <v>528</v>
      </c>
    </row>
    <row r="77" spans="1:12" x14ac:dyDescent="0.25">
      <c r="A77" t="s">
        <v>534</v>
      </c>
      <c r="B77" t="s">
        <v>611</v>
      </c>
      <c r="C77" t="s">
        <v>535</v>
      </c>
      <c r="D77" s="2">
        <v>45463</v>
      </c>
      <c r="F77" s="2">
        <v>45514</v>
      </c>
      <c r="G77" s="2">
        <v>45521</v>
      </c>
      <c r="H77" s="1">
        <v>2354</v>
      </c>
      <c r="I77">
        <v>37.36</v>
      </c>
      <c r="J77" t="s">
        <v>16</v>
      </c>
    </row>
    <row r="78" spans="1:12" x14ac:dyDescent="0.25">
      <c r="A78" t="s">
        <v>70</v>
      </c>
      <c r="B78" t="s">
        <v>180</v>
      </c>
      <c r="C78" t="s">
        <v>18</v>
      </c>
      <c r="D78" s="2">
        <v>45373</v>
      </c>
      <c r="E78" s="2">
        <v>45373</v>
      </c>
      <c r="F78" s="2">
        <v>45373</v>
      </c>
      <c r="G78" s="2">
        <v>45521</v>
      </c>
      <c r="H78">
        <v>0</v>
      </c>
      <c r="I78">
        <v>0</v>
      </c>
      <c r="J78" t="s">
        <v>16</v>
      </c>
      <c r="K78" t="s">
        <v>528</v>
      </c>
    </row>
    <row r="79" spans="1:12" x14ac:dyDescent="0.25">
      <c r="A79" t="s">
        <v>93</v>
      </c>
      <c r="B79" t="s">
        <v>715</v>
      </c>
      <c r="C79" t="s">
        <v>14</v>
      </c>
      <c r="D79" s="2">
        <v>45497</v>
      </c>
      <c r="F79" s="2">
        <v>45514</v>
      </c>
      <c r="G79" s="2">
        <v>45521</v>
      </c>
      <c r="H79" s="1">
        <v>8836</v>
      </c>
      <c r="I79">
        <v>98.18</v>
      </c>
      <c r="J79" t="s">
        <v>16</v>
      </c>
      <c r="L79" t="s">
        <v>528</v>
      </c>
    </row>
    <row r="80" spans="1:12" x14ac:dyDescent="0.25">
      <c r="A80" t="s">
        <v>93</v>
      </c>
      <c r="B80" t="s">
        <v>717</v>
      </c>
      <c r="C80" t="s">
        <v>14</v>
      </c>
      <c r="D80" s="2">
        <v>45497</v>
      </c>
      <c r="F80" s="2">
        <v>45514</v>
      </c>
      <c r="G80" s="2">
        <v>45521</v>
      </c>
      <c r="H80" s="1">
        <v>14074</v>
      </c>
      <c r="I80">
        <v>86.87</v>
      </c>
      <c r="J80" t="s">
        <v>16</v>
      </c>
      <c r="L80" t="s">
        <v>528</v>
      </c>
    </row>
    <row r="81" spans="1:12" x14ac:dyDescent="0.25">
      <c r="A81" t="s">
        <v>93</v>
      </c>
      <c r="B81" t="s">
        <v>728</v>
      </c>
      <c r="C81" t="s">
        <v>14</v>
      </c>
      <c r="D81" s="2">
        <v>45504</v>
      </c>
      <c r="F81" s="2">
        <v>45521</v>
      </c>
      <c r="G81" s="2">
        <v>45521</v>
      </c>
      <c r="H81" s="1">
        <v>3324</v>
      </c>
      <c r="I81">
        <v>123.11</v>
      </c>
      <c r="J81" t="s">
        <v>16</v>
      </c>
    </row>
    <row r="82" spans="1:12" x14ac:dyDescent="0.25">
      <c r="A82" t="s">
        <v>93</v>
      </c>
      <c r="B82" t="s">
        <v>729</v>
      </c>
      <c r="C82" t="s">
        <v>14</v>
      </c>
      <c r="D82" s="2">
        <v>45497</v>
      </c>
      <c r="F82" s="2">
        <v>45521</v>
      </c>
      <c r="G82" s="2">
        <v>45521</v>
      </c>
      <c r="H82">
        <v>761</v>
      </c>
      <c r="I82">
        <v>21.13</v>
      </c>
      <c r="J82" t="s">
        <v>16</v>
      </c>
      <c r="K82" t="s">
        <v>528</v>
      </c>
      <c r="L82" t="s">
        <v>528</v>
      </c>
    </row>
    <row r="83" spans="1:12" x14ac:dyDescent="0.25">
      <c r="A83" t="s">
        <v>93</v>
      </c>
      <c r="B83" t="s">
        <v>734</v>
      </c>
      <c r="C83" t="s">
        <v>14</v>
      </c>
      <c r="D83" s="2">
        <v>45497</v>
      </c>
      <c r="E83" s="2">
        <v>45505</v>
      </c>
      <c r="F83" s="2">
        <v>45507</v>
      </c>
      <c r="G83" s="2">
        <v>45521</v>
      </c>
      <c r="H83" s="1">
        <v>21262</v>
      </c>
      <c r="I83">
        <v>103.97</v>
      </c>
      <c r="J83" t="s">
        <v>16</v>
      </c>
      <c r="L83" t="s">
        <v>528</v>
      </c>
    </row>
    <row r="84" spans="1:12" x14ac:dyDescent="0.25">
      <c r="A84" t="s">
        <v>519</v>
      </c>
      <c r="B84" t="s">
        <v>520</v>
      </c>
      <c r="C84" t="s">
        <v>400</v>
      </c>
      <c r="D84" s="2">
        <v>45329</v>
      </c>
      <c r="F84" s="2">
        <v>45332</v>
      </c>
      <c r="G84" s="2">
        <v>45521</v>
      </c>
      <c r="H84">
        <v>0</v>
      </c>
      <c r="I84">
        <v>0</v>
      </c>
      <c r="J84" t="s">
        <v>16</v>
      </c>
    </row>
    <row r="85" spans="1:12" x14ac:dyDescent="0.25">
      <c r="A85" t="s">
        <v>162</v>
      </c>
      <c r="B85" t="s">
        <v>682</v>
      </c>
      <c r="C85" t="s">
        <v>14</v>
      </c>
      <c r="D85" s="2">
        <v>45489</v>
      </c>
      <c r="E85" s="2">
        <v>45482</v>
      </c>
      <c r="F85" s="2">
        <v>45514</v>
      </c>
      <c r="G85" s="2">
        <v>45521</v>
      </c>
      <c r="H85" s="1">
        <v>7555</v>
      </c>
      <c r="I85">
        <v>114.47</v>
      </c>
      <c r="J85" t="s">
        <v>605</v>
      </c>
      <c r="L85" t="s">
        <v>528</v>
      </c>
    </row>
    <row r="86" spans="1:12" x14ac:dyDescent="0.25">
      <c r="A86" t="s">
        <v>3</v>
      </c>
      <c r="B86" t="s">
        <v>345</v>
      </c>
      <c r="C86" t="s">
        <v>35</v>
      </c>
      <c r="D86" s="2">
        <v>45405</v>
      </c>
      <c r="E86" s="2">
        <v>45510</v>
      </c>
      <c r="F86" s="2">
        <v>45523</v>
      </c>
      <c r="G86" s="2">
        <v>45523</v>
      </c>
      <c r="H86" s="1">
        <v>1045</v>
      </c>
      <c r="I86">
        <v>116.11</v>
      </c>
      <c r="J86" t="s">
        <v>40</v>
      </c>
      <c r="L86" t="s">
        <v>528</v>
      </c>
    </row>
    <row r="87" spans="1:12" x14ac:dyDescent="0.25">
      <c r="A87" t="s">
        <v>111</v>
      </c>
      <c r="B87" t="s">
        <v>580</v>
      </c>
      <c r="C87" t="s">
        <v>14</v>
      </c>
      <c r="D87" s="2">
        <v>45469</v>
      </c>
      <c r="E87" s="2">
        <v>45463</v>
      </c>
      <c r="F87" s="2">
        <v>45470</v>
      </c>
      <c r="G87" s="2">
        <v>45523</v>
      </c>
      <c r="H87" s="1">
        <v>1575</v>
      </c>
      <c r="I87">
        <v>61.76</v>
      </c>
      <c r="J87" t="s">
        <v>16</v>
      </c>
    </row>
    <row r="88" spans="1:12" x14ac:dyDescent="0.25">
      <c r="A88" t="s">
        <v>111</v>
      </c>
      <c r="B88" t="s">
        <v>581</v>
      </c>
      <c r="C88" t="s">
        <v>14</v>
      </c>
      <c r="D88" s="2">
        <v>45469</v>
      </c>
      <c r="E88" s="2">
        <v>45463</v>
      </c>
      <c r="F88" s="2">
        <v>45470</v>
      </c>
      <c r="G88" s="2">
        <v>45523</v>
      </c>
      <c r="H88" s="1">
        <v>4800</v>
      </c>
      <c r="I88">
        <v>79.67</v>
      </c>
      <c r="J88" t="s">
        <v>16</v>
      </c>
    </row>
    <row r="89" spans="1:12" x14ac:dyDescent="0.25">
      <c r="A89" t="s">
        <v>88</v>
      </c>
      <c r="B89" t="s">
        <v>330</v>
      </c>
      <c r="C89" t="s">
        <v>32</v>
      </c>
      <c r="D89" s="2">
        <v>45341</v>
      </c>
      <c r="E89" s="2">
        <v>45505</v>
      </c>
      <c r="F89" s="2">
        <v>45520</v>
      </c>
      <c r="G89" s="2">
        <v>45524</v>
      </c>
      <c r="H89" s="1">
        <v>6579</v>
      </c>
      <c r="I89">
        <v>121.83</v>
      </c>
      <c r="J89" t="s">
        <v>89</v>
      </c>
    </row>
    <row r="90" spans="1:12" x14ac:dyDescent="0.25">
      <c r="A90" t="s">
        <v>4</v>
      </c>
      <c r="B90" t="s">
        <v>707</v>
      </c>
      <c r="C90" t="s">
        <v>708</v>
      </c>
      <c r="D90" s="2">
        <v>45509</v>
      </c>
      <c r="E90" s="2">
        <v>45509</v>
      </c>
      <c r="F90" s="2">
        <v>45523</v>
      </c>
      <c r="G90" s="2">
        <v>45524</v>
      </c>
      <c r="H90" s="1">
        <v>5095</v>
      </c>
      <c r="I90">
        <v>113.22</v>
      </c>
      <c r="J90" t="s">
        <v>89</v>
      </c>
      <c r="L90" t="s">
        <v>528</v>
      </c>
    </row>
    <row r="91" spans="1:12" x14ac:dyDescent="0.25">
      <c r="A91" t="s">
        <v>3</v>
      </c>
      <c r="B91" t="s">
        <v>117</v>
      </c>
      <c r="C91" t="s">
        <v>35</v>
      </c>
      <c r="D91" s="2">
        <v>45127</v>
      </c>
      <c r="E91" s="2">
        <v>45510</v>
      </c>
      <c r="F91" s="2">
        <v>45523</v>
      </c>
      <c r="G91" s="2">
        <v>45524</v>
      </c>
      <c r="H91" s="1">
        <v>7338</v>
      </c>
      <c r="I91">
        <v>101.91</v>
      </c>
      <c r="J91" t="s">
        <v>40</v>
      </c>
      <c r="L91" t="s">
        <v>528</v>
      </c>
    </row>
    <row r="92" spans="1:12" x14ac:dyDescent="0.25">
      <c r="A92" t="s">
        <v>711</v>
      </c>
      <c r="B92" t="s">
        <v>712</v>
      </c>
      <c r="C92" t="s">
        <v>17</v>
      </c>
      <c r="D92" s="2">
        <v>45506</v>
      </c>
      <c r="E92" s="2">
        <v>45506</v>
      </c>
      <c r="F92" s="2">
        <v>45516</v>
      </c>
      <c r="G92" s="2">
        <v>45524</v>
      </c>
      <c r="H92" s="1">
        <v>27390</v>
      </c>
      <c r="I92">
        <v>108.69</v>
      </c>
      <c r="J92" t="s">
        <v>16</v>
      </c>
      <c r="K92" t="s">
        <v>528</v>
      </c>
      <c r="L92" t="s">
        <v>528</v>
      </c>
    </row>
    <row r="93" spans="1:12" x14ac:dyDescent="0.25">
      <c r="A93" t="s">
        <v>711</v>
      </c>
      <c r="B93" t="s">
        <v>713</v>
      </c>
      <c r="C93" t="s">
        <v>17</v>
      </c>
      <c r="D93" s="2">
        <v>45506</v>
      </c>
      <c r="F93" s="2">
        <v>45524</v>
      </c>
      <c r="G93" s="2">
        <v>45524</v>
      </c>
      <c r="H93" s="1">
        <v>32510</v>
      </c>
      <c r="I93">
        <v>0</v>
      </c>
      <c r="J93" t="s">
        <v>16</v>
      </c>
    </row>
    <row r="94" spans="1:12" x14ac:dyDescent="0.25">
      <c r="A94" t="s">
        <v>27</v>
      </c>
      <c r="B94" t="s">
        <v>678</v>
      </c>
      <c r="C94" t="s">
        <v>28</v>
      </c>
      <c r="D94" s="2">
        <v>45405</v>
      </c>
      <c r="E94" s="2">
        <v>45498</v>
      </c>
      <c r="F94" s="2">
        <v>45518</v>
      </c>
      <c r="G94" s="2">
        <v>45525</v>
      </c>
      <c r="H94" s="1">
        <v>14890</v>
      </c>
      <c r="I94">
        <v>110.3</v>
      </c>
      <c r="J94" t="s">
        <v>89</v>
      </c>
      <c r="K94" t="s">
        <v>528</v>
      </c>
      <c r="L94" t="s">
        <v>528</v>
      </c>
    </row>
    <row r="95" spans="1:12" x14ac:dyDescent="0.25">
      <c r="A95" t="s">
        <v>5</v>
      </c>
      <c r="B95" t="s">
        <v>169</v>
      </c>
      <c r="C95" t="s">
        <v>17</v>
      </c>
      <c r="D95" s="2">
        <v>45331</v>
      </c>
      <c r="E95" s="2">
        <v>45495</v>
      </c>
      <c r="F95" s="2">
        <v>45525</v>
      </c>
      <c r="G95" s="2">
        <v>45525</v>
      </c>
      <c r="H95" s="1">
        <v>2494</v>
      </c>
      <c r="I95">
        <v>118.75</v>
      </c>
      <c r="J95" t="s">
        <v>89</v>
      </c>
      <c r="L95" t="s">
        <v>528</v>
      </c>
    </row>
    <row r="96" spans="1:12" x14ac:dyDescent="0.25">
      <c r="A96" t="s">
        <v>5</v>
      </c>
      <c r="B96" t="s">
        <v>151</v>
      </c>
      <c r="C96" t="s">
        <v>25</v>
      </c>
      <c r="D96" s="2">
        <v>45379</v>
      </c>
      <c r="E96" s="2">
        <v>45503</v>
      </c>
      <c r="F96" s="2">
        <v>45509</v>
      </c>
      <c r="G96" s="2">
        <v>45525</v>
      </c>
      <c r="H96" s="1">
        <v>63422</v>
      </c>
      <c r="I96">
        <v>111.27</v>
      </c>
      <c r="J96" t="s">
        <v>40</v>
      </c>
      <c r="L96" t="s">
        <v>528</v>
      </c>
    </row>
    <row r="97" spans="1:12" x14ac:dyDescent="0.25">
      <c r="A97" t="s">
        <v>111</v>
      </c>
      <c r="B97" t="s">
        <v>696</v>
      </c>
      <c r="C97" t="s">
        <v>14</v>
      </c>
      <c r="D97" s="2">
        <v>45511</v>
      </c>
      <c r="E97" s="2">
        <v>45511</v>
      </c>
      <c r="F97" s="2">
        <v>45513</v>
      </c>
      <c r="G97" s="2">
        <v>45525</v>
      </c>
      <c r="H97" s="1">
        <v>14670</v>
      </c>
      <c r="I97">
        <v>108.67</v>
      </c>
      <c r="J97" t="s">
        <v>16</v>
      </c>
    </row>
    <row r="98" spans="1:12" x14ac:dyDescent="0.25">
      <c r="A98" t="s">
        <v>87</v>
      </c>
      <c r="B98" t="s">
        <v>636</v>
      </c>
      <c r="C98" t="s">
        <v>26</v>
      </c>
      <c r="D98" s="2">
        <v>45495</v>
      </c>
      <c r="F98" s="2">
        <v>45523</v>
      </c>
      <c r="G98" s="2">
        <v>45525</v>
      </c>
      <c r="H98" s="1">
        <v>7770</v>
      </c>
      <c r="I98">
        <v>57.56</v>
      </c>
      <c r="J98" t="s">
        <v>16</v>
      </c>
      <c r="L98" t="s">
        <v>528</v>
      </c>
    </row>
    <row r="99" spans="1:12" x14ac:dyDescent="0.25">
      <c r="A99" t="s">
        <v>88</v>
      </c>
      <c r="B99" t="s">
        <v>494</v>
      </c>
      <c r="C99" t="s">
        <v>14</v>
      </c>
      <c r="D99" s="2">
        <v>45450</v>
      </c>
      <c r="E99" s="2">
        <v>45511</v>
      </c>
      <c r="F99" s="2">
        <v>45520</v>
      </c>
      <c r="G99" s="2">
        <v>45525</v>
      </c>
      <c r="H99" s="1">
        <v>19380</v>
      </c>
      <c r="I99">
        <v>118.17</v>
      </c>
      <c r="J99" t="s">
        <v>605</v>
      </c>
      <c r="L99" t="s">
        <v>528</v>
      </c>
    </row>
    <row r="100" spans="1:12" x14ac:dyDescent="0.25">
      <c r="A100" t="s">
        <v>19</v>
      </c>
      <c r="B100" t="s">
        <v>577</v>
      </c>
      <c r="C100" t="s">
        <v>25</v>
      </c>
      <c r="D100" s="2">
        <v>45476</v>
      </c>
      <c r="F100" s="2">
        <v>45526</v>
      </c>
      <c r="G100" s="2">
        <v>45526</v>
      </c>
      <c r="H100" s="1">
        <v>3875</v>
      </c>
      <c r="I100">
        <v>86.11</v>
      </c>
      <c r="J100" t="s">
        <v>40</v>
      </c>
      <c r="K100" t="s">
        <v>528</v>
      </c>
      <c r="L100" t="s">
        <v>528</v>
      </c>
    </row>
    <row r="101" spans="1:12" x14ac:dyDescent="0.25">
      <c r="A101" t="s">
        <v>19</v>
      </c>
      <c r="B101" t="s">
        <v>599</v>
      </c>
      <c r="C101" t="s">
        <v>25</v>
      </c>
      <c r="D101" s="2">
        <v>45476</v>
      </c>
      <c r="F101" s="2">
        <v>45526</v>
      </c>
      <c r="G101" s="2">
        <v>45526</v>
      </c>
      <c r="H101">
        <v>895</v>
      </c>
      <c r="I101">
        <v>19.89</v>
      </c>
      <c r="J101" t="s">
        <v>40</v>
      </c>
      <c r="K101" t="s">
        <v>528</v>
      </c>
      <c r="L101" t="s">
        <v>528</v>
      </c>
    </row>
    <row r="102" spans="1:12" x14ac:dyDescent="0.25">
      <c r="A102" t="s">
        <v>92</v>
      </c>
      <c r="B102" t="s">
        <v>465</v>
      </c>
      <c r="C102" t="s">
        <v>23</v>
      </c>
      <c r="D102" s="2">
        <v>45443</v>
      </c>
      <c r="F102" s="2">
        <v>45526</v>
      </c>
      <c r="G102" s="2">
        <v>45526</v>
      </c>
      <c r="H102">
        <v>50</v>
      </c>
      <c r="I102">
        <v>1.39</v>
      </c>
      <c r="J102" t="s">
        <v>40</v>
      </c>
      <c r="L102" t="s">
        <v>528</v>
      </c>
    </row>
    <row r="103" spans="1:12" x14ac:dyDescent="0.25">
      <c r="A103" t="s">
        <v>92</v>
      </c>
      <c r="B103" t="s">
        <v>473</v>
      </c>
      <c r="C103" t="s">
        <v>23</v>
      </c>
      <c r="D103" s="2">
        <v>45443</v>
      </c>
      <c r="F103" s="2">
        <v>45526</v>
      </c>
      <c r="G103" s="2">
        <v>45526</v>
      </c>
      <c r="H103">
        <v>495</v>
      </c>
      <c r="I103">
        <v>13.75</v>
      </c>
      <c r="J103" t="s">
        <v>40</v>
      </c>
      <c r="K103" t="s">
        <v>528</v>
      </c>
      <c r="L103" t="s">
        <v>528</v>
      </c>
    </row>
    <row r="104" spans="1:12" x14ac:dyDescent="0.25">
      <c r="A104" t="s">
        <v>39</v>
      </c>
      <c r="B104" t="s">
        <v>419</v>
      </c>
      <c r="C104" t="s">
        <v>14</v>
      </c>
      <c r="D104" s="2">
        <v>45429</v>
      </c>
      <c r="E104" s="2">
        <v>45511</v>
      </c>
      <c r="F104" s="2">
        <v>45525</v>
      </c>
      <c r="G104" s="2">
        <v>45526</v>
      </c>
      <c r="H104" s="1">
        <v>8337</v>
      </c>
      <c r="I104">
        <v>115.79</v>
      </c>
      <c r="J104" t="s">
        <v>605</v>
      </c>
      <c r="L104" t="s">
        <v>528</v>
      </c>
    </row>
    <row r="105" spans="1:12" x14ac:dyDescent="0.25">
      <c r="A105" t="s">
        <v>3</v>
      </c>
      <c r="B105" t="s">
        <v>665</v>
      </c>
      <c r="C105" t="s">
        <v>46</v>
      </c>
      <c r="D105" s="2">
        <v>45504</v>
      </c>
      <c r="E105" s="2">
        <v>45510</v>
      </c>
      <c r="F105" s="2">
        <v>45526</v>
      </c>
      <c r="G105" s="2">
        <v>45527</v>
      </c>
      <c r="H105" s="1">
        <v>6850</v>
      </c>
      <c r="I105">
        <v>126.85</v>
      </c>
      <c r="J105" t="s">
        <v>89</v>
      </c>
      <c r="K105" t="s">
        <v>528</v>
      </c>
      <c r="L105" t="s">
        <v>528</v>
      </c>
    </row>
    <row r="106" spans="1:12" x14ac:dyDescent="0.25">
      <c r="A106" t="s">
        <v>5</v>
      </c>
      <c r="B106" t="s">
        <v>667</v>
      </c>
      <c r="C106" t="s">
        <v>17</v>
      </c>
      <c r="D106" s="2">
        <v>45503</v>
      </c>
      <c r="E106" s="2">
        <v>45503</v>
      </c>
      <c r="F106" s="2">
        <v>45525</v>
      </c>
      <c r="G106" s="2">
        <v>45527</v>
      </c>
      <c r="H106" s="1">
        <v>8070</v>
      </c>
      <c r="I106">
        <v>134.5</v>
      </c>
      <c r="J106" t="s">
        <v>89</v>
      </c>
      <c r="K106" t="s">
        <v>528</v>
      </c>
      <c r="L106" t="s">
        <v>528</v>
      </c>
    </row>
    <row r="107" spans="1:12" x14ac:dyDescent="0.25">
      <c r="A107" t="s">
        <v>92</v>
      </c>
      <c r="B107" t="s">
        <v>565</v>
      </c>
      <c r="C107" t="s">
        <v>14</v>
      </c>
      <c r="D107" s="2">
        <v>45471</v>
      </c>
      <c r="E107" s="2">
        <v>45492</v>
      </c>
      <c r="F107" s="2">
        <v>45523</v>
      </c>
      <c r="G107" s="2">
        <v>45527</v>
      </c>
      <c r="H107" s="1">
        <v>20665</v>
      </c>
      <c r="I107">
        <v>114.81</v>
      </c>
      <c r="J107" t="s">
        <v>40</v>
      </c>
      <c r="L107" t="s">
        <v>528</v>
      </c>
    </row>
    <row r="108" spans="1:12" x14ac:dyDescent="0.25">
      <c r="A108" t="s">
        <v>92</v>
      </c>
      <c r="B108" t="s">
        <v>349</v>
      </c>
      <c r="C108" t="s">
        <v>23</v>
      </c>
      <c r="D108" s="2">
        <v>45407</v>
      </c>
      <c r="F108" s="2">
        <v>45526</v>
      </c>
      <c r="G108" s="2">
        <v>45527</v>
      </c>
      <c r="H108" s="1">
        <v>11195</v>
      </c>
      <c r="I108">
        <v>165.85</v>
      </c>
      <c r="J108" t="s">
        <v>40</v>
      </c>
      <c r="L108" t="s">
        <v>528</v>
      </c>
    </row>
    <row r="109" spans="1:12" x14ac:dyDescent="0.25">
      <c r="A109" t="s">
        <v>39</v>
      </c>
      <c r="B109" t="s">
        <v>496</v>
      </c>
      <c r="C109" t="s">
        <v>14</v>
      </c>
      <c r="D109" s="2">
        <v>45453</v>
      </c>
      <c r="E109" s="2">
        <v>45495</v>
      </c>
      <c r="F109" s="2">
        <v>45511</v>
      </c>
      <c r="G109" s="2">
        <v>45527</v>
      </c>
      <c r="H109" s="1">
        <v>33740</v>
      </c>
      <c r="I109">
        <v>115.15</v>
      </c>
      <c r="J109" t="s">
        <v>605</v>
      </c>
      <c r="L109" t="s">
        <v>528</v>
      </c>
    </row>
    <row r="110" spans="1:12" x14ac:dyDescent="0.25">
      <c r="A110" t="s">
        <v>33</v>
      </c>
      <c r="B110" t="s">
        <v>628</v>
      </c>
      <c r="C110" t="s">
        <v>14</v>
      </c>
      <c r="D110" s="2">
        <v>45496</v>
      </c>
      <c r="F110" s="2">
        <v>45527</v>
      </c>
      <c r="G110" s="2">
        <v>45527</v>
      </c>
      <c r="H110" s="1">
        <v>5198</v>
      </c>
      <c r="I110">
        <v>115.5</v>
      </c>
      <c r="J110" t="s">
        <v>605</v>
      </c>
      <c r="L110" t="s">
        <v>528</v>
      </c>
    </row>
    <row r="111" spans="1:12" x14ac:dyDescent="0.25">
      <c r="A111" t="s">
        <v>107</v>
      </c>
      <c r="B111" t="s">
        <v>676</v>
      </c>
      <c r="C111" t="s">
        <v>108</v>
      </c>
      <c r="D111" s="2">
        <v>45384</v>
      </c>
      <c r="E111" s="2">
        <v>45483</v>
      </c>
      <c r="F111" s="2">
        <v>45528</v>
      </c>
      <c r="G111" s="2">
        <v>45528</v>
      </c>
      <c r="H111">
        <v>960</v>
      </c>
      <c r="I111">
        <v>120</v>
      </c>
      <c r="J111" t="s">
        <v>89</v>
      </c>
    </row>
    <row r="112" spans="1:12" x14ac:dyDescent="0.25">
      <c r="A112" t="s">
        <v>387</v>
      </c>
      <c r="B112" t="s">
        <v>701</v>
      </c>
      <c r="C112" t="s">
        <v>17</v>
      </c>
      <c r="D112" s="2">
        <v>45498</v>
      </c>
      <c r="F112" s="2">
        <v>45528</v>
      </c>
      <c r="G112" s="2">
        <v>45528</v>
      </c>
      <c r="H112" s="1">
        <v>2485</v>
      </c>
      <c r="I112">
        <v>118.33</v>
      </c>
      <c r="J112" t="s">
        <v>89</v>
      </c>
      <c r="K112" t="s">
        <v>528</v>
      </c>
      <c r="L112" t="s">
        <v>528</v>
      </c>
    </row>
    <row r="113" spans="1:12" x14ac:dyDescent="0.25">
      <c r="A113" t="s">
        <v>93</v>
      </c>
      <c r="B113" t="s">
        <v>720</v>
      </c>
      <c r="C113" t="s">
        <v>14</v>
      </c>
      <c r="D113" s="2">
        <v>45497</v>
      </c>
      <c r="E113" s="2">
        <v>45511</v>
      </c>
      <c r="F113" s="2">
        <v>45514</v>
      </c>
      <c r="G113" s="2">
        <v>45528</v>
      </c>
      <c r="H113" s="1">
        <v>14459</v>
      </c>
      <c r="I113">
        <v>84.56</v>
      </c>
      <c r="J113" t="s">
        <v>16</v>
      </c>
      <c r="L113" t="s">
        <v>528</v>
      </c>
    </row>
    <row r="114" spans="1:12" x14ac:dyDescent="0.25">
      <c r="A114" t="s">
        <v>93</v>
      </c>
      <c r="B114" t="s">
        <v>721</v>
      </c>
      <c r="C114" t="s">
        <v>14</v>
      </c>
      <c r="D114" s="2">
        <v>45497</v>
      </c>
      <c r="F114" s="2">
        <v>45528</v>
      </c>
      <c r="G114" s="2">
        <v>45528</v>
      </c>
      <c r="H114">
        <v>176</v>
      </c>
      <c r="I114">
        <v>4.9000000000000004</v>
      </c>
      <c r="J114" t="s">
        <v>16</v>
      </c>
      <c r="K114" t="s">
        <v>528</v>
      </c>
      <c r="L114" t="s">
        <v>528</v>
      </c>
    </row>
    <row r="115" spans="1:12" x14ac:dyDescent="0.25">
      <c r="A115" t="s">
        <v>93</v>
      </c>
      <c r="B115" t="s">
        <v>722</v>
      </c>
      <c r="C115" t="s">
        <v>14</v>
      </c>
      <c r="D115" s="2">
        <v>45497</v>
      </c>
      <c r="F115" s="2">
        <v>45528</v>
      </c>
      <c r="G115" s="2">
        <v>45528</v>
      </c>
      <c r="H115" s="1">
        <v>8335</v>
      </c>
      <c r="I115">
        <v>115.76</v>
      </c>
      <c r="J115" t="s">
        <v>16</v>
      </c>
      <c r="L115" t="s">
        <v>528</v>
      </c>
    </row>
    <row r="116" spans="1:12" x14ac:dyDescent="0.25">
      <c r="A116" t="s">
        <v>93</v>
      </c>
      <c r="B116" t="s">
        <v>725</v>
      </c>
      <c r="C116" t="s">
        <v>14</v>
      </c>
      <c r="D116" s="2">
        <v>45497</v>
      </c>
      <c r="F116" s="2">
        <v>45528</v>
      </c>
      <c r="G116" s="2">
        <v>45528</v>
      </c>
      <c r="H116" s="1">
        <v>1847</v>
      </c>
      <c r="I116">
        <v>68.39</v>
      </c>
      <c r="J116" t="s">
        <v>16</v>
      </c>
      <c r="L116" t="s">
        <v>528</v>
      </c>
    </row>
    <row r="117" spans="1:12" x14ac:dyDescent="0.25">
      <c r="A117" t="s">
        <v>93</v>
      </c>
      <c r="B117" t="s">
        <v>726</v>
      </c>
      <c r="C117" t="s">
        <v>14</v>
      </c>
      <c r="D117" s="2">
        <v>45497</v>
      </c>
      <c r="F117" s="2">
        <v>45528</v>
      </c>
      <c r="G117" s="2">
        <v>45528</v>
      </c>
      <c r="H117" s="1">
        <v>1825</v>
      </c>
      <c r="I117">
        <v>67.58</v>
      </c>
      <c r="J117" t="s">
        <v>16</v>
      </c>
      <c r="K117" t="s">
        <v>528</v>
      </c>
      <c r="L117" t="s">
        <v>528</v>
      </c>
    </row>
    <row r="118" spans="1:12" x14ac:dyDescent="0.25">
      <c r="A118" t="s">
        <v>93</v>
      </c>
      <c r="B118" t="s">
        <v>730</v>
      </c>
      <c r="C118" t="s">
        <v>14</v>
      </c>
      <c r="D118" s="2">
        <v>45497</v>
      </c>
      <c r="F118" s="2">
        <v>45521</v>
      </c>
      <c r="G118" s="2">
        <v>45528</v>
      </c>
      <c r="H118" s="1">
        <v>11609</v>
      </c>
      <c r="I118">
        <v>107.49</v>
      </c>
      <c r="J118" t="s">
        <v>16</v>
      </c>
      <c r="L118" t="s">
        <v>528</v>
      </c>
    </row>
    <row r="119" spans="1:12" x14ac:dyDescent="0.25">
      <c r="A119" t="s">
        <v>86</v>
      </c>
      <c r="B119" t="s">
        <v>304</v>
      </c>
      <c r="C119" t="s">
        <v>32</v>
      </c>
      <c r="D119" s="2">
        <v>45313</v>
      </c>
      <c r="E119" s="2">
        <v>45343</v>
      </c>
      <c r="F119" s="2">
        <v>45528</v>
      </c>
      <c r="G119" s="2">
        <v>45528</v>
      </c>
      <c r="H119" s="1">
        <v>7015</v>
      </c>
      <c r="I119">
        <v>154.18</v>
      </c>
      <c r="J119" t="s">
        <v>16</v>
      </c>
    </row>
    <row r="120" spans="1:12" x14ac:dyDescent="0.25">
      <c r="A120" t="s">
        <v>2</v>
      </c>
      <c r="B120" t="s">
        <v>383</v>
      </c>
      <c r="C120" t="s">
        <v>14</v>
      </c>
      <c r="D120" s="2">
        <v>45384</v>
      </c>
      <c r="E120" s="2">
        <v>45510</v>
      </c>
      <c r="F120" s="2">
        <v>45523</v>
      </c>
      <c r="G120" s="2">
        <v>45530</v>
      </c>
      <c r="H120" s="1">
        <v>16190</v>
      </c>
      <c r="I120">
        <v>101.19</v>
      </c>
      <c r="J120" t="s">
        <v>40</v>
      </c>
      <c r="K120" t="s">
        <v>528</v>
      </c>
      <c r="L120" t="s">
        <v>528</v>
      </c>
    </row>
    <row r="121" spans="1:12" x14ac:dyDescent="0.25">
      <c r="A121" t="s">
        <v>19</v>
      </c>
      <c r="B121" t="s">
        <v>621</v>
      </c>
      <c r="C121" t="s">
        <v>25</v>
      </c>
      <c r="D121" s="2">
        <v>45476</v>
      </c>
      <c r="F121" s="2">
        <v>45530</v>
      </c>
      <c r="G121" s="2">
        <v>45530</v>
      </c>
      <c r="H121">
        <v>350</v>
      </c>
      <c r="I121">
        <v>0</v>
      </c>
      <c r="J121" t="s">
        <v>40</v>
      </c>
      <c r="L121" t="s">
        <v>528</v>
      </c>
    </row>
    <row r="122" spans="1:12" x14ac:dyDescent="0.25">
      <c r="A122" t="s">
        <v>44</v>
      </c>
      <c r="B122" t="s">
        <v>138</v>
      </c>
      <c r="C122" t="s">
        <v>38</v>
      </c>
      <c r="D122" s="2">
        <v>45379</v>
      </c>
      <c r="F122" s="2">
        <v>45530</v>
      </c>
      <c r="G122" s="2">
        <v>45530</v>
      </c>
      <c r="H122" s="1">
        <v>3780</v>
      </c>
      <c r="I122">
        <v>106.48</v>
      </c>
      <c r="J122" t="s">
        <v>40</v>
      </c>
      <c r="K122" t="s">
        <v>528</v>
      </c>
      <c r="L122" t="s">
        <v>528</v>
      </c>
    </row>
    <row r="123" spans="1:12" x14ac:dyDescent="0.25">
      <c r="A123" t="s">
        <v>44</v>
      </c>
      <c r="B123" t="s">
        <v>422</v>
      </c>
      <c r="C123" t="s">
        <v>38</v>
      </c>
      <c r="D123" s="2">
        <v>45435</v>
      </c>
      <c r="F123" s="2">
        <v>45530</v>
      </c>
      <c r="G123" s="2">
        <v>45530</v>
      </c>
      <c r="H123">
        <v>594</v>
      </c>
      <c r="I123">
        <v>118.75</v>
      </c>
      <c r="J123" t="s">
        <v>40</v>
      </c>
      <c r="L123" t="s">
        <v>528</v>
      </c>
    </row>
    <row r="124" spans="1:12" x14ac:dyDescent="0.25">
      <c r="A124" t="s">
        <v>88</v>
      </c>
      <c r="B124" t="s">
        <v>145</v>
      </c>
      <c r="C124" t="s">
        <v>35</v>
      </c>
      <c r="D124" s="2">
        <v>45268</v>
      </c>
      <c r="F124" s="2">
        <v>45530</v>
      </c>
      <c r="G124" s="2">
        <v>45530</v>
      </c>
      <c r="H124" s="1">
        <v>4916</v>
      </c>
      <c r="I124">
        <v>136.57</v>
      </c>
      <c r="J124" t="s">
        <v>40</v>
      </c>
      <c r="L124" t="s">
        <v>528</v>
      </c>
    </row>
    <row r="125" spans="1:12" x14ac:dyDescent="0.25">
      <c r="A125" t="s">
        <v>88</v>
      </c>
      <c r="B125" t="s">
        <v>391</v>
      </c>
      <c r="C125" t="s">
        <v>38</v>
      </c>
      <c r="D125" s="2">
        <v>45419</v>
      </c>
      <c r="F125" s="2">
        <v>45530</v>
      </c>
      <c r="G125" s="2">
        <v>45530</v>
      </c>
      <c r="H125">
        <v>645</v>
      </c>
      <c r="I125">
        <v>129</v>
      </c>
      <c r="J125" t="s">
        <v>40</v>
      </c>
      <c r="K125" t="s">
        <v>528</v>
      </c>
      <c r="L125" t="s">
        <v>528</v>
      </c>
    </row>
    <row r="126" spans="1:12" x14ac:dyDescent="0.25">
      <c r="A126" t="s">
        <v>87</v>
      </c>
      <c r="B126" t="s">
        <v>640</v>
      </c>
      <c r="C126" t="s">
        <v>26</v>
      </c>
      <c r="D126" s="2">
        <v>45495</v>
      </c>
      <c r="F126" s="2">
        <v>45526</v>
      </c>
      <c r="G126" s="2">
        <v>45530</v>
      </c>
      <c r="H126" s="1">
        <v>7400</v>
      </c>
      <c r="I126">
        <v>54.81</v>
      </c>
      <c r="J126" t="s">
        <v>16</v>
      </c>
      <c r="L126" t="s">
        <v>528</v>
      </c>
    </row>
    <row r="127" spans="1:12" x14ac:dyDescent="0.25">
      <c r="A127" t="s">
        <v>19</v>
      </c>
      <c r="B127" t="s">
        <v>624</v>
      </c>
      <c r="C127" t="s">
        <v>25</v>
      </c>
      <c r="D127" s="2">
        <v>45476</v>
      </c>
      <c r="F127" s="2">
        <v>45531</v>
      </c>
      <c r="G127" s="2">
        <v>45531</v>
      </c>
      <c r="H127">
        <v>175</v>
      </c>
      <c r="I127">
        <v>0</v>
      </c>
      <c r="J127" t="s">
        <v>40</v>
      </c>
      <c r="L127" t="s">
        <v>528</v>
      </c>
    </row>
    <row r="128" spans="1:12" x14ac:dyDescent="0.25">
      <c r="A128" t="s">
        <v>88</v>
      </c>
      <c r="B128" t="s">
        <v>514</v>
      </c>
      <c r="C128" t="s">
        <v>25</v>
      </c>
      <c r="D128" s="2">
        <v>45448</v>
      </c>
      <c r="F128" s="2">
        <v>45531</v>
      </c>
      <c r="G128" s="2">
        <v>45531</v>
      </c>
      <c r="H128">
        <v>563</v>
      </c>
      <c r="I128">
        <v>12.5</v>
      </c>
      <c r="J128" t="s">
        <v>40</v>
      </c>
      <c r="L128" t="s">
        <v>528</v>
      </c>
    </row>
    <row r="129" spans="1:12" x14ac:dyDescent="0.25">
      <c r="A129" t="s">
        <v>4</v>
      </c>
      <c r="B129" t="s">
        <v>115</v>
      </c>
      <c r="C129" t="s">
        <v>55</v>
      </c>
      <c r="D129" s="2">
        <v>45148</v>
      </c>
      <c r="E129" s="2">
        <v>45222</v>
      </c>
      <c r="F129" s="2">
        <v>45531</v>
      </c>
      <c r="G129" s="2">
        <v>45531</v>
      </c>
      <c r="H129">
        <v>305</v>
      </c>
      <c r="I129">
        <v>122</v>
      </c>
      <c r="J129" t="s">
        <v>605</v>
      </c>
    </row>
    <row r="130" spans="1:12" x14ac:dyDescent="0.25">
      <c r="A130" t="s">
        <v>468</v>
      </c>
      <c r="B130" t="s">
        <v>657</v>
      </c>
      <c r="C130" t="s">
        <v>17</v>
      </c>
      <c r="D130" s="2">
        <v>45447</v>
      </c>
      <c r="E130" s="2">
        <v>45491</v>
      </c>
      <c r="F130" s="2">
        <v>45531</v>
      </c>
      <c r="G130" s="2">
        <v>45532</v>
      </c>
      <c r="H130" s="1">
        <v>4890</v>
      </c>
      <c r="I130">
        <v>116.43</v>
      </c>
      <c r="J130" t="s">
        <v>89</v>
      </c>
    </row>
    <row r="131" spans="1:12" x14ac:dyDescent="0.25">
      <c r="A131" t="s">
        <v>15</v>
      </c>
      <c r="B131" t="s">
        <v>622</v>
      </c>
      <c r="C131" t="s">
        <v>25</v>
      </c>
      <c r="D131" s="2">
        <v>45443</v>
      </c>
      <c r="F131" s="2">
        <v>45532</v>
      </c>
      <c r="G131" s="2">
        <v>45532</v>
      </c>
      <c r="H131">
        <v>740</v>
      </c>
      <c r="I131">
        <v>0</v>
      </c>
      <c r="J131" t="s">
        <v>40</v>
      </c>
      <c r="L131" t="s">
        <v>528</v>
      </c>
    </row>
    <row r="132" spans="1:12" x14ac:dyDescent="0.25">
      <c r="A132" t="s">
        <v>662</v>
      </c>
      <c r="B132" t="s">
        <v>697</v>
      </c>
      <c r="C132" t="s">
        <v>66</v>
      </c>
      <c r="D132" s="2">
        <v>45504</v>
      </c>
      <c r="F132" s="2">
        <v>45527</v>
      </c>
      <c r="G132" s="2">
        <v>45532</v>
      </c>
      <c r="H132" s="1">
        <v>14825</v>
      </c>
      <c r="I132">
        <v>114.92</v>
      </c>
      <c r="J132" t="s">
        <v>40</v>
      </c>
      <c r="K132" t="s">
        <v>528</v>
      </c>
      <c r="L132" t="s">
        <v>528</v>
      </c>
    </row>
    <row r="133" spans="1:12" x14ac:dyDescent="0.25">
      <c r="A133" t="s">
        <v>88</v>
      </c>
      <c r="B133" t="s">
        <v>761</v>
      </c>
      <c r="C133" t="s">
        <v>32</v>
      </c>
      <c r="D133" s="2">
        <v>45511</v>
      </c>
      <c r="E133" s="2">
        <v>45505</v>
      </c>
      <c r="F133" s="2">
        <v>45525</v>
      </c>
      <c r="G133" s="2">
        <v>45533</v>
      </c>
      <c r="H133" s="1">
        <v>18931</v>
      </c>
      <c r="I133">
        <v>116.86</v>
      </c>
      <c r="J133" t="s">
        <v>89</v>
      </c>
      <c r="L133" t="s">
        <v>528</v>
      </c>
    </row>
    <row r="134" spans="1:12" x14ac:dyDescent="0.25">
      <c r="A134" t="s">
        <v>43</v>
      </c>
      <c r="B134" t="s">
        <v>671</v>
      </c>
      <c r="C134" t="s">
        <v>32</v>
      </c>
      <c r="D134" s="2">
        <v>45239</v>
      </c>
      <c r="E134" s="2">
        <v>45503</v>
      </c>
      <c r="F134" s="2">
        <v>45523</v>
      </c>
      <c r="G134" s="2">
        <v>45533</v>
      </c>
      <c r="H134" s="1">
        <v>18140</v>
      </c>
      <c r="I134">
        <v>116.28</v>
      </c>
      <c r="J134" t="s">
        <v>89</v>
      </c>
      <c r="L134" t="s">
        <v>528</v>
      </c>
    </row>
    <row r="135" spans="1:12" x14ac:dyDescent="0.25">
      <c r="A135" t="s">
        <v>566</v>
      </c>
      <c r="B135" t="s">
        <v>755</v>
      </c>
      <c r="C135" t="s">
        <v>24</v>
      </c>
      <c r="D135" s="2">
        <v>45504</v>
      </c>
      <c r="F135" s="2">
        <v>45530</v>
      </c>
      <c r="G135" s="2">
        <v>45533</v>
      </c>
      <c r="H135" s="1">
        <v>15475</v>
      </c>
      <c r="I135">
        <v>107.47</v>
      </c>
      <c r="J135" t="s">
        <v>40</v>
      </c>
      <c r="K135" t="s">
        <v>528</v>
      </c>
      <c r="L135" t="s">
        <v>528</v>
      </c>
    </row>
    <row r="136" spans="1:12" x14ac:dyDescent="0.25">
      <c r="A136" t="s">
        <v>92</v>
      </c>
      <c r="B136" t="s">
        <v>298</v>
      </c>
      <c r="C136" t="s">
        <v>24</v>
      </c>
      <c r="D136" s="2">
        <v>45377</v>
      </c>
      <c r="F136" s="2">
        <v>45533</v>
      </c>
      <c r="G136" s="2">
        <v>45533</v>
      </c>
      <c r="H136">
        <v>170</v>
      </c>
      <c r="I136">
        <v>85</v>
      </c>
      <c r="J136" t="s">
        <v>40</v>
      </c>
      <c r="L136" t="s">
        <v>528</v>
      </c>
    </row>
    <row r="137" spans="1:12" x14ac:dyDescent="0.25">
      <c r="A137" t="s">
        <v>4</v>
      </c>
      <c r="B137" t="s">
        <v>118</v>
      </c>
      <c r="C137" t="s">
        <v>55</v>
      </c>
      <c r="D137" s="2">
        <v>45124</v>
      </c>
      <c r="F137" s="2">
        <v>45532</v>
      </c>
      <c r="G137" s="2">
        <v>45533</v>
      </c>
      <c r="H137" s="1">
        <v>6865</v>
      </c>
      <c r="I137">
        <v>95.34</v>
      </c>
      <c r="J137" t="s">
        <v>605</v>
      </c>
      <c r="L137" t="s">
        <v>528</v>
      </c>
    </row>
    <row r="138" spans="1:12" x14ac:dyDescent="0.25">
      <c r="A138" t="s">
        <v>19</v>
      </c>
      <c r="B138" t="s">
        <v>360</v>
      </c>
      <c r="C138" t="s">
        <v>20</v>
      </c>
      <c r="D138" s="2">
        <v>45407</v>
      </c>
      <c r="E138" s="2">
        <v>45503</v>
      </c>
      <c r="F138" s="2">
        <v>45524</v>
      </c>
      <c r="G138" s="2">
        <v>45533</v>
      </c>
      <c r="H138" s="1">
        <v>29390</v>
      </c>
      <c r="I138">
        <v>116.63</v>
      </c>
      <c r="J138" t="s">
        <v>16</v>
      </c>
      <c r="L138" t="s">
        <v>528</v>
      </c>
    </row>
    <row r="139" spans="1:12" x14ac:dyDescent="0.25">
      <c r="A139" t="s">
        <v>619</v>
      </c>
      <c r="B139" t="s">
        <v>620</v>
      </c>
      <c r="C139" t="s">
        <v>14</v>
      </c>
      <c r="D139" s="2">
        <v>45485</v>
      </c>
      <c r="F139" s="2">
        <v>45533</v>
      </c>
      <c r="G139" s="2">
        <v>45533</v>
      </c>
      <c r="H139">
        <v>350</v>
      </c>
      <c r="I139">
        <v>0</v>
      </c>
      <c r="J139" t="s">
        <v>16</v>
      </c>
      <c r="L139" t="s">
        <v>528</v>
      </c>
    </row>
    <row r="140" spans="1:12" x14ac:dyDescent="0.25">
      <c r="A140" t="s">
        <v>36</v>
      </c>
      <c r="B140" t="s">
        <v>433</v>
      </c>
      <c r="C140" t="s">
        <v>32</v>
      </c>
      <c r="D140" s="2">
        <v>45428</v>
      </c>
      <c r="F140" s="2">
        <v>45533</v>
      </c>
      <c r="G140" s="2">
        <v>45534</v>
      </c>
      <c r="H140" s="1">
        <v>5052</v>
      </c>
      <c r="I140">
        <v>140.33000000000001</v>
      </c>
      <c r="J140" t="s">
        <v>89</v>
      </c>
      <c r="L140" t="s">
        <v>528</v>
      </c>
    </row>
    <row r="141" spans="1:12" x14ac:dyDescent="0.25">
      <c r="A141" t="s">
        <v>3</v>
      </c>
      <c r="B141" t="s">
        <v>401</v>
      </c>
      <c r="C141" t="s">
        <v>98</v>
      </c>
      <c r="D141" s="2">
        <v>45425</v>
      </c>
      <c r="F141" s="2">
        <v>45534</v>
      </c>
      <c r="G141" s="2">
        <v>45534</v>
      </c>
      <c r="H141" s="1">
        <v>5601</v>
      </c>
      <c r="I141">
        <v>155.59</v>
      </c>
      <c r="J141" t="s">
        <v>89</v>
      </c>
      <c r="K141" t="s">
        <v>528</v>
      </c>
      <c r="L141" t="s">
        <v>528</v>
      </c>
    </row>
    <row r="142" spans="1:12" x14ac:dyDescent="0.25">
      <c r="A142" t="s">
        <v>44</v>
      </c>
      <c r="B142" t="s">
        <v>302</v>
      </c>
      <c r="C142" t="s">
        <v>38</v>
      </c>
      <c r="D142" s="2">
        <v>45320</v>
      </c>
      <c r="F142" s="2">
        <v>45531</v>
      </c>
      <c r="G142" s="2">
        <v>45534</v>
      </c>
      <c r="H142" s="1">
        <v>20642</v>
      </c>
      <c r="I142">
        <v>114.68</v>
      </c>
      <c r="J142" t="s">
        <v>40</v>
      </c>
      <c r="L142" t="s">
        <v>528</v>
      </c>
    </row>
    <row r="143" spans="1:12" x14ac:dyDescent="0.25">
      <c r="A143" t="s">
        <v>88</v>
      </c>
      <c r="B143" t="s">
        <v>168</v>
      </c>
      <c r="C143" t="s">
        <v>14</v>
      </c>
      <c r="D143" s="2">
        <v>45357</v>
      </c>
      <c r="E143" s="2">
        <v>45411</v>
      </c>
      <c r="F143" s="2">
        <v>45530</v>
      </c>
      <c r="G143" s="2">
        <v>45534</v>
      </c>
      <c r="H143" s="1">
        <v>15095</v>
      </c>
      <c r="I143">
        <v>111.81</v>
      </c>
      <c r="J143" t="s">
        <v>40</v>
      </c>
      <c r="L143" t="s">
        <v>528</v>
      </c>
    </row>
    <row r="144" spans="1:12" x14ac:dyDescent="0.25">
      <c r="A144" t="s">
        <v>88</v>
      </c>
      <c r="B144" t="s">
        <v>392</v>
      </c>
      <c r="C144" t="s">
        <v>25</v>
      </c>
      <c r="D144" s="2">
        <v>45407</v>
      </c>
      <c r="F144" s="2">
        <v>45532</v>
      </c>
      <c r="G144" s="2">
        <v>45534</v>
      </c>
      <c r="H144" s="1">
        <v>12421</v>
      </c>
      <c r="I144">
        <v>115</v>
      </c>
      <c r="J144" t="s">
        <v>40</v>
      </c>
      <c r="L144" t="s">
        <v>528</v>
      </c>
    </row>
    <row r="145" spans="1:12" x14ac:dyDescent="0.25">
      <c r="A145" t="s">
        <v>43</v>
      </c>
      <c r="B145" t="s">
        <v>623</v>
      </c>
      <c r="C145" t="s">
        <v>18</v>
      </c>
      <c r="D145" s="2">
        <v>45495</v>
      </c>
      <c r="F145" s="2">
        <v>45534</v>
      </c>
      <c r="G145" s="2">
        <v>45534</v>
      </c>
      <c r="H145" s="1">
        <v>3570</v>
      </c>
      <c r="I145">
        <v>0</v>
      </c>
      <c r="J145" t="s">
        <v>40</v>
      </c>
      <c r="L145" t="s">
        <v>528</v>
      </c>
    </row>
    <row r="146" spans="1:12" x14ac:dyDescent="0.25">
      <c r="A146" t="s">
        <v>111</v>
      </c>
      <c r="B146" t="s">
        <v>719</v>
      </c>
      <c r="C146" t="s">
        <v>14</v>
      </c>
      <c r="D146" s="2">
        <v>45511</v>
      </c>
      <c r="E146" s="2">
        <v>45511</v>
      </c>
      <c r="F146" s="2">
        <v>45516</v>
      </c>
      <c r="G146" s="2">
        <v>45534</v>
      </c>
      <c r="H146" s="1">
        <v>25740</v>
      </c>
      <c r="I146">
        <v>114.4</v>
      </c>
      <c r="J146" t="s">
        <v>16</v>
      </c>
    </row>
    <row r="147" spans="1:12" x14ac:dyDescent="0.25">
      <c r="A147" t="s">
        <v>87</v>
      </c>
      <c r="B147" t="s">
        <v>642</v>
      </c>
      <c r="C147" t="s">
        <v>26</v>
      </c>
      <c r="D147" s="2">
        <v>45496</v>
      </c>
      <c r="F147" s="2">
        <v>45531</v>
      </c>
      <c r="G147" s="2">
        <v>45534</v>
      </c>
      <c r="H147" s="1">
        <v>10400</v>
      </c>
      <c r="I147">
        <v>57.78</v>
      </c>
      <c r="J147" t="s">
        <v>16</v>
      </c>
      <c r="L147" t="s">
        <v>528</v>
      </c>
    </row>
    <row r="148" spans="1:12" x14ac:dyDescent="0.25">
      <c r="A148" t="s">
        <v>467</v>
      </c>
      <c r="B148" t="s">
        <v>635</v>
      </c>
      <c r="C148" t="s">
        <v>627</v>
      </c>
      <c r="D148" s="2">
        <v>45486</v>
      </c>
      <c r="F148" s="2">
        <v>45538</v>
      </c>
      <c r="G148" s="2">
        <v>45538</v>
      </c>
      <c r="H148">
        <v>395</v>
      </c>
      <c r="I148">
        <v>131.66999999999999</v>
      </c>
      <c r="J148" t="s">
        <v>89</v>
      </c>
      <c r="K148" t="s">
        <v>528</v>
      </c>
      <c r="L148" t="s">
        <v>528</v>
      </c>
    </row>
    <row r="149" spans="1:12" x14ac:dyDescent="0.25">
      <c r="A149" t="s">
        <v>56</v>
      </c>
      <c r="B149" t="s">
        <v>435</v>
      </c>
      <c r="C149" t="s">
        <v>14</v>
      </c>
      <c r="D149" s="2">
        <v>45428</v>
      </c>
      <c r="F149" s="2">
        <v>45538</v>
      </c>
      <c r="G149" s="2">
        <v>45538</v>
      </c>
      <c r="H149" s="1">
        <v>2695</v>
      </c>
      <c r="I149">
        <v>99.81</v>
      </c>
      <c r="J149" t="s">
        <v>140</v>
      </c>
      <c r="K149" t="s">
        <v>528</v>
      </c>
    </row>
    <row r="150" spans="1:12" x14ac:dyDescent="0.25">
      <c r="A150" t="s">
        <v>111</v>
      </c>
      <c r="B150" t="s">
        <v>489</v>
      </c>
      <c r="C150" t="s">
        <v>14</v>
      </c>
      <c r="D150" s="2">
        <v>45432</v>
      </c>
      <c r="E150" s="2">
        <v>45510</v>
      </c>
      <c r="F150" s="2">
        <v>45519</v>
      </c>
      <c r="G150" s="2">
        <v>45538</v>
      </c>
      <c r="H150" s="1">
        <v>17300</v>
      </c>
      <c r="I150">
        <v>115.33</v>
      </c>
      <c r="J150" t="s">
        <v>16</v>
      </c>
    </row>
    <row r="151" spans="1:12" x14ac:dyDescent="0.25">
      <c r="A151" t="s">
        <v>111</v>
      </c>
      <c r="B151" t="s">
        <v>490</v>
      </c>
      <c r="C151" t="s">
        <v>14</v>
      </c>
      <c r="D151" s="2">
        <v>45432</v>
      </c>
      <c r="E151" s="2">
        <v>45510</v>
      </c>
      <c r="F151" s="2">
        <v>45519</v>
      </c>
      <c r="G151" s="2">
        <v>45538</v>
      </c>
      <c r="H151" s="1">
        <v>17500</v>
      </c>
      <c r="I151">
        <v>79.28</v>
      </c>
      <c r="J151" t="s">
        <v>16</v>
      </c>
      <c r="L151" t="s">
        <v>528</v>
      </c>
    </row>
    <row r="152" spans="1:12" x14ac:dyDescent="0.25">
      <c r="A152" t="s">
        <v>3</v>
      </c>
      <c r="B152" t="s">
        <v>675</v>
      </c>
      <c r="C152" t="s">
        <v>42</v>
      </c>
      <c r="D152" s="2">
        <v>45358</v>
      </c>
      <c r="F152" s="2">
        <v>45538</v>
      </c>
      <c r="G152" s="2">
        <v>45539</v>
      </c>
      <c r="H152" s="1">
        <v>5570</v>
      </c>
      <c r="I152">
        <v>103.15</v>
      </c>
      <c r="J152" t="s">
        <v>89</v>
      </c>
      <c r="L152" t="s">
        <v>528</v>
      </c>
    </row>
    <row r="153" spans="1:12" x14ac:dyDescent="0.25">
      <c r="A153" t="s">
        <v>88</v>
      </c>
      <c r="B153" t="s">
        <v>350</v>
      </c>
      <c r="C153" t="s">
        <v>14</v>
      </c>
      <c r="D153" s="2">
        <v>45394</v>
      </c>
      <c r="F153" s="2">
        <v>45531</v>
      </c>
      <c r="G153" s="2">
        <v>45539</v>
      </c>
      <c r="H153" s="1">
        <v>30486</v>
      </c>
      <c r="I153">
        <v>112.91</v>
      </c>
      <c r="J153" t="s">
        <v>89</v>
      </c>
      <c r="L153" t="s">
        <v>528</v>
      </c>
    </row>
    <row r="154" spans="1:12" x14ac:dyDescent="0.25">
      <c r="A154" t="s">
        <v>4</v>
      </c>
      <c r="B154" t="s">
        <v>674</v>
      </c>
      <c r="C154" t="s">
        <v>17</v>
      </c>
      <c r="D154" s="2">
        <v>45503</v>
      </c>
      <c r="F154" s="2">
        <v>45538</v>
      </c>
      <c r="G154" s="2">
        <v>45539</v>
      </c>
      <c r="H154" s="1">
        <v>6775</v>
      </c>
      <c r="I154">
        <v>125.46</v>
      </c>
      <c r="J154" t="s">
        <v>89</v>
      </c>
      <c r="L154" t="s">
        <v>528</v>
      </c>
    </row>
    <row r="155" spans="1:12" x14ac:dyDescent="0.25">
      <c r="A155" t="s">
        <v>92</v>
      </c>
      <c r="B155" t="s">
        <v>149</v>
      </c>
      <c r="C155" t="s">
        <v>24</v>
      </c>
      <c r="D155" s="2">
        <v>45272</v>
      </c>
      <c r="F155" s="2">
        <v>45534</v>
      </c>
      <c r="G155" s="2">
        <v>45539</v>
      </c>
      <c r="H155" s="1">
        <v>15645</v>
      </c>
      <c r="I155">
        <v>144.86000000000001</v>
      </c>
      <c r="J155" t="s">
        <v>40</v>
      </c>
      <c r="L155" t="s">
        <v>528</v>
      </c>
    </row>
    <row r="156" spans="1:12" x14ac:dyDescent="0.25">
      <c r="A156" t="s">
        <v>29</v>
      </c>
      <c r="B156" t="s">
        <v>139</v>
      </c>
      <c r="C156" t="s">
        <v>14</v>
      </c>
      <c r="D156" s="2">
        <v>45391</v>
      </c>
      <c r="F156" s="2">
        <v>45539</v>
      </c>
      <c r="G156" s="2">
        <v>45539</v>
      </c>
      <c r="H156">
        <v>295</v>
      </c>
      <c r="I156">
        <v>10.93</v>
      </c>
      <c r="J156" t="s">
        <v>16</v>
      </c>
      <c r="L156" t="s">
        <v>528</v>
      </c>
    </row>
    <row r="157" spans="1:12" x14ac:dyDescent="0.25">
      <c r="A157" t="s">
        <v>566</v>
      </c>
      <c r="B157" t="s">
        <v>567</v>
      </c>
      <c r="C157" t="s">
        <v>24</v>
      </c>
      <c r="D157" s="2">
        <v>45478</v>
      </c>
      <c r="F157" s="2">
        <v>45534</v>
      </c>
      <c r="G157" s="2">
        <v>45540</v>
      </c>
      <c r="H157" s="1">
        <v>17001</v>
      </c>
      <c r="I157">
        <v>118.06</v>
      </c>
      <c r="J157" t="s">
        <v>40</v>
      </c>
      <c r="L157" t="s">
        <v>528</v>
      </c>
    </row>
    <row r="158" spans="1:12" x14ac:dyDescent="0.25">
      <c r="A158" t="s">
        <v>3</v>
      </c>
      <c r="B158" t="s">
        <v>365</v>
      </c>
      <c r="C158" t="s">
        <v>34</v>
      </c>
      <c r="D158" s="2">
        <v>45413</v>
      </c>
      <c r="F158" s="2">
        <v>45540</v>
      </c>
      <c r="G158" s="2">
        <v>45540</v>
      </c>
      <c r="H158">
        <v>230</v>
      </c>
      <c r="I158">
        <v>6.39</v>
      </c>
      <c r="J158" t="s">
        <v>605</v>
      </c>
      <c r="L158" t="s">
        <v>528</v>
      </c>
    </row>
    <row r="159" spans="1:12" x14ac:dyDescent="0.25">
      <c r="A159" t="s">
        <v>3</v>
      </c>
      <c r="B159" t="s">
        <v>766</v>
      </c>
      <c r="C159" t="s">
        <v>34</v>
      </c>
      <c r="D159" s="2">
        <v>45401</v>
      </c>
      <c r="F159" s="2">
        <v>45540</v>
      </c>
      <c r="G159" s="2">
        <v>45540</v>
      </c>
      <c r="H159" s="1">
        <v>2295</v>
      </c>
      <c r="I159">
        <v>63.75</v>
      </c>
      <c r="J159" t="s">
        <v>605</v>
      </c>
      <c r="K159" t="s">
        <v>528</v>
      </c>
      <c r="L159" t="s">
        <v>528</v>
      </c>
    </row>
    <row r="160" spans="1:12" x14ac:dyDescent="0.25">
      <c r="A160" t="s">
        <v>111</v>
      </c>
      <c r="B160" t="s">
        <v>698</v>
      </c>
      <c r="C160" t="s">
        <v>20</v>
      </c>
      <c r="D160" s="2">
        <v>45511</v>
      </c>
      <c r="E160" s="2">
        <v>45511</v>
      </c>
      <c r="F160" s="2">
        <v>45517</v>
      </c>
      <c r="G160" s="2">
        <v>45540</v>
      </c>
      <c r="H160" s="1">
        <v>19440</v>
      </c>
      <c r="I160">
        <v>114.35</v>
      </c>
      <c r="J160" t="s">
        <v>16</v>
      </c>
    </row>
    <row r="161" spans="1:12" x14ac:dyDescent="0.25">
      <c r="A161" t="s">
        <v>88</v>
      </c>
      <c r="B161" t="s">
        <v>161</v>
      </c>
      <c r="C161" t="s">
        <v>23</v>
      </c>
      <c r="D161" s="2">
        <v>45268</v>
      </c>
      <c r="F161" s="2">
        <v>45541</v>
      </c>
      <c r="G161" s="2">
        <v>45541</v>
      </c>
      <c r="H161" s="1">
        <v>5513</v>
      </c>
      <c r="I161">
        <v>122.5</v>
      </c>
      <c r="J161" t="s">
        <v>40</v>
      </c>
      <c r="L161" t="s">
        <v>528</v>
      </c>
    </row>
    <row r="162" spans="1:12" x14ac:dyDescent="0.25">
      <c r="A162" t="s">
        <v>5</v>
      </c>
      <c r="B162" t="s">
        <v>144</v>
      </c>
      <c r="C162" t="s">
        <v>66</v>
      </c>
      <c r="D162" s="2">
        <v>45377</v>
      </c>
      <c r="F162" s="2">
        <v>45541</v>
      </c>
      <c r="G162" s="2">
        <v>45541</v>
      </c>
      <c r="H162" s="1">
        <v>4385</v>
      </c>
      <c r="I162">
        <v>121.81</v>
      </c>
      <c r="J162" t="s">
        <v>40</v>
      </c>
      <c r="L162" t="s">
        <v>528</v>
      </c>
    </row>
    <row r="163" spans="1:12" x14ac:dyDescent="0.25">
      <c r="A163" t="s">
        <v>70</v>
      </c>
      <c r="B163" t="s">
        <v>90</v>
      </c>
      <c r="C163" t="s">
        <v>18</v>
      </c>
      <c r="D163" s="2">
        <v>44735</v>
      </c>
      <c r="E163" s="2">
        <v>45071</v>
      </c>
      <c r="F163" s="2">
        <v>44737</v>
      </c>
      <c r="G163" s="2">
        <v>45542</v>
      </c>
      <c r="H163">
        <v>0</v>
      </c>
      <c r="I163">
        <v>0</v>
      </c>
      <c r="J163" t="s">
        <v>16</v>
      </c>
    </row>
    <row r="164" spans="1:12" x14ac:dyDescent="0.25">
      <c r="A164" t="s">
        <v>39</v>
      </c>
      <c r="B164" t="s">
        <v>384</v>
      </c>
      <c r="C164" t="s">
        <v>14</v>
      </c>
      <c r="D164" s="2">
        <v>45414</v>
      </c>
      <c r="F164" s="2">
        <v>45540</v>
      </c>
      <c r="G164" s="2">
        <v>45544</v>
      </c>
      <c r="H164" s="1">
        <v>11645</v>
      </c>
      <c r="I164">
        <v>107.82</v>
      </c>
      <c r="J164" t="s">
        <v>40</v>
      </c>
      <c r="L164" t="s">
        <v>528</v>
      </c>
    </row>
    <row r="165" spans="1:12" x14ac:dyDescent="0.25">
      <c r="A165" t="s">
        <v>92</v>
      </c>
      <c r="B165" t="s">
        <v>595</v>
      </c>
      <c r="C165" t="s">
        <v>25</v>
      </c>
      <c r="D165" s="2">
        <v>45449</v>
      </c>
      <c r="F165" s="2">
        <v>45544</v>
      </c>
      <c r="G165" s="2">
        <v>45544</v>
      </c>
      <c r="H165">
        <v>535</v>
      </c>
      <c r="I165">
        <v>14.86</v>
      </c>
      <c r="J165" t="s">
        <v>40</v>
      </c>
      <c r="L165" t="s">
        <v>528</v>
      </c>
    </row>
    <row r="166" spans="1:12" x14ac:dyDescent="0.25">
      <c r="A166" t="s">
        <v>87</v>
      </c>
      <c r="B166" t="s">
        <v>643</v>
      </c>
      <c r="C166" t="s">
        <v>26</v>
      </c>
      <c r="D166" s="2">
        <v>45496</v>
      </c>
      <c r="F166" s="2">
        <v>45544</v>
      </c>
      <c r="G166" s="2">
        <v>45544</v>
      </c>
      <c r="H166" s="1">
        <v>3515</v>
      </c>
      <c r="I166">
        <v>78.11</v>
      </c>
      <c r="J166" t="s">
        <v>16</v>
      </c>
      <c r="L166" t="s">
        <v>528</v>
      </c>
    </row>
    <row r="167" spans="1:12" x14ac:dyDescent="0.25">
      <c r="A167" t="s">
        <v>88</v>
      </c>
      <c r="B167" t="s">
        <v>604</v>
      </c>
      <c r="C167" t="s">
        <v>114</v>
      </c>
      <c r="D167" s="2">
        <v>45300</v>
      </c>
      <c r="E167" s="2">
        <v>45485</v>
      </c>
      <c r="F167" s="2">
        <v>45544</v>
      </c>
      <c r="G167" s="2">
        <v>45545</v>
      </c>
      <c r="H167" s="1">
        <v>5771</v>
      </c>
      <c r="I167">
        <v>113.16</v>
      </c>
      <c r="J167" t="s">
        <v>89</v>
      </c>
      <c r="L167" t="s">
        <v>528</v>
      </c>
    </row>
    <row r="168" spans="1:12" x14ac:dyDescent="0.25">
      <c r="A168" t="s">
        <v>43</v>
      </c>
      <c r="B168" t="s">
        <v>633</v>
      </c>
      <c r="C168" t="s">
        <v>627</v>
      </c>
      <c r="D168" s="2">
        <v>45495</v>
      </c>
      <c r="F168" s="2">
        <v>45538</v>
      </c>
      <c r="G168" s="2">
        <v>45545</v>
      </c>
      <c r="H168" s="1">
        <v>21500</v>
      </c>
      <c r="I168">
        <v>119.44</v>
      </c>
      <c r="J168" t="s">
        <v>89</v>
      </c>
      <c r="K168" t="s">
        <v>528</v>
      </c>
      <c r="L168" t="s">
        <v>528</v>
      </c>
    </row>
    <row r="169" spans="1:12" x14ac:dyDescent="0.25">
      <c r="A169" t="s">
        <v>29</v>
      </c>
      <c r="B169" t="s">
        <v>329</v>
      </c>
      <c r="C169" t="s">
        <v>14</v>
      </c>
      <c r="D169" s="2">
        <v>45372</v>
      </c>
      <c r="F169" s="2">
        <v>45540</v>
      </c>
      <c r="G169" s="2">
        <v>45545</v>
      </c>
      <c r="H169" s="1">
        <v>9070</v>
      </c>
      <c r="I169">
        <v>111.98</v>
      </c>
      <c r="J169" t="s">
        <v>16</v>
      </c>
      <c r="K169" t="s">
        <v>528</v>
      </c>
      <c r="L169" t="s">
        <v>528</v>
      </c>
    </row>
    <row r="170" spans="1:12" x14ac:dyDescent="0.25">
      <c r="A170" t="s">
        <v>39</v>
      </c>
      <c r="B170" t="s">
        <v>554</v>
      </c>
      <c r="C170" t="s">
        <v>14</v>
      </c>
      <c r="D170" s="2">
        <v>45432</v>
      </c>
      <c r="F170" s="2">
        <v>45545</v>
      </c>
      <c r="G170" s="2">
        <v>45545</v>
      </c>
      <c r="H170" s="1">
        <v>2242</v>
      </c>
      <c r="I170">
        <v>49.82</v>
      </c>
      <c r="J170" t="s">
        <v>605</v>
      </c>
      <c r="L170" t="s">
        <v>528</v>
      </c>
    </row>
    <row r="171" spans="1:12" x14ac:dyDescent="0.25">
      <c r="A171" t="s">
        <v>15</v>
      </c>
      <c r="B171" t="s">
        <v>495</v>
      </c>
      <c r="C171" t="s">
        <v>18</v>
      </c>
      <c r="D171" s="2">
        <v>45453</v>
      </c>
      <c r="F171" s="2">
        <v>45545</v>
      </c>
      <c r="G171" s="2">
        <v>45546</v>
      </c>
      <c r="H171" s="1">
        <v>8495</v>
      </c>
      <c r="I171">
        <v>117.98</v>
      </c>
      <c r="J171" t="s">
        <v>40</v>
      </c>
      <c r="L171" t="s">
        <v>528</v>
      </c>
    </row>
    <row r="172" spans="1:12" x14ac:dyDescent="0.25">
      <c r="A172" t="s">
        <v>33</v>
      </c>
      <c r="B172" t="s">
        <v>560</v>
      </c>
      <c r="C172" t="s">
        <v>23</v>
      </c>
      <c r="D172" s="2">
        <v>45476</v>
      </c>
      <c r="E172" s="2">
        <v>45481</v>
      </c>
      <c r="F172" s="2">
        <v>45546</v>
      </c>
      <c r="G172" s="2">
        <v>45546</v>
      </c>
      <c r="H172" s="1">
        <v>2000</v>
      </c>
      <c r="I172">
        <v>55.56</v>
      </c>
      <c r="J172" t="s">
        <v>40</v>
      </c>
      <c r="L172" t="s">
        <v>528</v>
      </c>
    </row>
    <row r="173" spans="1:12" x14ac:dyDescent="0.25">
      <c r="A173" t="s">
        <v>33</v>
      </c>
      <c r="B173" t="s">
        <v>561</v>
      </c>
      <c r="C173" t="s">
        <v>23</v>
      </c>
      <c r="D173" s="2">
        <v>45476</v>
      </c>
      <c r="E173" s="2">
        <v>45481</v>
      </c>
      <c r="F173" s="2">
        <v>45546</v>
      </c>
      <c r="G173" s="2">
        <v>45546</v>
      </c>
      <c r="H173" s="1">
        <v>1680</v>
      </c>
      <c r="I173">
        <v>46.67</v>
      </c>
      <c r="J173" t="s">
        <v>40</v>
      </c>
      <c r="K173" t="s">
        <v>528</v>
      </c>
      <c r="L173" t="s">
        <v>528</v>
      </c>
    </row>
    <row r="174" spans="1:12" x14ac:dyDescent="0.25">
      <c r="A174" t="s">
        <v>39</v>
      </c>
      <c r="B174" t="s">
        <v>421</v>
      </c>
      <c r="C174" t="s">
        <v>14</v>
      </c>
      <c r="D174" s="2">
        <v>45429</v>
      </c>
      <c r="F174" s="2">
        <v>45544</v>
      </c>
      <c r="G174" s="2">
        <v>45546</v>
      </c>
      <c r="H174" s="1">
        <v>14700</v>
      </c>
      <c r="I174">
        <v>108.89</v>
      </c>
      <c r="J174" t="s">
        <v>605</v>
      </c>
      <c r="L174" t="s">
        <v>528</v>
      </c>
    </row>
    <row r="175" spans="1:12" x14ac:dyDescent="0.25">
      <c r="A175" t="s">
        <v>65</v>
      </c>
      <c r="B175" t="s">
        <v>764</v>
      </c>
      <c r="C175" t="s">
        <v>20</v>
      </c>
      <c r="D175" s="2">
        <v>45499</v>
      </c>
      <c r="F175" s="2">
        <v>45546</v>
      </c>
      <c r="G175" s="2">
        <v>45547</v>
      </c>
      <c r="H175" s="1">
        <v>6141</v>
      </c>
      <c r="I175">
        <v>113.72</v>
      </c>
      <c r="J175" t="s">
        <v>40</v>
      </c>
      <c r="K175" t="s">
        <v>528</v>
      </c>
      <c r="L175" t="s">
        <v>528</v>
      </c>
    </row>
    <row r="176" spans="1:12" x14ac:dyDescent="0.25">
      <c r="A176" t="s">
        <v>69</v>
      </c>
      <c r="B176" t="s">
        <v>530</v>
      </c>
      <c r="C176" t="s">
        <v>14</v>
      </c>
      <c r="D176" s="2">
        <v>45460</v>
      </c>
      <c r="F176" s="2">
        <v>45547</v>
      </c>
      <c r="G176" s="2">
        <v>45547</v>
      </c>
      <c r="H176" s="1">
        <v>4423</v>
      </c>
      <c r="I176">
        <v>122.85</v>
      </c>
      <c r="J176" t="s">
        <v>40</v>
      </c>
      <c r="L176" t="s">
        <v>528</v>
      </c>
    </row>
    <row r="177" spans="1:12" x14ac:dyDescent="0.25">
      <c r="A177" t="s">
        <v>33</v>
      </c>
      <c r="B177" t="s">
        <v>694</v>
      </c>
      <c r="C177" t="s">
        <v>23</v>
      </c>
      <c r="D177" s="2">
        <v>45504</v>
      </c>
      <c r="F177" s="2">
        <v>45547</v>
      </c>
      <c r="G177" s="2">
        <v>45547</v>
      </c>
      <c r="H177" s="1">
        <v>2610</v>
      </c>
      <c r="I177">
        <v>72.5</v>
      </c>
      <c r="J177" t="s">
        <v>40</v>
      </c>
      <c r="K177" t="s">
        <v>528</v>
      </c>
      <c r="L177" t="s">
        <v>528</v>
      </c>
    </row>
    <row r="178" spans="1:12" x14ac:dyDescent="0.25">
      <c r="A178" t="s">
        <v>92</v>
      </c>
      <c r="B178" t="s">
        <v>395</v>
      </c>
      <c r="C178" t="s">
        <v>14</v>
      </c>
      <c r="D178" s="2">
        <v>45134</v>
      </c>
      <c r="F178" s="2">
        <v>45546</v>
      </c>
      <c r="G178" s="2">
        <v>45548</v>
      </c>
      <c r="H178" s="1">
        <v>11380</v>
      </c>
      <c r="I178">
        <v>105.37</v>
      </c>
      <c r="J178" t="s">
        <v>605</v>
      </c>
      <c r="L178" t="s">
        <v>528</v>
      </c>
    </row>
    <row r="179" spans="1:12" x14ac:dyDescent="0.25">
      <c r="A179" t="s">
        <v>699</v>
      </c>
      <c r="B179" t="s">
        <v>700</v>
      </c>
      <c r="C179" t="s">
        <v>31</v>
      </c>
      <c r="D179" s="2">
        <v>45506</v>
      </c>
      <c r="F179" s="2">
        <v>45542</v>
      </c>
      <c r="G179" s="2">
        <v>45549</v>
      </c>
      <c r="H179" s="1">
        <v>10125</v>
      </c>
      <c r="I179">
        <v>112.5</v>
      </c>
      <c r="J179" t="s">
        <v>89</v>
      </c>
    </row>
    <row r="180" spans="1:12" x14ac:dyDescent="0.25">
      <c r="A180" t="s">
        <v>88</v>
      </c>
      <c r="B180" t="s">
        <v>529</v>
      </c>
      <c r="C180" t="s">
        <v>32</v>
      </c>
      <c r="D180" s="2">
        <v>45392</v>
      </c>
      <c r="F180" s="2">
        <v>45538</v>
      </c>
      <c r="G180" s="2">
        <v>45551</v>
      </c>
      <c r="H180" s="1">
        <v>29645</v>
      </c>
      <c r="I180">
        <v>122</v>
      </c>
      <c r="J180" t="s">
        <v>89</v>
      </c>
      <c r="L180" t="s">
        <v>528</v>
      </c>
    </row>
    <row r="181" spans="1:12" x14ac:dyDescent="0.25">
      <c r="A181" t="s">
        <v>43</v>
      </c>
      <c r="B181" t="s">
        <v>626</v>
      </c>
      <c r="C181" t="s">
        <v>627</v>
      </c>
      <c r="D181" s="2">
        <v>45495</v>
      </c>
      <c r="F181" s="2">
        <v>45546</v>
      </c>
      <c r="G181" s="2">
        <v>45551</v>
      </c>
      <c r="H181" s="1">
        <v>16290</v>
      </c>
      <c r="I181">
        <v>113.13</v>
      </c>
      <c r="J181" t="s">
        <v>89</v>
      </c>
      <c r="L181" t="s">
        <v>528</v>
      </c>
    </row>
    <row r="182" spans="1:12" x14ac:dyDescent="0.25">
      <c r="A182" t="s">
        <v>65</v>
      </c>
      <c r="B182" t="s">
        <v>695</v>
      </c>
      <c r="C182" t="s">
        <v>20</v>
      </c>
      <c r="D182" s="2">
        <v>45504</v>
      </c>
      <c r="F182" s="2">
        <v>45548</v>
      </c>
      <c r="G182" s="2">
        <v>45551</v>
      </c>
      <c r="H182" s="1">
        <v>7490</v>
      </c>
      <c r="I182">
        <v>138.69999999999999</v>
      </c>
      <c r="J182" t="s">
        <v>40</v>
      </c>
      <c r="L182" t="s">
        <v>528</v>
      </c>
    </row>
    <row r="183" spans="1:12" x14ac:dyDescent="0.25">
      <c r="A183" t="s">
        <v>33</v>
      </c>
      <c r="B183" t="s">
        <v>568</v>
      </c>
      <c r="C183" t="s">
        <v>23</v>
      </c>
      <c r="D183" s="2">
        <v>45476</v>
      </c>
      <c r="F183" s="2">
        <v>45548</v>
      </c>
      <c r="G183" s="2">
        <v>45551</v>
      </c>
      <c r="H183" s="1">
        <v>10435</v>
      </c>
      <c r="I183">
        <v>115.94</v>
      </c>
      <c r="J183" t="s">
        <v>40</v>
      </c>
      <c r="L183" t="s">
        <v>528</v>
      </c>
    </row>
    <row r="184" spans="1:12" x14ac:dyDescent="0.25">
      <c r="A184" t="s">
        <v>3</v>
      </c>
      <c r="B184" t="s">
        <v>756</v>
      </c>
      <c r="C184" t="s">
        <v>757</v>
      </c>
      <c r="D184" s="2">
        <v>45511</v>
      </c>
      <c r="F184" s="2">
        <v>45552</v>
      </c>
      <c r="G184" s="2">
        <v>45553</v>
      </c>
      <c r="H184" s="1">
        <v>6285</v>
      </c>
      <c r="I184">
        <v>116.39</v>
      </c>
      <c r="J184" t="s">
        <v>89</v>
      </c>
      <c r="K184" t="s">
        <v>528</v>
      </c>
      <c r="L184" t="s">
        <v>528</v>
      </c>
    </row>
    <row r="185" spans="1:12" x14ac:dyDescent="0.25">
      <c r="A185" t="s">
        <v>111</v>
      </c>
      <c r="B185" t="s">
        <v>171</v>
      </c>
      <c r="C185" t="s">
        <v>14</v>
      </c>
      <c r="D185" s="2">
        <v>45301</v>
      </c>
      <c r="F185" s="2">
        <v>45526</v>
      </c>
      <c r="G185" s="2">
        <v>45553</v>
      </c>
      <c r="H185" s="1">
        <v>51210</v>
      </c>
      <c r="I185">
        <v>111.57</v>
      </c>
      <c r="J185" t="s">
        <v>16</v>
      </c>
    </row>
    <row r="186" spans="1:12" x14ac:dyDescent="0.25">
      <c r="A186" t="s">
        <v>661</v>
      </c>
      <c r="B186" t="s">
        <v>714</v>
      </c>
      <c r="C186" t="s">
        <v>14</v>
      </c>
      <c r="D186" s="2">
        <v>45505</v>
      </c>
      <c r="F186" s="2">
        <v>45538</v>
      </c>
      <c r="G186" s="2">
        <v>45553</v>
      </c>
      <c r="H186" s="1">
        <v>100000</v>
      </c>
      <c r="I186">
        <v>115.74</v>
      </c>
      <c r="J186" t="s">
        <v>16</v>
      </c>
    </row>
    <row r="187" spans="1:12" x14ac:dyDescent="0.25">
      <c r="A187" t="s">
        <v>88</v>
      </c>
      <c r="B187" t="s">
        <v>709</v>
      </c>
      <c r="C187" t="s">
        <v>23</v>
      </c>
      <c r="D187" s="2">
        <v>45484</v>
      </c>
      <c r="F187" s="2">
        <v>45554</v>
      </c>
      <c r="G187" s="2">
        <v>45554</v>
      </c>
      <c r="H187" s="1">
        <v>1145</v>
      </c>
      <c r="I187">
        <v>42.41</v>
      </c>
      <c r="J187" t="s">
        <v>40</v>
      </c>
      <c r="K187" t="s">
        <v>528</v>
      </c>
      <c r="L187" t="s">
        <v>528</v>
      </c>
    </row>
    <row r="188" spans="1:12" x14ac:dyDescent="0.25">
      <c r="A188" t="s">
        <v>88</v>
      </c>
      <c r="B188" t="s">
        <v>418</v>
      </c>
      <c r="C188" t="s">
        <v>23</v>
      </c>
      <c r="D188" s="2">
        <v>45432</v>
      </c>
      <c r="F188" s="2">
        <v>45554</v>
      </c>
      <c r="G188" s="2">
        <v>45555</v>
      </c>
      <c r="H188" s="1">
        <v>5874</v>
      </c>
      <c r="I188">
        <v>82.74</v>
      </c>
      <c r="J188" t="s">
        <v>40</v>
      </c>
      <c r="L188" t="s">
        <v>528</v>
      </c>
    </row>
    <row r="189" spans="1:12" x14ac:dyDescent="0.25">
      <c r="A189" t="s">
        <v>88</v>
      </c>
      <c r="B189" t="s">
        <v>174</v>
      </c>
      <c r="C189" t="s">
        <v>17</v>
      </c>
      <c r="D189" s="2">
        <v>45246</v>
      </c>
      <c r="F189" s="2">
        <v>45565</v>
      </c>
      <c r="G189" s="2">
        <v>45565</v>
      </c>
      <c r="H189" s="1">
        <v>3425</v>
      </c>
      <c r="I189">
        <v>126.85</v>
      </c>
      <c r="J189" t="s">
        <v>89</v>
      </c>
    </row>
    <row r="190" spans="1:12" x14ac:dyDescent="0.25">
      <c r="A190" t="s">
        <v>15</v>
      </c>
      <c r="B190" t="s">
        <v>472</v>
      </c>
      <c r="C190" t="s">
        <v>25</v>
      </c>
      <c r="D190" s="2">
        <v>45447</v>
      </c>
      <c r="E190" s="2">
        <v>45450</v>
      </c>
      <c r="F190" s="2">
        <v>45565</v>
      </c>
      <c r="G190" s="2">
        <v>45565</v>
      </c>
      <c r="H190">
        <v>115</v>
      </c>
      <c r="I190">
        <v>115</v>
      </c>
      <c r="J190" t="s">
        <v>40</v>
      </c>
    </row>
    <row r="191" spans="1:12" x14ac:dyDescent="0.25">
      <c r="A191" t="s">
        <v>39</v>
      </c>
      <c r="B191" t="s">
        <v>498</v>
      </c>
      <c r="C191" t="s">
        <v>493</v>
      </c>
      <c r="D191" s="2">
        <v>45454</v>
      </c>
      <c r="F191" s="2">
        <v>45566</v>
      </c>
      <c r="G191" s="2">
        <v>45566</v>
      </c>
      <c r="H191" s="1">
        <v>3090</v>
      </c>
      <c r="I191">
        <v>171.67</v>
      </c>
      <c r="J191" t="s">
        <v>89</v>
      </c>
    </row>
    <row r="192" spans="1:12" x14ac:dyDescent="0.25">
      <c r="A192" t="s">
        <v>5</v>
      </c>
      <c r="B192" t="s">
        <v>703</v>
      </c>
      <c r="C192" t="s">
        <v>42</v>
      </c>
      <c r="D192" s="2">
        <v>45509</v>
      </c>
      <c r="F192" s="2">
        <v>45566</v>
      </c>
      <c r="G192" s="2">
        <v>45566</v>
      </c>
      <c r="H192" s="1">
        <v>3030</v>
      </c>
      <c r="I192">
        <v>112.22</v>
      </c>
      <c r="J192" t="s">
        <v>89</v>
      </c>
      <c r="K192" t="s">
        <v>528</v>
      </c>
      <c r="L192" t="s">
        <v>528</v>
      </c>
    </row>
    <row r="193" spans="1:12" x14ac:dyDescent="0.25">
      <c r="A193" t="s">
        <v>39</v>
      </c>
      <c r="B193" t="s">
        <v>385</v>
      </c>
      <c r="C193" t="s">
        <v>14</v>
      </c>
      <c r="D193" s="2">
        <v>45414</v>
      </c>
      <c r="F193" s="2">
        <v>45565</v>
      </c>
      <c r="G193" s="2">
        <v>45566</v>
      </c>
      <c r="H193" s="1">
        <v>5943</v>
      </c>
      <c r="I193">
        <v>102.47</v>
      </c>
      <c r="J193" t="s">
        <v>40</v>
      </c>
      <c r="L193" t="s">
        <v>528</v>
      </c>
    </row>
    <row r="194" spans="1:12" x14ac:dyDescent="0.25">
      <c r="A194" t="s">
        <v>92</v>
      </c>
      <c r="B194" t="s">
        <v>431</v>
      </c>
      <c r="C194" t="s">
        <v>23</v>
      </c>
      <c r="D194" s="2">
        <v>45434</v>
      </c>
      <c r="F194" s="2">
        <v>45566</v>
      </c>
      <c r="G194" s="2">
        <v>45566</v>
      </c>
      <c r="H194" s="1">
        <v>5723</v>
      </c>
      <c r="I194">
        <v>158.96</v>
      </c>
      <c r="J194" t="s">
        <v>40</v>
      </c>
      <c r="L194" t="s">
        <v>528</v>
      </c>
    </row>
    <row r="195" spans="1:12" x14ac:dyDescent="0.25">
      <c r="A195" t="s">
        <v>39</v>
      </c>
      <c r="B195" t="s">
        <v>424</v>
      </c>
      <c r="C195" t="s">
        <v>14</v>
      </c>
      <c r="D195" s="2">
        <v>45432</v>
      </c>
      <c r="F195" s="2">
        <v>45566</v>
      </c>
      <c r="G195" s="2">
        <v>45566</v>
      </c>
      <c r="H195" s="1">
        <v>4263</v>
      </c>
      <c r="I195">
        <v>0</v>
      </c>
      <c r="J195" t="s">
        <v>605</v>
      </c>
      <c r="L195" t="s">
        <v>528</v>
      </c>
    </row>
    <row r="196" spans="1:12" x14ac:dyDescent="0.25">
      <c r="A196" t="s">
        <v>15</v>
      </c>
      <c r="B196" t="s">
        <v>355</v>
      </c>
      <c r="C196" t="s">
        <v>35</v>
      </c>
      <c r="D196" s="2">
        <v>45413</v>
      </c>
      <c r="F196" s="2">
        <v>45566</v>
      </c>
      <c r="G196" s="2">
        <v>45567</v>
      </c>
      <c r="H196" s="1">
        <v>7156</v>
      </c>
      <c r="I196">
        <v>135.01</v>
      </c>
      <c r="J196" t="s">
        <v>40</v>
      </c>
      <c r="L196" t="s">
        <v>528</v>
      </c>
    </row>
    <row r="197" spans="1:12" x14ac:dyDescent="0.25">
      <c r="A197" t="s">
        <v>88</v>
      </c>
      <c r="B197" t="s">
        <v>525</v>
      </c>
      <c r="C197" t="s">
        <v>34</v>
      </c>
      <c r="D197" s="2">
        <v>45455</v>
      </c>
      <c r="F197" s="2">
        <v>45567</v>
      </c>
      <c r="G197" s="2">
        <v>45567</v>
      </c>
      <c r="H197" s="1">
        <v>3275</v>
      </c>
      <c r="I197">
        <v>90.97</v>
      </c>
      <c r="J197" t="s">
        <v>40</v>
      </c>
      <c r="L197" t="s">
        <v>528</v>
      </c>
    </row>
    <row r="198" spans="1:12" x14ac:dyDescent="0.25">
      <c r="A198" t="s">
        <v>111</v>
      </c>
      <c r="B198" t="s">
        <v>146</v>
      </c>
      <c r="C198" t="s">
        <v>14</v>
      </c>
      <c r="D198" s="2">
        <v>45296</v>
      </c>
      <c r="F198" s="2">
        <v>45551</v>
      </c>
      <c r="G198" s="2">
        <v>45567</v>
      </c>
      <c r="H198" s="1">
        <v>77940</v>
      </c>
      <c r="I198">
        <v>133.22999999999999</v>
      </c>
      <c r="J198" t="s">
        <v>16</v>
      </c>
    </row>
    <row r="199" spans="1:12" x14ac:dyDescent="0.25">
      <c r="A199" t="s">
        <v>39</v>
      </c>
      <c r="B199" t="s">
        <v>430</v>
      </c>
      <c r="C199" t="s">
        <v>14</v>
      </c>
      <c r="D199" s="2">
        <v>45429</v>
      </c>
      <c r="F199" s="2">
        <v>45566</v>
      </c>
      <c r="G199" s="2">
        <v>45567</v>
      </c>
      <c r="H199" s="1">
        <v>9272</v>
      </c>
      <c r="I199">
        <v>128.77000000000001</v>
      </c>
      <c r="J199" t="s">
        <v>605</v>
      </c>
      <c r="L199" t="s">
        <v>528</v>
      </c>
    </row>
    <row r="200" spans="1:12" x14ac:dyDescent="0.25">
      <c r="A200" t="s">
        <v>36</v>
      </c>
      <c r="B200" t="s">
        <v>134</v>
      </c>
      <c r="C200" t="s">
        <v>49</v>
      </c>
      <c r="D200" s="2">
        <v>45373</v>
      </c>
      <c r="F200" s="2">
        <v>45566</v>
      </c>
      <c r="G200" s="2">
        <v>45568</v>
      </c>
      <c r="H200" s="1">
        <v>10780</v>
      </c>
      <c r="I200">
        <v>107.8</v>
      </c>
      <c r="J200" t="s">
        <v>89</v>
      </c>
      <c r="L200" t="s">
        <v>528</v>
      </c>
    </row>
    <row r="201" spans="1:12" x14ac:dyDescent="0.25">
      <c r="A201" t="s">
        <v>111</v>
      </c>
      <c r="B201" t="s">
        <v>148</v>
      </c>
      <c r="C201" t="s">
        <v>14</v>
      </c>
      <c r="D201" s="2">
        <v>45296</v>
      </c>
      <c r="F201" s="2">
        <v>45568</v>
      </c>
      <c r="G201" s="2">
        <v>45568</v>
      </c>
      <c r="H201" s="1">
        <v>1170</v>
      </c>
      <c r="I201">
        <v>26</v>
      </c>
      <c r="J201" t="s">
        <v>16</v>
      </c>
    </row>
    <row r="202" spans="1:12" x14ac:dyDescent="0.25">
      <c r="A202" t="s">
        <v>3</v>
      </c>
      <c r="B202" t="s">
        <v>101</v>
      </c>
      <c r="C202" t="s">
        <v>98</v>
      </c>
      <c r="D202" s="2">
        <v>44956</v>
      </c>
      <c r="E202" s="2">
        <v>45478</v>
      </c>
      <c r="F202" s="2">
        <v>45567</v>
      </c>
      <c r="G202" s="2">
        <v>45569</v>
      </c>
      <c r="H202" s="1">
        <v>10333</v>
      </c>
      <c r="I202">
        <v>127.56</v>
      </c>
      <c r="J202" t="s">
        <v>89</v>
      </c>
      <c r="L202" t="s">
        <v>528</v>
      </c>
    </row>
    <row r="203" spans="1:12" x14ac:dyDescent="0.25">
      <c r="A203" t="s">
        <v>39</v>
      </c>
      <c r="B203" t="s">
        <v>425</v>
      </c>
      <c r="C203" t="s">
        <v>14</v>
      </c>
      <c r="D203" s="2">
        <v>45434</v>
      </c>
      <c r="F203" s="2">
        <v>45568</v>
      </c>
      <c r="G203" s="2">
        <v>45569</v>
      </c>
      <c r="H203" s="1">
        <v>7985</v>
      </c>
      <c r="I203">
        <v>110.91</v>
      </c>
      <c r="J203" t="s">
        <v>605</v>
      </c>
      <c r="L203" t="s">
        <v>528</v>
      </c>
    </row>
    <row r="204" spans="1:12" x14ac:dyDescent="0.25">
      <c r="A204" t="s">
        <v>111</v>
      </c>
      <c r="B204" t="s">
        <v>147</v>
      </c>
      <c r="C204" t="s">
        <v>14</v>
      </c>
      <c r="D204" s="2">
        <v>45296</v>
      </c>
      <c r="F204" s="2">
        <v>45569</v>
      </c>
      <c r="G204" s="2">
        <v>45569</v>
      </c>
      <c r="H204" s="1">
        <v>20610</v>
      </c>
      <c r="I204">
        <v>458</v>
      </c>
      <c r="J204" t="s">
        <v>16</v>
      </c>
    </row>
    <row r="205" spans="1:12" x14ac:dyDescent="0.25">
      <c r="A205" t="s">
        <v>166</v>
      </c>
      <c r="B205" t="s">
        <v>406</v>
      </c>
      <c r="C205" t="s">
        <v>72</v>
      </c>
      <c r="D205" s="2">
        <v>45182</v>
      </c>
      <c r="F205" s="2">
        <v>45566</v>
      </c>
      <c r="G205" s="2">
        <v>45569</v>
      </c>
      <c r="H205" s="1">
        <v>9580</v>
      </c>
      <c r="I205">
        <v>88.7</v>
      </c>
      <c r="J205" t="s">
        <v>16</v>
      </c>
      <c r="L205" t="s">
        <v>528</v>
      </c>
    </row>
    <row r="206" spans="1:12" x14ac:dyDescent="0.25">
      <c r="A206" t="s">
        <v>564</v>
      </c>
      <c r="B206" t="s">
        <v>597</v>
      </c>
      <c r="C206" t="s">
        <v>14</v>
      </c>
      <c r="D206" s="2">
        <v>45476</v>
      </c>
      <c r="F206" s="2">
        <v>45570</v>
      </c>
      <c r="G206" s="2">
        <v>45570</v>
      </c>
      <c r="H206" s="1">
        <v>1940</v>
      </c>
      <c r="I206">
        <v>53.89</v>
      </c>
      <c r="J206" t="s">
        <v>40</v>
      </c>
      <c r="L206" t="s">
        <v>528</v>
      </c>
    </row>
    <row r="207" spans="1:12" x14ac:dyDescent="0.25">
      <c r="A207" t="s">
        <v>564</v>
      </c>
      <c r="B207" t="s">
        <v>598</v>
      </c>
      <c r="C207" t="s">
        <v>18</v>
      </c>
      <c r="D207" s="2">
        <v>45476</v>
      </c>
      <c r="F207" s="2">
        <v>45570</v>
      </c>
      <c r="G207" s="2">
        <v>45570</v>
      </c>
      <c r="H207" s="1">
        <v>1950</v>
      </c>
      <c r="I207">
        <v>54.17</v>
      </c>
      <c r="J207" t="s">
        <v>40</v>
      </c>
      <c r="L207" t="s">
        <v>528</v>
      </c>
    </row>
    <row r="208" spans="1:12" x14ac:dyDescent="0.25">
      <c r="A208" t="s">
        <v>93</v>
      </c>
      <c r="B208" t="s">
        <v>306</v>
      </c>
      <c r="C208" t="s">
        <v>14</v>
      </c>
      <c r="D208" s="2">
        <v>45387</v>
      </c>
      <c r="F208" s="2">
        <v>45570</v>
      </c>
      <c r="G208" s="2">
        <v>45570</v>
      </c>
      <c r="H208" s="1">
        <v>65000</v>
      </c>
      <c r="I208">
        <v>722.22</v>
      </c>
      <c r="J208" t="s">
        <v>16</v>
      </c>
    </row>
    <row r="209" spans="1:12" x14ac:dyDescent="0.25">
      <c r="A209" t="s">
        <v>29</v>
      </c>
      <c r="B209" t="s">
        <v>122</v>
      </c>
      <c r="C209" t="s">
        <v>46</v>
      </c>
      <c r="D209" s="2">
        <v>45100</v>
      </c>
      <c r="F209" s="2">
        <v>45572</v>
      </c>
      <c r="G209" s="2">
        <v>45572</v>
      </c>
      <c r="H209" s="1">
        <v>1270</v>
      </c>
      <c r="I209">
        <v>47.04</v>
      </c>
      <c r="J209" t="s">
        <v>89</v>
      </c>
      <c r="L209" t="s">
        <v>528</v>
      </c>
    </row>
    <row r="210" spans="1:12" x14ac:dyDescent="0.25">
      <c r="A210" t="s">
        <v>39</v>
      </c>
      <c r="B210" t="s">
        <v>405</v>
      </c>
      <c r="C210" t="s">
        <v>14</v>
      </c>
      <c r="D210" s="2">
        <v>45415</v>
      </c>
      <c r="F210" s="2">
        <v>45572</v>
      </c>
      <c r="G210" s="2">
        <v>45572</v>
      </c>
      <c r="H210">
        <v>638</v>
      </c>
      <c r="I210">
        <v>23.62</v>
      </c>
      <c r="J210" t="s">
        <v>605</v>
      </c>
    </row>
    <row r="211" spans="1:12" x14ac:dyDescent="0.25">
      <c r="A211" t="s">
        <v>39</v>
      </c>
      <c r="B211" t="s">
        <v>299</v>
      </c>
      <c r="C211" t="s">
        <v>20</v>
      </c>
      <c r="D211" s="2">
        <v>45194</v>
      </c>
      <c r="F211" s="2">
        <v>45572</v>
      </c>
      <c r="G211" s="2">
        <v>45572</v>
      </c>
      <c r="H211" s="1">
        <v>1743</v>
      </c>
      <c r="I211">
        <v>48.42</v>
      </c>
      <c r="J211" t="s">
        <v>605</v>
      </c>
      <c r="L211" t="s">
        <v>528</v>
      </c>
    </row>
    <row r="212" spans="1:12" x14ac:dyDescent="0.25">
      <c r="A212" t="s">
        <v>33</v>
      </c>
      <c r="B212" t="s">
        <v>664</v>
      </c>
      <c r="C212" t="s">
        <v>14</v>
      </c>
      <c r="D212" s="2">
        <v>45499</v>
      </c>
      <c r="F212" s="2">
        <v>45565</v>
      </c>
      <c r="G212" s="2">
        <v>45574</v>
      </c>
      <c r="H212" s="1">
        <v>29860</v>
      </c>
      <c r="I212">
        <v>113.11</v>
      </c>
      <c r="J212" t="s">
        <v>140</v>
      </c>
      <c r="L212" t="s">
        <v>528</v>
      </c>
    </row>
    <row r="213" spans="1:12" x14ac:dyDescent="0.25">
      <c r="A213" t="s">
        <v>3</v>
      </c>
      <c r="B213" t="s">
        <v>176</v>
      </c>
      <c r="C213" t="s">
        <v>20</v>
      </c>
      <c r="D213" s="2">
        <v>45391</v>
      </c>
      <c r="F213" s="2">
        <v>45572</v>
      </c>
      <c r="G213" s="2">
        <v>45574</v>
      </c>
      <c r="H213" s="1">
        <v>8555</v>
      </c>
      <c r="I213">
        <v>105.62</v>
      </c>
      <c r="J213" t="s">
        <v>140</v>
      </c>
      <c r="L213" t="s">
        <v>528</v>
      </c>
    </row>
    <row r="214" spans="1:12" x14ac:dyDescent="0.25">
      <c r="A214" t="s">
        <v>4</v>
      </c>
      <c r="B214" t="s">
        <v>119</v>
      </c>
      <c r="C214" t="s">
        <v>55</v>
      </c>
      <c r="D214" s="2">
        <v>45124</v>
      </c>
      <c r="F214" s="2">
        <v>45573</v>
      </c>
      <c r="G214" s="2">
        <v>45574</v>
      </c>
      <c r="H214" s="1">
        <v>5925</v>
      </c>
      <c r="I214">
        <v>164.58</v>
      </c>
      <c r="J214" t="s">
        <v>605</v>
      </c>
      <c r="L214" t="s">
        <v>528</v>
      </c>
    </row>
    <row r="215" spans="1:12" x14ac:dyDescent="0.25">
      <c r="A215" t="s">
        <v>63</v>
      </c>
      <c r="B215" t="s">
        <v>381</v>
      </c>
      <c r="C215" t="s">
        <v>24</v>
      </c>
      <c r="D215" s="2">
        <v>45413</v>
      </c>
      <c r="F215" s="2">
        <v>45572</v>
      </c>
      <c r="G215" s="2">
        <v>45575</v>
      </c>
      <c r="H215" s="1">
        <v>16785</v>
      </c>
      <c r="I215">
        <v>119.89</v>
      </c>
      <c r="J215" t="s">
        <v>40</v>
      </c>
      <c r="L215" t="s">
        <v>528</v>
      </c>
    </row>
    <row r="216" spans="1:12" x14ac:dyDescent="0.25">
      <c r="A216" t="s">
        <v>3</v>
      </c>
      <c r="B216" t="s">
        <v>310</v>
      </c>
      <c r="C216" t="s">
        <v>20</v>
      </c>
      <c r="D216" s="2">
        <v>45398</v>
      </c>
      <c r="F216" s="2">
        <v>45575</v>
      </c>
      <c r="G216" s="2">
        <v>45575</v>
      </c>
      <c r="H216" s="1">
        <v>3950</v>
      </c>
      <c r="I216">
        <v>146.30000000000001</v>
      </c>
      <c r="J216" t="s">
        <v>140</v>
      </c>
      <c r="L216" t="s">
        <v>528</v>
      </c>
    </row>
    <row r="217" spans="1:12" x14ac:dyDescent="0.25">
      <c r="A217" t="s">
        <v>2</v>
      </c>
      <c r="B217" t="s">
        <v>331</v>
      </c>
      <c r="C217" t="s">
        <v>34</v>
      </c>
      <c r="D217" s="2">
        <v>45405</v>
      </c>
      <c r="F217" s="2">
        <v>45576</v>
      </c>
      <c r="G217" s="2">
        <v>45576</v>
      </c>
      <c r="H217" s="1">
        <v>4631</v>
      </c>
      <c r="I217">
        <v>132.30000000000001</v>
      </c>
      <c r="J217" t="s">
        <v>40</v>
      </c>
      <c r="L217" t="s">
        <v>528</v>
      </c>
    </row>
    <row r="218" spans="1:12" x14ac:dyDescent="0.25">
      <c r="A218" t="s">
        <v>88</v>
      </c>
      <c r="B218" t="s">
        <v>361</v>
      </c>
      <c r="C218" t="s">
        <v>20</v>
      </c>
      <c r="D218" s="2">
        <v>45412</v>
      </c>
      <c r="F218" s="2">
        <v>45572</v>
      </c>
      <c r="G218" s="2">
        <v>45576</v>
      </c>
      <c r="H218" s="1">
        <v>15162</v>
      </c>
      <c r="I218">
        <v>112.31</v>
      </c>
      <c r="J218" t="s">
        <v>40</v>
      </c>
      <c r="L218" t="s">
        <v>528</v>
      </c>
    </row>
    <row r="219" spans="1:12" x14ac:dyDescent="0.25">
      <c r="A219" t="s">
        <v>92</v>
      </c>
      <c r="B219" t="s">
        <v>609</v>
      </c>
      <c r="C219" t="s">
        <v>23</v>
      </c>
      <c r="D219" s="2">
        <v>45484</v>
      </c>
      <c r="F219" s="2">
        <v>45572</v>
      </c>
      <c r="G219" s="2">
        <v>45576</v>
      </c>
      <c r="H219" s="1">
        <v>18434</v>
      </c>
      <c r="I219">
        <v>139.13</v>
      </c>
      <c r="J219" t="s">
        <v>40</v>
      </c>
      <c r="L219" t="s">
        <v>528</v>
      </c>
    </row>
    <row r="220" spans="1:12" x14ac:dyDescent="0.25">
      <c r="A220" t="s">
        <v>39</v>
      </c>
      <c r="B220" t="s">
        <v>656</v>
      </c>
      <c r="C220" t="s">
        <v>14</v>
      </c>
      <c r="D220" s="2">
        <v>45485</v>
      </c>
      <c r="E220" s="2">
        <v>45492</v>
      </c>
      <c r="F220" s="2">
        <v>45572</v>
      </c>
      <c r="G220" s="2">
        <v>45576</v>
      </c>
      <c r="H220" s="1">
        <v>21175</v>
      </c>
      <c r="I220">
        <v>117.64</v>
      </c>
      <c r="J220" t="s">
        <v>140</v>
      </c>
      <c r="L220" t="s">
        <v>528</v>
      </c>
    </row>
    <row r="221" spans="1:12" x14ac:dyDescent="0.25">
      <c r="A221" t="s">
        <v>3</v>
      </c>
      <c r="B221" t="s">
        <v>173</v>
      </c>
      <c r="C221" t="s">
        <v>20</v>
      </c>
      <c r="D221" s="2">
        <v>45320</v>
      </c>
      <c r="F221" s="2">
        <v>45576</v>
      </c>
      <c r="G221" s="2">
        <v>45576</v>
      </c>
      <c r="H221" s="1">
        <v>1620</v>
      </c>
      <c r="I221">
        <v>108</v>
      </c>
      <c r="J221" t="s">
        <v>605</v>
      </c>
      <c r="L221" t="s">
        <v>528</v>
      </c>
    </row>
    <row r="222" spans="1:12" x14ac:dyDescent="0.25">
      <c r="A222" t="s">
        <v>116</v>
      </c>
      <c r="B222" t="s">
        <v>311</v>
      </c>
      <c r="C222" t="s">
        <v>55</v>
      </c>
      <c r="D222" s="2">
        <v>45397</v>
      </c>
      <c r="F222" s="2">
        <v>45570</v>
      </c>
      <c r="G222" s="2">
        <v>45577</v>
      </c>
      <c r="H222" s="1">
        <v>6159</v>
      </c>
      <c r="I222">
        <v>85.54</v>
      </c>
      <c r="J222" t="s">
        <v>89</v>
      </c>
    </row>
    <row r="223" spans="1:12" x14ac:dyDescent="0.25">
      <c r="A223" t="s">
        <v>88</v>
      </c>
      <c r="B223" t="s">
        <v>631</v>
      </c>
      <c r="C223" t="s">
        <v>34</v>
      </c>
      <c r="D223" s="2">
        <v>45484</v>
      </c>
      <c r="F223" s="2">
        <v>45570</v>
      </c>
      <c r="G223" s="2">
        <v>45577</v>
      </c>
      <c r="H223" s="1">
        <v>10490</v>
      </c>
      <c r="I223">
        <v>116.56</v>
      </c>
      <c r="J223" t="s">
        <v>89</v>
      </c>
      <c r="L223" t="s">
        <v>528</v>
      </c>
    </row>
    <row r="224" spans="1:12" x14ac:dyDescent="0.25">
      <c r="A224" t="s">
        <v>165</v>
      </c>
      <c r="B224" t="s">
        <v>362</v>
      </c>
      <c r="C224" t="s">
        <v>55</v>
      </c>
      <c r="D224" s="2">
        <v>45407</v>
      </c>
      <c r="F224" s="2">
        <v>45570</v>
      </c>
      <c r="G224" s="2">
        <v>45577</v>
      </c>
      <c r="H224" s="1">
        <v>5100</v>
      </c>
      <c r="I224">
        <v>94.44</v>
      </c>
      <c r="J224" t="s">
        <v>605</v>
      </c>
      <c r="L224" t="s">
        <v>528</v>
      </c>
    </row>
    <row r="225" spans="1:12" x14ac:dyDescent="0.25">
      <c r="A225" t="s">
        <v>2</v>
      </c>
      <c r="B225" t="s">
        <v>172</v>
      </c>
      <c r="C225" t="s">
        <v>20</v>
      </c>
      <c r="D225" s="2">
        <v>45358</v>
      </c>
      <c r="F225" s="2">
        <v>45579</v>
      </c>
      <c r="G225" s="2">
        <v>45579</v>
      </c>
      <c r="H225" s="1">
        <v>3169</v>
      </c>
      <c r="I225">
        <v>117.36</v>
      </c>
      <c r="J225" t="s">
        <v>89</v>
      </c>
      <c r="L225" t="s">
        <v>528</v>
      </c>
    </row>
    <row r="226" spans="1:12" x14ac:dyDescent="0.25">
      <c r="A226" t="s">
        <v>3</v>
      </c>
      <c r="B226" t="s">
        <v>571</v>
      </c>
      <c r="C226" t="s">
        <v>46</v>
      </c>
      <c r="D226" s="2">
        <v>45471</v>
      </c>
      <c r="F226" s="2">
        <v>45572</v>
      </c>
      <c r="G226" s="2">
        <v>45579</v>
      </c>
      <c r="H226" s="1">
        <v>25787</v>
      </c>
      <c r="I226">
        <v>119.38</v>
      </c>
      <c r="J226" t="s">
        <v>89</v>
      </c>
      <c r="L226" t="s">
        <v>528</v>
      </c>
    </row>
    <row r="227" spans="1:12" x14ac:dyDescent="0.25">
      <c r="A227" t="s">
        <v>3</v>
      </c>
      <c r="B227" t="s">
        <v>308</v>
      </c>
      <c r="C227" t="s">
        <v>32</v>
      </c>
      <c r="D227" s="2">
        <v>45394</v>
      </c>
      <c r="F227" s="2">
        <v>45579</v>
      </c>
      <c r="G227" s="2">
        <v>45579</v>
      </c>
      <c r="H227" s="1">
        <v>2313</v>
      </c>
      <c r="I227">
        <v>128.47</v>
      </c>
      <c r="J227" t="s">
        <v>89</v>
      </c>
      <c r="L227" t="s">
        <v>528</v>
      </c>
    </row>
    <row r="228" spans="1:12" x14ac:dyDescent="0.25">
      <c r="A228" t="s">
        <v>88</v>
      </c>
      <c r="B228" t="s">
        <v>660</v>
      </c>
      <c r="C228" t="s">
        <v>32</v>
      </c>
      <c r="D228" s="2">
        <v>45490</v>
      </c>
      <c r="F228" s="2">
        <v>45579</v>
      </c>
      <c r="G228" s="2">
        <v>45579</v>
      </c>
      <c r="H228">
        <v>390</v>
      </c>
      <c r="I228">
        <v>0</v>
      </c>
      <c r="J228" t="s">
        <v>89</v>
      </c>
    </row>
    <row r="229" spans="1:12" x14ac:dyDescent="0.25">
      <c r="A229" t="s">
        <v>39</v>
      </c>
      <c r="B229" t="s">
        <v>100</v>
      </c>
      <c r="C229" t="s">
        <v>14</v>
      </c>
      <c r="D229" s="2">
        <v>44939</v>
      </c>
      <c r="F229" s="2">
        <v>45573</v>
      </c>
      <c r="G229" s="2">
        <v>45579</v>
      </c>
      <c r="H229" s="1">
        <v>15615</v>
      </c>
      <c r="I229">
        <v>115.67</v>
      </c>
      <c r="J229" t="s">
        <v>605</v>
      </c>
      <c r="L229" t="s">
        <v>528</v>
      </c>
    </row>
    <row r="230" spans="1:12" x14ac:dyDescent="0.25">
      <c r="A230" t="s">
        <v>3</v>
      </c>
      <c r="B230" t="s">
        <v>710</v>
      </c>
      <c r="C230" t="s">
        <v>14</v>
      </c>
      <c r="D230" s="2">
        <v>45478</v>
      </c>
      <c r="F230" s="2">
        <v>45579</v>
      </c>
      <c r="G230" s="2">
        <v>45579</v>
      </c>
      <c r="H230">
        <v>995</v>
      </c>
      <c r="I230">
        <v>22.11</v>
      </c>
      <c r="J230" t="s">
        <v>605</v>
      </c>
      <c r="K230" t="s">
        <v>528</v>
      </c>
      <c r="L230" t="s">
        <v>528</v>
      </c>
    </row>
    <row r="231" spans="1:12" x14ac:dyDescent="0.25">
      <c r="A231" t="s">
        <v>92</v>
      </c>
      <c r="B231" t="s">
        <v>603</v>
      </c>
      <c r="C231" t="s">
        <v>24</v>
      </c>
      <c r="D231" s="2">
        <v>45482</v>
      </c>
      <c r="E231" s="2">
        <v>45485</v>
      </c>
      <c r="F231" s="2">
        <v>45575</v>
      </c>
      <c r="G231" s="2">
        <v>45580</v>
      </c>
      <c r="H231" s="1">
        <v>16625</v>
      </c>
      <c r="I231">
        <v>115.45</v>
      </c>
      <c r="J231" t="s">
        <v>40</v>
      </c>
      <c r="L231" t="s">
        <v>528</v>
      </c>
    </row>
    <row r="232" spans="1:12" x14ac:dyDescent="0.25">
      <c r="A232" t="s">
        <v>39</v>
      </c>
      <c r="B232" t="s">
        <v>517</v>
      </c>
      <c r="C232" t="s">
        <v>20</v>
      </c>
      <c r="D232" s="2">
        <v>45460</v>
      </c>
      <c r="F232" s="2">
        <v>45580</v>
      </c>
      <c r="G232" s="2">
        <v>45580</v>
      </c>
      <c r="H232" s="1">
        <v>1350</v>
      </c>
      <c r="I232">
        <v>112.5</v>
      </c>
      <c r="J232" t="s">
        <v>140</v>
      </c>
      <c r="L232" t="s">
        <v>528</v>
      </c>
    </row>
    <row r="233" spans="1:12" x14ac:dyDescent="0.25">
      <c r="A233" t="s">
        <v>39</v>
      </c>
      <c r="B233" t="s">
        <v>428</v>
      </c>
      <c r="C233" t="s">
        <v>14</v>
      </c>
      <c r="D233" s="2">
        <v>45432</v>
      </c>
      <c r="F233" s="2">
        <v>45579</v>
      </c>
      <c r="G233" s="2">
        <v>45580</v>
      </c>
      <c r="H233" s="1">
        <v>9555</v>
      </c>
      <c r="I233">
        <v>132.71</v>
      </c>
      <c r="J233" t="s">
        <v>605</v>
      </c>
      <c r="L233" t="s">
        <v>528</v>
      </c>
    </row>
    <row r="234" spans="1:12" x14ac:dyDescent="0.25">
      <c r="A234" t="s">
        <v>39</v>
      </c>
      <c r="B234" t="s">
        <v>404</v>
      </c>
      <c r="C234" t="s">
        <v>34</v>
      </c>
      <c r="D234" s="2">
        <v>45422</v>
      </c>
      <c r="F234" s="2">
        <v>45579</v>
      </c>
      <c r="G234" s="2">
        <v>45580</v>
      </c>
      <c r="H234" s="1">
        <v>6280</v>
      </c>
      <c r="I234">
        <v>116.3</v>
      </c>
      <c r="J234" t="s">
        <v>605</v>
      </c>
      <c r="L234" t="s">
        <v>528</v>
      </c>
    </row>
    <row r="235" spans="1:12" x14ac:dyDescent="0.25">
      <c r="A235" t="s">
        <v>69</v>
      </c>
      <c r="B235" t="s">
        <v>630</v>
      </c>
      <c r="C235" t="s">
        <v>26</v>
      </c>
      <c r="D235" s="2">
        <v>45496</v>
      </c>
      <c r="F235" s="2">
        <v>45579</v>
      </c>
      <c r="G235" s="2">
        <v>45581</v>
      </c>
      <c r="H235" s="1">
        <v>9917</v>
      </c>
      <c r="I235">
        <v>91.83</v>
      </c>
      <c r="J235" t="s">
        <v>40</v>
      </c>
      <c r="L235" t="s">
        <v>528</v>
      </c>
    </row>
    <row r="236" spans="1:12" x14ac:dyDescent="0.25">
      <c r="A236" t="s">
        <v>92</v>
      </c>
      <c r="B236" t="s">
        <v>569</v>
      </c>
      <c r="C236" t="s">
        <v>24</v>
      </c>
      <c r="D236" s="2">
        <v>45482</v>
      </c>
      <c r="F236" s="2">
        <v>45581</v>
      </c>
      <c r="G236" s="2">
        <v>45581</v>
      </c>
      <c r="H236" s="1">
        <v>3550</v>
      </c>
      <c r="I236">
        <v>98.61</v>
      </c>
      <c r="J236" t="s">
        <v>40</v>
      </c>
      <c r="L236" t="s">
        <v>528</v>
      </c>
    </row>
    <row r="237" spans="1:12" x14ac:dyDescent="0.25">
      <c r="A237" t="s">
        <v>39</v>
      </c>
      <c r="B237" t="s">
        <v>427</v>
      </c>
      <c r="C237" t="s">
        <v>14</v>
      </c>
      <c r="D237" s="2">
        <v>45432</v>
      </c>
      <c r="F237" s="2">
        <v>45581</v>
      </c>
      <c r="G237" s="2">
        <v>45581</v>
      </c>
      <c r="H237" s="1">
        <v>4505</v>
      </c>
      <c r="I237">
        <v>125.13</v>
      </c>
      <c r="J237" t="s">
        <v>605</v>
      </c>
      <c r="L237" t="s">
        <v>528</v>
      </c>
    </row>
    <row r="238" spans="1:12" x14ac:dyDescent="0.25">
      <c r="A238" t="s">
        <v>27</v>
      </c>
      <c r="B238" t="s">
        <v>332</v>
      </c>
      <c r="C238" t="s">
        <v>28</v>
      </c>
      <c r="D238" s="2">
        <v>45405</v>
      </c>
      <c r="F238" s="2">
        <v>45579</v>
      </c>
      <c r="G238" s="2">
        <v>45582</v>
      </c>
      <c r="H238" s="1">
        <v>12978</v>
      </c>
      <c r="I238">
        <v>120.16</v>
      </c>
      <c r="J238" t="s">
        <v>89</v>
      </c>
      <c r="L238" t="s">
        <v>528</v>
      </c>
    </row>
    <row r="239" spans="1:12" x14ac:dyDescent="0.25">
      <c r="A239" t="s">
        <v>566</v>
      </c>
      <c r="B239" t="s">
        <v>600</v>
      </c>
      <c r="C239" t="s">
        <v>24</v>
      </c>
      <c r="D239" s="2">
        <v>45478</v>
      </c>
      <c r="F239" s="2">
        <v>45582</v>
      </c>
      <c r="G239" s="2">
        <v>45582</v>
      </c>
      <c r="H239" s="1">
        <v>3115</v>
      </c>
      <c r="I239">
        <v>115.37</v>
      </c>
      <c r="J239" t="s">
        <v>40</v>
      </c>
      <c r="L239" t="s">
        <v>528</v>
      </c>
    </row>
    <row r="240" spans="1:12" x14ac:dyDescent="0.25">
      <c r="A240" t="s">
        <v>39</v>
      </c>
      <c r="B240" t="s">
        <v>434</v>
      </c>
      <c r="C240" t="s">
        <v>14</v>
      </c>
      <c r="D240" s="2">
        <v>45427</v>
      </c>
      <c r="F240" s="2">
        <v>45580</v>
      </c>
      <c r="G240" s="2">
        <v>45582</v>
      </c>
      <c r="H240" s="1">
        <v>9004</v>
      </c>
      <c r="I240">
        <v>111.16</v>
      </c>
      <c r="J240" t="s">
        <v>605</v>
      </c>
      <c r="L240" t="s">
        <v>528</v>
      </c>
    </row>
    <row r="241" spans="1:12" x14ac:dyDescent="0.25">
      <c r="A241" t="s">
        <v>61</v>
      </c>
      <c r="B241" t="s">
        <v>356</v>
      </c>
      <c r="C241" t="s">
        <v>18</v>
      </c>
      <c r="D241" s="2">
        <v>45413</v>
      </c>
      <c r="F241" s="2">
        <v>45583</v>
      </c>
      <c r="G241" s="2">
        <v>45583</v>
      </c>
      <c r="H241" s="1">
        <v>6510</v>
      </c>
      <c r="I241">
        <v>245.67</v>
      </c>
      <c r="J241" t="s">
        <v>40</v>
      </c>
      <c r="L241" t="s">
        <v>528</v>
      </c>
    </row>
    <row r="242" spans="1:12" x14ac:dyDescent="0.25">
      <c r="A242" t="s">
        <v>29</v>
      </c>
      <c r="B242" t="s">
        <v>515</v>
      </c>
      <c r="C242" t="s">
        <v>14</v>
      </c>
      <c r="D242" s="2">
        <v>45460</v>
      </c>
      <c r="F242" s="2">
        <v>45582</v>
      </c>
      <c r="G242" s="2">
        <v>45583</v>
      </c>
      <c r="H242" s="1">
        <v>9109</v>
      </c>
      <c r="I242">
        <v>132.01</v>
      </c>
      <c r="J242" t="s">
        <v>40</v>
      </c>
      <c r="L242" t="s">
        <v>528</v>
      </c>
    </row>
    <row r="243" spans="1:12" x14ac:dyDescent="0.25">
      <c r="A243" t="s">
        <v>92</v>
      </c>
      <c r="B243" t="s">
        <v>518</v>
      </c>
      <c r="C243" t="s">
        <v>14</v>
      </c>
      <c r="D243" s="2">
        <v>45455</v>
      </c>
      <c r="F243" s="2">
        <v>45572</v>
      </c>
      <c r="G243" s="2">
        <v>45583</v>
      </c>
      <c r="H243" s="1">
        <v>42185</v>
      </c>
      <c r="I243">
        <v>117.18</v>
      </c>
      <c r="J243" t="s">
        <v>16</v>
      </c>
      <c r="K243" t="s">
        <v>528</v>
      </c>
      <c r="L243" t="s">
        <v>528</v>
      </c>
    </row>
    <row r="244" spans="1:12" x14ac:dyDescent="0.25">
      <c r="A244" t="s">
        <v>104</v>
      </c>
      <c r="B244" t="s">
        <v>497</v>
      </c>
      <c r="C244" t="s">
        <v>18</v>
      </c>
      <c r="D244" s="2">
        <v>45450</v>
      </c>
      <c r="F244" s="2">
        <v>45570</v>
      </c>
      <c r="G244" s="2">
        <v>45584</v>
      </c>
      <c r="H244" s="1">
        <v>11265</v>
      </c>
      <c r="I244">
        <v>83.44</v>
      </c>
      <c r="J244" t="s">
        <v>40</v>
      </c>
      <c r="L244" t="s">
        <v>528</v>
      </c>
    </row>
    <row r="245" spans="1:12" x14ac:dyDescent="0.25">
      <c r="A245" t="s">
        <v>33</v>
      </c>
      <c r="B245" t="s">
        <v>157</v>
      </c>
      <c r="C245" t="s">
        <v>18</v>
      </c>
      <c r="D245" s="2">
        <v>45345</v>
      </c>
      <c r="F245" s="2">
        <v>45586</v>
      </c>
      <c r="G245" s="2">
        <v>45586</v>
      </c>
      <c r="H245" s="1">
        <v>3355</v>
      </c>
      <c r="I245">
        <v>104.84</v>
      </c>
      <c r="J245" t="s">
        <v>40</v>
      </c>
      <c r="L245" t="s">
        <v>528</v>
      </c>
    </row>
    <row r="246" spans="1:12" x14ac:dyDescent="0.25">
      <c r="A246" t="s">
        <v>3</v>
      </c>
      <c r="B246" t="s">
        <v>573</v>
      </c>
      <c r="C246" t="s">
        <v>14</v>
      </c>
      <c r="D246" s="2">
        <v>45478</v>
      </c>
      <c r="F246" s="2">
        <v>45579</v>
      </c>
      <c r="G246" s="2">
        <v>45586</v>
      </c>
      <c r="H246" s="1">
        <v>25129</v>
      </c>
      <c r="I246">
        <v>116.34</v>
      </c>
      <c r="J246" t="s">
        <v>605</v>
      </c>
      <c r="L246" t="s">
        <v>528</v>
      </c>
    </row>
    <row r="247" spans="1:12" x14ac:dyDescent="0.25">
      <c r="A247" t="s">
        <v>104</v>
      </c>
      <c r="B247" t="s">
        <v>175</v>
      </c>
      <c r="C247" t="s">
        <v>163</v>
      </c>
      <c r="D247" s="2">
        <v>45275</v>
      </c>
      <c r="F247" s="2">
        <v>45586</v>
      </c>
      <c r="G247" s="2">
        <v>45587</v>
      </c>
      <c r="H247" s="1">
        <v>6150</v>
      </c>
      <c r="I247">
        <v>113.89</v>
      </c>
      <c r="J247" t="s">
        <v>89</v>
      </c>
    </row>
    <row r="248" spans="1:12" x14ac:dyDescent="0.25">
      <c r="A248" t="s">
        <v>116</v>
      </c>
      <c r="B248" t="s">
        <v>516</v>
      </c>
      <c r="C248" t="s">
        <v>72</v>
      </c>
      <c r="D248" s="2">
        <v>45460</v>
      </c>
      <c r="F248" s="2">
        <v>45586</v>
      </c>
      <c r="G248" s="2">
        <v>45587</v>
      </c>
      <c r="H248" s="1">
        <v>7175</v>
      </c>
      <c r="I248">
        <v>132.87</v>
      </c>
      <c r="J248" t="s">
        <v>89</v>
      </c>
    </row>
    <row r="249" spans="1:12" x14ac:dyDescent="0.25">
      <c r="A249" t="s">
        <v>141</v>
      </c>
      <c r="B249" t="s">
        <v>647</v>
      </c>
      <c r="C249" t="s">
        <v>24</v>
      </c>
      <c r="D249" s="2">
        <v>45497</v>
      </c>
      <c r="F249" s="2">
        <v>45569</v>
      </c>
      <c r="G249" s="2">
        <v>45587</v>
      </c>
      <c r="H249" s="1">
        <v>5000</v>
      </c>
      <c r="I249">
        <v>69.44</v>
      </c>
      <c r="J249" t="s">
        <v>40</v>
      </c>
      <c r="L249" t="s">
        <v>528</v>
      </c>
    </row>
    <row r="250" spans="1:12" x14ac:dyDescent="0.25">
      <c r="A250" t="s">
        <v>15</v>
      </c>
      <c r="B250" t="s">
        <v>153</v>
      </c>
      <c r="C250" t="s">
        <v>25</v>
      </c>
      <c r="D250" s="2">
        <v>45371</v>
      </c>
      <c r="F250" s="2">
        <v>45565</v>
      </c>
      <c r="G250" s="2">
        <v>45587</v>
      </c>
      <c r="H250" s="1">
        <v>65665</v>
      </c>
      <c r="I250">
        <v>107.3</v>
      </c>
      <c r="J250" t="s">
        <v>40</v>
      </c>
    </row>
    <row r="251" spans="1:12" x14ac:dyDescent="0.25">
      <c r="A251" t="s">
        <v>88</v>
      </c>
      <c r="B251" t="s">
        <v>572</v>
      </c>
      <c r="C251" t="s">
        <v>66</v>
      </c>
      <c r="D251" s="2">
        <v>45478</v>
      </c>
      <c r="F251" s="2">
        <v>45586</v>
      </c>
      <c r="G251" s="2">
        <v>45587</v>
      </c>
      <c r="H251" s="1">
        <v>7216</v>
      </c>
      <c r="I251">
        <v>101.63</v>
      </c>
      <c r="J251" t="s">
        <v>40</v>
      </c>
      <c r="L251" t="s">
        <v>528</v>
      </c>
    </row>
    <row r="252" spans="1:12" x14ac:dyDescent="0.25">
      <c r="A252" t="s">
        <v>467</v>
      </c>
      <c r="B252" t="s">
        <v>470</v>
      </c>
      <c r="C252" t="s">
        <v>17</v>
      </c>
      <c r="D252" s="2">
        <v>45448</v>
      </c>
      <c r="F252" s="2">
        <v>45581</v>
      </c>
      <c r="G252" s="2">
        <v>45588</v>
      </c>
      <c r="H252" s="1">
        <v>17826</v>
      </c>
      <c r="I252">
        <v>110.04</v>
      </c>
      <c r="J252" t="s">
        <v>89</v>
      </c>
      <c r="L252" t="s">
        <v>528</v>
      </c>
    </row>
    <row r="253" spans="1:12" x14ac:dyDescent="0.25">
      <c r="A253" t="s">
        <v>141</v>
      </c>
      <c r="B253" t="s">
        <v>683</v>
      </c>
      <c r="C253" t="s">
        <v>24</v>
      </c>
      <c r="D253" s="2">
        <v>45497</v>
      </c>
      <c r="F253" s="2">
        <v>45588</v>
      </c>
      <c r="G253" s="2">
        <v>45589</v>
      </c>
      <c r="H253" s="1">
        <v>10800</v>
      </c>
      <c r="I253">
        <v>120</v>
      </c>
      <c r="J253" t="s">
        <v>40</v>
      </c>
      <c r="K253" t="s">
        <v>528</v>
      </c>
      <c r="L253" t="s">
        <v>528</v>
      </c>
    </row>
    <row r="254" spans="1:12" x14ac:dyDescent="0.25">
      <c r="A254" t="s">
        <v>15</v>
      </c>
      <c r="B254" t="s">
        <v>426</v>
      </c>
      <c r="C254" t="s">
        <v>23</v>
      </c>
      <c r="D254" s="2">
        <v>45432</v>
      </c>
      <c r="F254" s="2">
        <v>45590</v>
      </c>
      <c r="G254" s="2">
        <v>45590</v>
      </c>
      <c r="H254" s="1">
        <v>6740</v>
      </c>
      <c r="I254">
        <v>149.78</v>
      </c>
      <c r="J254" t="s">
        <v>40</v>
      </c>
      <c r="L254" t="s">
        <v>528</v>
      </c>
    </row>
    <row r="255" spans="1:12" x14ac:dyDescent="0.25">
      <c r="A255" t="s">
        <v>2</v>
      </c>
      <c r="B255" t="s">
        <v>354</v>
      </c>
      <c r="C255" t="s">
        <v>14</v>
      </c>
      <c r="D255" s="2">
        <v>45407</v>
      </c>
      <c r="F255" s="2">
        <v>45588</v>
      </c>
      <c r="G255" s="2">
        <v>45590</v>
      </c>
      <c r="H255" s="1">
        <v>14940</v>
      </c>
      <c r="I255">
        <v>110.67</v>
      </c>
      <c r="J255" t="s">
        <v>605</v>
      </c>
      <c r="L255" t="s">
        <v>528</v>
      </c>
    </row>
    <row r="256" spans="1:12" x14ac:dyDescent="0.25">
      <c r="A256" t="s">
        <v>56</v>
      </c>
      <c r="B256" t="s">
        <v>423</v>
      </c>
      <c r="C256" t="s">
        <v>14</v>
      </c>
      <c r="D256" s="2">
        <v>45432</v>
      </c>
      <c r="F256" s="2">
        <v>45586</v>
      </c>
      <c r="G256" s="2">
        <v>45590</v>
      </c>
      <c r="H256" s="1">
        <v>20848</v>
      </c>
      <c r="I256">
        <v>115.82</v>
      </c>
      <c r="J256" t="s">
        <v>605</v>
      </c>
      <c r="L256" t="s">
        <v>528</v>
      </c>
    </row>
    <row r="257" spans="1:12" x14ac:dyDescent="0.25">
      <c r="A257" t="s">
        <v>109</v>
      </c>
      <c r="B257" t="s">
        <v>399</v>
      </c>
      <c r="C257" t="s">
        <v>143</v>
      </c>
      <c r="D257" s="2">
        <v>45421</v>
      </c>
      <c r="F257" s="2">
        <v>45591</v>
      </c>
      <c r="G257" s="2">
        <v>45591</v>
      </c>
      <c r="H257">
        <v>230</v>
      </c>
      <c r="I257">
        <v>5.1100000000000003</v>
      </c>
      <c r="J257" t="s">
        <v>89</v>
      </c>
    </row>
    <row r="258" spans="1:12" x14ac:dyDescent="0.25">
      <c r="A258" t="s">
        <v>69</v>
      </c>
      <c r="B258" t="s">
        <v>579</v>
      </c>
      <c r="C258" t="s">
        <v>62</v>
      </c>
      <c r="D258" s="2">
        <v>45483</v>
      </c>
      <c r="F258" s="2">
        <v>45593</v>
      </c>
      <c r="G258" s="2">
        <v>45593</v>
      </c>
      <c r="H258">
        <v>695</v>
      </c>
      <c r="I258">
        <v>115.83</v>
      </c>
      <c r="J258" t="s">
        <v>89</v>
      </c>
      <c r="K258" t="s">
        <v>528</v>
      </c>
      <c r="L258" t="s">
        <v>528</v>
      </c>
    </row>
    <row r="259" spans="1:12" x14ac:dyDescent="0.25">
      <c r="A259" t="s">
        <v>69</v>
      </c>
      <c r="B259" t="s">
        <v>718</v>
      </c>
      <c r="C259" t="s">
        <v>62</v>
      </c>
      <c r="D259" s="2">
        <v>45506</v>
      </c>
      <c r="F259" s="2">
        <v>45593</v>
      </c>
      <c r="G259" s="2">
        <v>45593</v>
      </c>
      <c r="H259" s="1">
        <v>1050</v>
      </c>
      <c r="I259">
        <v>105</v>
      </c>
      <c r="J259" t="s">
        <v>89</v>
      </c>
      <c r="K259" t="s">
        <v>528</v>
      </c>
      <c r="L259" t="s">
        <v>528</v>
      </c>
    </row>
    <row r="260" spans="1:12" x14ac:dyDescent="0.25">
      <c r="A260" t="s">
        <v>150</v>
      </c>
      <c r="B260" t="s">
        <v>555</v>
      </c>
      <c r="C260" t="s">
        <v>38</v>
      </c>
      <c r="D260" s="2">
        <v>45468</v>
      </c>
      <c r="F260" s="2">
        <v>45593</v>
      </c>
      <c r="G260" s="2">
        <v>45593</v>
      </c>
      <c r="H260" s="1">
        <v>2010</v>
      </c>
      <c r="I260">
        <v>59.12</v>
      </c>
      <c r="J260" t="s">
        <v>40</v>
      </c>
      <c r="L260" t="s">
        <v>528</v>
      </c>
    </row>
    <row r="261" spans="1:12" x14ac:dyDescent="0.25">
      <c r="A261" t="s">
        <v>69</v>
      </c>
      <c r="B261" t="s">
        <v>608</v>
      </c>
      <c r="C261" t="s">
        <v>62</v>
      </c>
      <c r="D261" s="2">
        <v>45488</v>
      </c>
      <c r="F261" s="2">
        <v>45593</v>
      </c>
      <c r="G261" s="2">
        <v>45594</v>
      </c>
      <c r="H261" s="1">
        <v>8320</v>
      </c>
      <c r="I261">
        <v>115.56</v>
      </c>
      <c r="J261" t="s">
        <v>89</v>
      </c>
      <c r="L261" t="s">
        <v>528</v>
      </c>
    </row>
    <row r="262" spans="1:12" x14ac:dyDescent="0.25">
      <c r="A262" t="s">
        <v>3</v>
      </c>
      <c r="B262" t="s">
        <v>156</v>
      </c>
      <c r="C262" t="s">
        <v>18</v>
      </c>
      <c r="D262" s="2">
        <v>45371</v>
      </c>
      <c r="F262" s="2">
        <v>45587</v>
      </c>
      <c r="G262" s="2">
        <v>45594</v>
      </c>
      <c r="H262" s="1">
        <v>20980</v>
      </c>
      <c r="I262">
        <v>97.13</v>
      </c>
      <c r="J262" t="s">
        <v>40</v>
      </c>
      <c r="L262" t="s">
        <v>528</v>
      </c>
    </row>
    <row r="263" spans="1:12" x14ac:dyDescent="0.25">
      <c r="A263" t="s">
        <v>499</v>
      </c>
      <c r="B263" t="s">
        <v>500</v>
      </c>
      <c r="C263" t="s">
        <v>45</v>
      </c>
      <c r="D263" s="2">
        <v>45454</v>
      </c>
      <c r="F263" s="2">
        <v>45593</v>
      </c>
      <c r="G263" s="2">
        <v>45595</v>
      </c>
      <c r="H263" s="1">
        <v>8563</v>
      </c>
      <c r="I263">
        <v>105.71</v>
      </c>
      <c r="J263" t="s">
        <v>89</v>
      </c>
      <c r="L263" t="s">
        <v>528</v>
      </c>
    </row>
    <row r="264" spans="1:12" x14ac:dyDescent="0.25">
      <c r="A264" t="s">
        <v>19</v>
      </c>
      <c r="B264" t="s">
        <v>296</v>
      </c>
      <c r="C264" t="s">
        <v>38</v>
      </c>
      <c r="D264" s="2">
        <v>45390</v>
      </c>
      <c r="F264" s="2">
        <v>45593</v>
      </c>
      <c r="G264" s="2">
        <v>45595</v>
      </c>
      <c r="H264" s="1">
        <v>13490</v>
      </c>
      <c r="I264">
        <v>99.93</v>
      </c>
      <c r="J264" t="s">
        <v>40</v>
      </c>
      <c r="L264" t="s">
        <v>528</v>
      </c>
    </row>
    <row r="265" spans="1:12" x14ac:dyDescent="0.25">
      <c r="A265" t="s">
        <v>4</v>
      </c>
      <c r="B265" t="s">
        <v>386</v>
      </c>
      <c r="C265" t="s">
        <v>14</v>
      </c>
      <c r="D265" s="2">
        <v>45415</v>
      </c>
      <c r="F265" s="2">
        <v>45593</v>
      </c>
      <c r="G265" s="2">
        <v>45595</v>
      </c>
      <c r="H265" s="1">
        <v>13605</v>
      </c>
      <c r="I265">
        <v>100.78</v>
      </c>
      <c r="J265" t="s">
        <v>40</v>
      </c>
      <c r="L265" t="s">
        <v>528</v>
      </c>
    </row>
    <row r="266" spans="1:12" x14ac:dyDescent="0.25">
      <c r="A266" t="s">
        <v>33</v>
      </c>
      <c r="B266" t="s">
        <v>155</v>
      </c>
      <c r="C266" t="s">
        <v>18</v>
      </c>
      <c r="D266" s="2">
        <v>45376</v>
      </c>
      <c r="F266" s="2">
        <v>45588</v>
      </c>
      <c r="G266" s="2">
        <v>45595</v>
      </c>
      <c r="H266" s="1">
        <v>21545</v>
      </c>
      <c r="I266">
        <v>99.75</v>
      </c>
      <c r="J266" t="s">
        <v>140</v>
      </c>
      <c r="L266" t="s">
        <v>528</v>
      </c>
    </row>
    <row r="267" spans="1:12" x14ac:dyDescent="0.25">
      <c r="A267" t="s">
        <v>15</v>
      </c>
      <c r="B267" t="s">
        <v>358</v>
      </c>
      <c r="C267" t="s">
        <v>14</v>
      </c>
      <c r="D267" s="2">
        <v>45407</v>
      </c>
      <c r="F267" s="2">
        <v>45594</v>
      </c>
      <c r="G267" s="2">
        <v>45595</v>
      </c>
      <c r="H267" s="1">
        <v>9324</v>
      </c>
      <c r="I267">
        <v>129.5</v>
      </c>
      <c r="J267" t="s">
        <v>16</v>
      </c>
      <c r="L267" t="s">
        <v>528</v>
      </c>
    </row>
    <row r="268" spans="1:12" x14ac:dyDescent="0.25">
      <c r="A268" t="s">
        <v>65</v>
      </c>
      <c r="B268" t="s">
        <v>596</v>
      </c>
      <c r="C268" t="s">
        <v>14</v>
      </c>
      <c r="D268" s="2">
        <v>45460</v>
      </c>
      <c r="F268" s="2">
        <v>45595</v>
      </c>
      <c r="G268" s="2">
        <v>45595</v>
      </c>
      <c r="H268">
        <v>100</v>
      </c>
      <c r="I268">
        <v>2.78</v>
      </c>
      <c r="J268" t="s">
        <v>605</v>
      </c>
    </row>
    <row r="269" spans="1:12" x14ac:dyDescent="0.25">
      <c r="A269" t="s">
        <v>15</v>
      </c>
      <c r="B269" t="s">
        <v>659</v>
      </c>
      <c r="C269" t="s">
        <v>25</v>
      </c>
      <c r="D269" s="2">
        <v>45484</v>
      </c>
      <c r="F269" s="2">
        <v>45596</v>
      </c>
      <c r="G269" s="2">
        <v>45596</v>
      </c>
      <c r="H269" s="1">
        <v>1430</v>
      </c>
      <c r="I269">
        <v>39.72</v>
      </c>
      <c r="J269" t="s">
        <v>40</v>
      </c>
      <c r="L269" t="s">
        <v>528</v>
      </c>
    </row>
    <row r="270" spans="1:12" x14ac:dyDescent="0.25">
      <c r="A270" t="s">
        <v>110</v>
      </c>
      <c r="B270" t="s">
        <v>702</v>
      </c>
      <c r="C270" t="s">
        <v>23</v>
      </c>
      <c r="D270" s="2">
        <v>45504</v>
      </c>
      <c r="F270" s="2">
        <v>45596</v>
      </c>
      <c r="G270" s="2">
        <v>45596</v>
      </c>
      <c r="H270">
        <v>500</v>
      </c>
      <c r="I270">
        <v>13.89</v>
      </c>
      <c r="J270" t="s">
        <v>40</v>
      </c>
      <c r="L270" t="s">
        <v>528</v>
      </c>
    </row>
    <row r="271" spans="1:12" x14ac:dyDescent="0.25">
      <c r="A271" t="s">
        <v>110</v>
      </c>
      <c r="B271" t="s">
        <v>380</v>
      </c>
      <c r="C271" t="s">
        <v>23</v>
      </c>
      <c r="D271" s="2">
        <v>45401</v>
      </c>
      <c r="F271" s="2">
        <v>45596</v>
      </c>
      <c r="G271" s="2">
        <v>45596</v>
      </c>
      <c r="H271" s="1">
        <v>2023</v>
      </c>
      <c r="I271">
        <v>56.18</v>
      </c>
      <c r="J271" t="s">
        <v>40</v>
      </c>
      <c r="L271" t="s">
        <v>528</v>
      </c>
    </row>
    <row r="272" spans="1:12" x14ac:dyDescent="0.25">
      <c r="A272" t="s">
        <v>92</v>
      </c>
      <c r="B272" t="s">
        <v>334</v>
      </c>
      <c r="C272" t="s">
        <v>14</v>
      </c>
      <c r="D272" s="2">
        <v>45404</v>
      </c>
      <c r="F272" s="2">
        <v>45597</v>
      </c>
      <c r="G272" s="2">
        <v>45597</v>
      </c>
      <c r="H272" s="1">
        <v>2995</v>
      </c>
      <c r="I272">
        <v>110.93</v>
      </c>
      <c r="J272" t="s">
        <v>89</v>
      </c>
      <c r="K272" t="s">
        <v>528</v>
      </c>
      <c r="L272" t="s">
        <v>528</v>
      </c>
    </row>
    <row r="273" spans="1:12" x14ac:dyDescent="0.25">
      <c r="A273" t="s">
        <v>88</v>
      </c>
      <c r="B273" t="s">
        <v>397</v>
      </c>
      <c r="C273" t="s">
        <v>14</v>
      </c>
      <c r="D273" s="2">
        <v>45426</v>
      </c>
      <c r="F273" s="2">
        <v>45597</v>
      </c>
      <c r="G273" s="2">
        <v>45597</v>
      </c>
      <c r="H273" s="1">
        <v>4240</v>
      </c>
      <c r="I273">
        <v>117.78</v>
      </c>
      <c r="J273" t="s">
        <v>40</v>
      </c>
      <c r="L273" t="s">
        <v>528</v>
      </c>
    </row>
    <row r="274" spans="1:12" x14ac:dyDescent="0.25">
      <c r="A274" t="s">
        <v>88</v>
      </c>
      <c r="B274" t="s">
        <v>307</v>
      </c>
      <c r="C274" t="s">
        <v>14</v>
      </c>
      <c r="D274" s="2">
        <v>45394</v>
      </c>
      <c r="F274" s="2">
        <v>45597</v>
      </c>
      <c r="G274" s="2">
        <v>45597</v>
      </c>
      <c r="H274" s="1">
        <v>7320</v>
      </c>
      <c r="I274">
        <v>162.66999999999999</v>
      </c>
      <c r="J274" t="s">
        <v>605</v>
      </c>
      <c r="L274" t="s">
        <v>528</v>
      </c>
    </row>
    <row r="275" spans="1:12" x14ac:dyDescent="0.25">
      <c r="A275" t="s">
        <v>65</v>
      </c>
      <c r="B275" t="s">
        <v>429</v>
      </c>
      <c r="C275" t="s">
        <v>14</v>
      </c>
      <c r="D275" s="2">
        <v>45434</v>
      </c>
      <c r="F275" s="2">
        <v>45595</v>
      </c>
      <c r="G275" s="2">
        <v>45597</v>
      </c>
      <c r="H275" s="1">
        <v>10000</v>
      </c>
      <c r="I275">
        <v>92.59</v>
      </c>
      <c r="J275" t="s">
        <v>605</v>
      </c>
      <c r="L275" t="s">
        <v>528</v>
      </c>
    </row>
    <row r="276" spans="1:12" x14ac:dyDescent="0.25">
      <c r="A276" t="s">
        <v>88</v>
      </c>
      <c r="B276" t="s">
        <v>152</v>
      </c>
      <c r="C276" t="s">
        <v>14</v>
      </c>
      <c r="D276" s="2">
        <v>45320</v>
      </c>
      <c r="F276" s="2">
        <v>45596</v>
      </c>
      <c r="G276" s="2">
        <v>45600</v>
      </c>
      <c r="H276" s="1">
        <v>12940</v>
      </c>
      <c r="I276">
        <v>95.85</v>
      </c>
      <c r="J276" t="s">
        <v>89</v>
      </c>
      <c r="L276" t="s">
        <v>528</v>
      </c>
    </row>
    <row r="277" spans="1:12" x14ac:dyDescent="0.25">
      <c r="A277" t="s">
        <v>5</v>
      </c>
      <c r="B277" t="s">
        <v>396</v>
      </c>
      <c r="C277" t="s">
        <v>14</v>
      </c>
      <c r="D277" s="2">
        <v>45425</v>
      </c>
      <c r="F277" s="2">
        <v>45600</v>
      </c>
      <c r="G277" s="2">
        <v>45600</v>
      </c>
      <c r="H277" s="1">
        <v>5025</v>
      </c>
      <c r="I277">
        <v>111.67</v>
      </c>
      <c r="J277" t="s">
        <v>40</v>
      </c>
      <c r="K277" t="s">
        <v>528</v>
      </c>
      <c r="L277" t="s">
        <v>528</v>
      </c>
    </row>
    <row r="278" spans="1:12" x14ac:dyDescent="0.25">
      <c r="A278" t="s">
        <v>3</v>
      </c>
      <c r="B278" t="s">
        <v>570</v>
      </c>
      <c r="C278" t="s">
        <v>20</v>
      </c>
      <c r="D278" s="2">
        <v>45475</v>
      </c>
      <c r="F278" s="2">
        <v>45586</v>
      </c>
      <c r="G278" s="2">
        <v>45600</v>
      </c>
      <c r="H278" s="1">
        <v>33820</v>
      </c>
      <c r="I278">
        <v>113.87</v>
      </c>
      <c r="J278" t="s">
        <v>140</v>
      </c>
      <c r="L278" t="s">
        <v>528</v>
      </c>
    </row>
    <row r="279" spans="1:12" x14ac:dyDescent="0.25">
      <c r="A279" t="s">
        <v>15</v>
      </c>
      <c r="B279" t="s">
        <v>357</v>
      </c>
      <c r="C279" t="s">
        <v>14</v>
      </c>
      <c r="D279" s="2">
        <v>45407</v>
      </c>
      <c r="F279" s="2">
        <v>45596</v>
      </c>
      <c r="G279" s="2">
        <v>45600</v>
      </c>
      <c r="H279" s="1">
        <v>11839</v>
      </c>
      <c r="I279">
        <v>109.62</v>
      </c>
      <c r="J279" t="s">
        <v>16</v>
      </c>
      <c r="L279" t="s">
        <v>528</v>
      </c>
    </row>
    <row r="280" spans="1:12" x14ac:dyDescent="0.25">
      <c r="A280" t="s">
        <v>111</v>
      </c>
      <c r="B280" t="s">
        <v>158</v>
      </c>
      <c r="C280" t="s">
        <v>14</v>
      </c>
      <c r="D280" s="2">
        <v>45296</v>
      </c>
      <c r="F280" s="2">
        <v>45572</v>
      </c>
      <c r="G280" s="2">
        <v>45600</v>
      </c>
      <c r="H280" s="1">
        <v>171340</v>
      </c>
      <c r="I280">
        <v>187.56</v>
      </c>
      <c r="J280" t="s">
        <v>16</v>
      </c>
    </row>
    <row r="281" spans="1:12" x14ac:dyDescent="0.25">
      <c r="A281" t="s">
        <v>15</v>
      </c>
      <c r="B281" t="s">
        <v>575</v>
      </c>
      <c r="C281" t="s">
        <v>23</v>
      </c>
      <c r="D281" s="2">
        <v>45471</v>
      </c>
      <c r="F281" s="2">
        <v>45601</v>
      </c>
      <c r="G281" s="2">
        <v>45601</v>
      </c>
      <c r="H281" s="1">
        <v>5403</v>
      </c>
      <c r="I281">
        <v>120.06</v>
      </c>
      <c r="J281" t="s">
        <v>40</v>
      </c>
      <c r="L281" t="s">
        <v>528</v>
      </c>
    </row>
    <row r="282" spans="1:12" x14ac:dyDescent="0.25">
      <c r="A282" t="s">
        <v>566</v>
      </c>
      <c r="B282" t="s">
        <v>705</v>
      </c>
      <c r="C282" t="s">
        <v>26</v>
      </c>
      <c r="D282" s="2">
        <v>45504</v>
      </c>
      <c r="F282" s="2">
        <v>45601</v>
      </c>
      <c r="G282" s="2">
        <v>45601</v>
      </c>
      <c r="H282" s="1">
        <v>4960</v>
      </c>
      <c r="I282">
        <v>137.78</v>
      </c>
      <c r="J282" t="s">
        <v>40</v>
      </c>
      <c r="L282" t="s">
        <v>528</v>
      </c>
    </row>
    <row r="283" spans="1:12" x14ac:dyDescent="0.25">
      <c r="A283" t="s">
        <v>56</v>
      </c>
      <c r="B283" t="s">
        <v>629</v>
      </c>
      <c r="C283" t="s">
        <v>24</v>
      </c>
      <c r="D283" s="2">
        <v>45489</v>
      </c>
      <c r="F283" s="2">
        <v>45600</v>
      </c>
      <c r="G283" s="2">
        <v>45601</v>
      </c>
      <c r="H283" s="1">
        <v>8708</v>
      </c>
      <c r="I283">
        <v>120.94</v>
      </c>
      <c r="J283" t="s">
        <v>40</v>
      </c>
      <c r="L283" t="s">
        <v>528</v>
      </c>
    </row>
    <row r="284" spans="1:12" x14ac:dyDescent="0.25">
      <c r="A284" t="s">
        <v>398</v>
      </c>
      <c r="B284" t="s">
        <v>403</v>
      </c>
      <c r="C284" t="s">
        <v>41</v>
      </c>
      <c r="D284" s="2">
        <v>45422</v>
      </c>
      <c r="F284" s="2">
        <v>45600</v>
      </c>
      <c r="G284" s="2">
        <v>45601</v>
      </c>
      <c r="H284" s="1">
        <v>6575</v>
      </c>
      <c r="I284">
        <v>121.76</v>
      </c>
      <c r="J284" t="s">
        <v>605</v>
      </c>
      <c r="L284" t="s">
        <v>528</v>
      </c>
    </row>
    <row r="285" spans="1:12" x14ac:dyDescent="0.25">
      <c r="A285" t="s">
        <v>47</v>
      </c>
      <c r="B285" t="s">
        <v>137</v>
      </c>
      <c r="C285" t="s">
        <v>31</v>
      </c>
      <c r="D285" s="2">
        <v>45358</v>
      </c>
      <c r="F285" s="2">
        <v>45581</v>
      </c>
      <c r="G285" s="2">
        <v>45601</v>
      </c>
      <c r="H285" s="1">
        <v>43110</v>
      </c>
      <c r="I285">
        <v>106.44</v>
      </c>
      <c r="J285" t="s">
        <v>16</v>
      </c>
    </row>
    <row r="286" spans="1:12" x14ac:dyDescent="0.25">
      <c r="A286" t="s">
        <v>43</v>
      </c>
      <c r="B286" t="s">
        <v>177</v>
      </c>
      <c r="C286" t="s">
        <v>32</v>
      </c>
      <c r="D286" s="2">
        <v>45239</v>
      </c>
      <c r="F286" s="2">
        <v>45600</v>
      </c>
      <c r="G286" s="2">
        <v>45602</v>
      </c>
      <c r="H286" s="1">
        <v>8363</v>
      </c>
      <c r="I286">
        <v>103.24</v>
      </c>
      <c r="J286" t="s">
        <v>89</v>
      </c>
      <c r="L286" t="s">
        <v>528</v>
      </c>
    </row>
    <row r="287" spans="1:12" x14ac:dyDescent="0.25">
      <c r="A287" t="s">
        <v>662</v>
      </c>
      <c r="B287" t="s">
        <v>704</v>
      </c>
      <c r="C287" t="s">
        <v>66</v>
      </c>
      <c r="D287" s="2">
        <v>45504</v>
      </c>
      <c r="F287" s="2">
        <v>45602</v>
      </c>
      <c r="G287" s="2">
        <v>45602</v>
      </c>
      <c r="H287" s="1">
        <v>5669</v>
      </c>
      <c r="I287">
        <v>125.98</v>
      </c>
      <c r="J287" t="s">
        <v>40</v>
      </c>
      <c r="L287" t="s">
        <v>528</v>
      </c>
    </row>
    <row r="288" spans="1:12" x14ac:dyDescent="0.25">
      <c r="A288" t="s">
        <v>142</v>
      </c>
      <c r="B288" t="s">
        <v>688</v>
      </c>
      <c r="C288" t="s">
        <v>24</v>
      </c>
      <c r="D288" s="2">
        <v>45511</v>
      </c>
      <c r="F288" s="2">
        <v>45602</v>
      </c>
      <c r="G288" s="2">
        <v>45603</v>
      </c>
      <c r="H288" s="1">
        <v>6896</v>
      </c>
      <c r="I288">
        <v>95.78</v>
      </c>
      <c r="J288" t="s">
        <v>40</v>
      </c>
      <c r="L288" t="s">
        <v>528</v>
      </c>
    </row>
    <row r="289" spans="1:12" x14ac:dyDescent="0.25">
      <c r="A289" t="s">
        <v>15</v>
      </c>
      <c r="B289" t="s">
        <v>359</v>
      </c>
      <c r="C289" t="s">
        <v>14</v>
      </c>
      <c r="D289" s="2">
        <v>45407</v>
      </c>
      <c r="F289" s="2">
        <v>45601</v>
      </c>
      <c r="G289" s="2">
        <v>45603</v>
      </c>
      <c r="H289" s="1">
        <v>12800</v>
      </c>
      <c r="I289">
        <v>118.51</v>
      </c>
      <c r="J289" t="s">
        <v>16</v>
      </c>
      <c r="L289" t="s">
        <v>528</v>
      </c>
    </row>
    <row r="290" spans="1:12" x14ac:dyDescent="0.25">
      <c r="A290" t="s">
        <v>88</v>
      </c>
      <c r="B290" t="s">
        <v>471</v>
      </c>
      <c r="C290" t="s">
        <v>49</v>
      </c>
      <c r="D290" s="2">
        <v>45448</v>
      </c>
      <c r="F290" s="2">
        <v>45603</v>
      </c>
      <c r="G290" s="2">
        <v>45604</v>
      </c>
      <c r="H290" s="1">
        <v>4813</v>
      </c>
      <c r="I290">
        <v>89.12</v>
      </c>
      <c r="J290" t="s">
        <v>89</v>
      </c>
      <c r="L290" t="s">
        <v>528</v>
      </c>
    </row>
    <row r="291" spans="1:12" x14ac:dyDescent="0.25">
      <c r="A291" t="s">
        <v>106</v>
      </c>
      <c r="B291" t="s">
        <v>222</v>
      </c>
      <c r="C291" t="s">
        <v>35</v>
      </c>
      <c r="D291" s="2">
        <v>45377</v>
      </c>
      <c r="F291" s="2">
        <v>45604</v>
      </c>
      <c r="G291" s="2">
        <v>45604</v>
      </c>
      <c r="H291" s="1">
        <v>4435</v>
      </c>
      <c r="I291">
        <v>123.19</v>
      </c>
      <c r="J291" t="s">
        <v>16</v>
      </c>
    </row>
    <row r="292" spans="1:12" x14ac:dyDescent="0.25">
      <c r="A292" t="s">
        <v>69</v>
      </c>
      <c r="B292" t="s">
        <v>532</v>
      </c>
      <c r="C292" t="s">
        <v>14</v>
      </c>
      <c r="D292" s="2">
        <v>45460</v>
      </c>
      <c r="F292" s="2">
        <v>45607</v>
      </c>
      <c r="G292" s="2">
        <v>45608</v>
      </c>
      <c r="H292" s="1">
        <v>9135</v>
      </c>
      <c r="I292">
        <v>126.88</v>
      </c>
      <c r="J292" t="s">
        <v>40</v>
      </c>
      <c r="L292" t="s">
        <v>528</v>
      </c>
    </row>
    <row r="293" spans="1:12" x14ac:dyDescent="0.25">
      <c r="A293" t="s">
        <v>3</v>
      </c>
      <c r="B293" t="s">
        <v>309</v>
      </c>
      <c r="C293" t="s">
        <v>20</v>
      </c>
      <c r="D293" s="2">
        <v>45398</v>
      </c>
      <c r="F293" s="2">
        <v>45608</v>
      </c>
      <c r="G293" s="2">
        <v>45608</v>
      </c>
      <c r="H293" s="1">
        <v>3885</v>
      </c>
      <c r="I293">
        <v>457.06</v>
      </c>
      <c r="J293" t="s">
        <v>140</v>
      </c>
    </row>
    <row r="294" spans="1:12" x14ac:dyDescent="0.25">
      <c r="A294" t="s">
        <v>3</v>
      </c>
      <c r="B294" t="s">
        <v>578</v>
      </c>
      <c r="C294" t="s">
        <v>14</v>
      </c>
      <c r="D294" s="2">
        <v>45478</v>
      </c>
      <c r="F294" s="2">
        <v>45607</v>
      </c>
      <c r="G294" s="2">
        <v>45608</v>
      </c>
      <c r="H294" s="1">
        <v>8890</v>
      </c>
      <c r="I294">
        <v>123.47</v>
      </c>
      <c r="J294" t="s">
        <v>140</v>
      </c>
      <c r="L294" t="s">
        <v>528</v>
      </c>
    </row>
    <row r="295" spans="1:12" x14ac:dyDescent="0.25">
      <c r="A295" t="s">
        <v>662</v>
      </c>
      <c r="B295" t="s">
        <v>706</v>
      </c>
      <c r="C295" t="s">
        <v>64</v>
      </c>
      <c r="D295" s="2">
        <v>45497</v>
      </c>
      <c r="F295" s="2">
        <v>45600</v>
      </c>
      <c r="G295" s="2">
        <v>45610</v>
      </c>
      <c r="H295" s="1">
        <v>28332</v>
      </c>
      <c r="I295">
        <v>116.59</v>
      </c>
      <c r="J295" t="s">
        <v>40</v>
      </c>
      <c r="L295" t="s">
        <v>528</v>
      </c>
    </row>
    <row r="296" spans="1:12" x14ac:dyDescent="0.25">
      <c r="A296" t="s">
        <v>92</v>
      </c>
      <c r="B296" t="s">
        <v>154</v>
      </c>
      <c r="C296" t="s">
        <v>23</v>
      </c>
      <c r="D296" s="2">
        <v>45379</v>
      </c>
      <c r="F296" s="2">
        <v>45609</v>
      </c>
      <c r="G296" s="2">
        <v>45610</v>
      </c>
      <c r="H296" s="1">
        <v>7825</v>
      </c>
      <c r="I296">
        <v>108.68</v>
      </c>
      <c r="J296" t="s">
        <v>40</v>
      </c>
      <c r="L296" t="s">
        <v>528</v>
      </c>
    </row>
    <row r="297" spans="1:12" x14ac:dyDescent="0.25">
      <c r="A297" t="s">
        <v>3</v>
      </c>
      <c r="B297" t="s">
        <v>333</v>
      </c>
      <c r="C297" t="s">
        <v>49</v>
      </c>
      <c r="D297" s="2">
        <v>45405</v>
      </c>
      <c r="F297" s="2">
        <v>45614</v>
      </c>
      <c r="G297" s="2">
        <v>45616</v>
      </c>
      <c r="H297" s="1">
        <v>12025</v>
      </c>
      <c r="I297">
        <v>111.34</v>
      </c>
      <c r="J297" t="s">
        <v>89</v>
      </c>
      <c r="L297" t="s">
        <v>528</v>
      </c>
    </row>
    <row r="298" spans="1:12" x14ac:dyDescent="0.25">
      <c r="A298" t="s">
        <v>88</v>
      </c>
      <c r="B298" t="s">
        <v>531</v>
      </c>
      <c r="C298" t="s">
        <v>32</v>
      </c>
      <c r="D298" s="2">
        <v>45392</v>
      </c>
      <c r="F298" s="2">
        <v>45607</v>
      </c>
      <c r="G298" s="2">
        <v>45618</v>
      </c>
      <c r="H298" s="1">
        <v>30845</v>
      </c>
      <c r="I298">
        <v>114.24</v>
      </c>
      <c r="J298" t="s">
        <v>89</v>
      </c>
      <c r="L298" t="s">
        <v>528</v>
      </c>
    </row>
    <row r="299" spans="1:12" x14ac:dyDescent="0.25">
      <c r="A299" t="s">
        <v>33</v>
      </c>
      <c r="B299" t="s">
        <v>576</v>
      </c>
      <c r="C299" t="s">
        <v>23</v>
      </c>
      <c r="D299" s="2">
        <v>45476</v>
      </c>
      <c r="F299" s="2">
        <v>45621</v>
      </c>
      <c r="G299" s="2">
        <v>45621</v>
      </c>
      <c r="H299" s="1">
        <v>3565</v>
      </c>
      <c r="I299">
        <v>99.03</v>
      </c>
      <c r="J299" t="s">
        <v>40</v>
      </c>
      <c r="L299" t="s">
        <v>528</v>
      </c>
    </row>
    <row r="300" spans="1:12" x14ac:dyDescent="0.25">
      <c r="A300" t="s">
        <v>27</v>
      </c>
      <c r="B300" t="s">
        <v>574</v>
      </c>
      <c r="C300" t="s">
        <v>21</v>
      </c>
      <c r="D300" s="2">
        <v>45483</v>
      </c>
      <c r="F300" s="2">
        <v>45617</v>
      </c>
      <c r="G300" s="2">
        <v>45624</v>
      </c>
      <c r="H300" s="1">
        <v>22745</v>
      </c>
      <c r="I300">
        <v>105.3</v>
      </c>
      <c r="J300" t="s">
        <v>605</v>
      </c>
      <c r="L300" t="s">
        <v>528</v>
      </c>
    </row>
    <row r="301" spans="1:12" x14ac:dyDescent="0.25">
      <c r="A301" t="s">
        <v>19</v>
      </c>
      <c r="B301" t="s">
        <v>363</v>
      </c>
      <c r="C301" t="s">
        <v>20</v>
      </c>
      <c r="D301" s="2">
        <v>45407</v>
      </c>
      <c r="F301" s="2">
        <v>45621</v>
      </c>
      <c r="G301" s="2">
        <v>45625</v>
      </c>
      <c r="H301" s="1">
        <v>17380</v>
      </c>
      <c r="I301">
        <v>128.74</v>
      </c>
      <c r="J301" t="s">
        <v>16</v>
      </c>
      <c r="L301" t="s">
        <v>528</v>
      </c>
    </row>
    <row r="302" spans="1:12" x14ac:dyDescent="0.25">
      <c r="A302" t="s">
        <v>15</v>
      </c>
      <c r="B302" t="s">
        <v>352</v>
      </c>
      <c r="C302" t="s">
        <v>14</v>
      </c>
      <c r="D302" s="2">
        <v>45407</v>
      </c>
      <c r="F302" s="2">
        <v>45628</v>
      </c>
      <c r="G302" s="2">
        <v>45628</v>
      </c>
      <c r="H302" s="1">
        <v>5040</v>
      </c>
      <c r="I302">
        <v>140</v>
      </c>
      <c r="J302" t="s">
        <v>16</v>
      </c>
      <c r="L302" t="s">
        <v>528</v>
      </c>
    </row>
    <row r="303" spans="1:12" x14ac:dyDescent="0.25">
      <c r="A303" t="s">
        <v>15</v>
      </c>
      <c r="B303" t="s">
        <v>353</v>
      </c>
      <c r="C303" t="s">
        <v>14</v>
      </c>
      <c r="D303" s="2">
        <v>45407</v>
      </c>
      <c r="F303" s="2">
        <v>45629</v>
      </c>
      <c r="G303" s="2">
        <v>45631</v>
      </c>
      <c r="H303" s="1">
        <v>11760</v>
      </c>
      <c r="I303">
        <v>108.89</v>
      </c>
      <c r="J303" t="s">
        <v>16</v>
      </c>
      <c r="L303" t="s">
        <v>528</v>
      </c>
    </row>
    <row r="304" spans="1:12" x14ac:dyDescent="0.25">
      <c r="A304" t="s">
        <v>111</v>
      </c>
      <c r="B304" t="s">
        <v>178</v>
      </c>
      <c r="C304" t="s">
        <v>14</v>
      </c>
      <c r="D304" s="2">
        <v>45301</v>
      </c>
      <c r="F304" s="2">
        <v>45602</v>
      </c>
      <c r="G304" s="2">
        <v>45632</v>
      </c>
      <c r="H304" s="1">
        <v>67445</v>
      </c>
      <c r="I304">
        <v>108.61</v>
      </c>
      <c r="J304" t="s">
        <v>16</v>
      </c>
    </row>
    <row r="305" spans="1:12" x14ac:dyDescent="0.25">
      <c r="A305" t="s">
        <v>111</v>
      </c>
      <c r="B305" t="s">
        <v>159</v>
      </c>
      <c r="C305" t="s">
        <v>14</v>
      </c>
      <c r="D305" s="2">
        <v>45296</v>
      </c>
      <c r="F305" s="2">
        <v>45601</v>
      </c>
      <c r="G305" s="2">
        <v>45635</v>
      </c>
      <c r="H305" s="1">
        <v>124115</v>
      </c>
      <c r="I305">
        <v>124.05</v>
      </c>
      <c r="J305" t="s">
        <v>16</v>
      </c>
    </row>
    <row r="306" spans="1:12" x14ac:dyDescent="0.25">
      <c r="A306" t="s">
        <v>111</v>
      </c>
      <c r="B306" t="s">
        <v>160</v>
      </c>
      <c r="C306" t="s">
        <v>14</v>
      </c>
      <c r="D306" s="2">
        <v>45296</v>
      </c>
      <c r="F306" s="2">
        <v>45628</v>
      </c>
      <c r="G306" s="2">
        <v>45649</v>
      </c>
      <c r="H306" s="1">
        <v>121060</v>
      </c>
      <c r="I306">
        <v>126.1</v>
      </c>
      <c r="J306" t="s">
        <v>16</v>
      </c>
    </row>
    <row r="307" spans="1:12" x14ac:dyDescent="0.25">
      <c r="A307" t="s">
        <v>88</v>
      </c>
      <c r="B307" t="s">
        <v>462</v>
      </c>
      <c r="C307" t="s">
        <v>23</v>
      </c>
      <c r="D307" s="2">
        <v>45432</v>
      </c>
      <c r="F307" s="2">
        <v>45653</v>
      </c>
      <c r="G307" s="2">
        <v>45657</v>
      </c>
      <c r="H307" s="1">
        <v>10506</v>
      </c>
      <c r="I307">
        <v>97.27</v>
      </c>
      <c r="J307" t="s">
        <v>40</v>
      </c>
      <c r="L307" t="s">
        <v>528</v>
      </c>
    </row>
    <row r="308" spans="1:12" x14ac:dyDescent="0.25">
      <c r="A308" t="s">
        <v>15</v>
      </c>
      <c r="B308" t="s">
        <v>351</v>
      </c>
      <c r="C308" t="s">
        <v>14</v>
      </c>
      <c r="D308" s="2">
        <v>45407</v>
      </c>
      <c r="F308" s="2">
        <v>45632</v>
      </c>
      <c r="G308" s="2">
        <v>45659</v>
      </c>
      <c r="H308" s="1">
        <v>72912</v>
      </c>
      <c r="I308">
        <v>119.14</v>
      </c>
      <c r="J308" t="s">
        <v>16</v>
      </c>
      <c r="L308" t="s">
        <v>528</v>
      </c>
    </row>
    <row r="309" spans="1:12" x14ac:dyDescent="0.25">
      <c r="A309" t="s">
        <v>19</v>
      </c>
      <c r="B309" t="s">
        <v>209</v>
      </c>
      <c r="C309" t="s">
        <v>49</v>
      </c>
      <c r="D309" s="2">
        <v>45259</v>
      </c>
      <c r="F309" s="2">
        <v>45658</v>
      </c>
      <c r="G309" s="2">
        <v>45660</v>
      </c>
      <c r="H309" s="1">
        <v>7746</v>
      </c>
      <c r="I309">
        <v>430.35</v>
      </c>
      <c r="J309" t="s">
        <v>89</v>
      </c>
    </row>
    <row r="310" spans="1:12" x14ac:dyDescent="0.25">
      <c r="A310" t="s">
        <v>68</v>
      </c>
      <c r="B310" t="s">
        <v>227</v>
      </c>
      <c r="C310" t="s">
        <v>55</v>
      </c>
      <c r="D310" s="2">
        <v>45223</v>
      </c>
      <c r="F310" s="2">
        <v>45658</v>
      </c>
      <c r="G310" s="2">
        <v>45660</v>
      </c>
      <c r="H310" s="1">
        <v>9543</v>
      </c>
      <c r="I310">
        <v>117.81</v>
      </c>
      <c r="J310" t="s">
        <v>89</v>
      </c>
      <c r="L310" t="s">
        <v>528</v>
      </c>
    </row>
    <row r="311" spans="1:12" x14ac:dyDescent="0.25">
      <c r="A311" t="s">
        <v>5</v>
      </c>
      <c r="B311" t="s">
        <v>444</v>
      </c>
      <c r="C311" t="s">
        <v>17</v>
      </c>
      <c r="D311" s="2">
        <v>45422</v>
      </c>
      <c r="F311" s="2">
        <v>45658</v>
      </c>
      <c r="G311" s="2">
        <v>45660</v>
      </c>
      <c r="H311" s="1">
        <v>9740</v>
      </c>
      <c r="I311">
        <v>120.25</v>
      </c>
      <c r="J311" t="s">
        <v>89</v>
      </c>
      <c r="L311" t="s">
        <v>528</v>
      </c>
    </row>
    <row r="312" spans="1:12" x14ac:dyDescent="0.25">
      <c r="A312" t="s">
        <v>88</v>
      </c>
      <c r="B312" t="s">
        <v>192</v>
      </c>
      <c r="C312" t="s">
        <v>35</v>
      </c>
      <c r="D312" s="2">
        <v>45268</v>
      </c>
      <c r="F312" s="2">
        <v>45659</v>
      </c>
      <c r="G312" s="2">
        <v>45660</v>
      </c>
      <c r="H312" s="1">
        <v>7474</v>
      </c>
      <c r="I312">
        <v>103.81</v>
      </c>
      <c r="J312" t="s">
        <v>40</v>
      </c>
      <c r="L312" t="s">
        <v>528</v>
      </c>
    </row>
    <row r="313" spans="1:12" x14ac:dyDescent="0.25">
      <c r="A313" t="s">
        <v>88</v>
      </c>
      <c r="B313" t="s">
        <v>463</v>
      </c>
      <c r="C313" t="s">
        <v>23</v>
      </c>
      <c r="D313" s="2">
        <v>45432</v>
      </c>
      <c r="F313" s="2">
        <v>45659</v>
      </c>
      <c r="G313" s="2">
        <v>45660</v>
      </c>
      <c r="H313" s="1">
        <v>7789</v>
      </c>
      <c r="I313">
        <v>0</v>
      </c>
      <c r="J313" t="s">
        <v>40</v>
      </c>
      <c r="L313" t="s">
        <v>528</v>
      </c>
    </row>
    <row r="314" spans="1:12" x14ac:dyDescent="0.25">
      <c r="A314" t="s">
        <v>29</v>
      </c>
      <c r="B314" t="s">
        <v>194</v>
      </c>
      <c r="C314" t="s">
        <v>18</v>
      </c>
      <c r="D314" s="2">
        <v>45387</v>
      </c>
      <c r="F314" s="2">
        <v>45663</v>
      </c>
      <c r="G314" s="2">
        <v>45663</v>
      </c>
      <c r="H314" s="1">
        <v>5460</v>
      </c>
      <c r="I314">
        <v>158.26</v>
      </c>
      <c r="J314" t="s">
        <v>40</v>
      </c>
      <c r="L314" t="s">
        <v>528</v>
      </c>
    </row>
    <row r="315" spans="1:12" x14ac:dyDescent="0.25">
      <c r="A315" t="s">
        <v>3</v>
      </c>
      <c r="B315" t="s">
        <v>432</v>
      </c>
      <c r="C315" t="s">
        <v>34</v>
      </c>
      <c r="D315" s="2">
        <v>45433</v>
      </c>
      <c r="F315" s="2">
        <v>45663</v>
      </c>
      <c r="G315" s="2">
        <v>45663</v>
      </c>
      <c r="H315">
        <v>135</v>
      </c>
      <c r="I315">
        <v>5</v>
      </c>
      <c r="J315" t="s">
        <v>605</v>
      </c>
      <c r="L315" t="s">
        <v>528</v>
      </c>
    </row>
    <row r="316" spans="1:12" x14ac:dyDescent="0.25">
      <c r="A316" t="s">
        <v>467</v>
      </c>
      <c r="B316" t="s">
        <v>477</v>
      </c>
      <c r="C316" t="s">
        <v>17</v>
      </c>
      <c r="D316" s="2">
        <v>45448</v>
      </c>
      <c r="F316" s="2">
        <v>45663</v>
      </c>
      <c r="G316" s="2">
        <v>45664</v>
      </c>
      <c r="H316" s="1">
        <v>5509</v>
      </c>
      <c r="I316">
        <v>102.02</v>
      </c>
      <c r="J316" t="s">
        <v>89</v>
      </c>
      <c r="L316" t="s">
        <v>528</v>
      </c>
    </row>
    <row r="317" spans="1:12" x14ac:dyDescent="0.25">
      <c r="A317" t="s">
        <v>88</v>
      </c>
      <c r="B317" t="s">
        <v>191</v>
      </c>
      <c r="C317" t="s">
        <v>38</v>
      </c>
      <c r="D317" s="2">
        <v>45328</v>
      </c>
      <c r="F317" s="2">
        <v>45663</v>
      </c>
      <c r="G317" s="2">
        <v>45664</v>
      </c>
      <c r="H317" s="1">
        <v>7788</v>
      </c>
      <c r="I317">
        <v>108.16</v>
      </c>
      <c r="J317" t="s">
        <v>40</v>
      </c>
      <c r="L317" t="s">
        <v>528</v>
      </c>
    </row>
    <row r="318" spans="1:12" x14ac:dyDescent="0.25">
      <c r="A318" t="s">
        <v>92</v>
      </c>
      <c r="B318" t="s">
        <v>253</v>
      </c>
      <c r="C318" t="s">
        <v>25</v>
      </c>
      <c r="D318" s="2">
        <v>45316</v>
      </c>
      <c r="F318" s="2">
        <v>45664</v>
      </c>
      <c r="G318" s="2">
        <v>45664</v>
      </c>
      <c r="H318" s="1">
        <v>3995</v>
      </c>
      <c r="I318">
        <v>110.97</v>
      </c>
      <c r="J318" t="s">
        <v>40</v>
      </c>
      <c r="L318" t="s">
        <v>528</v>
      </c>
    </row>
    <row r="319" spans="1:12" x14ac:dyDescent="0.25">
      <c r="A319" t="s">
        <v>69</v>
      </c>
      <c r="B319" t="s">
        <v>136</v>
      </c>
      <c r="C319" t="s">
        <v>99</v>
      </c>
      <c r="D319" s="2">
        <v>45313</v>
      </c>
      <c r="F319" s="2">
        <v>45663</v>
      </c>
      <c r="G319" s="2">
        <v>45664</v>
      </c>
      <c r="H319" s="1">
        <v>4865</v>
      </c>
      <c r="I319">
        <v>104.62</v>
      </c>
      <c r="J319" t="s">
        <v>605</v>
      </c>
      <c r="L319" t="s">
        <v>528</v>
      </c>
    </row>
    <row r="320" spans="1:12" x14ac:dyDescent="0.25">
      <c r="A320" t="s">
        <v>3</v>
      </c>
      <c r="B320" t="s">
        <v>337</v>
      </c>
      <c r="C320" t="s">
        <v>34</v>
      </c>
      <c r="D320" s="2">
        <v>45404</v>
      </c>
      <c r="F320" s="2">
        <v>45663</v>
      </c>
      <c r="G320" s="2">
        <v>45664</v>
      </c>
      <c r="H320" s="1">
        <v>7180</v>
      </c>
      <c r="I320">
        <v>132.96</v>
      </c>
      <c r="J320" t="s">
        <v>605</v>
      </c>
      <c r="L320" t="s">
        <v>528</v>
      </c>
    </row>
    <row r="321" spans="1:12" x14ac:dyDescent="0.25">
      <c r="A321" t="s">
        <v>65</v>
      </c>
      <c r="B321" t="s">
        <v>438</v>
      </c>
      <c r="C321" t="s">
        <v>14</v>
      </c>
      <c r="D321" s="2">
        <v>45434</v>
      </c>
      <c r="F321" s="2">
        <v>45665</v>
      </c>
      <c r="G321" s="2">
        <v>45665</v>
      </c>
      <c r="H321" s="1">
        <v>3655</v>
      </c>
      <c r="I321">
        <v>101.53</v>
      </c>
      <c r="J321" t="s">
        <v>605</v>
      </c>
      <c r="L321" t="s">
        <v>528</v>
      </c>
    </row>
    <row r="322" spans="1:12" x14ac:dyDescent="0.25">
      <c r="A322" t="s">
        <v>3</v>
      </c>
      <c r="B322" t="s">
        <v>203</v>
      </c>
      <c r="C322" t="s">
        <v>14</v>
      </c>
      <c r="D322" s="2">
        <v>45217</v>
      </c>
      <c r="F322" s="2">
        <v>45666</v>
      </c>
      <c r="G322" s="2">
        <v>45666</v>
      </c>
      <c r="H322" s="1">
        <v>2270</v>
      </c>
      <c r="I322">
        <v>100.89</v>
      </c>
      <c r="J322" t="s">
        <v>605</v>
      </c>
      <c r="L322" t="s">
        <v>528</v>
      </c>
    </row>
    <row r="323" spans="1:12" x14ac:dyDescent="0.25">
      <c r="A323" t="s">
        <v>735</v>
      </c>
      <c r="B323" t="s">
        <v>740</v>
      </c>
      <c r="C323" t="s">
        <v>31</v>
      </c>
      <c r="D323" s="2">
        <v>45509</v>
      </c>
      <c r="F323" s="2">
        <v>45653</v>
      </c>
      <c r="G323" s="2">
        <v>45666</v>
      </c>
      <c r="H323" s="1">
        <v>75000</v>
      </c>
      <c r="I323">
        <v>115.74</v>
      </c>
      <c r="J323" t="s">
        <v>16</v>
      </c>
    </row>
    <row r="324" spans="1:12" x14ac:dyDescent="0.25">
      <c r="A324" t="s">
        <v>3</v>
      </c>
      <c r="B324" t="s">
        <v>249</v>
      </c>
      <c r="C324" t="s">
        <v>14</v>
      </c>
      <c r="D324" s="2">
        <v>45331</v>
      </c>
      <c r="F324" s="2">
        <v>45665</v>
      </c>
      <c r="G324" s="2">
        <v>45666</v>
      </c>
      <c r="H324" s="1">
        <v>9508</v>
      </c>
      <c r="I324">
        <v>132.05000000000001</v>
      </c>
      <c r="J324" t="s">
        <v>605</v>
      </c>
      <c r="L324" t="s">
        <v>528</v>
      </c>
    </row>
    <row r="325" spans="1:12" x14ac:dyDescent="0.25">
      <c r="A325" t="s">
        <v>735</v>
      </c>
      <c r="B325" t="s">
        <v>738</v>
      </c>
      <c r="C325" t="s">
        <v>31</v>
      </c>
      <c r="D325" s="2">
        <v>45509</v>
      </c>
      <c r="F325" s="2">
        <v>45653</v>
      </c>
      <c r="G325" s="2">
        <v>45667</v>
      </c>
      <c r="H325" s="1">
        <v>40000</v>
      </c>
      <c r="I325">
        <v>113.96</v>
      </c>
      <c r="J325" t="s">
        <v>16</v>
      </c>
    </row>
    <row r="326" spans="1:12" x14ac:dyDescent="0.25">
      <c r="A326" t="s">
        <v>111</v>
      </c>
      <c r="B326" t="s">
        <v>196</v>
      </c>
      <c r="C326" t="s">
        <v>14</v>
      </c>
      <c r="D326" s="2">
        <v>45296</v>
      </c>
      <c r="F326" s="2">
        <v>45663</v>
      </c>
      <c r="G326" s="2">
        <v>45667</v>
      </c>
      <c r="H326" s="1">
        <v>24430</v>
      </c>
      <c r="I326">
        <v>108.58</v>
      </c>
      <c r="J326" t="s">
        <v>16</v>
      </c>
    </row>
    <row r="327" spans="1:12" x14ac:dyDescent="0.25">
      <c r="A327" t="s">
        <v>93</v>
      </c>
      <c r="B327" t="s">
        <v>312</v>
      </c>
      <c r="C327" t="s">
        <v>14</v>
      </c>
      <c r="D327" s="2">
        <v>45387</v>
      </c>
      <c r="F327" s="2">
        <v>45668</v>
      </c>
      <c r="G327" s="2">
        <v>45668</v>
      </c>
      <c r="H327" s="1">
        <v>35000</v>
      </c>
      <c r="I327">
        <v>388.89</v>
      </c>
      <c r="J327" t="s">
        <v>16</v>
      </c>
    </row>
    <row r="328" spans="1:12" x14ac:dyDescent="0.25">
      <c r="A328" t="s">
        <v>88</v>
      </c>
      <c r="B328" t="s">
        <v>453</v>
      </c>
      <c r="C328" t="s">
        <v>25</v>
      </c>
      <c r="D328" s="2">
        <v>45434</v>
      </c>
      <c r="F328" s="2">
        <v>45663</v>
      </c>
      <c r="G328" s="2">
        <v>45670</v>
      </c>
      <c r="H328" s="1">
        <v>23928</v>
      </c>
      <c r="I328">
        <v>147.69999999999999</v>
      </c>
      <c r="J328" t="s">
        <v>40</v>
      </c>
      <c r="L328" t="s">
        <v>528</v>
      </c>
    </row>
    <row r="329" spans="1:12" x14ac:dyDescent="0.25">
      <c r="A329" t="s">
        <v>735</v>
      </c>
      <c r="B329" t="s">
        <v>736</v>
      </c>
      <c r="C329" t="s">
        <v>31</v>
      </c>
      <c r="D329" s="2">
        <v>45509</v>
      </c>
      <c r="F329" s="2">
        <v>45668</v>
      </c>
      <c r="G329" s="2">
        <v>45670</v>
      </c>
      <c r="H329" s="1">
        <v>5500</v>
      </c>
      <c r="I329">
        <v>101.85</v>
      </c>
      <c r="J329" t="s">
        <v>16</v>
      </c>
    </row>
    <row r="330" spans="1:12" x14ac:dyDescent="0.25">
      <c r="A330" t="s">
        <v>735</v>
      </c>
      <c r="B330" t="s">
        <v>739</v>
      </c>
      <c r="C330" t="s">
        <v>31</v>
      </c>
      <c r="D330" s="2">
        <v>45509</v>
      </c>
      <c r="F330" s="2">
        <v>45671</v>
      </c>
      <c r="G330" s="2">
        <v>45672</v>
      </c>
      <c r="H330" s="1">
        <v>6500</v>
      </c>
      <c r="I330">
        <v>120.37</v>
      </c>
      <c r="J330" t="s">
        <v>16</v>
      </c>
    </row>
    <row r="331" spans="1:12" x14ac:dyDescent="0.25">
      <c r="A331" t="s">
        <v>27</v>
      </c>
      <c r="B331" t="s">
        <v>346</v>
      </c>
      <c r="C331" t="s">
        <v>28</v>
      </c>
      <c r="D331" s="2">
        <v>45405</v>
      </c>
      <c r="F331" s="2">
        <v>45670</v>
      </c>
      <c r="G331" s="2">
        <v>45673</v>
      </c>
      <c r="H331" s="1">
        <v>12085</v>
      </c>
      <c r="I331">
        <v>111.9</v>
      </c>
      <c r="J331" t="s">
        <v>89</v>
      </c>
      <c r="K331" t="s">
        <v>528</v>
      </c>
      <c r="L331" t="s">
        <v>528</v>
      </c>
    </row>
    <row r="332" spans="1:12" x14ac:dyDescent="0.25">
      <c r="A332" t="s">
        <v>499</v>
      </c>
      <c r="B332" t="s">
        <v>501</v>
      </c>
      <c r="C332" t="s">
        <v>45</v>
      </c>
      <c r="D332" s="2">
        <v>45454</v>
      </c>
      <c r="F332" s="2">
        <v>45670</v>
      </c>
      <c r="G332" s="2">
        <v>45673</v>
      </c>
      <c r="H332" s="1">
        <v>12600</v>
      </c>
      <c r="I332">
        <v>116.67</v>
      </c>
      <c r="J332" t="s">
        <v>89</v>
      </c>
      <c r="L332" t="s">
        <v>528</v>
      </c>
    </row>
    <row r="333" spans="1:12" x14ac:dyDescent="0.25">
      <c r="A333" t="s">
        <v>44</v>
      </c>
      <c r="B333" t="s">
        <v>200</v>
      </c>
      <c r="C333" t="s">
        <v>38</v>
      </c>
      <c r="D333" s="2">
        <v>45320</v>
      </c>
      <c r="F333" s="2">
        <v>45671</v>
      </c>
      <c r="G333" s="2">
        <v>45673</v>
      </c>
      <c r="H333" s="1">
        <v>11340</v>
      </c>
      <c r="I333">
        <v>105</v>
      </c>
      <c r="J333" t="s">
        <v>40</v>
      </c>
      <c r="K333" t="s">
        <v>528</v>
      </c>
      <c r="L333" t="s">
        <v>528</v>
      </c>
    </row>
    <row r="334" spans="1:12" x14ac:dyDescent="0.25">
      <c r="A334" t="s">
        <v>33</v>
      </c>
      <c r="B334" t="s">
        <v>247</v>
      </c>
      <c r="C334" t="s">
        <v>14</v>
      </c>
      <c r="D334" s="2">
        <v>45363</v>
      </c>
      <c r="F334" s="2">
        <v>45670</v>
      </c>
      <c r="G334" s="2">
        <v>45674</v>
      </c>
      <c r="H334" s="1">
        <v>21713</v>
      </c>
      <c r="I334">
        <v>120.63</v>
      </c>
      <c r="J334" t="s">
        <v>40</v>
      </c>
      <c r="L334" t="s">
        <v>528</v>
      </c>
    </row>
    <row r="335" spans="1:12" x14ac:dyDescent="0.25">
      <c r="A335" t="s">
        <v>33</v>
      </c>
      <c r="B335" t="s">
        <v>484</v>
      </c>
      <c r="C335" t="s">
        <v>23</v>
      </c>
      <c r="D335" s="2">
        <v>45443</v>
      </c>
      <c r="F335" s="2">
        <v>45663</v>
      </c>
      <c r="G335" s="2">
        <v>45674</v>
      </c>
      <c r="H335" s="1">
        <v>37307</v>
      </c>
      <c r="I335">
        <v>106.59</v>
      </c>
      <c r="J335" t="s">
        <v>40</v>
      </c>
      <c r="L335" t="s">
        <v>528</v>
      </c>
    </row>
    <row r="336" spans="1:12" x14ac:dyDescent="0.25">
      <c r="A336" t="s">
        <v>111</v>
      </c>
      <c r="B336" t="s">
        <v>204</v>
      </c>
      <c r="C336" t="s">
        <v>14</v>
      </c>
      <c r="D336" s="2">
        <v>45301</v>
      </c>
      <c r="F336" s="2">
        <v>45670</v>
      </c>
      <c r="G336" s="2">
        <v>45678</v>
      </c>
      <c r="H336" s="1">
        <v>20120</v>
      </c>
      <c r="I336">
        <v>106.46</v>
      </c>
      <c r="J336" t="s">
        <v>16</v>
      </c>
    </row>
    <row r="337" spans="1:12" x14ac:dyDescent="0.25">
      <c r="A337" t="s">
        <v>111</v>
      </c>
      <c r="B337" t="s">
        <v>195</v>
      </c>
      <c r="C337" t="s">
        <v>14</v>
      </c>
      <c r="D337" s="2">
        <v>45296</v>
      </c>
      <c r="F337" s="2">
        <v>45670</v>
      </c>
      <c r="G337" s="2">
        <v>45679</v>
      </c>
      <c r="H337" s="1">
        <v>37730</v>
      </c>
      <c r="I337">
        <v>104.81</v>
      </c>
      <c r="J337" t="s">
        <v>16</v>
      </c>
    </row>
    <row r="338" spans="1:12" x14ac:dyDescent="0.25">
      <c r="A338" t="s">
        <v>44</v>
      </c>
      <c r="B338" t="s">
        <v>248</v>
      </c>
      <c r="C338" t="s">
        <v>38</v>
      </c>
      <c r="D338" s="2">
        <v>45320</v>
      </c>
      <c r="F338" s="2">
        <v>45674</v>
      </c>
      <c r="G338" s="2">
        <v>45681</v>
      </c>
      <c r="H338" s="1">
        <v>22244</v>
      </c>
      <c r="I338">
        <v>102.98</v>
      </c>
      <c r="J338" t="s">
        <v>40</v>
      </c>
      <c r="L338" t="s">
        <v>528</v>
      </c>
    </row>
    <row r="339" spans="1:12" x14ac:dyDescent="0.25">
      <c r="A339" t="s">
        <v>88</v>
      </c>
      <c r="B339" t="s">
        <v>379</v>
      </c>
      <c r="C339" t="s">
        <v>25</v>
      </c>
      <c r="D339" s="2">
        <v>45407</v>
      </c>
      <c r="F339" s="2">
        <v>45677</v>
      </c>
      <c r="G339" s="2">
        <v>45681</v>
      </c>
      <c r="H339" s="1">
        <v>20921</v>
      </c>
      <c r="I339">
        <v>116.23</v>
      </c>
      <c r="J339" t="s">
        <v>40</v>
      </c>
      <c r="L339" t="s">
        <v>528</v>
      </c>
    </row>
    <row r="340" spans="1:12" x14ac:dyDescent="0.25">
      <c r="A340" t="s">
        <v>92</v>
      </c>
      <c r="B340" t="s">
        <v>193</v>
      </c>
      <c r="C340" t="s">
        <v>23</v>
      </c>
      <c r="D340" s="2">
        <v>45377</v>
      </c>
      <c r="F340" s="2">
        <v>45677</v>
      </c>
      <c r="G340" s="2">
        <v>45681</v>
      </c>
      <c r="H340" s="1">
        <v>21506</v>
      </c>
      <c r="I340">
        <v>103.89</v>
      </c>
      <c r="J340" t="s">
        <v>40</v>
      </c>
      <c r="L340" t="s">
        <v>528</v>
      </c>
    </row>
    <row r="341" spans="1:12" x14ac:dyDescent="0.25">
      <c r="A341" t="s">
        <v>566</v>
      </c>
      <c r="B341" t="s">
        <v>601</v>
      </c>
      <c r="C341" t="s">
        <v>24</v>
      </c>
      <c r="D341" s="2">
        <v>45478</v>
      </c>
      <c r="F341" s="2">
        <v>45684</v>
      </c>
      <c r="G341" s="2">
        <v>45684</v>
      </c>
      <c r="H341" s="1">
        <v>6105</v>
      </c>
      <c r="I341">
        <v>135.66999999999999</v>
      </c>
      <c r="J341" t="s">
        <v>40</v>
      </c>
      <c r="L341" t="s">
        <v>528</v>
      </c>
    </row>
    <row r="342" spans="1:12" x14ac:dyDescent="0.25">
      <c r="A342" t="s">
        <v>735</v>
      </c>
      <c r="B342" t="s">
        <v>737</v>
      </c>
      <c r="C342" t="s">
        <v>31</v>
      </c>
      <c r="D342" s="2">
        <v>45509</v>
      </c>
      <c r="F342" s="2">
        <v>45667</v>
      </c>
      <c r="G342" s="2">
        <v>45684</v>
      </c>
      <c r="H342" s="1">
        <v>120000</v>
      </c>
      <c r="I342">
        <v>116.96</v>
      </c>
      <c r="J342" t="s">
        <v>16</v>
      </c>
    </row>
    <row r="343" spans="1:12" x14ac:dyDescent="0.25">
      <c r="A343" t="s">
        <v>15</v>
      </c>
      <c r="B343" t="s">
        <v>252</v>
      </c>
      <c r="C343" t="s">
        <v>25</v>
      </c>
      <c r="D343" s="2">
        <v>45357</v>
      </c>
      <c r="F343" s="2">
        <v>45670</v>
      </c>
      <c r="G343" s="2">
        <v>45685</v>
      </c>
      <c r="H343" s="1">
        <v>46706</v>
      </c>
      <c r="I343">
        <v>108.11</v>
      </c>
      <c r="J343" t="s">
        <v>40</v>
      </c>
      <c r="L343" t="s">
        <v>528</v>
      </c>
    </row>
    <row r="344" spans="1:12" x14ac:dyDescent="0.25">
      <c r="A344" t="s">
        <v>3</v>
      </c>
      <c r="B344" t="s">
        <v>201</v>
      </c>
      <c r="C344" t="s">
        <v>23</v>
      </c>
      <c r="D344" s="2">
        <v>45377</v>
      </c>
      <c r="F344" s="2">
        <v>45686</v>
      </c>
      <c r="G344" s="2">
        <v>45686</v>
      </c>
      <c r="H344" s="1">
        <v>2000</v>
      </c>
      <c r="I344">
        <v>57.14</v>
      </c>
      <c r="J344" t="s">
        <v>40</v>
      </c>
      <c r="K344" t="s">
        <v>528</v>
      </c>
      <c r="L344" t="s">
        <v>528</v>
      </c>
    </row>
    <row r="345" spans="1:12" x14ac:dyDescent="0.25">
      <c r="A345" t="s">
        <v>92</v>
      </c>
      <c r="B345" t="s">
        <v>582</v>
      </c>
      <c r="C345" t="s">
        <v>14</v>
      </c>
      <c r="D345" s="2">
        <v>45471</v>
      </c>
      <c r="F345" s="2">
        <v>45684</v>
      </c>
      <c r="G345" s="2">
        <v>45687</v>
      </c>
      <c r="H345" s="1">
        <v>15030</v>
      </c>
      <c r="I345">
        <v>104.38</v>
      </c>
      <c r="J345" t="s">
        <v>40</v>
      </c>
      <c r="L345" t="s">
        <v>528</v>
      </c>
    </row>
    <row r="346" spans="1:12" x14ac:dyDescent="0.25">
      <c r="A346" t="s">
        <v>2</v>
      </c>
      <c r="B346" t="s">
        <v>367</v>
      </c>
      <c r="C346" t="s">
        <v>14</v>
      </c>
      <c r="D346" s="2">
        <v>45407</v>
      </c>
      <c r="F346" s="2">
        <v>45684</v>
      </c>
      <c r="G346" s="2">
        <v>45687</v>
      </c>
      <c r="H346" s="1">
        <v>17335</v>
      </c>
      <c r="I346">
        <v>120.38</v>
      </c>
      <c r="J346" t="s">
        <v>605</v>
      </c>
      <c r="L346" t="s">
        <v>528</v>
      </c>
    </row>
    <row r="347" spans="1:12" x14ac:dyDescent="0.25">
      <c r="A347" t="s">
        <v>250</v>
      </c>
      <c r="B347" t="s">
        <v>251</v>
      </c>
      <c r="C347" t="s">
        <v>18</v>
      </c>
      <c r="D347" s="2">
        <v>45217</v>
      </c>
      <c r="F347" s="2">
        <v>45663</v>
      </c>
      <c r="G347" s="2">
        <v>45688</v>
      </c>
      <c r="H347" s="1">
        <v>119385</v>
      </c>
      <c r="I347">
        <v>165.81</v>
      </c>
      <c r="J347" t="s">
        <v>40</v>
      </c>
      <c r="L347" t="s">
        <v>528</v>
      </c>
    </row>
    <row r="348" spans="1:12" x14ac:dyDescent="0.25">
      <c r="A348" t="s">
        <v>3</v>
      </c>
      <c r="B348" t="s">
        <v>254</v>
      </c>
      <c r="C348" t="s">
        <v>23</v>
      </c>
      <c r="D348" s="2">
        <v>45377</v>
      </c>
      <c r="F348" s="2">
        <v>45687</v>
      </c>
      <c r="G348" s="2">
        <v>45688</v>
      </c>
      <c r="H348" s="1">
        <v>9546</v>
      </c>
      <c r="I348">
        <v>132.58000000000001</v>
      </c>
      <c r="J348" t="s">
        <v>40</v>
      </c>
      <c r="L348" t="s">
        <v>528</v>
      </c>
    </row>
    <row r="349" spans="1:12" x14ac:dyDescent="0.25">
      <c r="A349" t="s">
        <v>15</v>
      </c>
      <c r="B349" t="s">
        <v>586</v>
      </c>
      <c r="C349" t="s">
        <v>23</v>
      </c>
      <c r="D349" s="2">
        <v>45471</v>
      </c>
      <c r="F349" s="2">
        <v>45691</v>
      </c>
      <c r="G349" s="2">
        <v>45691</v>
      </c>
      <c r="H349" s="1">
        <v>3840</v>
      </c>
      <c r="I349">
        <v>106.67</v>
      </c>
      <c r="J349" t="s">
        <v>40</v>
      </c>
      <c r="L349" t="s">
        <v>528</v>
      </c>
    </row>
    <row r="350" spans="1:12" x14ac:dyDescent="0.25">
      <c r="A350" t="s">
        <v>56</v>
      </c>
      <c r="B350" t="s">
        <v>644</v>
      </c>
      <c r="C350" t="s">
        <v>24</v>
      </c>
      <c r="D350" s="2">
        <v>45489</v>
      </c>
      <c r="F350" s="2">
        <v>45692</v>
      </c>
      <c r="G350" s="2">
        <v>45692</v>
      </c>
      <c r="H350" s="1">
        <v>3055</v>
      </c>
      <c r="I350">
        <v>84.86</v>
      </c>
      <c r="J350" t="s">
        <v>40</v>
      </c>
      <c r="L350" t="s">
        <v>528</v>
      </c>
    </row>
    <row r="351" spans="1:12" x14ac:dyDescent="0.25">
      <c r="A351" t="s">
        <v>111</v>
      </c>
      <c r="B351" t="s">
        <v>197</v>
      </c>
      <c r="C351" t="s">
        <v>14</v>
      </c>
      <c r="D351" s="2">
        <v>45296</v>
      </c>
      <c r="F351" s="2">
        <v>45680</v>
      </c>
      <c r="G351" s="2">
        <v>45693</v>
      </c>
      <c r="H351" s="1">
        <v>44295</v>
      </c>
      <c r="I351">
        <v>98.43</v>
      </c>
      <c r="J351" t="s">
        <v>16</v>
      </c>
    </row>
    <row r="352" spans="1:12" x14ac:dyDescent="0.25">
      <c r="A352" t="s">
        <v>15</v>
      </c>
      <c r="B352" t="s">
        <v>653</v>
      </c>
      <c r="C352" t="s">
        <v>25</v>
      </c>
      <c r="D352" s="2">
        <v>45484</v>
      </c>
      <c r="F352" s="2">
        <v>45691</v>
      </c>
      <c r="G352" s="2">
        <v>45695</v>
      </c>
      <c r="H352" s="1">
        <v>23120</v>
      </c>
      <c r="I352">
        <v>102.76</v>
      </c>
      <c r="J352" t="s">
        <v>40</v>
      </c>
      <c r="L352" t="s">
        <v>528</v>
      </c>
    </row>
    <row r="353" spans="1:12" x14ac:dyDescent="0.25">
      <c r="A353" t="s">
        <v>3</v>
      </c>
      <c r="B353" t="s">
        <v>317</v>
      </c>
      <c r="C353" t="s">
        <v>20</v>
      </c>
      <c r="D353" s="2">
        <v>45398</v>
      </c>
      <c r="F353" s="2">
        <v>45700</v>
      </c>
      <c r="G353" s="2">
        <v>45700</v>
      </c>
      <c r="H353" s="1">
        <v>3885</v>
      </c>
      <c r="I353">
        <v>457.06</v>
      </c>
      <c r="J353" t="s">
        <v>140</v>
      </c>
    </row>
    <row r="354" spans="1:12" x14ac:dyDescent="0.25">
      <c r="A354" t="s">
        <v>92</v>
      </c>
      <c r="B354" t="s">
        <v>741</v>
      </c>
      <c r="C354" t="s">
        <v>14</v>
      </c>
      <c r="D354" s="2">
        <v>45504</v>
      </c>
      <c r="F354" s="2">
        <v>45691</v>
      </c>
      <c r="G354" s="2">
        <v>45709</v>
      </c>
      <c r="H354" s="1">
        <v>62596</v>
      </c>
      <c r="I354">
        <v>115.92</v>
      </c>
      <c r="J354" t="s">
        <v>140</v>
      </c>
      <c r="L354" t="s">
        <v>528</v>
      </c>
    </row>
    <row r="355" spans="1:12" x14ac:dyDescent="0.25">
      <c r="A355" t="s">
        <v>88</v>
      </c>
      <c r="B355" t="s">
        <v>344</v>
      </c>
      <c r="C355" t="s">
        <v>25</v>
      </c>
      <c r="D355" s="2">
        <v>45405</v>
      </c>
      <c r="F355" s="2">
        <v>45712</v>
      </c>
      <c r="G355" s="2">
        <v>45715</v>
      </c>
      <c r="H355" s="1">
        <v>16372</v>
      </c>
      <c r="I355">
        <v>90.96</v>
      </c>
      <c r="J355" t="s">
        <v>40</v>
      </c>
      <c r="L355" t="s">
        <v>528</v>
      </c>
    </row>
    <row r="356" spans="1:12" x14ac:dyDescent="0.25">
      <c r="A356" t="s">
        <v>15</v>
      </c>
      <c r="B356" t="s">
        <v>371</v>
      </c>
      <c r="C356" t="s">
        <v>14</v>
      </c>
      <c r="D356" s="2">
        <v>45407</v>
      </c>
      <c r="F356" s="2">
        <v>45719</v>
      </c>
      <c r="G356" s="2">
        <v>45719</v>
      </c>
      <c r="H356">
        <v>641</v>
      </c>
      <c r="I356">
        <v>17.79</v>
      </c>
      <c r="J356" t="s">
        <v>16</v>
      </c>
      <c r="L356" t="s">
        <v>528</v>
      </c>
    </row>
    <row r="357" spans="1:12" x14ac:dyDescent="0.25">
      <c r="A357" t="s">
        <v>2</v>
      </c>
      <c r="B357" t="s">
        <v>208</v>
      </c>
      <c r="C357" t="s">
        <v>14</v>
      </c>
      <c r="D357" s="2">
        <v>45384</v>
      </c>
      <c r="F357" s="2">
        <v>45719</v>
      </c>
      <c r="G357" s="2">
        <v>45720</v>
      </c>
      <c r="H357" s="1">
        <v>4490</v>
      </c>
      <c r="I357">
        <v>62.36</v>
      </c>
      <c r="J357" t="s">
        <v>40</v>
      </c>
      <c r="K357" t="s">
        <v>528</v>
      </c>
      <c r="L357" t="s">
        <v>528</v>
      </c>
    </row>
    <row r="358" spans="1:12" x14ac:dyDescent="0.25">
      <c r="A358" t="s">
        <v>88</v>
      </c>
      <c r="B358" t="s">
        <v>303</v>
      </c>
      <c r="C358" t="s">
        <v>48</v>
      </c>
      <c r="D358" s="2">
        <v>45224</v>
      </c>
      <c r="F358" s="2">
        <v>45719</v>
      </c>
      <c r="G358" s="2">
        <v>45720</v>
      </c>
      <c r="H358" s="1">
        <v>6990</v>
      </c>
      <c r="I358">
        <v>97.08</v>
      </c>
      <c r="J358" t="s">
        <v>40</v>
      </c>
      <c r="L358" t="s">
        <v>528</v>
      </c>
    </row>
    <row r="359" spans="1:12" x14ac:dyDescent="0.25">
      <c r="A359" t="s">
        <v>15</v>
      </c>
      <c r="B359" t="s">
        <v>439</v>
      </c>
      <c r="C359" t="s">
        <v>14</v>
      </c>
      <c r="D359" s="2">
        <v>45429</v>
      </c>
      <c r="F359" s="2">
        <v>45719</v>
      </c>
      <c r="G359" s="2">
        <v>45720</v>
      </c>
      <c r="H359" s="1">
        <v>8862</v>
      </c>
      <c r="I359">
        <v>123.08</v>
      </c>
      <c r="J359" t="s">
        <v>16</v>
      </c>
      <c r="L359" t="s">
        <v>528</v>
      </c>
    </row>
    <row r="360" spans="1:12" x14ac:dyDescent="0.25">
      <c r="A360" t="s">
        <v>15</v>
      </c>
      <c r="B360" t="s">
        <v>372</v>
      </c>
      <c r="C360" t="s">
        <v>14</v>
      </c>
      <c r="D360" s="2">
        <v>45407</v>
      </c>
      <c r="F360" s="2">
        <v>45721</v>
      </c>
      <c r="G360" s="2">
        <v>45723</v>
      </c>
      <c r="H360" s="1">
        <v>10721</v>
      </c>
      <c r="I360">
        <v>99.26</v>
      </c>
      <c r="J360" t="s">
        <v>16</v>
      </c>
      <c r="L360" t="s">
        <v>528</v>
      </c>
    </row>
    <row r="361" spans="1:12" x14ac:dyDescent="0.25">
      <c r="A361" t="s">
        <v>19</v>
      </c>
      <c r="B361" t="s">
        <v>223</v>
      </c>
      <c r="C361" t="s">
        <v>49</v>
      </c>
      <c r="D361" s="2">
        <v>45259</v>
      </c>
      <c r="F361" s="2">
        <v>45748</v>
      </c>
      <c r="G361" s="2">
        <v>45748</v>
      </c>
      <c r="H361" s="1">
        <v>3981</v>
      </c>
      <c r="I361">
        <v>88.47</v>
      </c>
      <c r="J361" t="s">
        <v>89</v>
      </c>
    </row>
    <row r="362" spans="1:12" x14ac:dyDescent="0.25">
      <c r="A362" t="s">
        <v>36</v>
      </c>
      <c r="B362" t="s">
        <v>225</v>
      </c>
      <c r="C362" t="s">
        <v>32</v>
      </c>
      <c r="D362" s="2">
        <v>45264</v>
      </c>
      <c r="F362" s="2">
        <v>45748</v>
      </c>
      <c r="G362" s="2">
        <v>45748</v>
      </c>
      <c r="H362" s="1">
        <v>1655</v>
      </c>
      <c r="I362">
        <v>137.91999999999999</v>
      </c>
      <c r="J362" t="s">
        <v>89</v>
      </c>
    </row>
    <row r="363" spans="1:12" x14ac:dyDescent="0.25">
      <c r="A363" t="s">
        <v>387</v>
      </c>
      <c r="B363" t="s">
        <v>562</v>
      </c>
      <c r="C363" t="s">
        <v>14</v>
      </c>
      <c r="D363" s="2">
        <v>45415</v>
      </c>
      <c r="F363" s="2">
        <v>45748</v>
      </c>
      <c r="G363" s="2">
        <v>45748</v>
      </c>
      <c r="H363" s="1">
        <v>29420</v>
      </c>
      <c r="I363">
        <v>0</v>
      </c>
      <c r="J363" t="s">
        <v>89</v>
      </c>
    </row>
    <row r="364" spans="1:12" x14ac:dyDescent="0.25">
      <c r="A364" t="s">
        <v>15</v>
      </c>
      <c r="B364" t="s">
        <v>366</v>
      </c>
      <c r="C364" t="s">
        <v>35</v>
      </c>
      <c r="D364" s="2">
        <v>45413</v>
      </c>
      <c r="F364" s="2">
        <v>45748</v>
      </c>
      <c r="G364" s="2">
        <v>45748</v>
      </c>
      <c r="H364" s="1">
        <v>4709</v>
      </c>
      <c r="I364">
        <v>130.81</v>
      </c>
      <c r="J364" t="s">
        <v>40</v>
      </c>
      <c r="L364" t="s">
        <v>528</v>
      </c>
    </row>
    <row r="365" spans="1:12" x14ac:dyDescent="0.25">
      <c r="A365" t="s">
        <v>467</v>
      </c>
      <c r="B365" t="s">
        <v>475</v>
      </c>
      <c r="C365" t="s">
        <v>17</v>
      </c>
      <c r="D365" s="2">
        <v>45448</v>
      </c>
      <c r="F365" s="2">
        <v>45748</v>
      </c>
      <c r="G365" s="2">
        <v>45749</v>
      </c>
      <c r="H365" s="1">
        <v>7004</v>
      </c>
      <c r="I365">
        <v>129.69</v>
      </c>
      <c r="J365" t="s">
        <v>89</v>
      </c>
      <c r="L365" t="s">
        <v>528</v>
      </c>
    </row>
    <row r="366" spans="1:12" x14ac:dyDescent="0.25">
      <c r="A366" t="s">
        <v>33</v>
      </c>
      <c r="B366" t="s">
        <v>181</v>
      </c>
      <c r="C366" t="s">
        <v>14</v>
      </c>
      <c r="D366" s="2">
        <v>45306</v>
      </c>
      <c r="F366" s="2">
        <v>45748</v>
      </c>
      <c r="G366" s="2">
        <v>45749</v>
      </c>
      <c r="H366" s="1">
        <v>7660</v>
      </c>
      <c r="I366">
        <v>106.39</v>
      </c>
      <c r="J366" t="s">
        <v>40</v>
      </c>
      <c r="L366" t="s">
        <v>528</v>
      </c>
    </row>
    <row r="367" spans="1:12" x14ac:dyDescent="0.25">
      <c r="A367" t="s">
        <v>39</v>
      </c>
      <c r="B367" t="s">
        <v>407</v>
      </c>
      <c r="C367" t="s">
        <v>14</v>
      </c>
      <c r="D367" s="2">
        <v>45425</v>
      </c>
      <c r="F367" s="2">
        <v>45748</v>
      </c>
      <c r="G367" s="2">
        <v>45749</v>
      </c>
      <c r="H367" s="1">
        <v>9198</v>
      </c>
      <c r="I367">
        <v>127.75</v>
      </c>
      <c r="J367" t="s">
        <v>16</v>
      </c>
      <c r="L367" t="s">
        <v>528</v>
      </c>
    </row>
    <row r="368" spans="1:12" x14ac:dyDescent="0.25">
      <c r="A368" t="s">
        <v>88</v>
      </c>
      <c r="B368" t="s">
        <v>238</v>
      </c>
      <c r="C368" t="s">
        <v>14</v>
      </c>
      <c r="D368" s="2">
        <v>45328</v>
      </c>
      <c r="F368" s="2">
        <v>45750</v>
      </c>
      <c r="G368" s="2">
        <v>45750</v>
      </c>
      <c r="H368" s="1">
        <v>4470</v>
      </c>
      <c r="I368">
        <v>124.17</v>
      </c>
      <c r="J368" t="s">
        <v>40</v>
      </c>
      <c r="L368" t="s">
        <v>528</v>
      </c>
    </row>
    <row r="369" spans="1:12" x14ac:dyDescent="0.25">
      <c r="A369" t="s">
        <v>92</v>
      </c>
      <c r="B369" t="s">
        <v>186</v>
      </c>
      <c r="C369" t="s">
        <v>23</v>
      </c>
      <c r="D369" s="2">
        <v>45328</v>
      </c>
      <c r="F369" s="2">
        <v>45750</v>
      </c>
      <c r="G369" s="2">
        <v>45750</v>
      </c>
      <c r="H369" s="1">
        <v>3718</v>
      </c>
      <c r="I369">
        <v>103.26</v>
      </c>
      <c r="J369" t="s">
        <v>40</v>
      </c>
      <c r="L369" t="s">
        <v>528</v>
      </c>
    </row>
    <row r="370" spans="1:12" x14ac:dyDescent="0.25">
      <c r="A370" t="s">
        <v>65</v>
      </c>
      <c r="B370" t="s">
        <v>414</v>
      </c>
      <c r="C370" t="s">
        <v>32</v>
      </c>
      <c r="D370" s="2">
        <v>45422</v>
      </c>
      <c r="F370" s="2">
        <v>45749</v>
      </c>
      <c r="G370" s="2">
        <v>45751</v>
      </c>
      <c r="H370" s="1">
        <v>11356</v>
      </c>
      <c r="I370">
        <v>108.15</v>
      </c>
      <c r="J370" t="s">
        <v>89</v>
      </c>
      <c r="L370" t="s">
        <v>528</v>
      </c>
    </row>
    <row r="371" spans="1:12" x14ac:dyDescent="0.25">
      <c r="A371" t="s">
        <v>33</v>
      </c>
      <c r="B371" t="s">
        <v>126</v>
      </c>
      <c r="C371" t="s">
        <v>38</v>
      </c>
      <c r="D371" s="2">
        <v>45167</v>
      </c>
      <c r="F371" s="2">
        <v>45748</v>
      </c>
      <c r="G371" s="2">
        <v>45751</v>
      </c>
      <c r="H371" s="1">
        <v>14720</v>
      </c>
      <c r="I371">
        <v>102.22</v>
      </c>
      <c r="J371" t="s">
        <v>40</v>
      </c>
      <c r="L371" t="s">
        <v>528</v>
      </c>
    </row>
    <row r="372" spans="1:12" x14ac:dyDescent="0.25">
      <c r="A372" t="s">
        <v>88</v>
      </c>
      <c r="B372" t="s">
        <v>182</v>
      </c>
      <c r="C372" t="s">
        <v>35</v>
      </c>
      <c r="D372" s="2">
        <v>45268</v>
      </c>
      <c r="F372" s="2">
        <v>45751</v>
      </c>
      <c r="G372" s="2">
        <v>45751</v>
      </c>
      <c r="H372" s="1">
        <v>3291</v>
      </c>
      <c r="I372">
        <v>91.42</v>
      </c>
      <c r="J372" t="s">
        <v>40</v>
      </c>
      <c r="L372" t="s">
        <v>528</v>
      </c>
    </row>
    <row r="373" spans="1:12" x14ac:dyDescent="0.25">
      <c r="A373" t="s">
        <v>111</v>
      </c>
      <c r="B373" t="s">
        <v>184</v>
      </c>
      <c r="C373" t="s">
        <v>14</v>
      </c>
      <c r="D373" s="2">
        <v>45296</v>
      </c>
      <c r="F373" s="2">
        <v>45747</v>
      </c>
      <c r="G373" s="2">
        <v>45751</v>
      </c>
      <c r="H373" s="1">
        <v>23915</v>
      </c>
      <c r="I373">
        <v>106.29</v>
      </c>
      <c r="J373" t="s">
        <v>16</v>
      </c>
    </row>
    <row r="374" spans="1:12" x14ac:dyDescent="0.25">
      <c r="A374" t="s">
        <v>88</v>
      </c>
      <c r="B374" t="s">
        <v>199</v>
      </c>
      <c r="C374" t="s">
        <v>14</v>
      </c>
      <c r="D374" s="2">
        <v>45328</v>
      </c>
      <c r="F374" s="2">
        <v>45754</v>
      </c>
      <c r="G374" s="2">
        <v>45754</v>
      </c>
      <c r="H374" s="1">
        <v>2435</v>
      </c>
      <c r="I374">
        <v>70.58</v>
      </c>
      <c r="J374" t="s">
        <v>40</v>
      </c>
      <c r="K374" t="s">
        <v>528</v>
      </c>
      <c r="L374" t="s">
        <v>528</v>
      </c>
    </row>
    <row r="375" spans="1:12" x14ac:dyDescent="0.25">
      <c r="A375" t="s">
        <v>88</v>
      </c>
      <c r="B375" t="s">
        <v>447</v>
      </c>
      <c r="C375" t="s">
        <v>25</v>
      </c>
      <c r="D375" s="2">
        <v>45434</v>
      </c>
      <c r="F375" s="2">
        <v>45754</v>
      </c>
      <c r="G375" s="2">
        <v>45754</v>
      </c>
      <c r="H375" s="1">
        <v>2998</v>
      </c>
      <c r="I375">
        <v>111.03</v>
      </c>
      <c r="J375" t="s">
        <v>40</v>
      </c>
      <c r="L375" t="s">
        <v>528</v>
      </c>
    </row>
    <row r="376" spans="1:12" x14ac:dyDescent="0.25">
      <c r="A376" t="s">
        <v>3</v>
      </c>
      <c r="B376" t="s">
        <v>474</v>
      </c>
      <c r="C376" t="s">
        <v>20</v>
      </c>
      <c r="D376" s="2">
        <v>45448</v>
      </c>
      <c r="F376" s="2">
        <v>45750</v>
      </c>
      <c r="G376" s="2">
        <v>45754</v>
      </c>
      <c r="H376" s="1">
        <v>9425</v>
      </c>
      <c r="I376">
        <v>116.36</v>
      </c>
      <c r="J376" t="s">
        <v>140</v>
      </c>
      <c r="L376" t="s">
        <v>528</v>
      </c>
    </row>
    <row r="377" spans="1:12" x14ac:dyDescent="0.25">
      <c r="A377" t="s">
        <v>88</v>
      </c>
      <c r="B377" t="s">
        <v>240</v>
      </c>
      <c r="C377" t="s">
        <v>14</v>
      </c>
      <c r="D377" s="2">
        <v>45328</v>
      </c>
      <c r="F377" s="2">
        <v>45755</v>
      </c>
      <c r="G377" s="2">
        <v>45755</v>
      </c>
      <c r="H377" s="1">
        <v>6065</v>
      </c>
      <c r="I377">
        <v>168.47</v>
      </c>
      <c r="J377" t="s">
        <v>40</v>
      </c>
      <c r="L377" t="s">
        <v>528</v>
      </c>
    </row>
    <row r="378" spans="1:12" x14ac:dyDescent="0.25">
      <c r="A378" t="s">
        <v>3</v>
      </c>
      <c r="B378" t="s">
        <v>482</v>
      </c>
      <c r="C378" t="s">
        <v>14</v>
      </c>
      <c r="D378" s="2">
        <v>45443</v>
      </c>
      <c r="F378" s="2">
        <v>45749</v>
      </c>
      <c r="G378" s="2">
        <v>45755</v>
      </c>
      <c r="H378" s="1">
        <v>20003</v>
      </c>
      <c r="I378">
        <v>111.13</v>
      </c>
      <c r="J378" t="s">
        <v>605</v>
      </c>
      <c r="L378" t="s">
        <v>528</v>
      </c>
    </row>
    <row r="379" spans="1:12" x14ac:dyDescent="0.25">
      <c r="A379" t="s">
        <v>39</v>
      </c>
      <c r="B379" t="s">
        <v>102</v>
      </c>
      <c r="C379" t="s">
        <v>14</v>
      </c>
      <c r="D379" s="2">
        <v>44939</v>
      </c>
      <c r="F379" s="2">
        <v>45748</v>
      </c>
      <c r="G379" s="2">
        <v>45756</v>
      </c>
      <c r="H379" s="1">
        <v>19247</v>
      </c>
      <c r="I379">
        <v>101.84</v>
      </c>
      <c r="J379" t="s">
        <v>605</v>
      </c>
      <c r="L379" t="s">
        <v>528</v>
      </c>
    </row>
    <row r="380" spans="1:12" x14ac:dyDescent="0.25">
      <c r="A380" t="s">
        <v>44</v>
      </c>
      <c r="B380" t="s">
        <v>241</v>
      </c>
      <c r="C380" t="s">
        <v>38</v>
      </c>
      <c r="D380" s="2">
        <v>45320</v>
      </c>
      <c r="F380" s="2">
        <v>45755</v>
      </c>
      <c r="G380" s="2">
        <v>45757</v>
      </c>
      <c r="H380" s="1">
        <v>13180</v>
      </c>
      <c r="I380">
        <v>122.04</v>
      </c>
      <c r="J380" t="s">
        <v>40</v>
      </c>
      <c r="L380" t="s">
        <v>528</v>
      </c>
    </row>
    <row r="381" spans="1:12" x14ac:dyDescent="0.25">
      <c r="A381" t="s">
        <v>88</v>
      </c>
      <c r="B381" t="s">
        <v>411</v>
      </c>
      <c r="C381" t="s">
        <v>14</v>
      </c>
      <c r="D381" s="2">
        <v>45426</v>
      </c>
      <c r="F381" s="2">
        <v>45756</v>
      </c>
      <c r="G381" s="2">
        <v>45757</v>
      </c>
      <c r="H381" s="1">
        <v>7750</v>
      </c>
      <c r="I381">
        <v>107.64</v>
      </c>
      <c r="J381" t="s">
        <v>40</v>
      </c>
      <c r="L381" t="s">
        <v>528</v>
      </c>
    </row>
    <row r="382" spans="1:12" x14ac:dyDescent="0.25">
      <c r="A382" t="s">
        <v>69</v>
      </c>
      <c r="B382" t="s">
        <v>239</v>
      </c>
      <c r="C382" t="s">
        <v>99</v>
      </c>
      <c r="D382" s="2">
        <v>45363</v>
      </c>
      <c r="F382" s="2">
        <v>45754</v>
      </c>
      <c r="G382" s="2">
        <v>45757</v>
      </c>
      <c r="H382" s="1">
        <v>10065</v>
      </c>
      <c r="I382">
        <v>104.84</v>
      </c>
      <c r="J382" t="s">
        <v>605</v>
      </c>
      <c r="L382" t="s">
        <v>528</v>
      </c>
    </row>
    <row r="383" spans="1:12" x14ac:dyDescent="0.25">
      <c r="A383" t="s">
        <v>19</v>
      </c>
      <c r="B383" t="s">
        <v>335</v>
      </c>
      <c r="C383" t="s">
        <v>35</v>
      </c>
      <c r="D383" s="2">
        <v>45400</v>
      </c>
      <c r="F383" s="2">
        <v>45756</v>
      </c>
      <c r="G383" s="2">
        <v>45758</v>
      </c>
      <c r="H383" s="1">
        <v>11692</v>
      </c>
      <c r="I383">
        <v>111.35</v>
      </c>
      <c r="J383" t="s">
        <v>40</v>
      </c>
      <c r="L383" t="s">
        <v>528</v>
      </c>
    </row>
    <row r="384" spans="1:12" x14ac:dyDescent="0.25">
      <c r="A384" t="s">
        <v>88</v>
      </c>
      <c r="B384" t="s">
        <v>243</v>
      </c>
      <c r="C384" t="s">
        <v>24</v>
      </c>
      <c r="D384" s="2">
        <v>45247</v>
      </c>
      <c r="F384" s="2">
        <v>45754</v>
      </c>
      <c r="G384" s="2">
        <v>45758</v>
      </c>
      <c r="H384" s="1">
        <v>17830</v>
      </c>
      <c r="I384">
        <v>99.06</v>
      </c>
      <c r="J384" t="s">
        <v>40</v>
      </c>
      <c r="L384" t="s">
        <v>528</v>
      </c>
    </row>
    <row r="385" spans="1:12" x14ac:dyDescent="0.25">
      <c r="A385" t="s">
        <v>164</v>
      </c>
      <c r="B385" t="s">
        <v>289</v>
      </c>
      <c r="C385" t="s">
        <v>28</v>
      </c>
      <c r="D385" s="2">
        <v>45384</v>
      </c>
      <c r="F385" s="2">
        <v>45752</v>
      </c>
      <c r="G385" s="2">
        <v>45759</v>
      </c>
      <c r="H385" s="1">
        <v>6185</v>
      </c>
      <c r="I385">
        <v>85.9</v>
      </c>
      <c r="J385" t="s">
        <v>89</v>
      </c>
      <c r="L385" t="s">
        <v>528</v>
      </c>
    </row>
    <row r="386" spans="1:12" x14ac:dyDescent="0.25">
      <c r="A386" t="s">
        <v>92</v>
      </c>
      <c r="B386" t="s">
        <v>245</v>
      </c>
      <c r="C386" t="s">
        <v>48</v>
      </c>
      <c r="D386" s="2">
        <v>45363</v>
      </c>
      <c r="F386" s="2">
        <v>45761</v>
      </c>
      <c r="G386" s="2">
        <v>45761</v>
      </c>
      <c r="H386" s="1">
        <v>5222</v>
      </c>
      <c r="I386">
        <v>137.41</v>
      </c>
      <c r="J386" t="s">
        <v>40</v>
      </c>
      <c r="L386" t="s">
        <v>528</v>
      </c>
    </row>
    <row r="387" spans="1:12" x14ac:dyDescent="0.25">
      <c r="A387" t="s">
        <v>111</v>
      </c>
      <c r="B387" t="s">
        <v>185</v>
      </c>
      <c r="C387" t="s">
        <v>14</v>
      </c>
      <c r="D387" s="2">
        <v>45296</v>
      </c>
      <c r="F387" s="2">
        <v>45754</v>
      </c>
      <c r="G387" s="2">
        <v>45761</v>
      </c>
      <c r="H387" s="1">
        <v>28990</v>
      </c>
      <c r="I387">
        <v>107.37</v>
      </c>
      <c r="J387" t="s">
        <v>16</v>
      </c>
    </row>
    <row r="388" spans="1:12" x14ac:dyDescent="0.25">
      <c r="A388" t="s">
        <v>15</v>
      </c>
      <c r="B388" t="s">
        <v>242</v>
      </c>
      <c r="C388" t="s">
        <v>23</v>
      </c>
      <c r="D388" s="2">
        <v>45377</v>
      </c>
      <c r="F388" s="2">
        <v>45761</v>
      </c>
      <c r="G388" s="2">
        <v>45762</v>
      </c>
      <c r="H388" s="1">
        <v>9330</v>
      </c>
      <c r="I388">
        <v>129.58000000000001</v>
      </c>
      <c r="J388" t="s">
        <v>40</v>
      </c>
      <c r="L388" t="s">
        <v>528</v>
      </c>
    </row>
    <row r="389" spans="1:12" x14ac:dyDescent="0.25">
      <c r="A389" t="s">
        <v>39</v>
      </c>
      <c r="B389" t="s">
        <v>440</v>
      </c>
      <c r="C389" t="s">
        <v>14</v>
      </c>
      <c r="D389" s="2">
        <v>45427</v>
      </c>
      <c r="F389" s="2">
        <v>45757</v>
      </c>
      <c r="G389" s="2">
        <v>45762</v>
      </c>
      <c r="H389" s="1">
        <v>12044</v>
      </c>
      <c r="I389">
        <v>111.51</v>
      </c>
      <c r="J389" t="s">
        <v>605</v>
      </c>
      <c r="L389" t="s">
        <v>528</v>
      </c>
    </row>
    <row r="390" spans="1:12" x14ac:dyDescent="0.25">
      <c r="A390" t="s">
        <v>65</v>
      </c>
      <c r="B390" t="s">
        <v>436</v>
      </c>
      <c r="C390" t="s">
        <v>14</v>
      </c>
      <c r="D390" s="2">
        <v>45434</v>
      </c>
      <c r="F390" s="2">
        <v>45761</v>
      </c>
      <c r="G390" s="2">
        <v>45762</v>
      </c>
      <c r="H390" s="1">
        <v>6225</v>
      </c>
      <c r="I390">
        <v>86.46</v>
      </c>
      <c r="J390" t="s">
        <v>605</v>
      </c>
      <c r="L390" t="s">
        <v>528</v>
      </c>
    </row>
    <row r="391" spans="1:12" x14ac:dyDescent="0.25">
      <c r="A391" t="s">
        <v>27</v>
      </c>
      <c r="B391" t="s">
        <v>544</v>
      </c>
      <c r="C391" t="s">
        <v>21</v>
      </c>
      <c r="D391" s="2">
        <v>45464</v>
      </c>
      <c r="F391" s="2">
        <v>45754</v>
      </c>
      <c r="G391" s="2">
        <v>45762</v>
      </c>
      <c r="H391" s="1">
        <v>27025</v>
      </c>
      <c r="I391">
        <v>114.51</v>
      </c>
      <c r="J391" t="s">
        <v>605</v>
      </c>
      <c r="L391" t="s">
        <v>528</v>
      </c>
    </row>
    <row r="392" spans="1:12" x14ac:dyDescent="0.25">
      <c r="A392" t="s">
        <v>15</v>
      </c>
      <c r="B392" t="s">
        <v>585</v>
      </c>
      <c r="C392" t="s">
        <v>23</v>
      </c>
      <c r="D392" s="2">
        <v>45471</v>
      </c>
      <c r="F392" s="2">
        <v>45763</v>
      </c>
      <c r="G392" s="2">
        <v>45763</v>
      </c>
      <c r="H392" s="1">
        <v>5121</v>
      </c>
      <c r="I392">
        <v>113.79</v>
      </c>
      <c r="J392" t="s">
        <v>40</v>
      </c>
      <c r="L392" t="s">
        <v>528</v>
      </c>
    </row>
    <row r="393" spans="1:12" x14ac:dyDescent="0.25">
      <c r="A393" t="s">
        <v>3</v>
      </c>
      <c r="B393" t="s">
        <v>336</v>
      </c>
      <c r="C393" t="s">
        <v>34</v>
      </c>
      <c r="D393" s="2">
        <v>45404</v>
      </c>
      <c r="F393" s="2">
        <v>45761</v>
      </c>
      <c r="G393" s="2">
        <v>45763</v>
      </c>
      <c r="H393" s="1">
        <v>10545</v>
      </c>
      <c r="I393">
        <v>130.19</v>
      </c>
      <c r="J393" t="s">
        <v>605</v>
      </c>
      <c r="L393" t="s">
        <v>528</v>
      </c>
    </row>
    <row r="394" spans="1:12" x14ac:dyDescent="0.25">
      <c r="A394" t="s">
        <v>88</v>
      </c>
      <c r="B394" t="s">
        <v>224</v>
      </c>
      <c r="C394" t="s">
        <v>20</v>
      </c>
      <c r="D394" s="2">
        <v>45373</v>
      </c>
      <c r="F394" s="2">
        <v>45754</v>
      </c>
      <c r="G394" s="2">
        <v>45764</v>
      </c>
      <c r="H394" s="1">
        <v>25331</v>
      </c>
      <c r="I394">
        <v>104.24</v>
      </c>
      <c r="J394" t="s">
        <v>40</v>
      </c>
      <c r="L394" t="s">
        <v>528</v>
      </c>
    </row>
    <row r="395" spans="1:12" x14ac:dyDescent="0.25">
      <c r="A395" t="s">
        <v>88</v>
      </c>
      <c r="B395" t="s">
        <v>202</v>
      </c>
      <c r="C395" t="s">
        <v>14</v>
      </c>
      <c r="D395" s="2">
        <v>45390</v>
      </c>
      <c r="F395" s="2">
        <v>45761</v>
      </c>
      <c r="G395" s="2">
        <v>45765</v>
      </c>
      <c r="H395" s="1">
        <v>15168</v>
      </c>
      <c r="I395">
        <v>112.35</v>
      </c>
      <c r="J395" t="s">
        <v>89</v>
      </c>
      <c r="L395" t="s">
        <v>528</v>
      </c>
    </row>
    <row r="396" spans="1:12" x14ac:dyDescent="0.25">
      <c r="A396" t="s">
        <v>56</v>
      </c>
      <c r="B396" t="s">
        <v>648</v>
      </c>
      <c r="C396" t="s">
        <v>24</v>
      </c>
      <c r="D396" s="2">
        <v>45489</v>
      </c>
      <c r="F396" s="2">
        <v>45763</v>
      </c>
      <c r="G396" s="2">
        <v>45765</v>
      </c>
      <c r="H396" s="1">
        <v>14295</v>
      </c>
      <c r="I396">
        <v>132.36000000000001</v>
      </c>
      <c r="J396" t="s">
        <v>40</v>
      </c>
      <c r="L396" t="s">
        <v>528</v>
      </c>
    </row>
    <row r="397" spans="1:12" x14ac:dyDescent="0.25">
      <c r="A397" t="s">
        <v>27</v>
      </c>
      <c r="B397" t="s">
        <v>340</v>
      </c>
      <c r="C397" t="s">
        <v>28</v>
      </c>
      <c r="D397" s="2">
        <v>45405</v>
      </c>
      <c r="F397" s="2">
        <v>45768</v>
      </c>
      <c r="G397" s="2">
        <v>45768</v>
      </c>
      <c r="H397" s="1">
        <v>4008</v>
      </c>
      <c r="I397">
        <v>148.43</v>
      </c>
      <c r="J397" t="s">
        <v>89</v>
      </c>
      <c r="L397" t="s">
        <v>528</v>
      </c>
    </row>
    <row r="398" spans="1:12" x14ac:dyDescent="0.25">
      <c r="A398" t="s">
        <v>92</v>
      </c>
      <c r="B398" t="s">
        <v>445</v>
      </c>
      <c r="C398" t="s">
        <v>23</v>
      </c>
      <c r="D398" s="2">
        <v>45434</v>
      </c>
      <c r="F398" s="2">
        <v>45762</v>
      </c>
      <c r="G398" s="2">
        <v>45768</v>
      </c>
      <c r="H398" s="1">
        <v>18874</v>
      </c>
      <c r="I398">
        <v>104.85</v>
      </c>
      <c r="J398" t="s">
        <v>40</v>
      </c>
      <c r="L398" t="s">
        <v>528</v>
      </c>
    </row>
    <row r="399" spans="1:12" x14ac:dyDescent="0.25">
      <c r="A399" t="s">
        <v>3</v>
      </c>
      <c r="B399" t="s">
        <v>645</v>
      </c>
      <c r="C399" t="s">
        <v>32</v>
      </c>
      <c r="D399" s="2">
        <v>45495</v>
      </c>
      <c r="F399" s="2">
        <v>45770</v>
      </c>
      <c r="G399" s="2">
        <v>45771</v>
      </c>
      <c r="H399" s="1">
        <v>6456</v>
      </c>
      <c r="I399">
        <v>119.56</v>
      </c>
      <c r="J399" t="s">
        <v>89</v>
      </c>
      <c r="L399" t="s">
        <v>528</v>
      </c>
    </row>
    <row r="400" spans="1:12" x14ac:dyDescent="0.25">
      <c r="A400" t="s">
        <v>88</v>
      </c>
      <c r="B400" t="s">
        <v>226</v>
      </c>
      <c r="C400" t="s">
        <v>49</v>
      </c>
      <c r="D400" s="2">
        <v>45373</v>
      </c>
      <c r="F400" s="2">
        <v>45768</v>
      </c>
      <c r="G400" s="2">
        <v>45771</v>
      </c>
      <c r="H400" s="1">
        <v>11108</v>
      </c>
      <c r="I400">
        <v>102.85</v>
      </c>
      <c r="J400" t="s">
        <v>89</v>
      </c>
      <c r="L400" t="s">
        <v>528</v>
      </c>
    </row>
    <row r="401" spans="1:12" x14ac:dyDescent="0.25">
      <c r="A401" t="s">
        <v>3</v>
      </c>
      <c r="B401" t="s">
        <v>315</v>
      </c>
      <c r="C401" t="s">
        <v>14</v>
      </c>
      <c r="D401" s="2">
        <v>45397</v>
      </c>
      <c r="F401" s="2">
        <v>45764</v>
      </c>
      <c r="G401" s="2">
        <v>45771</v>
      </c>
      <c r="H401" s="1">
        <v>17775</v>
      </c>
      <c r="I401">
        <v>109.72</v>
      </c>
      <c r="J401" t="s">
        <v>605</v>
      </c>
      <c r="L401" t="s">
        <v>528</v>
      </c>
    </row>
    <row r="402" spans="1:12" x14ac:dyDescent="0.25">
      <c r="A402" t="s">
        <v>111</v>
      </c>
      <c r="B402" t="s">
        <v>183</v>
      </c>
      <c r="C402" t="s">
        <v>14</v>
      </c>
      <c r="D402" s="2">
        <v>45296</v>
      </c>
      <c r="F402" s="2">
        <v>45762</v>
      </c>
      <c r="G402" s="2">
        <v>45771</v>
      </c>
      <c r="H402" s="1">
        <v>38325</v>
      </c>
      <c r="I402">
        <v>106.46</v>
      </c>
      <c r="J402" t="s">
        <v>16</v>
      </c>
    </row>
    <row r="403" spans="1:12" x14ac:dyDescent="0.25">
      <c r="A403" t="s">
        <v>15</v>
      </c>
      <c r="B403" t="s">
        <v>652</v>
      </c>
      <c r="C403" t="s">
        <v>25</v>
      </c>
      <c r="D403" s="2">
        <v>45484</v>
      </c>
      <c r="F403" s="2">
        <v>45768</v>
      </c>
      <c r="G403" s="2">
        <v>45772</v>
      </c>
      <c r="H403" s="1">
        <v>20254</v>
      </c>
      <c r="I403">
        <v>112.52</v>
      </c>
      <c r="J403" t="s">
        <v>40</v>
      </c>
      <c r="L403" t="s">
        <v>528</v>
      </c>
    </row>
    <row r="404" spans="1:12" x14ac:dyDescent="0.25">
      <c r="A404" t="s">
        <v>92</v>
      </c>
      <c r="B404" t="s">
        <v>584</v>
      </c>
      <c r="C404" t="s">
        <v>24</v>
      </c>
      <c r="D404" s="2">
        <v>45482</v>
      </c>
      <c r="F404" s="2">
        <v>45769</v>
      </c>
      <c r="G404" s="2">
        <v>45772</v>
      </c>
      <c r="H404" s="1">
        <v>15440</v>
      </c>
      <c r="I404">
        <v>107.22</v>
      </c>
      <c r="J404" t="s">
        <v>40</v>
      </c>
      <c r="L404" t="s">
        <v>528</v>
      </c>
    </row>
    <row r="405" spans="1:12" x14ac:dyDescent="0.25">
      <c r="A405" t="s">
        <v>116</v>
      </c>
      <c r="B405" t="s">
        <v>316</v>
      </c>
      <c r="C405" t="s">
        <v>55</v>
      </c>
      <c r="D405" s="2">
        <v>45397</v>
      </c>
      <c r="F405" s="2">
        <v>45766</v>
      </c>
      <c r="G405" s="2">
        <v>45773</v>
      </c>
      <c r="H405" s="1">
        <v>6172</v>
      </c>
      <c r="I405">
        <v>85.72</v>
      </c>
      <c r="J405" t="s">
        <v>89</v>
      </c>
    </row>
    <row r="406" spans="1:12" x14ac:dyDescent="0.25">
      <c r="A406" t="s">
        <v>33</v>
      </c>
      <c r="B406" t="s">
        <v>481</v>
      </c>
      <c r="C406" t="s">
        <v>23</v>
      </c>
      <c r="D406" s="2">
        <v>45443</v>
      </c>
      <c r="F406" s="2">
        <v>45749</v>
      </c>
      <c r="G406" s="2">
        <v>45775</v>
      </c>
      <c r="H406" s="1">
        <v>71080</v>
      </c>
      <c r="I406">
        <v>103.92</v>
      </c>
      <c r="J406" t="s">
        <v>40</v>
      </c>
      <c r="L406" t="s">
        <v>528</v>
      </c>
    </row>
    <row r="407" spans="1:12" x14ac:dyDescent="0.25">
      <c r="A407" t="s">
        <v>4</v>
      </c>
      <c r="B407" t="s">
        <v>446</v>
      </c>
      <c r="C407" t="s">
        <v>14</v>
      </c>
      <c r="D407" s="2">
        <v>45435</v>
      </c>
      <c r="F407" s="2">
        <v>45775</v>
      </c>
      <c r="G407" s="2">
        <v>45776</v>
      </c>
      <c r="H407" s="1">
        <v>12745</v>
      </c>
      <c r="I407">
        <v>141.61000000000001</v>
      </c>
      <c r="J407" t="s">
        <v>140</v>
      </c>
      <c r="L407" t="s">
        <v>528</v>
      </c>
    </row>
    <row r="408" spans="1:12" x14ac:dyDescent="0.25">
      <c r="A408" t="s">
        <v>141</v>
      </c>
      <c r="B408" t="s">
        <v>246</v>
      </c>
      <c r="C408" t="s">
        <v>24</v>
      </c>
      <c r="D408" s="2">
        <v>45218</v>
      </c>
      <c r="F408" s="2">
        <v>45777</v>
      </c>
      <c r="G408" s="2">
        <v>45777</v>
      </c>
      <c r="H408" s="1">
        <v>3723</v>
      </c>
      <c r="I408">
        <v>103.4</v>
      </c>
      <c r="J408" t="s">
        <v>40</v>
      </c>
      <c r="L408" t="s">
        <v>528</v>
      </c>
    </row>
    <row r="409" spans="1:12" x14ac:dyDescent="0.25">
      <c r="A409" t="s">
        <v>15</v>
      </c>
      <c r="B409" t="s">
        <v>480</v>
      </c>
      <c r="C409" t="s">
        <v>25</v>
      </c>
      <c r="D409" s="2">
        <v>45447</v>
      </c>
      <c r="F409" s="2">
        <v>45761</v>
      </c>
      <c r="G409" s="2">
        <v>45791</v>
      </c>
      <c r="H409" s="1">
        <v>87062</v>
      </c>
      <c r="I409">
        <v>105.15</v>
      </c>
      <c r="J409" t="s">
        <v>40</v>
      </c>
      <c r="L409" t="s">
        <v>528</v>
      </c>
    </row>
    <row r="410" spans="1:12" x14ac:dyDescent="0.25">
      <c r="A410" t="s">
        <v>3</v>
      </c>
      <c r="B410" t="s">
        <v>314</v>
      </c>
      <c r="C410" t="s">
        <v>20</v>
      </c>
      <c r="D410" s="2">
        <v>45398</v>
      </c>
      <c r="F410" s="2">
        <v>45789</v>
      </c>
      <c r="G410" s="2">
        <v>45797</v>
      </c>
      <c r="H410" s="1">
        <v>20615</v>
      </c>
      <c r="I410">
        <v>763.52</v>
      </c>
      <c r="J410" t="s">
        <v>140</v>
      </c>
      <c r="L410" t="s">
        <v>528</v>
      </c>
    </row>
    <row r="411" spans="1:12" x14ac:dyDescent="0.25">
      <c r="A411" t="s">
        <v>33</v>
      </c>
      <c r="B411" t="s">
        <v>257</v>
      </c>
      <c r="C411" t="s">
        <v>18</v>
      </c>
      <c r="D411" s="2">
        <v>45345</v>
      </c>
      <c r="F411" s="2">
        <v>45810</v>
      </c>
      <c r="G411" s="2">
        <v>45810</v>
      </c>
      <c r="H411" s="1">
        <v>6455</v>
      </c>
      <c r="I411">
        <v>184.43</v>
      </c>
      <c r="J411" t="s">
        <v>40</v>
      </c>
      <c r="L411" t="s">
        <v>528</v>
      </c>
    </row>
    <row r="412" spans="1:12" x14ac:dyDescent="0.25">
      <c r="A412" t="s">
        <v>15</v>
      </c>
      <c r="B412" t="s">
        <v>369</v>
      </c>
      <c r="C412" t="s">
        <v>14</v>
      </c>
      <c r="D412" s="2">
        <v>45407</v>
      </c>
      <c r="F412" s="2">
        <v>45810</v>
      </c>
      <c r="G412" s="2">
        <v>45810</v>
      </c>
      <c r="H412">
        <v>336</v>
      </c>
      <c r="I412">
        <v>9.33</v>
      </c>
      <c r="J412" t="s">
        <v>16</v>
      </c>
      <c r="L412" t="s">
        <v>528</v>
      </c>
    </row>
    <row r="413" spans="1:12" x14ac:dyDescent="0.25">
      <c r="A413" t="s">
        <v>15</v>
      </c>
      <c r="B413" t="s">
        <v>370</v>
      </c>
      <c r="C413" t="s">
        <v>14</v>
      </c>
      <c r="D413" s="2">
        <v>45407</v>
      </c>
      <c r="F413" s="2">
        <v>45810</v>
      </c>
      <c r="G413" s="2">
        <v>45810</v>
      </c>
      <c r="H413" s="1">
        <v>1922</v>
      </c>
      <c r="I413">
        <v>53.38</v>
      </c>
      <c r="J413" t="s">
        <v>16</v>
      </c>
      <c r="L413" t="s">
        <v>528</v>
      </c>
    </row>
    <row r="414" spans="1:12" x14ac:dyDescent="0.25">
      <c r="A414" t="s">
        <v>88</v>
      </c>
      <c r="B414" t="s">
        <v>244</v>
      </c>
      <c r="C414" t="s">
        <v>25</v>
      </c>
      <c r="D414" s="2">
        <v>45349</v>
      </c>
      <c r="F414" s="2">
        <v>45810</v>
      </c>
      <c r="G414" s="2">
        <v>45811</v>
      </c>
      <c r="H414" s="1">
        <v>11647</v>
      </c>
      <c r="I414">
        <v>129.41</v>
      </c>
      <c r="J414" t="s">
        <v>40</v>
      </c>
      <c r="L414" t="s">
        <v>528</v>
      </c>
    </row>
    <row r="415" spans="1:12" x14ac:dyDescent="0.25">
      <c r="A415" t="s">
        <v>19</v>
      </c>
      <c r="B415" t="s">
        <v>301</v>
      </c>
      <c r="C415" t="s">
        <v>38</v>
      </c>
      <c r="D415" s="2">
        <v>45384</v>
      </c>
      <c r="F415" s="2">
        <v>45811</v>
      </c>
      <c r="G415" s="2">
        <v>45814</v>
      </c>
      <c r="H415" s="1">
        <v>18889</v>
      </c>
      <c r="I415">
        <v>131.16999999999999</v>
      </c>
      <c r="J415" t="s">
        <v>40</v>
      </c>
      <c r="L415" t="s">
        <v>528</v>
      </c>
    </row>
    <row r="416" spans="1:12" x14ac:dyDescent="0.25">
      <c r="A416" t="s">
        <v>3</v>
      </c>
      <c r="B416" t="s">
        <v>313</v>
      </c>
      <c r="C416" t="s">
        <v>20</v>
      </c>
      <c r="D416" s="2">
        <v>45398</v>
      </c>
      <c r="F416" s="2">
        <v>45825</v>
      </c>
      <c r="G416" s="2">
        <v>45825</v>
      </c>
      <c r="H416" s="1">
        <v>3885</v>
      </c>
      <c r="I416">
        <v>457.06</v>
      </c>
      <c r="J416" t="s">
        <v>140</v>
      </c>
    </row>
    <row r="417" spans="1:12" x14ac:dyDescent="0.25">
      <c r="A417" t="s">
        <v>88</v>
      </c>
      <c r="B417" t="s">
        <v>672</v>
      </c>
      <c r="C417" t="s">
        <v>32</v>
      </c>
      <c r="D417" s="2">
        <v>45498</v>
      </c>
      <c r="F417" s="2">
        <v>45810</v>
      </c>
      <c r="G417" s="2">
        <v>45835</v>
      </c>
      <c r="H417" s="1">
        <v>61112</v>
      </c>
      <c r="I417">
        <v>113.17</v>
      </c>
      <c r="J417" t="s">
        <v>89</v>
      </c>
      <c r="L417" t="s">
        <v>528</v>
      </c>
    </row>
    <row r="418" spans="1:12" x14ac:dyDescent="0.25">
      <c r="A418" t="s">
        <v>15</v>
      </c>
      <c r="B418" t="s">
        <v>368</v>
      </c>
      <c r="C418" t="s">
        <v>14</v>
      </c>
      <c r="D418" s="2">
        <v>45407</v>
      </c>
      <c r="F418" s="2">
        <v>45810</v>
      </c>
      <c r="G418" s="2">
        <v>45838</v>
      </c>
      <c r="H418" s="1">
        <v>90164</v>
      </c>
      <c r="I418">
        <v>119.26</v>
      </c>
      <c r="J418" t="s">
        <v>16</v>
      </c>
      <c r="L418" t="s">
        <v>528</v>
      </c>
    </row>
    <row r="419" spans="1:12" x14ac:dyDescent="0.25">
      <c r="A419" t="s">
        <v>124</v>
      </c>
      <c r="B419" t="s">
        <v>441</v>
      </c>
      <c r="C419" t="s">
        <v>42</v>
      </c>
      <c r="D419" s="2">
        <v>45427</v>
      </c>
      <c r="F419" s="2">
        <v>45839</v>
      </c>
      <c r="G419" s="2">
        <v>45839</v>
      </c>
      <c r="H419" s="1">
        <v>2541</v>
      </c>
      <c r="I419">
        <v>112.93</v>
      </c>
      <c r="J419" t="s">
        <v>40</v>
      </c>
      <c r="L419" t="s">
        <v>528</v>
      </c>
    </row>
    <row r="420" spans="1:12" x14ac:dyDescent="0.25">
      <c r="A420" t="s">
        <v>19</v>
      </c>
      <c r="B420" t="s">
        <v>228</v>
      </c>
      <c r="C420" t="s">
        <v>49</v>
      </c>
      <c r="D420" s="2">
        <v>45259</v>
      </c>
      <c r="F420" s="2">
        <v>45839</v>
      </c>
      <c r="G420" s="2">
        <v>45840</v>
      </c>
      <c r="H420" s="1">
        <v>5499</v>
      </c>
      <c r="I420">
        <v>0</v>
      </c>
      <c r="J420" t="s">
        <v>89</v>
      </c>
    </row>
    <row r="421" spans="1:12" x14ac:dyDescent="0.25">
      <c r="A421" t="s">
        <v>39</v>
      </c>
      <c r="B421" t="s">
        <v>198</v>
      </c>
      <c r="C421" t="s">
        <v>14</v>
      </c>
      <c r="D421" s="2">
        <v>45364</v>
      </c>
      <c r="F421" s="2">
        <v>45839</v>
      </c>
      <c r="G421" s="2">
        <v>45841</v>
      </c>
      <c r="H421" s="1">
        <v>10962</v>
      </c>
      <c r="I421">
        <v>0</v>
      </c>
      <c r="J421" t="s">
        <v>605</v>
      </c>
      <c r="L421" t="s">
        <v>528</v>
      </c>
    </row>
    <row r="422" spans="1:12" x14ac:dyDescent="0.25">
      <c r="A422" t="s">
        <v>36</v>
      </c>
      <c r="B422" t="s">
        <v>230</v>
      </c>
      <c r="C422" t="s">
        <v>32</v>
      </c>
      <c r="D422" s="2">
        <v>45264</v>
      </c>
      <c r="F422" s="2">
        <v>45845</v>
      </c>
      <c r="G422" s="2">
        <v>45846</v>
      </c>
      <c r="H422" s="1">
        <v>3885</v>
      </c>
      <c r="I422">
        <v>107.92</v>
      </c>
      <c r="J422" t="s">
        <v>89</v>
      </c>
    </row>
    <row r="423" spans="1:12" x14ac:dyDescent="0.25">
      <c r="A423" t="s">
        <v>88</v>
      </c>
      <c r="B423" t="s">
        <v>388</v>
      </c>
      <c r="C423" t="s">
        <v>25</v>
      </c>
      <c r="D423" s="2">
        <v>45407</v>
      </c>
      <c r="F423" s="2">
        <v>45845</v>
      </c>
      <c r="G423" s="2">
        <v>45846</v>
      </c>
      <c r="H423" s="1">
        <v>8071</v>
      </c>
      <c r="I423">
        <v>112.1</v>
      </c>
      <c r="J423" t="s">
        <v>40</v>
      </c>
      <c r="L423" t="s">
        <v>528</v>
      </c>
    </row>
    <row r="424" spans="1:12" x14ac:dyDescent="0.25">
      <c r="A424" t="s">
        <v>150</v>
      </c>
      <c r="B424" t="s">
        <v>256</v>
      </c>
      <c r="C424" t="s">
        <v>38</v>
      </c>
      <c r="D424" s="2">
        <v>45337</v>
      </c>
      <c r="F424" s="2">
        <v>45845</v>
      </c>
      <c r="G424" s="2">
        <v>45846</v>
      </c>
      <c r="H424" s="1">
        <v>6165</v>
      </c>
      <c r="I424">
        <v>114.17</v>
      </c>
      <c r="J424" t="s">
        <v>40</v>
      </c>
      <c r="L424" t="s">
        <v>528</v>
      </c>
    </row>
    <row r="425" spans="1:12" x14ac:dyDescent="0.25">
      <c r="A425" t="s">
        <v>88</v>
      </c>
      <c r="B425" t="s">
        <v>546</v>
      </c>
      <c r="C425" t="s">
        <v>32</v>
      </c>
      <c r="D425" s="2">
        <v>45393</v>
      </c>
      <c r="F425" s="2">
        <v>45845</v>
      </c>
      <c r="G425" s="2">
        <v>45855</v>
      </c>
      <c r="H425" s="1">
        <v>28431</v>
      </c>
      <c r="I425">
        <v>117</v>
      </c>
      <c r="J425" t="s">
        <v>89</v>
      </c>
      <c r="L425" t="s">
        <v>528</v>
      </c>
    </row>
    <row r="426" spans="1:12" x14ac:dyDescent="0.25">
      <c r="A426" t="s">
        <v>92</v>
      </c>
      <c r="B426" t="s">
        <v>587</v>
      </c>
      <c r="C426" t="s">
        <v>23</v>
      </c>
      <c r="D426" s="2">
        <v>45478</v>
      </c>
      <c r="F426" s="2">
        <v>45845</v>
      </c>
      <c r="G426" s="2">
        <v>45856</v>
      </c>
      <c r="H426" s="1">
        <v>41195</v>
      </c>
      <c r="I426">
        <v>114.43</v>
      </c>
      <c r="J426" t="s">
        <v>40</v>
      </c>
      <c r="L426" t="s">
        <v>528</v>
      </c>
    </row>
    <row r="427" spans="1:12" x14ac:dyDescent="0.25">
      <c r="A427" t="s">
        <v>39</v>
      </c>
      <c r="B427" t="s">
        <v>521</v>
      </c>
      <c r="C427" t="s">
        <v>20</v>
      </c>
      <c r="D427" s="2">
        <v>45460</v>
      </c>
      <c r="F427" s="2">
        <v>45859</v>
      </c>
      <c r="G427" s="2">
        <v>45863</v>
      </c>
      <c r="H427" s="1">
        <v>17500</v>
      </c>
      <c r="I427">
        <v>129.63</v>
      </c>
      <c r="J427" t="s">
        <v>140</v>
      </c>
      <c r="L427" t="s">
        <v>528</v>
      </c>
    </row>
    <row r="428" spans="1:12" x14ac:dyDescent="0.25">
      <c r="A428" t="s">
        <v>29</v>
      </c>
      <c r="B428" t="s">
        <v>212</v>
      </c>
      <c r="C428" t="s">
        <v>14</v>
      </c>
      <c r="D428" s="2">
        <v>45331</v>
      </c>
      <c r="F428" s="2">
        <v>45698</v>
      </c>
      <c r="G428" s="2">
        <v>45869</v>
      </c>
      <c r="H428" s="1">
        <v>130805</v>
      </c>
      <c r="I428">
        <v>107.66</v>
      </c>
      <c r="J428" t="s">
        <v>140</v>
      </c>
      <c r="L428" t="s">
        <v>528</v>
      </c>
    </row>
    <row r="429" spans="1:12" x14ac:dyDescent="0.25">
      <c r="A429" t="s">
        <v>4</v>
      </c>
      <c r="B429" t="s">
        <v>113</v>
      </c>
      <c r="C429" t="s">
        <v>45</v>
      </c>
      <c r="D429" s="2">
        <v>45051</v>
      </c>
      <c r="F429" s="2">
        <v>45870</v>
      </c>
      <c r="G429" s="2">
        <v>45870</v>
      </c>
      <c r="H429" s="1">
        <v>1500</v>
      </c>
      <c r="I429">
        <v>41.67</v>
      </c>
      <c r="J429" t="s">
        <v>605</v>
      </c>
      <c r="L429" t="s">
        <v>528</v>
      </c>
    </row>
    <row r="430" spans="1:12" x14ac:dyDescent="0.25">
      <c r="A430" t="s">
        <v>39</v>
      </c>
      <c r="B430" t="s">
        <v>448</v>
      </c>
      <c r="C430" t="s">
        <v>14</v>
      </c>
      <c r="D430" s="2">
        <v>45432</v>
      </c>
      <c r="F430" s="2">
        <v>45870</v>
      </c>
      <c r="G430" s="2">
        <v>45870</v>
      </c>
      <c r="H430" s="1">
        <v>2993</v>
      </c>
      <c r="I430">
        <v>0</v>
      </c>
      <c r="J430" t="s">
        <v>605</v>
      </c>
      <c r="L430" t="s">
        <v>528</v>
      </c>
    </row>
    <row r="431" spans="1:12" x14ac:dyDescent="0.25">
      <c r="A431" t="s">
        <v>467</v>
      </c>
      <c r="B431" t="s">
        <v>505</v>
      </c>
      <c r="C431" t="s">
        <v>17</v>
      </c>
      <c r="D431" s="2">
        <v>45448</v>
      </c>
      <c r="F431" s="2">
        <v>45873</v>
      </c>
      <c r="G431" s="2">
        <v>45873</v>
      </c>
      <c r="H431" s="1">
        <v>3834</v>
      </c>
      <c r="I431">
        <v>141.99</v>
      </c>
      <c r="J431" t="s">
        <v>89</v>
      </c>
      <c r="L431" t="s">
        <v>528</v>
      </c>
    </row>
    <row r="432" spans="1:12" x14ac:dyDescent="0.25">
      <c r="A432" t="s">
        <v>65</v>
      </c>
      <c r="B432" t="s">
        <v>743</v>
      </c>
      <c r="C432" t="s">
        <v>20</v>
      </c>
      <c r="D432" s="2">
        <v>45504</v>
      </c>
      <c r="F432" s="2">
        <v>45873</v>
      </c>
      <c r="G432" s="2">
        <v>45873</v>
      </c>
      <c r="H432" s="1">
        <v>2779</v>
      </c>
      <c r="I432">
        <v>154.36000000000001</v>
      </c>
      <c r="J432" t="s">
        <v>40</v>
      </c>
      <c r="L432" t="s">
        <v>528</v>
      </c>
    </row>
    <row r="433" spans="1:12" x14ac:dyDescent="0.25">
      <c r="A433" t="s">
        <v>29</v>
      </c>
      <c r="B433" t="s">
        <v>188</v>
      </c>
      <c r="C433" t="s">
        <v>18</v>
      </c>
      <c r="D433" s="2">
        <v>45387</v>
      </c>
      <c r="F433" s="2">
        <v>45873</v>
      </c>
      <c r="G433" s="2">
        <v>45873</v>
      </c>
      <c r="H433" s="1">
        <v>5093</v>
      </c>
      <c r="I433">
        <v>565.83000000000004</v>
      </c>
      <c r="J433" t="s">
        <v>40</v>
      </c>
      <c r="L433" t="s">
        <v>528</v>
      </c>
    </row>
    <row r="434" spans="1:12" x14ac:dyDescent="0.25">
      <c r="A434" t="s">
        <v>88</v>
      </c>
      <c r="B434" t="s">
        <v>449</v>
      </c>
      <c r="C434" t="s">
        <v>23</v>
      </c>
      <c r="D434" s="2">
        <v>45432</v>
      </c>
      <c r="F434" s="2">
        <v>45873</v>
      </c>
      <c r="G434" s="2">
        <v>45873</v>
      </c>
      <c r="H434" s="1">
        <v>6406</v>
      </c>
      <c r="I434">
        <v>177.94</v>
      </c>
      <c r="J434" t="s">
        <v>40</v>
      </c>
      <c r="L434" t="s">
        <v>528</v>
      </c>
    </row>
    <row r="435" spans="1:12" x14ac:dyDescent="0.25">
      <c r="A435" t="s">
        <v>92</v>
      </c>
      <c r="B435" t="s">
        <v>190</v>
      </c>
      <c r="C435" t="s">
        <v>23</v>
      </c>
      <c r="D435" s="2">
        <v>45328</v>
      </c>
      <c r="F435" s="2">
        <v>45873</v>
      </c>
      <c r="G435" s="2">
        <v>45873</v>
      </c>
      <c r="H435" s="1">
        <v>4594</v>
      </c>
      <c r="I435">
        <v>127.6</v>
      </c>
      <c r="J435" t="s">
        <v>40</v>
      </c>
      <c r="L435" t="s">
        <v>528</v>
      </c>
    </row>
    <row r="436" spans="1:12" x14ac:dyDescent="0.25">
      <c r="A436" t="s">
        <v>4</v>
      </c>
      <c r="B436" t="s">
        <v>120</v>
      </c>
      <c r="C436" t="s">
        <v>55</v>
      </c>
      <c r="D436" s="2">
        <v>45139</v>
      </c>
      <c r="F436" s="2">
        <v>45873</v>
      </c>
      <c r="G436" s="2">
        <v>45874</v>
      </c>
      <c r="H436" s="1">
        <v>7810</v>
      </c>
      <c r="I436">
        <v>108.47</v>
      </c>
      <c r="J436" t="s">
        <v>605</v>
      </c>
      <c r="L436" t="s">
        <v>528</v>
      </c>
    </row>
    <row r="437" spans="1:12" x14ac:dyDescent="0.25">
      <c r="A437" t="s">
        <v>5</v>
      </c>
      <c r="B437" t="s">
        <v>443</v>
      </c>
      <c r="C437" t="s">
        <v>17</v>
      </c>
      <c r="D437" s="2">
        <v>45422</v>
      </c>
      <c r="F437" s="2">
        <v>45873</v>
      </c>
      <c r="G437" s="2">
        <v>45875</v>
      </c>
      <c r="H437" s="1">
        <v>6935</v>
      </c>
      <c r="I437">
        <v>85.62</v>
      </c>
      <c r="J437" t="s">
        <v>89</v>
      </c>
      <c r="L437" t="s">
        <v>528</v>
      </c>
    </row>
    <row r="438" spans="1:12" x14ac:dyDescent="0.25">
      <c r="A438" t="s">
        <v>662</v>
      </c>
      <c r="B438" t="s">
        <v>742</v>
      </c>
      <c r="C438" t="s">
        <v>64</v>
      </c>
      <c r="D438" s="2">
        <v>45497</v>
      </c>
      <c r="F438" s="2">
        <v>45873</v>
      </c>
      <c r="G438" s="2">
        <v>45875</v>
      </c>
      <c r="H438" s="1">
        <v>9755</v>
      </c>
      <c r="I438">
        <v>120.43</v>
      </c>
      <c r="J438" t="s">
        <v>40</v>
      </c>
      <c r="L438" t="s">
        <v>528</v>
      </c>
    </row>
    <row r="439" spans="1:12" x14ac:dyDescent="0.25">
      <c r="A439" t="s">
        <v>3</v>
      </c>
      <c r="B439" t="s">
        <v>450</v>
      </c>
      <c r="C439" t="s">
        <v>34</v>
      </c>
      <c r="D439" s="2">
        <v>45429</v>
      </c>
      <c r="F439" s="2">
        <v>45873</v>
      </c>
      <c r="G439" s="2">
        <v>45875</v>
      </c>
      <c r="H439" s="1">
        <v>7465</v>
      </c>
      <c r="I439">
        <v>92.16</v>
      </c>
      <c r="J439" t="s">
        <v>605</v>
      </c>
      <c r="L439" t="s">
        <v>528</v>
      </c>
    </row>
    <row r="440" spans="1:12" x14ac:dyDescent="0.25">
      <c r="A440" t="s">
        <v>69</v>
      </c>
      <c r="B440" t="s">
        <v>290</v>
      </c>
      <c r="C440" t="s">
        <v>99</v>
      </c>
      <c r="D440" s="2">
        <v>45245</v>
      </c>
      <c r="F440" s="2">
        <v>45876</v>
      </c>
      <c r="G440" s="2">
        <v>45876</v>
      </c>
      <c r="H440" s="1">
        <v>2210</v>
      </c>
      <c r="I440">
        <v>105.24</v>
      </c>
      <c r="J440" t="s">
        <v>605</v>
      </c>
      <c r="L440" t="s">
        <v>528</v>
      </c>
    </row>
    <row r="441" spans="1:12" x14ac:dyDescent="0.25">
      <c r="A441" t="s">
        <v>39</v>
      </c>
      <c r="B441" t="s">
        <v>451</v>
      </c>
      <c r="C441" t="s">
        <v>14</v>
      </c>
      <c r="D441" s="2">
        <v>45429</v>
      </c>
      <c r="F441" s="2">
        <v>45873</v>
      </c>
      <c r="G441" s="2">
        <v>45876</v>
      </c>
      <c r="H441" s="1">
        <v>18905</v>
      </c>
      <c r="I441">
        <v>0</v>
      </c>
      <c r="J441" t="s">
        <v>605</v>
      </c>
      <c r="L441" t="s">
        <v>528</v>
      </c>
    </row>
    <row r="442" spans="1:12" x14ac:dyDescent="0.25">
      <c r="A442" t="s">
        <v>29</v>
      </c>
      <c r="B442" t="s">
        <v>189</v>
      </c>
      <c r="C442" t="s">
        <v>18</v>
      </c>
      <c r="D442" s="2">
        <v>45387</v>
      </c>
      <c r="F442" s="2">
        <v>45874</v>
      </c>
      <c r="G442" s="2">
        <v>45877</v>
      </c>
      <c r="H442" s="1">
        <v>18112</v>
      </c>
      <c r="I442">
        <v>503.1</v>
      </c>
      <c r="J442" t="s">
        <v>40</v>
      </c>
      <c r="L442" t="s">
        <v>528</v>
      </c>
    </row>
    <row r="443" spans="1:12" x14ac:dyDescent="0.25">
      <c r="A443" t="s">
        <v>607</v>
      </c>
      <c r="B443" t="s">
        <v>615</v>
      </c>
      <c r="C443" t="s">
        <v>21</v>
      </c>
      <c r="D443" s="2">
        <v>45485</v>
      </c>
      <c r="F443" s="2">
        <v>45878</v>
      </c>
      <c r="G443" s="2">
        <v>45878</v>
      </c>
      <c r="H443" s="1">
        <v>2310</v>
      </c>
      <c r="I443">
        <v>110</v>
      </c>
      <c r="J443" t="s">
        <v>89</v>
      </c>
      <c r="L443" t="s">
        <v>528</v>
      </c>
    </row>
    <row r="444" spans="1:12" x14ac:dyDescent="0.25">
      <c r="A444" t="s">
        <v>69</v>
      </c>
      <c r="B444" t="s">
        <v>550</v>
      </c>
      <c r="C444" t="s">
        <v>14</v>
      </c>
      <c r="D444" s="2">
        <v>45460</v>
      </c>
      <c r="F444" s="2">
        <v>45880</v>
      </c>
      <c r="G444" s="2">
        <v>45880</v>
      </c>
      <c r="H444" s="1">
        <v>6583</v>
      </c>
      <c r="I444">
        <v>182.85</v>
      </c>
      <c r="J444" t="s">
        <v>40</v>
      </c>
      <c r="L444" t="s">
        <v>528</v>
      </c>
    </row>
    <row r="445" spans="1:12" x14ac:dyDescent="0.25">
      <c r="A445" t="s">
        <v>39</v>
      </c>
      <c r="B445" t="s">
        <v>437</v>
      </c>
      <c r="C445" t="s">
        <v>14</v>
      </c>
      <c r="D445" s="2">
        <v>45429</v>
      </c>
      <c r="F445" s="2">
        <v>45873</v>
      </c>
      <c r="G445" s="2">
        <v>45880</v>
      </c>
      <c r="H445" s="1">
        <v>16391</v>
      </c>
      <c r="I445">
        <v>101.18</v>
      </c>
      <c r="J445" t="s">
        <v>605</v>
      </c>
      <c r="L445" t="s">
        <v>528</v>
      </c>
    </row>
    <row r="446" spans="1:12" x14ac:dyDescent="0.25">
      <c r="A446" t="s">
        <v>3</v>
      </c>
      <c r="B446" t="s">
        <v>476</v>
      </c>
      <c r="C446" t="s">
        <v>98</v>
      </c>
      <c r="D446" s="2">
        <v>45447</v>
      </c>
      <c r="F446" s="2">
        <v>45880</v>
      </c>
      <c r="G446" s="2">
        <v>45881</v>
      </c>
      <c r="H446" s="1">
        <v>6861</v>
      </c>
      <c r="I446">
        <v>127.05</v>
      </c>
      <c r="J446" t="s">
        <v>89</v>
      </c>
      <c r="L446" t="s">
        <v>528</v>
      </c>
    </row>
    <row r="447" spans="1:12" x14ac:dyDescent="0.25">
      <c r="A447" t="s">
        <v>88</v>
      </c>
      <c r="B447" t="s">
        <v>187</v>
      </c>
      <c r="C447" t="s">
        <v>35</v>
      </c>
      <c r="D447" s="2">
        <v>45268</v>
      </c>
      <c r="F447" s="2">
        <v>45881</v>
      </c>
      <c r="G447" s="2">
        <v>45881</v>
      </c>
      <c r="H447" s="1">
        <v>3828</v>
      </c>
      <c r="I447">
        <v>106.33</v>
      </c>
      <c r="J447" t="s">
        <v>40</v>
      </c>
      <c r="L447" t="s">
        <v>528</v>
      </c>
    </row>
    <row r="448" spans="1:12" x14ac:dyDescent="0.25">
      <c r="A448" t="s">
        <v>3</v>
      </c>
      <c r="B448" t="s">
        <v>318</v>
      </c>
      <c r="C448" t="s">
        <v>20</v>
      </c>
      <c r="D448" s="2">
        <v>45398</v>
      </c>
      <c r="F448" s="2">
        <v>45882</v>
      </c>
      <c r="G448" s="2">
        <v>45882</v>
      </c>
      <c r="H448" s="1">
        <v>3885</v>
      </c>
      <c r="I448">
        <v>457.06</v>
      </c>
      <c r="J448" t="s">
        <v>140</v>
      </c>
    </row>
    <row r="449" spans="1:12" x14ac:dyDescent="0.25">
      <c r="A449" t="s">
        <v>67</v>
      </c>
      <c r="B449" t="s">
        <v>452</v>
      </c>
      <c r="C449" t="s">
        <v>18</v>
      </c>
      <c r="D449" s="2">
        <v>45434</v>
      </c>
      <c r="F449" s="2">
        <v>45882</v>
      </c>
      <c r="G449" s="2">
        <v>45883</v>
      </c>
      <c r="H449" s="1">
        <v>8904</v>
      </c>
      <c r="I449">
        <v>494.67</v>
      </c>
      <c r="J449" t="s">
        <v>40</v>
      </c>
      <c r="L449" t="s">
        <v>528</v>
      </c>
    </row>
    <row r="450" spans="1:12" x14ac:dyDescent="0.25">
      <c r="A450" t="s">
        <v>15</v>
      </c>
      <c r="B450" t="s">
        <v>511</v>
      </c>
      <c r="C450" t="s">
        <v>18</v>
      </c>
      <c r="D450" s="2">
        <v>45453</v>
      </c>
      <c r="F450" s="2">
        <v>45884</v>
      </c>
      <c r="G450" s="2">
        <v>45884</v>
      </c>
      <c r="H450" s="1">
        <v>2903</v>
      </c>
      <c r="I450">
        <v>107.53</v>
      </c>
      <c r="J450" t="s">
        <v>40</v>
      </c>
      <c r="L450" t="s">
        <v>528</v>
      </c>
    </row>
    <row r="451" spans="1:12" x14ac:dyDescent="0.25">
      <c r="A451" t="s">
        <v>92</v>
      </c>
      <c r="B451" t="s">
        <v>483</v>
      </c>
      <c r="C451" t="s">
        <v>23</v>
      </c>
      <c r="D451" s="2">
        <v>45443</v>
      </c>
      <c r="F451" s="2">
        <v>45880</v>
      </c>
      <c r="G451" s="2">
        <v>45884</v>
      </c>
      <c r="H451" s="1">
        <v>21610</v>
      </c>
      <c r="I451">
        <v>120.06</v>
      </c>
      <c r="J451" t="s">
        <v>40</v>
      </c>
      <c r="L451" t="s">
        <v>528</v>
      </c>
    </row>
    <row r="452" spans="1:12" x14ac:dyDescent="0.25">
      <c r="A452" t="s">
        <v>88</v>
      </c>
      <c r="B452" t="s">
        <v>255</v>
      </c>
      <c r="C452" t="s">
        <v>25</v>
      </c>
      <c r="D452" s="2">
        <v>45349</v>
      </c>
      <c r="F452" s="2">
        <v>45887</v>
      </c>
      <c r="G452" s="2">
        <v>45894</v>
      </c>
      <c r="H452" s="1">
        <v>29499</v>
      </c>
      <c r="I452">
        <v>109.26</v>
      </c>
      <c r="J452" t="s">
        <v>40</v>
      </c>
      <c r="L452" t="s">
        <v>528</v>
      </c>
    </row>
    <row r="453" spans="1:12" x14ac:dyDescent="0.25">
      <c r="A453" t="s">
        <v>15</v>
      </c>
      <c r="B453" t="s">
        <v>373</v>
      </c>
      <c r="C453" t="s">
        <v>14</v>
      </c>
      <c r="D453" s="2">
        <v>45407</v>
      </c>
      <c r="F453" s="2">
        <v>45902</v>
      </c>
      <c r="G453" s="2">
        <v>45902</v>
      </c>
      <c r="H453" s="1">
        <v>5696</v>
      </c>
      <c r="I453">
        <v>158.22999999999999</v>
      </c>
      <c r="J453" t="s">
        <v>16</v>
      </c>
      <c r="L453" t="s">
        <v>528</v>
      </c>
    </row>
    <row r="454" spans="1:12" x14ac:dyDescent="0.25">
      <c r="A454" t="s">
        <v>15</v>
      </c>
      <c r="B454" t="s">
        <v>374</v>
      </c>
      <c r="C454" t="s">
        <v>14</v>
      </c>
      <c r="D454" s="2">
        <v>45407</v>
      </c>
      <c r="F454" s="2">
        <v>45903</v>
      </c>
      <c r="G454" s="2">
        <v>45904</v>
      </c>
      <c r="H454" s="1">
        <v>9324</v>
      </c>
      <c r="I454">
        <v>129.5</v>
      </c>
      <c r="J454" t="s">
        <v>16</v>
      </c>
      <c r="L454" t="s">
        <v>528</v>
      </c>
    </row>
    <row r="455" spans="1:12" x14ac:dyDescent="0.25">
      <c r="A455" t="s">
        <v>15</v>
      </c>
      <c r="B455" t="s">
        <v>375</v>
      </c>
      <c r="C455" t="s">
        <v>14</v>
      </c>
      <c r="D455" s="2">
        <v>45407</v>
      </c>
      <c r="F455" s="2">
        <v>45905</v>
      </c>
      <c r="G455" s="2">
        <v>45909</v>
      </c>
      <c r="H455" s="1">
        <v>12800</v>
      </c>
      <c r="I455">
        <v>118.51</v>
      </c>
      <c r="J455" t="s">
        <v>16</v>
      </c>
      <c r="L455" t="s">
        <v>528</v>
      </c>
    </row>
    <row r="456" spans="1:12" x14ac:dyDescent="0.25">
      <c r="A456" t="s">
        <v>39</v>
      </c>
      <c r="B456" t="s">
        <v>502</v>
      </c>
      <c r="C456" t="s">
        <v>493</v>
      </c>
      <c r="D456" s="2">
        <v>45454</v>
      </c>
      <c r="F456" s="2">
        <v>45931</v>
      </c>
      <c r="G456" s="2">
        <v>45931</v>
      </c>
      <c r="H456" s="1">
        <v>3016</v>
      </c>
      <c r="I456">
        <v>167.57</v>
      </c>
      <c r="J456" t="s">
        <v>89</v>
      </c>
    </row>
    <row r="457" spans="1:12" x14ac:dyDescent="0.25">
      <c r="A457" t="s">
        <v>39</v>
      </c>
      <c r="B457" t="s">
        <v>673</v>
      </c>
      <c r="C457" t="s">
        <v>14</v>
      </c>
      <c r="D457" s="2">
        <v>45499</v>
      </c>
      <c r="F457" s="2">
        <v>45931</v>
      </c>
      <c r="G457" s="2">
        <v>45931</v>
      </c>
      <c r="H457" s="1">
        <v>3848</v>
      </c>
      <c r="I457">
        <v>427.58</v>
      </c>
      <c r="J457" t="s">
        <v>605</v>
      </c>
      <c r="L457" t="s">
        <v>528</v>
      </c>
    </row>
    <row r="458" spans="1:12" x14ac:dyDescent="0.25">
      <c r="A458" t="s">
        <v>88</v>
      </c>
      <c r="B458" t="s">
        <v>460</v>
      </c>
      <c r="C458" t="s">
        <v>25</v>
      </c>
      <c r="D458" s="2">
        <v>45434</v>
      </c>
      <c r="F458" s="2">
        <v>45931</v>
      </c>
      <c r="G458" s="2">
        <v>45932</v>
      </c>
      <c r="H458" s="1">
        <v>5469</v>
      </c>
      <c r="I458">
        <v>101.28</v>
      </c>
      <c r="J458" t="s">
        <v>40</v>
      </c>
      <c r="L458" t="s">
        <v>528</v>
      </c>
    </row>
    <row r="459" spans="1:12" x14ac:dyDescent="0.25">
      <c r="A459" t="s">
        <v>92</v>
      </c>
      <c r="B459" t="s">
        <v>588</v>
      </c>
      <c r="C459" t="s">
        <v>24</v>
      </c>
      <c r="D459" s="2">
        <v>45482</v>
      </c>
      <c r="F459" s="2">
        <v>45931</v>
      </c>
      <c r="G459" s="2">
        <v>45932</v>
      </c>
      <c r="H459" s="1">
        <v>9425</v>
      </c>
      <c r="I459">
        <v>130.9</v>
      </c>
      <c r="J459" t="s">
        <v>40</v>
      </c>
      <c r="L459" t="s">
        <v>528</v>
      </c>
    </row>
    <row r="460" spans="1:12" x14ac:dyDescent="0.25">
      <c r="A460" t="s">
        <v>4</v>
      </c>
      <c r="B460" t="s">
        <v>121</v>
      </c>
      <c r="C460" t="s">
        <v>55</v>
      </c>
      <c r="D460" s="2">
        <v>45124</v>
      </c>
      <c r="F460" s="2">
        <v>45931</v>
      </c>
      <c r="G460" s="2">
        <v>45932</v>
      </c>
      <c r="H460" s="1">
        <v>5144</v>
      </c>
      <c r="I460">
        <v>71.44</v>
      </c>
      <c r="J460" t="s">
        <v>605</v>
      </c>
      <c r="L460" t="s">
        <v>528</v>
      </c>
    </row>
    <row r="461" spans="1:12" x14ac:dyDescent="0.25">
      <c r="A461" t="s">
        <v>39</v>
      </c>
      <c r="B461" t="s">
        <v>455</v>
      </c>
      <c r="C461" t="s">
        <v>14</v>
      </c>
      <c r="D461" s="2">
        <v>45432</v>
      </c>
      <c r="F461" s="2">
        <v>45931</v>
      </c>
      <c r="G461" s="2">
        <v>45932</v>
      </c>
      <c r="H461" s="1">
        <v>4037</v>
      </c>
      <c r="I461">
        <v>0</v>
      </c>
      <c r="J461" t="s">
        <v>605</v>
      </c>
      <c r="L461" t="s">
        <v>528</v>
      </c>
    </row>
    <row r="462" spans="1:12" x14ac:dyDescent="0.25">
      <c r="A462" t="s">
        <v>88</v>
      </c>
      <c r="B462" t="s">
        <v>135</v>
      </c>
      <c r="C462" t="s">
        <v>114</v>
      </c>
      <c r="D462" s="2">
        <v>45300</v>
      </c>
      <c r="F462" s="2">
        <v>45932</v>
      </c>
      <c r="G462" s="2">
        <v>45933</v>
      </c>
      <c r="H462" s="1">
        <v>5501</v>
      </c>
      <c r="I462">
        <v>122.24</v>
      </c>
      <c r="J462" t="s">
        <v>89</v>
      </c>
      <c r="L462" t="s">
        <v>528</v>
      </c>
    </row>
    <row r="463" spans="1:12" x14ac:dyDescent="0.25">
      <c r="A463" t="s">
        <v>141</v>
      </c>
      <c r="B463" t="s">
        <v>262</v>
      </c>
      <c r="C463" t="s">
        <v>24</v>
      </c>
      <c r="D463" s="2">
        <v>45218</v>
      </c>
      <c r="F463" s="2">
        <v>45931</v>
      </c>
      <c r="G463" s="2">
        <v>45933</v>
      </c>
      <c r="H463" s="1">
        <v>16687</v>
      </c>
      <c r="I463">
        <v>139.06</v>
      </c>
      <c r="J463" t="s">
        <v>40</v>
      </c>
      <c r="L463" t="s">
        <v>528</v>
      </c>
    </row>
    <row r="464" spans="1:12" x14ac:dyDescent="0.25">
      <c r="A464" t="s">
        <v>56</v>
      </c>
      <c r="B464" t="s">
        <v>649</v>
      </c>
      <c r="C464" t="s">
        <v>24</v>
      </c>
      <c r="D464" s="2">
        <v>45489</v>
      </c>
      <c r="F464" s="2">
        <v>45933</v>
      </c>
      <c r="G464" s="2">
        <v>45933</v>
      </c>
      <c r="H464" s="1">
        <v>6265</v>
      </c>
      <c r="I464">
        <v>139.22</v>
      </c>
      <c r="J464" t="s">
        <v>40</v>
      </c>
      <c r="L464" t="s">
        <v>528</v>
      </c>
    </row>
    <row r="465" spans="1:12" x14ac:dyDescent="0.25">
      <c r="A465" t="s">
        <v>5</v>
      </c>
      <c r="B465" t="s">
        <v>413</v>
      </c>
      <c r="C465" t="s">
        <v>14</v>
      </c>
      <c r="D465" s="2">
        <v>45425</v>
      </c>
      <c r="F465" s="2">
        <v>45933</v>
      </c>
      <c r="G465" s="2">
        <v>45933</v>
      </c>
      <c r="H465" s="1">
        <v>3910</v>
      </c>
      <c r="I465">
        <v>108.61</v>
      </c>
      <c r="J465" t="s">
        <v>40</v>
      </c>
      <c r="L465" t="s">
        <v>528</v>
      </c>
    </row>
    <row r="466" spans="1:12" x14ac:dyDescent="0.25">
      <c r="A466" t="s">
        <v>3</v>
      </c>
      <c r="B466" t="s">
        <v>205</v>
      </c>
      <c r="C466" t="s">
        <v>20</v>
      </c>
      <c r="D466" s="2">
        <v>45391</v>
      </c>
      <c r="F466" s="2">
        <v>45931</v>
      </c>
      <c r="G466" s="2">
        <v>45933</v>
      </c>
      <c r="H466" s="1">
        <v>8555</v>
      </c>
      <c r="I466">
        <v>105.62</v>
      </c>
      <c r="J466" t="s">
        <v>140</v>
      </c>
      <c r="L466" t="s">
        <v>528</v>
      </c>
    </row>
    <row r="467" spans="1:12" x14ac:dyDescent="0.25">
      <c r="A467" t="s">
        <v>39</v>
      </c>
      <c r="B467" t="s">
        <v>442</v>
      </c>
      <c r="C467" t="s">
        <v>14</v>
      </c>
      <c r="D467" s="2">
        <v>45427</v>
      </c>
      <c r="F467" s="2">
        <v>45931</v>
      </c>
      <c r="G467" s="2">
        <v>45933</v>
      </c>
      <c r="H467" s="1">
        <v>8080</v>
      </c>
      <c r="I467">
        <v>99.75</v>
      </c>
      <c r="J467" t="s">
        <v>605</v>
      </c>
      <c r="L467" t="s">
        <v>528</v>
      </c>
    </row>
    <row r="468" spans="1:12" x14ac:dyDescent="0.25">
      <c r="A468" t="s">
        <v>116</v>
      </c>
      <c r="B468" t="s">
        <v>321</v>
      </c>
      <c r="C468" t="s">
        <v>55</v>
      </c>
      <c r="D468" s="2">
        <v>45397</v>
      </c>
      <c r="F468" s="2">
        <v>45934</v>
      </c>
      <c r="G468" s="2">
        <v>45934</v>
      </c>
      <c r="H468" s="1">
        <v>3602</v>
      </c>
      <c r="I468">
        <v>200.11</v>
      </c>
      <c r="J468" t="s">
        <v>89</v>
      </c>
    </row>
    <row r="469" spans="1:12" x14ac:dyDescent="0.25">
      <c r="A469" t="s">
        <v>39</v>
      </c>
      <c r="B469" t="s">
        <v>458</v>
      </c>
      <c r="C469" t="s">
        <v>14</v>
      </c>
      <c r="D469" s="2">
        <v>45432</v>
      </c>
      <c r="F469" s="2">
        <v>45936</v>
      </c>
      <c r="G469" s="2">
        <v>45936</v>
      </c>
      <c r="H469" s="1">
        <v>4447</v>
      </c>
      <c r="I469">
        <v>123.52</v>
      </c>
      <c r="J469" t="s">
        <v>605</v>
      </c>
      <c r="L469" t="s">
        <v>528</v>
      </c>
    </row>
    <row r="470" spans="1:12" x14ac:dyDescent="0.25">
      <c r="A470" t="s">
        <v>65</v>
      </c>
      <c r="B470" t="s">
        <v>745</v>
      </c>
      <c r="C470" t="s">
        <v>20</v>
      </c>
      <c r="D470" s="2">
        <v>45504</v>
      </c>
      <c r="F470" s="2">
        <v>45936</v>
      </c>
      <c r="G470" s="2">
        <v>45937</v>
      </c>
      <c r="H470" s="1">
        <v>4801</v>
      </c>
      <c r="I470">
        <v>133.37</v>
      </c>
      <c r="J470" t="s">
        <v>40</v>
      </c>
      <c r="L470" t="s">
        <v>528</v>
      </c>
    </row>
    <row r="471" spans="1:12" x14ac:dyDescent="0.25">
      <c r="A471" t="s">
        <v>92</v>
      </c>
      <c r="B471" t="s">
        <v>261</v>
      </c>
      <c r="C471" t="s">
        <v>25</v>
      </c>
      <c r="D471" s="2">
        <v>45316</v>
      </c>
      <c r="F471" s="2">
        <v>45936</v>
      </c>
      <c r="G471" s="2">
        <v>45937</v>
      </c>
      <c r="H471" s="1">
        <v>8265</v>
      </c>
      <c r="I471">
        <v>114.79</v>
      </c>
      <c r="J471" t="s">
        <v>40</v>
      </c>
      <c r="L471" t="s">
        <v>528</v>
      </c>
    </row>
    <row r="472" spans="1:12" x14ac:dyDescent="0.25">
      <c r="A472" t="s">
        <v>39</v>
      </c>
      <c r="B472" t="s">
        <v>456</v>
      </c>
      <c r="C472" t="s">
        <v>14</v>
      </c>
      <c r="D472" s="2">
        <v>45434</v>
      </c>
      <c r="F472" s="2">
        <v>45936</v>
      </c>
      <c r="G472" s="2">
        <v>45937</v>
      </c>
      <c r="H472" s="1">
        <v>7985</v>
      </c>
      <c r="I472">
        <v>110.91</v>
      </c>
      <c r="J472" t="s">
        <v>605</v>
      </c>
      <c r="L472" t="s">
        <v>528</v>
      </c>
    </row>
    <row r="473" spans="1:12" x14ac:dyDescent="0.25">
      <c r="A473" t="s">
        <v>65</v>
      </c>
      <c r="B473" t="s">
        <v>264</v>
      </c>
      <c r="C473" t="s">
        <v>32</v>
      </c>
      <c r="D473" s="2">
        <v>45280</v>
      </c>
      <c r="F473" s="2">
        <v>45936</v>
      </c>
      <c r="G473" s="2">
        <v>45938</v>
      </c>
      <c r="H473" s="1">
        <v>14306</v>
      </c>
      <c r="I473">
        <v>105.97</v>
      </c>
      <c r="J473" t="s">
        <v>89</v>
      </c>
      <c r="L473" t="s">
        <v>528</v>
      </c>
    </row>
    <row r="474" spans="1:12" x14ac:dyDescent="0.25">
      <c r="A474" t="s">
        <v>39</v>
      </c>
      <c r="B474" t="s">
        <v>459</v>
      </c>
      <c r="C474" t="s">
        <v>14</v>
      </c>
      <c r="D474" s="2">
        <v>45432</v>
      </c>
      <c r="F474" s="2">
        <v>45937</v>
      </c>
      <c r="G474" s="2">
        <v>45939</v>
      </c>
      <c r="H474" s="1">
        <v>12175</v>
      </c>
      <c r="I474">
        <v>112.73</v>
      </c>
      <c r="J474" t="s">
        <v>605</v>
      </c>
      <c r="L474" t="s">
        <v>528</v>
      </c>
    </row>
    <row r="475" spans="1:12" x14ac:dyDescent="0.25">
      <c r="A475" t="s">
        <v>88</v>
      </c>
      <c r="B475" t="s">
        <v>327</v>
      </c>
      <c r="C475" t="s">
        <v>14</v>
      </c>
      <c r="D475" s="2">
        <v>45394</v>
      </c>
      <c r="F475" s="2">
        <v>45938</v>
      </c>
      <c r="G475" s="2">
        <v>45939</v>
      </c>
      <c r="H475" s="1">
        <v>7700</v>
      </c>
      <c r="I475">
        <v>106.94</v>
      </c>
      <c r="J475" t="s">
        <v>605</v>
      </c>
      <c r="L475" t="s">
        <v>528</v>
      </c>
    </row>
    <row r="476" spans="1:12" x14ac:dyDescent="0.25">
      <c r="A476" t="s">
        <v>19</v>
      </c>
      <c r="B476" t="s">
        <v>297</v>
      </c>
      <c r="C476" t="s">
        <v>38</v>
      </c>
      <c r="D476" s="2">
        <v>45390</v>
      </c>
      <c r="F476" s="2">
        <v>45938</v>
      </c>
      <c r="G476" s="2">
        <v>45940</v>
      </c>
      <c r="H476" s="1">
        <v>13490</v>
      </c>
      <c r="I476">
        <v>124.91</v>
      </c>
      <c r="J476" t="s">
        <v>40</v>
      </c>
      <c r="L476" t="s">
        <v>528</v>
      </c>
    </row>
    <row r="477" spans="1:12" x14ac:dyDescent="0.25">
      <c r="A477" t="s">
        <v>69</v>
      </c>
      <c r="B477" t="s">
        <v>553</v>
      </c>
      <c r="C477" t="s">
        <v>14</v>
      </c>
      <c r="D477" s="2">
        <v>45460</v>
      </c>
      <c r="F477" s="2">
        <v>45940</v>
      </c>
      <c r="G477" s="2">
        <v>45940</v>
      </c>
      <c r="H477" s="1">
        <v>1215</v>
      </c>
      <c r="I477">
        <v>33.75</v>
      </c>
      <c r="J477" t="s">
        <v>40</v>
      </c>
      <c r="L477" t="s">
        <v>528</v>
      </c>
    </row>
    <row r="478" spans="1:12" x14ac:dyDescent="0.25">
      <c r="A478" t="s">
        <v>33</v>
      </c>
      <c r="B478" t="s">
        <v>231</v>
      </c>
      <c r="C478" t="s">
        <v>14</v>
      </c>
      <c r="D478" s="2">
        <v>45229</v>
      </c>
      <c r="F478" s="2">
        <v>45936</v>
      </c>
      <c r="G478" s="2">
        <v>45940</v>
      </c>
      <c r="H478" s="1">
        <v>12745</v>
      </c>
      <c r="I478">
        <v>104.9</v>
      </c>
      <c r="J478" t="s">
        <v>605</v>
      </c>
      <c r="L478" t="s">
        <v>528</v>
      </c>
    </row>
    <row r="479" spans="1:12" x14ac:dyDescent="0.25">
      <c r="A479" t="s">
        <v>3</v>
      </c>
      <c r="B479" t="s">
        <v>258</v>
      </c>
      <c r="C479" t="s">
        <v>14</v>
      </c>
      <c r="D479" s="2">
        <v>45331</v>
      </c>
      <c r="F479" s="2">
        <v>45936</v>
      </c>
      <c r="G479" s="2">
        <v>45940</v>
      </c>
      <c r="H479" s="1">
        <v>22388</v>
      </c>
      <c r="I479">
        <v>124.38</v>
      </c>
      <c r="J479" t="s">
        <v>605</v>
      </c>
      <c r="L479" t="s">
        <v>528</v>
      </c>
    </row>
    <row r="480" spans="1:12" x14ac:dyDescent="0.25">
      <c r="A480" t="s">
        <v>88</v>
      </c>
      <c r="B480" t="s">
        <v>412</v>
      </c>
      <c r="C480" t="s">
        <v>14</v>
      </c>
      <c r="D480" s="2">
        <v>45426</v>
      </c>
      <c r="F480" s="2">
        <v>45943</v>
      </c>
      <c r="G480" s="2">
        <v>45943</v>
      </c>
      <c r="H480" s="1">
        <v>6835</v>
      </c>
      <c r="I480">
        <v>151.88999999999999</v>
      </c>
      <c r="J480" t="s">
        <v>40</v>
      </c>
      <c r="L480" t="s">
        <v>528</v>
      </c>
    </row>
    <row r="481" spans="1:12" x14ac:dyDescent="0.25">
      <c r="A481" t="s">
        <v>68</v>
      </c>
      <c r="B481" t="s">
        <v>229</v>
      </c>
      <c r="C481" t="s">
        <v>55</v>
      </c>
      <c r="D481" s="2">
        <v>45223</v>
      </c>
      <c r="F481" s="2">
        <v>45936</v>
      </c>
      <c r="G481" s="2">
        <v>45944</v>
      </c>
      <c r="H481" s="1">
        <v>20349</v>
      </c>
      <c r="I481">
        <v>107.67</v>
      </c>
      <c r="J481" t="s">
        <v>89</v>
      </c>
      <c r="L481" t="s">
        <v>528</v>
      </c>
    </row>
    <row r="482" spans="1:12" x14ac:dyDescent="0.25">
      <c r="A482" t="s">
        <v>92</v>
      </c>
      <c r="B482" t="s">
        <v>207</v>
      </c>
      <c r="C482" t="s">
        <v>14</v>
      </c>
      <c r="D482" s="2">
        <v>45355</v>
      </c>
      <c r="F482" s="2">
        <v>45943</v>
      </c>
      <c r="G482" s="2">
        <v>45944</v>
      </c>
      <c r="H482" s="1">
        <v>4640</v>
      </c>
      <c r="I482">
        <v>106.67</v>
      </c>
      <c r="J482" t="s">
        <v>89</v>
      </c>
      <c r="L482" t="s">
        <v>528</v>
      </c>
    </row>
    <row r="483" spans="1:12" x14ac:dyDescent="0.25">
      <c r="A483" t="s">
        <v>467</v>
      </c>
      <c r="B483" t="s">
        <v>503</v>
      </c>
      <c r="C483" t="s">
        <v>17</v>
      </c>
      <c r="D483" s="2">
        <v>45450</v>
      </c>
      <c r="F483" s="2">
        <v>45936</v>
      </c>
      <c r="G483" s="2">
        <v>45945</v>
      </c>
      <c r="H483" s="1">
        <v>26106</v>
      </c>
      <c r="I483">
        <v>120.86</v>
      </c>
      <c r="J483" t="s">
        <v>89</v>
      </c>
      <c r="L483" t="s">
        <v>528</v>
      </c>
    </row>
    <row r="484" spans="1:12" x14ac:dyDescent="0.25">
      <c r="A484" t="s">
        <v>39</v>
      </c>
      <c r="B484" t="s">
        <v>522</v>
      </c>
      <c r="C484" t="s">
        <v>20</v>
      </c>
      <c r="D484" s="2">
        <v>45460</v>
      </c>
      <c r="F484" s="2">
        <v>45945</v>
      </c>
      <c r="G484" s="2">
        <v>45945</v>
      </c>
      <c r="H484" s="1">
        <v>2425</v>
      </c>
      <c r="I484">
        <v>115.48</v>
      </c>
      <c r="J484" t="s">
        <v>140</v>
      </c>
      <c r="L484" t="s">
        <v>528</v>
      </c>
    </row>
    <row r="485" spans="1:12" x14ac:dyDescent="0.25">
      <c r="A485" t="s">
        <v>27</v>
      </c>
      <c r="B485" t="s">
        <v>341</v>
      </c>
      <c r="C485" t="s">
        <v>28</v>
      </c>
      <c r="D485" s="2">
        <v>45405</v>
      </c>
      <c r="F485" s="2">
        <v>45936</v>
      </c>
      <c r="G485" s="2">
        <v>45946</v>
      </c>
      <c r="H485" s="1">
        <v>27898</v>
      </c>
      <c r="I485">
        <v>114.8</v>
      </c>
      <c r="J485" t="s">
        <v>89</v>
      </c>
      <c r="L485" t="s">
        <v>528</v>
      </c>
    </row>
    <row r="486" spans="1:12" x14ac:dyDescent="0.25">
      <c r="A486" t="s">
        <v>15</v>
      </c>
      <c r="B486" t="s">
        <v>259</v>
      </c>
      <c r="C486" t="s">
        <v>23</v>
      </c>
      <c r="D486" s="2">
        <v>45384</v>
      </c>
      <c r="F486" s="2">
        <v>45943</v>
      </c>
      <c r="G486" s="2">
        <v>45947</v>
      </c>
      <c r="H486" s="1">
        <v>21675</v>
      </c>
      <c r="I486">
        <v>120.41</v>
      </c>
      <c r="J486" t="s">
        <v>40</v>
      </c>
      <c r="L486" t="s">
        <v>528</v>
      </c>
    </row>
    <row r="487" spans="1:12" x14ac:dyDescent="0.25">
      <c r="A487" t="s">
        <v>88</v>
      </c>
      <c r="B487" t="s">
        <v>206</v>
      </c>
      <c r="C487" t="s">
        <v>14</v>
      </c>
      <c r="D487" s="2">
        <v>45366</v>
      </c>
      <c r="F487" s="2">
        <v>45946</v>
      </c>
      <c r="G487" s="2">
        <v>45950</v>
      </c>
      <c r="H487" s="1">
        <v>7405</v>
      </c>
      <c r="I487">
        <v>107.32</v>
      </c>
      <c r="J487" t="s">
        <v>89</v>
      </c>
      <c r="L487" t="s">
        <v>528</v>
      </c>
    </row>
    <row r="488" spans="1:12" x14ac:dyDescent="0.25">
      <c r="A488" t="s">
        <v>56</v>
      </c>
      <c r="B488" t="s">
        <v>454</v>
      </c>
      <c r="C488" t="s">
        <v>14</v>
      </c>
      <c r="D488" s="2">
        <v>45432</v>
      </c>
      <c r="F488" s="2">
        <v>45943</v>
      </c>
      <c r="G488" s="2">
        <v>45950</v>
      </c>
      <c r="H488" s="1">
        <v>24287</v>
      </c>
      <c r="I488">
        <v>112.44</v>
      </c>
      <c r="J488" t="s">
        <v>605</v>
      </c>
      <c r="L488" t="s">
        <v>528</v>
      </c>
    </row>
    <row r="489" spans="1:12" x14ac:dyDescent="0.25">
      <c r="A489" t="s">
        <v>3</v>
      </c>
      <c r="B489" t="s">
        <v>408</v>
      </c>
      <c r="C489" t="s">
        <v>32</v>
      </c>
      <c r="D489" s="2">
        <v>45421</v>
      </c>
      <c r="F489" s="2">
        <v>45950</v>
      </c>
      <c r="G489" s="2">
        <v>45951</v>
      </c>
      <c r="H489" s="1">
        <v>4443</v>
      </c>
      <c r="I489">
        <v>109.69</v>
      </c>
      <c r="J489" t="s">
        <v>89</v>
      </c>
      <c r="L489" t="s">
        <v>528</v>
      </c>
    </row>
    <row r="490" spans="1:12" x14ac:dyDescent="0.25">
      <c r="A490" t="s">
        <v>150</v>
      </c>
      <c r="B490" t="s">
        <v>263</v>
      </c>
      <c r="C490" t="s">
        <v>38</v>
      </c>
      <c r="D490" s="2">
        <v>45337</v>
      </c>
      <c r="F490" s="2">
        <v>45951</v>
      </c>
      <c r="G490" s="2">
        <v>45951</v>
      </c>
      <c r="H490" s="1">
        <v>3725</v>
      </c>
      <c r="I490">
        <v>140.57</v>
      </c>
      <c r="J490" t="s">
        <v>40</v>
      </c>
      <c r="L490" t="s">
        <v>528</v>
      </c>
    </row>
    <row r="491" spans="1:12" x14ac:dyDescent="0.25">
      <c r="A491" t="s">
        <v>3</v>
      </c>
      <c r="B491" t="s">
        <v>478</v>
      </c>
      <c r="C491" t="s">
        <v>98</v>
      </c>
      <c r="D491" s="2">
        <v>45447</v>
      </c>
      <c r="F491" s="2">
        <v>45950</v>
      </c>
      <c r="G491" s="2">
        <v>45952</v>
      </c>
      <c r="H491" s="1">
        <v>7360</v>
      </c>
      <c r="I491">
        <v>106.67</v>
      </c>
      <c r="J491" t="s">
        <v>89</v>
      </c>
      <c r="L491" t="s">
        <v>528</v>
      </c>
    </row>
    <row r="492" spans="1:12" x14ac:dyDescent="0.25">
      <c r="A492" t="s">
        <v>499</v>
      </c>
      <c r="B492" t="s">
        <v>504</v>
      </c>
      <c r="C492" t="s">
        <v>45</v>
      </c>
      <c r="D492" s="2">
        <v>45454</v>
      </c>
      <c r="F492" s="2">
        <v>45950</v>
      </c>
      <c r="G492" s="2">
        <v>45952</v>
      </c>
      <c r="H492" s="1">
        <v>11063</v>
      </c>
      <c r="I492">
        <v>136.57</v>
      </c>
      <c r="J492" t="s">
        <v>89</v>
      </c>
      <c r="L492" t="s">
        <v>528</v>
      </c>
    </row>
    <row r="493" spans="1:12" x14ac:dyDescent="0.25">
      <c r="A493" t="s">
        <v>3</v>
      </c>
      <c r="B493" t="s">
        <v>556</v>
      </c>
      <c r="C493" t="s">
        <v>14</v>
      </c>
      <c r="D493" s="2">
        <v>45468</v>
      </c>
      <c r="F493" s="2">
        <v>45946</v>
      </c>
      <c r="G493" s="2">
        <v>45952</v>
      </c>
      <c r="H493" s="1">
        <v>17026</v>
      </c>
      <c r="I493">
        <v>94.59</v>
      </c>
      <c r="J493" t="s">
        <v>605</v>
      </c>
      <c r="L493" t="s">
        <v>528</v>
      </c>
    </row>
    <row r="494" spans="1:12" x14ac:dyDescent="0.25">
      <c r="A494" t="s">
        <v>88</v>
      </c>
      <c r="B494" t="s">
        <v>485</v>
      </c>
      <c r="C494" t="s">
        <v>49</v>
      </c>
      <c r="D494" s="2">
        <v>45448</v>
      </c>
      <c r="F494" s="2">
        <v>45952</v>
      </c>
      <c r="G494" s="2">
        <v>45954</v>
      </c>
      <c r="H494" s="1">
        <v>7849</v>
      </c>
      <c r="I494">
        <v>96.9</v>
      </c>
      <c r="J494" t="s">
        <v>89</v>
      </c>
      <c r="L494" t="s">
        <v>528</v>
      </c>
    </row>
    <row r="495" spans="1:12" x14ac:dyDescent="0.25">
      <c r="A495" t="s">
        <v>88</v>
      </c>
      <c r="B495" t="s">
        <v>617</v>
      </c>
      <c r="C495" t="s">
        <v>23</v>
      </c>
      <c r="D495" s="2">
        <v>45484</v>
      </c>
      <c r="F495" s="2">
        <v>45953</v>
      </c>
      <c r="G495" s="2">
        <v>45954</v>
      </c>
      <c r="H495" s="1">
        <v>8121</v>
      </c>
      <c r="I495">
        <v>116.01</v>
      </c>
      <c r="J495" t="s">
        <v>40</v>
      </c>
      <c r="L495" t="s">
        <v>528</v>
      </c>
    </row>
    <row r="496" spans="1:12" x14ac:dyDescent="0.25">
      <c r="A496" t="s">
        <v>662</v>
      </c>
      <c r="B496" t="s">
        <v>744</v>
      </c>
      <c r="C496" t="s">
        <v>64</v>
      </c>
      <c r="D496" s="2">
        <v>45497</v>
      </c>
      <c r="F496" s="2">
        <v>45943</v>
      </c>
      <c r="G496" s="2">
        <v>45954</v>
      </c>
      <c r="H496" s="1">
        <v>30492</v>
      </c>
      <c r="I496">
        <v>112.93</v>
      </c>
      <c r="J496" t="s">
        <v>40</v>
      </c>
      <c r="L496" t="s">
        <v>528</v>
      </c>
    </row>
    <row r="497" spans="1:12" x14ac:dyDescent="0.25">
      <c r="A497" t="s">
        <v>88</v>
      </c>
      <c r="B497" t="s">
        <v>583</v>
      </c>
      <c r="C497" t="s">
        <v>32</v>
      </c>
      <c r="D497" s="2">
        <v>45483</v>
      </c>
      <c r="F497" s="2">
        <v>45936</v>
      </c>
      <c r="G497" s="2">
        <v>45957</v>
      </c>
      <c r="H497" s="1">
        <v>67955</v>
      </c>
      <c r="I497">
        <v>117.98</v>
      </c>
      <c r="J497" t="s">
        <v>89</v>
      </c>
      <c r="L497" t="s">
        <v>528</v>
      </c>
    </row>
    <row r="498" spans="1:12" x14ac:dyDescent="0.25">
      <c r="A498" t="s">
        <v>27</v>
      </c>
      <c r="B498" t="s">
        <v>547</v>
      </c>
      <c r="C498" t="s">
        <v>21</v>
      </c>
      <c r="D498" s="2">
        <v>45464</v>
      </c>
      <c r="F498" s="2">
        <v>45958</v>
      </c>
      <c r="G498" s="2">
        <v>45959</v>
      </c>
      <c r="H498" s="1">
        <v>8700</v>
      </c>
      <c r="I498">
        <v>120.83</v>
      </c>
      <c r="J498" t="s">
        <v>605</v>
      </c>
      <c r="L498" t="s">
        <v>528</v>
      </c>
    </row>
    <row r="499" spans="1:12" x14ac:dyDescent="0.25">
      <c r="A499" t="s">
        <v>15</v>
      </c>
      <c r="B499" t="s">
        <v>260</v>
      </c>
      <c r="C499" t="s">
        <v>25</v>
      </c>
      <c r="D499" s="2">
        <v>45357</v>
      </c>
      <c r="F499" s="2">
        <v>45957</v>
      </c>
      <c r="G499" s="2">
        <v>45960</v>
      </c>
      <c r="H499" s="1">
        <v>15735</v>
      </c>
      <c r="I499">
        <v>109.27</v>
      </c>
      <c r="J499" t="s">
        <v>40</v>
      </c>
      <c r="L499" t="s">
        <v>528</v>
      </c>
    </row>
    <row r="500" spans="1:12" x14ac:dyDescent="0.25">
      <c r="A500" t="s">
        <v>210</v>
      </c>
      <c r="B500" t="s">
        <v>457</v>
      </c>
      <c r="C500" t="s">
        <v>211</v>
      </c>
      <c r="D500" s="2">
        <v>45436</v>
      </c>
      <c r="F500" s="2">
        <v>45943</v>
      </c>
      <c r="G500" s="2">
        <v>45961</v>
      </c>
      <c r="H500" s="1">
        <v>71728</v>
      </c>
      <c r="I500">
        <v>106.26</v>
      </c>
      <c r="J500" t="s">
        <v>89</v>
      </c>
      <c r="L500" t="s">
        <v>528</v>
      </c>
    </row>
    <row r="501" spans="1:12" x14ac:dyDescent="0.25">
      <c r="A501" t="s">
        <v>3</v>
      </c>
      <c r="B501" t="s">
        <v>319</v>
      </c>
      <c r="C501" t="s">
        <v>20</v>
      </c>
      <c r="D501" s="2">
        <v>45398</v>
      </c>
      <c r="F501" s="2">
        <v>45976</v>
      </c>
      <c r="G501" s="2">
        <v>45976</v>
      </c>
      <c r="H501" s="1">
        <v>3885</v>
      </c>
      <c r="I501">
        <v>457.06</v>
      </c>
      <c r="J501" t="s">
        <v>140</v>
      </c>
    </row>
    <row r="502" spans="1:12" x14ac:dyDescent="0.25">
      <c r="A502" t="s">
        <v>3</v>
      </c>
      <c r="B502" t="s">
        <v>320</v>
      </c>
      <c r="C502" t="s">
        <v>20</v>
      </c>
      <c r="D502" s="2">
        <v>45398</v>
      </c>
      <c r="F502" s="2">
        <v>45978</v>
      </c>
      <c r="G502" s="2">
        <v>45979</v>
      </c>
      <c r="H502" s="1">
        <v>3950</v>
      </c>
      <c r="I502">
        <v>73.150000000000006</v>
      </c>
      <c r="J502" t="s">
        <v>140</v>
      </c>
      <c r="L502" t="s">
        <v>528</v>
      </c>
    </row>
    <row r="503" spans="1:12" x14ac:dyDescent="0.25">
      <c r="A503" t="s">
        <v>15</v>
      </c>
      <c r="B503" t="s">
        <v>545</v>
      </c>
      <c r="C503" t="s">
        <v>14</v>
      </c>
      <c r="D503" s="2">
        <v>45468</v>
      </c>
      <c r="F503" s="2">
        <v>45992</v>
      </c>
      <c r="G503" s="2">
        <v>45995</v>
      </c>
      <c r="H503" s="1">
        <v>19735</v>
      </c>
      <c r="I503">
        <v>137.05000000000001</v>
      </c>
      <c r="J503" t="s">
        <v>16</v>
      </c>
      <c r="L503" t="s">
        <v>528</v>
      </c>
    </row>
    <row r="504" spans="1:12" x14ac:dyDescent="0.25">
      <c r="A504" t="s">
        <v>92</v>
      </c>
      <c r="B504" t="s">
        <v>589</v>
      </c>
      <c r="C504" t="s">
        <v>23</v>
      </c>
      <c r="D504" s="2">
        <v>45478</v>
      </c>
      <c r="F504" s="2">
        <v>45992</v>
      </c>
      <c r="G504" s="2">
        <v>45999</v>
      </c>
      <c r="H504" s="1">
        <v>22981</v>
      </c>
      <c r="I504">
        <v>106.39</v>
      </c>
      <c r="J504" t="s">
        <v>40</v>
      </c>
      <c r="L504" t="s">
        <v>528</v>
      </c>
    </row>
    <row r="505" spans="1:12" x14ac:dyDescent="0.25">
      <c r="A505" t="s">
        <v>19</v>
      </c>
      <c r="B505" t="s">
        <v>235</v>
      </c>
      <c r="C505" t="s">
        <v>49</v>
      </c>
      <c r="D505" s="2">
        <v>45259</v>
      </c>
      <c r="F505" s="2">
        <v>46023</v>
      </c>
      <c r="G505" s="2">
        <v>46023</v>
      </c>
      <c r="H505" s="1">
        <v>3205</v>
      </c>
      <c r="I505">
        <v>71.22</v>
      </c>
      <c r="J505" t="s">
        <v>89</v>
      </c>
    </row>
    <row r="506" spans="1:12" x14ac:dyDescent="0.25">
      <c r="A506" t="s">
        <v>15</v>
      </c>
      <c r="B506" t="s">
        <v>512</v>
      </c>
      <c r="C506" t="s">
        <v>18</v>
      </c>
      <c r="D506" s="2">
        <v>45453</v>
      </c>
      <c r="F506" s="2">
        <v>46027</v>
      </c>
      <c r="G506" s="2">
        <v>46027</v>
      </c>
      <c r="H506" s="1">
        <v>4447</v>
      </c>
      <c r="I506">
        <v>123.52</v>
      </c>
      <c r="J506" t="s">
        <v>40</v>
      </c>
      <c r="L506" t="s">
        <v>528</v>
      </c>
    </row>
    <row r="507" spans="1:12" x14ac:dyDescent="0.25">
      <c r="A507" t="s">
        <v>3</v>
      </c>
      <c r="B507" t="s">
        <v>276</v>
      </c>
      <c r="C507" t="s">
        <v>14</v>
      </c>
      <c r="D507" s="2">
        <v>45331</v>
      </c>
      <c r="F507" s="2">
        <v>46027</v>
      </c>
      <c r="G507" s="2">
        <v>46027</v>
      </c>
      <c r="H507" s="1">
        <v>6718</v>
      </c>
      <c r="I507">
        <v>167.94</v>
      </c>
      <c r="J507" t="s">
        <v>605</v>
      </c>
      <c r="L507" t="s">
        <v>528</v>
      </c>
    </row>
    <row r="508" spans="1:12" x14ac:dyDescent="0.25">
      <c r="A508" t="s">
        <v>499</v>
      </c>
      <c r="B508" t="s">
        <v>508</v>
      </c>
      <c r="C508" t="s">
        <v>45</v>
      </c>
      <c r="D508" s="2">
        <v>45454</v>
      </c>
      <c r="F508" s="2">
        <v>46027</v>
      </c>
      <c r="G508" s="2">
        <v>46028</v>
      </c>
      <c r="H508" s="1">
        <v>4113</v>
      </c>
      <c r="I508">
        <v>114.24</v>
      </c>
      <c r="J508" t="s">
        <v>89</v>
      </c>
      <c r="L508" t="s">
        <v>528</v>
      </c>
    </row>
    <row r="509" spans="1:12" x14ac:dyDescent="0.25">
      <c r="A509" t="s">
        <v>88</v>
      </c>
      <c r="B509" t="s">
        <v>390</v>
      </c>
      <c r="C509" t="s">
        <v>25</v>
      </c>
      <c r="D509" s="2">
        <v>45407</v>
      </c>
      <c r="F509" s="2">
        <v>46027</v>
      </c>
      <c r="G509" s="2">
        <v>46028</v>
      </c>
      <c r="H509" s="1">
        <v>9743</v>
      </c>
      <c r="I509">
        <v>135.31</v>
      </c>
      <c r="J509" t="s">
        <v>40</v>
      </c>
      <c r="L509" t="s">
        <v>528</v>
      </c>
    </row>
    <row r="510" spans="1:12" x14ac:dyDescent="0.25">
      <c r="A510" t="s">
        <v>69</v>
      </c>
      <c r="B510" t="s">
        <v>294</v>
      </c>
      <c r="C510" t="s">
        <v>99</v>
      </c>
      <c r="D510" s="2">
        <v>45245</v>
      </c>
      <c r="F510" s="2">
        <v>46027</v>
      </c>
      <c r="G510" s="2">
        <v>46028</v>
      </c>
      <c r="H510" s="1">
        <v>3545</v>
      </c>
      <c r="I510">
        <v>107.42</v>
      </c>
      <c r="J510" t="s">
        <v>605</v>
      </c>
      <c r="L510" t="s">
        <v>528</v>
      </c>
    </row>
    <row r="511" spans="1:12" x14ac:dyDescent="0.25">
      <c r="A511" t="s">
        <v>44</v>
      </c>
      <c r="B511" t="s">
        <v>214</v>
      </c>
      <c r="C511" t="s">
        <v>38</v>
      </c>
      <c r="D511" s="2">
        <v>45320</v>
      </c>
      <c r="F511" s="2">
        <v>46028</v>
      </c>
      <c r="G511" s="2">
        <v>46030</v>
      </c>
      <c r="H511" s="1">
        <v>9755</v>
      </c>
      <c r="I511">
        <v>90.32</v>
      </c>
      <c r="J511" t="s">
        <v>40</v>
      </c>
      <c r="K511" t="s">
        <v>528</v>
      </c>
      <c r="L511" t="s">
        <v>528</v>
      </c>
    </row>
    <row r="512" spans="1:12" x14ac:dyDescent="0.25">
      <c r="A512" t="s">
        <v>3</v>
      </c>
      <c r="B512" t="s">
        <v>339</v>
      </c>
      <c r="C512" t="s">
        <v>34</v>
      </c>
      <c r="D512" s="2">
        <v>45404</v>
      </c>
      <c r="F512" s="2">
        <v>46027</v>
      </c>
      <c r="G512" s="2">
        <v>46030</v>
      </c>
      <c r="H512" s="1">
        <v>11885</v>
      </c>
      <c r="I512">
        <v>110.05</v>
      </c>
      <c r="J512" t="s">
        <v>605</v>
      </c>
      <c r="L512" t="s">
        <v>528</v>
      </c>
    </row>
    <row r="513" spans="1:12" x14ac:dyDescent="0.25">
      <c r="A513" t="s">
        <v>44</v>
      </c>
      <c r="B513" t="s">
        <v>275</v>
      </c>
      <c r="C513" t="s">
        <v>38</v>
      </c>
      <c r="D513" s="2">
        <v>45320</v>
      </c>
      <c r="F513" s="2">
        <v>46031</v>
      </c>
      <c r="G513" s="2">
        <v>46031</v>
      </c>
      <c r="H513" s="1">
        <v>4968</v>
      </c>
      <c r="I513">
        <v>137.99</v>
      </c>
      <c r="J513" t="s">
        <v>40</v>
      </c>
      <c r="L513" t="s">
        <v>528</v>
      </c>
    </row>
    <row r="514" spans="1:12" x14ac:dyDescent="0.25">
      <c r="A514" t="s">
        <v>92</v>
      </c>
      <c r="B514" t="s">
        <v>217</v>
      </c>
      <c r="C514" t="s">
        <v>14</v>
      </c>
      <c r="D514" s="2">
        <v>45355</v>
      </c>
      <c r="F514" s="2">
        <v>46027</v>
      </c>
      <c r="G514" s="2">
        <v>46034</v>
      </c>
      <c r="H514" s="1">
        <v>16618</v>
      </c>
      <c r="I514">
        <v>104.51</v>
      </c>
      <c r="J514" t="s">
        <v>89</v>
      </c>
      <c r="L514" t="s">
        <v>528</v>
      </c>
    </row>
    <row r="515" spans="1:12" x14ac:dyDescent="0.25">
      <c r="A515" t="s">
        <v>15</v>
      </c>
      <c r="B515" t="s">
        <v>279</v>
      </c>
      <c r="C515" t="s">
        <v>25</v>
      </c>
      <c r="D515" s="2">
        <v>45357</v>
      </c>
      <c r="F515" s="2">
        <v>46028</v>
      </c>
      <c r="G515" s="2">
        <v>46036</v>
      </c>
      <c r="H515" s="1">
        <v>27507</v>
      </c>
      <c r="I515">
        <v>109.15</v>
      </c>
      <c r="J515" t="s">
        <v>40</v>
      </c>
      <c r="L515" t="s">
        <v>528</v>
      </c>
    </row>
    <row r="516" spans="1:12" x14ac:dyDescent="0.25">
      <c r="A516" t="s">
        <v>27</v>
      </c>
      <c r="B516" t="s">
        <v>347</v>
      </c>
      <c r="C516" t="s">
        <v>28</v>
      </c>
      <c r="D516" s="2">
        <v>45405</v>
      </c>
      <c r="F516" s="2">
        <v>46034</v>
      </c>
      <c r="G516" s="2">
        <v>46037</v>
      </c>
      <c r="H516" s="1">
        <v>13295</v>
      </c>
      <c r="I516">
        <v>123.1</v>
      </c>
      <c r="J516" t="s">
        <v>89</v>
      </c>
      <c r="K516" t="s">
        <v>528</v>
      </c>
      <c r="L516" t="s">
        <v>528</v>
      </c>
    </row>
    <row r="517" spans="1:12" x14ac:dyDescent="0.25">
      <c r="A517" t="s">
        <v>15</v>
      </c>
      <c r="B517" t="s">
        <v>655</v>
      </c>
      <c r="C517" t="s">
        <v>25</v>
      </c>
      <c r="D517" s="2">
        <v>45484</v>
      </c>
      <c r="F517" s="2">
        <v>46037</v>
      </c>
      <c r="G517" s="2">
        <v>46037</v>
      </c>
      <c r="H517" s="1">
        <v>4211</v>
      </c>
      <c r="I517">
        <v>116.98</v>
      </c>
      <c r="J517" t="s">
        <v>40</v>
      </c>
      <c r="L517" t="s">
        <v>528</v>
      </c>
    </row>
    <row r="518" spans="1:12" x14ac:dyDescent="0.25">
      <c r="A518" t="s">
        <v>3</v>
      </c>
      <c r="B518" t="s">
        <v>215</v>
      </c>
      <c r="C518" t="s">
        <v>23</v>
      </c>
      <c r="D518" s="2">
        <v>45377</v>
      </c>
      <c r="F518" s="2">
        <v>46038</v>
      </c>
      <c r="G518" s="2">
        <v>46038</v>
      </c>
      <c r="H518" s="1">
        <v>2400</v>
      </c>
      <c r="I518">
        <v>68.569999999999993</v>
      </c>
      <c r="J518" t="s">
        <v>40</v>
      </c>
      <c r="K518" t="s">
        <v>528</v>
      </c>
      <c r="L518" t="s">
        <v>528</v>
      </c>
    </row>
    <row r="519" spans="1:12" x14ac:dyDescent="0.25">
      <c r="A519" t="s">
        <v>3</v>
      </c>
      <c r="B519" t="s">
        <v>281</v>
      </c>
      <c r="C519" t="s">
        <v>23</v>
      </c>
      <c r="D519" s="2">
        <v>45377</v>
      </c>
      <c r="F519" s="2">
        <v>46038</v>
      </c>
      <c r="G519" s="2">
        <v>46038</v>
      </c>
      <c r="H519" s="1">
        <v>3550</v>
      </c>
      <c r="I519">
        <v>101.43</v>
      </c>
      <c r="J519" t="s">
        <v>40</v>
      </c>
      <c r="L519" t="s">
        <v>528</v>
      </c>
    </row>
    <row r="520" spans="1:12" x14ac:dyDescent="0.25">
      <c r="A520" t="s">
        <v>92</v>
      </c>
      <c r="B520" t="s">
        <v>277</v>
      </c>
      <c r="C520" t="s">
        <v>23</v>
      </c>
      <c r="D520" s="2">
        <v>45377</v>
      </c>
      <c r="F520" s="2">
        <v>46034</v>
      </c>
      <c r="G520" s="2">
        <v>46038</v>
      </c>
      <c r="H520" s="1">
        <v>17818</v>
      </c>
      <c r="I520">
        <v>98.99</v>
      </c>
      <c r="J520" t="s">
        <v>40</v>
      </c>
      <c r="L520" t="s">
        <v>528</v>
      </c>
    </row>
    <row r="521" spans="1:12" x14ac:dyDescent="0.25">
      <c r="A521" t="s">
        <v>88</v>
      </c>
      <c r="B521" t="s">
        <v>324</v>
      </c>
      <c r="C521" t="s">
        <v>32</v>
      </c>
      <c r="D521" s="2">
        <v>45393</v>
      </c>
      <c r="F521" s="2">
        <v>46041</v>
      </c>
      <c r="G521" s="2">
        <v>46042</v>
      </c>
      <c r="H521" s="1">
        <v>6532</v>
      </c>
      <c r="I521">
        <v>120.96</v>
      </c>
      <c r="J521" t="s">
        <v>89</v>
      </c>
      <c r="L521" t="s">
        <v>528</v>
      </c>
    </row>
    <row r="522" spans="1:12" x14ac:dyDescent="0.25">
      <c r="A522" t="s">
        <v>33</v>
      </c>
      <c r="B522" t="s">
        <v>593</v>
      </c>
      <c r="C522" t="s">
        <v>23</v>
      </c>
      <c r="D522" s="2">
        <v>45476</v>
      </c>
      <c r="F522" s="2">
        <v>46027</v>
      </c>
      <c r="G522" s="2">
        <v>46043</v>
      </c>
      <c r="H522" s="1">
        <v>57644</v>
      </c>
      <c r="I522">
        <v>98.54</v>
      </c>
      <c r="J522" t="s">
        <v>40</v>
      </c>
      <c r="L522" t="s">
        <v>528</v>
      </c>
    </row>
    <row r="523" spans="1:12" x14ac:dyDescent="0.25">
      <c r="A523" t="s">
        <v>88</v>
      </c>
      <c r="B523" t="s">
        <v>280</v>
      </c>
      <c r="C523" t="s">
        <v>25</v>
      </c>
      <c r="D523" s="2">
        <v>45349</v>
      </c>
      <c r="F523" s="2">
        <v>46048</v>
      </c>
      <c r="G523" s="2">
        <v>46050</v>
      </c>
      <c r="H523" s="1">
        <v>18231</v>
      </c>
      <c r="I523">
        <v>135.05000000000001</v>
      </c>
      <c r="J523" t="s">
        <v>40</v>
      </c>
      <c r="L523" t="s">
        <v>528</v>
      </c>
    </row>
    <row r="524" spans="1:12" x14ac:dyDescent="0.25">
      <c r="A524" t="s">
        <v>250</v>
      </c>
      <c r="B524" t="s">
        <v>278</v>
      </c>
      <c r="C524" t="s">
        <v>18</v>
      </c>
      <c r="D524" s="2">
        <v>45217</v>
      </c>
      <c r="F524" s="2">
        <v>46027</v>
      </c>
      <c r="G524" s="2">
        <v>46052</v>
      </c>
      <c r="H524" s="1">
        <v>119385</v>
      </c>
      <c r="I524">
        <v>165.81</v>
      </c>
      <c r="J524" t="s">
        <v>40</v>
      </c>
      <c r="L524" t="s">
        <v>528</v>
      </c>
    </row>
    <row r="525" spans="1:12" x14ac:dyDescent="0.25">
      <c r="A525" t="s">
        <v>3</v>
      </c>
      <c r="B525" t="s">
        <v>323</v>
      </c>
      <c r="C525" t="s">
        <v>20</v>
      </c>
      <c r="D525" s="2">
        <v>45398</v>
      </c>
      <c r="F525" s="2">
        <v>46064</v>
      </c>
      <c r="G525" s="2">
        <v>46064</v>
      </c>
      <c r="H525" s="1">
        <v>3885</v>
      </c>
      <c r="I525">
        <v>457.06</v>
      </c>
      <c r="J525" t="s">
        <v>140</v>
      </c>
    </row>
    <row r="526" spans="1:12" x14ac:dyDescent="0.25">
      <c r="A526" t="s">
        <v>15</v>
      </c>
      <c r="B526" t="s">
        <v>376</v>
      </c>
      <c r="C526" t="s">
        <v>14</v>
      </c>
      <c r="D526" s="2">
        <v>45407</v>
      </c>
      <c r="F526" s="2">
        <v>46083</v>
      </c>
      <c r="G526" s="2">
        <v>46083</v>
      </c>
      <c r="H526">
        <v>641</v>
      </c>
      <c r="I526">
        <v>17.79</v>
      </c>
      <c r="J526" t="s">
        <v>16</v>
      </c>
      <c r="L526" t="s">
        <v>528</v>
      </c>
    </row>
    <row r="527" spans="1:12" x14ac:dyDescent="0.25">
      <c r="A527" t="s">
        <v>15</v>
      </c>
      <c r="B527" t="s">
        <v>377</v>
      </c>
      <c r="C527" t="s">
        <v>14</v>
      </c>
      <c r="D527" s="2">
        <v>45407</v>
      </c>
      <c r="F527" s="2">
        <v>46083</v>
      </c>
      <c r="G527" s="2">
        <v>46084</v>
      </c>
      <c r="H527" s="1">
        <v>8862</v>
      </c>
      <c r="I527">
        <v>123.08</v>
      </c>
      <c r="J527" t="s">
        <v>16</v>
      </c>
      <c r="L527" t="s">
        <v>528</v>
      </c>
    </row>
    <row r="528" spans="1:12" x14ac:dyDescent="0.25">
      <c r="A528" t="s">
        <v>2</v>
      </c>
      <c r="B528" t="s">
        <v>219</v>
      </c>
      <c r="C528" t="s">
        <v>14</v>
      </c>
      <c r="D528" s="2">
        <v>45379</v>
      </c>
      <c r="F528" s="2">
        <v>46083</v>
      </c>
      <c r="G528" s="2">
        <v>46085</v>
      </c>
      <c r="H528" s="1">
        <v>11295</v>
      </c>
      <c r="I528">
        <v>104.58</v>
      </c>
      <c r="J528" t="s">
        <v>40</v>
      </c>
      <c r="K528" t="s">
        <v>528</v>
      </c>
      <c r="L528" t="s">
        <v>528</v>
      </c>
    </row>
    <row r="529" spans="1:12" x14ac:dyDescent="0.25">
      <c r="A529" t="s">
        <v>15</v>
      </c>
      <c r="B529" t="s">
        <v>378</v>
      </c>
      <c r="C529" t="s">
        <v>14</v>
      </c>
      <c r="D529" s="2">
        <v>45407</v>
      </c>
      <c r="F529" s="2">
        <v>46085</v>
      </c>
      <c r="G529" s="2">
        <v>46086</v>
      </c>
      <c r="H529" s="1">
        <v>10721</v>
      </c>
      <c r="I529">
        <v>148.9</v>
      </c>
      <c r="J529" t="s">
        <v>16</v>
      </c>
      <c r="L529" t="s">
        <v>528</v>
      </c>
    </row>
    <row r="530" spans="1:12" x14ac:dyDescent="0.25">
      <c r="A530" t="s">
        <v>387</v>
      </c>
      <c r="B530" t="s">
        <v>563</v>
      </c>
      <c r="C530" t="s">
        <v>14</v>
      </c>
      <c r="D530" s="2">
        <v>45415</v>
      </c>
      <c r="F530" s="2">
        <v>46113</v>
      </c>
      <c r="G530" s="2">
        <v>46113</v>
      </c>
      <c r="H530" s="1">
        <v>29420</v>
      </c>
      <c r="I530">
        <v>0</v>
      </c>
      <c r="J530" t="s">
        <v>89</v>
      </c>
    </row>
    <row r="531" spans="1:12" x14ac:dyDescent="0.25">
      <c r="A531" t="s">
        <v>88</v>
      </c>
      <c r="B531" t="s">
        <v>213</v>
      </c>
      <c r="C531" t="s">
        <v>14</v>
      </c>
      <c r="D531" s="2">
        <v>45328</v>
      </c>
      <c r="F531" s="2">
        <v>46113</v>
      </c>
      <c r="G531" s="2">
        <v>46113</v>
      </c>
      <c r="H531" s="1">
        <v>2685</v>
      </c>
      <c r="I531">
        <v>99.44</v>
      </c>
      <c r="J531" t="s">
        <v>40</v>
      </c>
      <c r="K531" t="s">
        <v>528</v>
      </c>
      <c r="L531" t="s">
        <v>528</v>
      </c>
    </row>
    <row r="532" spans="1:12" x14ac:dyDescent="0.25">
      <c r="A532" t="s">
        <v>44</v>
      </c>
      <c r="B532" t="s">
        <v>268</v>
      </c>
      <c r="C532" t="s">
        <v>38</v>
      </c>
      <c r="D532" s="2">
        <v>45320</v>
      </c>
      <c r="F532" s="2">
        <v>46113</v>
      </c>
      <c r="G532" s="2">
        <v>46114</v>
      </c>
      <c r="H532" s="1">
        <v>6504</v>
      </c>
      <c r="I532">
        <v>120.44</v>
      </c>
      <c r="J532" t="s">
        <v>40</v>
      </c>
      <c r="L532" t="s">
        <v>528</v>
      </c>
    </row>
    <row r="533" spans="1:12" x14ac:dyDescent="0.25">
      <c r="A533" t="s">
        <v>88</v>
      </c>
      <c r="B533" t="s">
        <v>267</v>
      </c>
      <c r="C533" t="s">
        <v>14</v>
      </c>
      <c r="D533" s="2">
        <v>45328</v>
      </c>
      <c r="F533" s="2">
        <v>46114</v>
      </c>
      <c r="G533" s="2">
        <v>46114</v>
      </c>
      <c r="H533" s="1">
        <v>5135</v>
      </c>
      <c r="I533">
        <v>128.38</v>
      </c>
      <c r="J533" t="s">
        <v>40</v>
      </c>
      <c r="L533" t="s">
        <v>528</v>
      </c>
    </row>
    <row r="534" spans="1:12" x14ac:dyDescent="0.25">
      <c r="A534" t="s">
        <v>19</v>
      </c>
      <c r="B534" t="s">
        <v>232</v>
      </c>
      <c r="C534" t="s">
        <v>49</v>
      </c>
      <c r="D534" s="2">
        <v>45259</v>
      </c>
      <c r="F534" s="2">
        <v>46113</v>
      </c>
      <c r="G534" s="2">
        <v>46115</v>
      </c>
      <c r="H534" s="1">
        <v>9309</v>
      </c>
      <c r="I534">
        <v>0</v>
      </c>
      <c r="J534" t="s">
        <v>89</v>
      </c>
    </row>
    <row r="535" spans="1:12" x14ac:dyDescent="0.25">
      <c r="A535" t="s">
        <v>88</v>
      </c>
      <c r="B535" t="s">
        <v>265</v>
      </c>
      <c r="C535" t="s">
        <v>14</v>
      </c>
      <c r="D535" s="2">
        <v>45328</v>
      </c>
      <c r="F535" s="2">
        <v>46115</v>
      </c>
      <c r="G535" s="2">
        <v>46115</v>
      </c>
      <c r="H535" s="1">
        <v>4585</v>
      </c>
      <c r="I535">
        <v>127.36</v>
      </c>
      <c r="J535" t="s">
        <v>40</v>
      </c>
      <c r="L535" t="s">
        <v>528</v>
      </c>
    </row>
    <row r="536" spans="1:12" x14ac:dyDescent="0.25">
      <c r="A536" t="s">
        <v>164</v>
      </c>
      <c r="B536" t="s">
        <v>292</v>
      </c>
      <c r="C536" t="s">
        <v>28</v>
      </c>
      <c r="D536" s="2">
        <v>45384</v>
      </c>
      <c r="F536" s="2">
        <v>46116</v>
      </c>
      <c r="G536" s="2">
        <v>46116</v>
      </c>
      <c r="H536" s="1">
        <v>3380</v>
      </c>
      <c r="I536">
        <v>93.89</v>
      </c>
      <c r="J536" t="s">
        <v>89</v>
      </c>
      <c r="L536" t="s">
        <v>528</v>
      </c>
    </row>
    <row r="537" spans="1:12" x14ac:dyDescent="0.25">
      <c r="A537" t="s">
        <v>33</v>
      </c>
      <c r="B537" t="s">
        <v>127</v>
      </c>
      <c r="C537" t="s">
        <v>38</v>
      </c>
      <c r="D537" s="2">
        <v>45167</v>
      </c>
      <c r="F537" s="2">
        <v>46113</v>
      </c>
      <c r="G537" s="2">
        <v>46118</v>
      </c>
      <c r="H537" s="1">
        <v>14720</v>
      </c>
      <c r="I537">
        <v>0</v>
      </c>
      <c r="J537" t="s">
        <v>40</v>
      </c>
      <c r="L537" t="s">
        <v>528</v>
      </c>
    </row>
    <row r="538" spans="1:12" x14ac:dyDescent="0.25">
      <c r="A538" t="s">
        <v>92</v>
      </c>
      <c r="B538" t="s">
        <v>274</v>
      </c>
      <c r="C538" t="s">
        <v>48</v>
      </c>
      <c r="D538" s="2">
        <v>45363</v>
      </c>
      <c r="F538" s="2">
        <v>46118</v>
      </c>
      <c r="G538" s="2">
        <v>46118</v>
      </c>
      <c r="H538" s="1">
        <v>6049</v>
      </c>
      <c r="I538">
        <v>168.03</v>
      </c>
      <c r="J538" t="s">
        <v>40</v>
      </c>
      <c r="L538" t="s">
        <v>528</v>
      </c>
    </row>
    <row r="539" spans="1:12" x14ac:dyDescent="0.25">
      <c r="A539" t="s">
        <v>69</v>
      </c>
      <c r="B539" t="s">
        <v>291</v>
      </c>
      <c r="C539" t="s">
        <v>99</v>
      </c>
      <c r="D539" s="2">
        <v>45245</v>
      </c>
      <c r="F539" s="2">
        <v>46118</v>
      </c>
      <c r="G539" s="2">
        <v>46120</v>
      </c>
      <c r="H539" s="1">
        <v>8490</v>
      </c>
      <c r="I539">
        <v>104.81</v>
      </c>
      <c r="J539" t="s">
        <v>605</v>
      </c>
      <c r="L539" t="s">
        <v>528</v>
      </c>
    </row>
    <row r="540" spans="1:12" x14ac:dyDescent="0.25">
      <c r="A540" t="s">
        <v>88</v>
      </c>
      <c r="B540" t="s">
        <v>270</v>
      </c>
      <c r="C540" t="s">
        <v>24</v>
      </c>
      <c r="D540" s="2">
        <v>45247</v>
      </c>
      <c r="F540" s="2">
        <v>46119</v>
      </c>
      <c r="G540" s="2">
        <v>46121</v>
      </c>
      <c r="H540" s="1">
        <v>14795</v>
      </c>
      <c r="I540">
        <v>136.99</v>
      </c>
      <c r="J540" t="s">
        <v>40</v>
      </c>
      <c r="L540" t="s">
        <v>528</v>
      </c>
    </row>
    <row r="541" spans="1:12" x14ac:dyDescent="0.25">
      <c r="A541" t="s">
        <v>15</v>
      </c>
      <c r="B541" t="s">
        <v>269</v>
      </c>
      <c r="C541" t="s">
        <v>23</v>
      </c>
      <c r="D541" s="2">
        <v>45377</v>
      </c>
      <c r="F541" s="2">
        <v>46119</v>
      </c>
      <c r="G541" s="2">
        <v>46122</v>
      </c>
      <c r="H541" s="1">
        <v>15808</v>
      </c>
      <c r="I541">
        <v>109.77</v>
      </c>
      <c r="J541" t="s">
        <v>40</v>
      </c>
      <c r="L541" t="s">
        <v>528</v>
      </c>
    </row>
    <row r="542" spans="1:12" x14ac:dyDescent="0.25">
      <c r="A542" t="s">
        <v>33</v>
      </c>
      <c r="B542" t="s">
        <v>266</v>
      </c>
      <c r="C542" t="s">
        <v>14</v>
      </c>
      <c r="D542" s="2">
        <v>45363</v>
      </c>
      <c r="F542" s="2">
        <v>46118</v>
      </c>
      <c r="G542" s="2">
        <v>46122</v>
      </c>
      <c r="H542" s="1">
        <v>20945</v>
      </c>
      <c r="I542">
        <v>116.36</v>
      </c>
      <c r="J542" t="s">
        <v>40</v>
      </c>
      <c r="L542" t="s">
        <v>528</v>
      </c>
    </row>
    <row r="543" spans="1:12" x14ac:dyDescent="0.25">
      <c r="A543" t="s">
        <v>3</v>
      </c>
      <c r="B543" t="s">
        <v>338</v>
      </c>
      <c r="C543" t="s">
        <v>34</v>
      </c>
      <c r="D543" s="2">
        <v>45404</v>
      </c>
      <c r="F543" s="2">
        <v>46118</v>
      </c>
      <c r="G543" s="2">
        <v>46122</v>
      </c>
      <c r="H543" s="1">
        <v>17050</v>
      </c>
      <c r="I543">
        <v>126.3</v>
      </c>
      <c r="J543" t="s">
        <v>605</v>
      </c>
      <c r="L543" t="s">
        <v>528</v>
      </c>
    </row>
    <row r="544" spans="1:12" x14ac:dyDescent="0.25">
      <c r="A544" t="s">
        <v>27</v>
      </c>
      <c r="B544" t="s">
        <v>342</v>
      </c>
      <c r="C544" t="s">
        <v>28</v>
      </c>
      <c r="D544" s="2">
        <v>45405</v>
      </c>
      <c r="F544" s="2">
        <v>46125</v>
      </c>
      <c r="G544" s="2">
        <v>46125</v>
      </c>
      <c r="H544" s="1">
        <v>4008</v>
      </c>
      <c r="I544">
        <v>148.43</v>
      </c>
      <c r="J544" t="s">
        <v>89</v>
      </c>
      <c r="L544" t="s">
        <v>528</v>
      </c>
    </row>
    <row r="545" spans="1:12" x14ac:dyDescent="0.25">
      <c r="A545" t="s">
        <v>467</v>
      </c>
      <c r="B545" t="s">
        <v>506</v>
      </c>
      <c r="C545" t="s">
        <v>17</v>
      </c>
      <c r="D545" s="2">
        <v>45450</v>
      </c>
      <c r="F545" s="2">
        <v>46118</v>
      </c>
      <c r="G545" s="2">
        <v>46125</v>
      </c>
      <c r="H545" s="1">
        <v>18996</v>
      </c>
      <c r="I545">
        <v>117.26</v>
      </c>
      <c r="J545" t="s">
        <v>89</v>
      </c>
      <c r="L545" t="s">
        <v>528</v>
      </c>
    </row>
    <row r="546" spans="1:12" x14ac:dyDescent="0.25">
      <c r="A546" t="s">
        <v>15</v>
      </c>
      <c r="B546" t="s">
        <v>591</v>
      </c>
      <c r="C546" t="s">
        <v>23</v>
      </c>
      <c r="D546" s="2">
        <v>45471</v>
      </c>
      <c r="F546" s="2">
        <v>46125</v>
      </c>
      <c r="G546" s="2">
        <v>46125</v>
      </c>
      <c r="H546" s="1">
        <v>5223</v>
      </c>
      <c r="I546">
        <v>116.06</v>
      </c>
      <c r="J546" t="s">
        <v>40</v>
      </c>
      <c r="L546" t="s">
        <v>528</v>
      </c>
    </row>
    <row r="547" spans="1:12" x14ac:dyDescent="0.25">
      <c r="A547" t="s">
        <v>27</v>
      </c>
      <c r="B547" t="s">
        <v>548</v>
      </c>
      <c r="C547" t="s">
        <v>21</v>
      </c>
      <c r="D547" s="2">
        <v>45464</v>
      </c>
      <c r="F547" s="2">
        <v>46118</v>
      </c>
      <c r="G547" s="2">
        <v>46125</v>
      </c>
      <c r="H547" s="1">
        <v>27020</v>
      </c>
      <c r="I547">
        <v>125.09</v>
      </c>
      <c r="J547" t="s">
        <v>605</v>
      </c>
      <c r="L547" t="s">
        <v>528</v>
      </c>
    </row>
    <row r="548" spans="1:12" x14ac:dyDescent="0.25">
      <c r="A548" t="s">
        <v>88</v>
      </c>
      <c r="B548" t="s">
        <v>415</v>
      </c>
      <c r="C548" t="s">
        <v>14</v>
      </c>
      <c r="D548" s="2">
        <v>45426</v>
      </c>
      <c r="F548" s="2">
        <v>46125</v>
      </c>
      <c r="G548" s="2">
        <v>46126</v>
      </c>
      <c r="H548" s="1">
        <v>8085</v>
      </c>
      <c r="I548">
        <v>112.29</v>
      </c>
      <c r="J548" t="s">
        <v>40</v>
      </c>
      <c r="L548" t="s">
        <v>528</v>
      </c>
    </row>
    <row r="549" spans="1:12" x14ac:dyDescent="0.25">
      <c r="A549" t="s">
        <v>3</v>
      </c>
      <c r="B549" t="s">
        <v>409</v>
      </c>
      <c r="C549" t="s">
        <v>32</v>
      </c>
      <c r="D549" s="2">
        <v>45421</v>
      </c>
      <c r="F549" s="2">
        <v>46127</v>
      </c>
      <c r="G549" s="2">
        <v>46128</v>
      </c>
      <c r="H549" s="1">
        <v>4854</v>
      </c>
      <c r="I549">
        <v>115.57</v>
      </c>
      <c r="J549" t="s">
        <v>89</v>
      </c>
      <c r="L549" t="s">
        <v>528</v>
      </c>
    </row>
    <row r="550" spans="1:12" x14ac:dyDescent="0.25">
      <c r="A550" t="s">
        <v>88</v>
      </c>
      <c r="B550" t="s">
        <v>233</v>
      </c>
      <c r="C550" t="s">
        <v>20</v>
      </c>
      <c r="D550" s="2">
        <v>45373</v>
      </c>
      <c r="F550" s="2">
        <v>46118</v>
      </c>
      <c r="G550" s="2">
        <v>46128</v>
      </c>
      <c r="H550" s="1">
        <v>26941</v>
      </c>
      <c r="I550">
        <v>110.87</v>
      </c>
      <c r="J550" t="s">
        <v>40</v>
      </c>
      <c r="L550" t="s">
        <v>528</v>
      </c>
    </row>
    <row r="551" spans="1:12" x14ac:dyDescent="0.25">
      <c r="A551" t="s">
        <v>88</v>
      </c>
      <c r="B551" t="s">
        <v>216</v>
      </c>
      <c r="C551" t="s">
        <v>14</v>
      </c>
      <c r="D551" s="2">
        <v>45366</v>
      </c>
      <c r="F551" s="2">
        <v>46125</v>
      </c>
      <c r="G551" s="2">
        <v>46129</v>
      </c>
      <c r="H551" s="1">
        <v>15391</v>
      </c>
      <c r="I551">
        <v>114</v>
      </c>
      <c r="J551" t="s">
        <v>89</v>
      </c>
      <c r="L551" t="s">
        <v>528</v>
      </c>
    </row>
    <row r="552" spans="1:12" x14ac:dyDescent="0.25">
      <c r="A552" t="s">
        <v>92</v>
      </c>
      <c r="B552" t="s">
        <v>590</v>
      </c>
      <c r="C552" t="s">
        <v>24</v>
      </c>
      <c r="D552" s="2">
        <v>45482</v>
      </c>
      <c r="F552" s="2">
        <v>46125</v>
      </c>
      <c r="G552" s="2">
        <v>46129</v>
      </c>
      <c r="H552" s="1">
        <v>24420</v>
      </c>
      <c r="I552">
        <v>135.66999999999999</v>
      </c>
      <c r="J552" t="s">
        <v>40</v>
      </c>
      <c r="L552" t="s">
        <v>528</v>
      </c>
    </row>
    <row r="553" spans="1:12" x14ac:dyDescent="0.25">
      <c r="A553" t="s">
        <v>56</v>
      </c>
      <c r="B553" t="s">
        <v>650</v>
      </c>
      <c r="C553" t="s">
        <v>24</v>
      </c>
      <c r="D553" s="2">
        <v>45489</v>
      </c>
      <c r="F553" s="2">
        <v>46127</v>
      </c>
      <c r="G553" s="2">
        <v>46132</v>
      </c>
      <c r="H553" s="1">
        <v>16455</v>
      </c>
      <c r="I553">
        <v>114.27</v>
      </c>
      <c r="J553" t="s">
        <v>40</v>
      </c>
      <c r="L553" t="s">
        <v>528</v>
      </c>
    </row>
    <row r="554" spans="1:12" x14ac:dyDescent="0.25">
      <c r="A554" t="s">
        <v>88</v>
      </c>
      <c r="B554" t="s">
        <v>234</v>
      </c>
      <c r="C554" t="s">
        <v>49</v>
      </c>
      <c r="D554" s="2">
        <v>45373</v>
      </c>
      <c r="F554" s="2">
        <v>46132</v>
      </c>
      <c r="G554" s="2">
        <v>46135</v>
      </c>
      <c r="H554" s="1">
        <v>11304</v>
      </c>
      <c r="I554">
        <v>104.67</v>
      </c>
      <c r="J554" t="s">
        <v>89</v>
      </c>
      <c r="L554" t="s">
        <v>528</v>
      </c>
    </row>
    <row r="555" spans="1:12" x14ac:dyDescent="0.25">
      <c r="A555" t="s">
        <v>15</v>
      </c>
      <c r="B555" t="s">
        <v>654</v>
      </c>
      <c r="C555" t="s">
        <v>25</v>
      </c>
      <c r="D555" s="2">
        <v>45484</v>
      </c>
      <c r="F555" s="2">
        <v>46126</v>
      </c>
      <c r="G555" s="2">
        <v>46135</v>
      </c>
      <c r="H555" s="1">
        <v>38571</v>
      </c>
      <c r="I555">
        <v>107.14</v>
      </c>
      <c r="J555" t="s">
        <v>40</v>
      </c>
      <c r="L555" t="s">
        <v>528</v>
      </c>
    </row>
    <row r="556" spans="1:12" x14ac:dyDescent="0.25">
      <c r="A556" t="s">
        <v>33</v>
      </c>
      <c r="B556" t="s">
        <v>592</v>
      </c>
      <c r="C556" t="s">
        <v>23</v>
      </c>
      <c r="D556" s="2">
        <v>45476</v>
      </c>
      <c r="F556" s="2">
        <v>46113</v>
      </c>
      <c r="G556" s="2">
        <v>46136</v>
      </c>
      <c r="H556" s="1">
        <v>70038</v>
      </c>
      <c r="I556">
        <v>108.08</v>
      </c>
      <c r="J556" t="s">
        <v>40</v>
      </c>
      <c r="L556" t="s">
        <v>528</v>
      </c>
    </row>
    <row r="557" spans="1:12" x14ac:dyDescent="0.25">
      <c r="A557" t="s">
        <v>15</v>
      </c>
      <c r="B557" t="s">
        <v>272</v>
      </c>
      <c r="C557" t="s">
        <v>25</v>
      </c>
      <c r="D557" s="2">
        <v>45357</v>
      </c>
      <c r="F557" s="2">
        <v>46118</v>
      </c>
      <c r="G557" s="2">
        <v>46140</v>
      </c>
      <c r="H557" s="1">
        <v>66193</v>
      </c>
      <c r="I557">
        <v>108.16</v>
      </c>
      <c r="J557" t="s">
        <v>40</v>
      </c>
      <c r="L557" t="s">
        <v>528</v>
      </c>
    </row>
    <row r="558" spans="1:12" x14ac:dyDescent="0.25">
      <c r="A558" t="s">
        <v>88</v>
      </c>
      <c r="B558" t="s">
        <v>273</v>
      </c>
      <c r="C558" t="s">
        <v>25</v>
      </c>
      <c r="D558" s="2">
        <v>45349</v>
      </c>
      <c r="F558" s="2">
        <v>46139</v>
      </c>
      <c r="G558" s="2">
        <v>46140</v>
      </c>
      <c r="H558" s="1">
        <v>7923</v>
      </c>
      <c r="I558">
        <v>88.03</v>
      </c>
      <c r="J558" t="s">
        <v>40</v>
      </c>
      <c r="L558" t="s">
        <v>528</v>
      </c>
    </row>
    <row r="559" spans="1:12" x14ac:dyDescent="0.25">
      <c r="A559" t="s">
        <v>4</v>
      </c>
      <c r="B559" t="s">
        <v>271</v>
      </c>
      <c r="C559" t="s">
        <v>14</v>
      </c>
      <c r="D559" s="2">
        <v>45390</v>
      </c>
      <c r="F559" s="2">
        <v>46141</v>
      </c>
      <c r="G559" s="2">
        <v>46142</v>
      </c>
      <c r="H559" s="1">
        <v>12280</v>
      </c>
      <c r="I559">
        <v>136.44</v>
      </c>
      <c r="J559" t="s">
        <v>140</v>
      </c>
      <c r="L559" t="s">
        <v>528</v>
      </c>
    </row>
    <row r="560" spans="1:12" x14ac:dyDescent="0.25">
      <c r="A560" t="s">
        <v>3</v>
      </c>
      <c r="B560" t="s">
        <v>322</v>
      </c>
      <c r="C560" t="s">
        <v>20</v>
      </c>
      <c r="D560" s="2">
        <v>45398</v>
      </c>
      <c r="F560" s="2">
        <v>46184</v>
      </c>
      <c r="G560" s="2">
        <v>46184</v>
      </c>
      <c r="H560" s="1">
        <v>3885</v>
      </c>
      <c r="I560">
        <v>457.06</v>
      </c>
      <c r="J560" t="s">
        <v>140</v>
      </c>
    </row>
    <row r="561" spans="1:12" x14ac:dyDescent="0.25">
      <c r="A561" t="s">
        <v>150</v>
      </c>
      <c r="B561" t="s">
        <v>283</v>
      </c>
      <c r="C561" t="s">
        <v>38</v>
      </c>
      <c r="D561" s="2">
        <v>45337</v>
      </c>
      <c r="F561" s="2">
        <v>46209</v>
      </c>
      <c r="G561" s="2">
        <v>46210</v>
      </c>
      <c r="H561" s="1">
        <v>6165</v>
      </c>
      <c r="I561">
        <v>116.32</v>
      </c>
      <c r="J561" t="s">
        <v>40</v>
      </c>
      <c r="L561" t="s">
        <v>528</v>
      </c>
    </row>
    <row r="562" spans="1:12" x14ac:dyDescent="0.25">
      <c r="A562" t="s">
        <v>44</v>
      </c>
      <c r="B562" t="s">
        <v>288</v>
      </c>
      <c r="C562" t="s">
        <v>38</v>
      </c>
      <c r="D562" s="2">
        <v>45320</v>
      </c>
      <c r="F562" s="2">
        <v>46204</v>
      </c>
      <c r="G562" s="2">
        <v>46211</v>
      </c>
      <c r="H562" s="1">
        <v>25303</v>
      </c>
      <c r="I562">
        <v>117.14</v>
      </c>
      <c r="J562" t="s">
        <v>40</v>
      </c>
      <c r="L562" t="s">
        <v>528</v>
      </c>
    </row>
    <row r="563" spans="1:12" x14ac:dyDescent="0.25">
      <c r="A563" t="s">
        <v>88</v>
      </c>
      <c r="B563" t="s">
        <v>389</v>
      </c>
      <c r="C563" t="s">
        <v>25</v>
      </c>
      <c r="D563" s="2">
        <v>45407</v>
      </c>
      <c r="F563" s="2">
        <v>46209</v>
      </c>
      <c r="G563" s="2">
        <v>46212</v>
      </c>
      <c r="H563" s="1">
        <v>20377</v>
      </c>
      <c r="I563">
        <v>113.2</v>
      </c>
      <c r="J563" t="s">
        <v>40</v>
      </c>
      <c r="L563" t="s">
        <v>528</v>
      </c>
    </row>
    <row r="564" spans="1:12" x14ac:dyDescent="0.25">
      <c r="A564" t="s">
        <v>29</v>
      </c>
      <c r="B564" t="s">
        <v>220</v>
      </c>
      <c r="C564" t="s">
        <v>14</v>
      </c>
      <c r="D564" s="2">
        <v>45331</v>
      </c>
      <c r="F564" s="2">
        <v>46027</v>
      </c>
      <c r="G564" s="2">
        <v>46225</v>
      </c>
      <c r="H564" s="1">
        <v>192825</v>
      </c>
      <c r="I564">
        <v>115.81</v>
      </c>
      <c r="J564" t="s">
        <v>140</v>
      </c>
      <c r="L564" t="s">
        <v>528</v>
      </c>
    </row>
    <row r="565" spans="1:12" x14ac:dyDescent="0.25">
      <c r="A565" t="s">
        <v>39</v>
      </c>
      <c r="B565" t="s">
        <v>523</v>
      </c>
      <c r="C565" t="s">
        <v>20</v>
      </c>
      <c r="D565" s="2">
        <v>45460</v>
      </c>
      <c r="F565" s="2">
        <v>46223</v>
      </c>
      <c r="G565" s="2">
        <v>46230</v>
      </c>
      <c r="H565" s="1">
        <v>19065</v>
      </c>
      <c r="I565">
        <v>117.69</v>
      </c>
      <c r="J565" t="s">
        <v>140</v>
      </c>
      <c r="L565" t="s">
        <v>528</v>
      </c>
    </row>
    <row r="566" spans="1:12" x14ac:dyDescent="0.25">
      <c r="A566" t="s">
        <v>69</v>
      </c>
      <c r="B566" t="s">
        <v>551</v>
      </c>
      <c r="C566" t="s">
        <v>14</v>
      </c>
      <c r="D566" s="2">
        <v>45460</v>
      </c>
      <c r="F566" s="2">
        <v>46237</v>
      </c>
      <c r="G566" s="2">
        <v>46237</v>
      </c>
      <c r="H566" s="1">
        <v>4423</v>
      </c>
      <c r="I566">
        <v>122.85</v>
      </c>
      <c r="J566" t="s">
        <v>40</v>
      </c>
      <c r="L566" t="s">
        <v>528</v>
      </c>
    </row>
    <row r="567" spans="1:12" x14ac:dyDescent="0.25">
      <c r="A567" t="s">
        <v>65</v>
      </c>
      <c r="B567" t="s">
        <v>747</v>
      </c>
      <c r="C567" t="s">
        <v>20</v>
      </c>
      <c r="D567" s="2">
        <v>45504</v>
      </c>
      <c r="F567" s="2">
        <v>46237</v>
      </c>
      <c r="G567" s="2">
        <v>46238</v>
      </c>
      <c r="H567" s="1">
        <v>5210</v>
      </c>
      <c r="I567">
        <v>144.72</v>
      </c>
      <c r="J567" t="s">
        <v>40</v>
      </c>
      <c r="L567" t="s">
        <v>528</v>
      </c>
    </row>
    <row r="568" spans="1:12" x14ac:dyDescent="0.25">
      <c r="A568" t="s">
        <v>69</v>
      </c>
      <c r="B568" t="s">
        <v>293</v>
      </c>
      <c r="C568" t="s">
        <v>99</v>
      </c>
      <c r="D568" s="2">
        <v>45245</v>
      </c>
      <c r="F568" s="2">
        <v>46237</v>
      </c>
      <c r="G568" s="2">
        <v>46238</v>
      </c>
      <c r="H568" s="1">
        <v>5425</v>
      </c>
      <c r="I568">
        <v>100.46</v>
      </c>
      <c r="J568" t="s">
        <v>605</v>
      </c>
      <c r="L568" t="s">
        <v>528</v>
      </c>
    </row>
    <row r="569" spans="1:12" x14ac:dyDescent="0.25">
      <c r="A569" t="s">
        <v>467</v>
      </c>
      <c r="B569" t="s">
        <v>507</v>
      </c>
      <c r="C569" t="s">
        <v>17</v>
      </c>
      <c r="D569" s="2">
        <v>45450</v>
      </c>
      <c r="F569" s="2">
        <v>46237</v>
      </c>
      <c r="G569" s="2">
        <v>46239</v>
      </c>
      <c r="H569" s="1">
        <v>9781</v>
      </c>
      <c r="I569">
        <v>120.75</v>
      </c>
      <c r="J569" t="s">
        <v>89</v>
      </c>
      <c r="L569" t="s">
        <v>528</v>
      </c>
    </row>
    <row r="570" spans="1:12" x14ac:dyDescent="0.25">
      <c r="A570" t="s">
        <v>3</v>
      </c>
      <c r="B570" t="s">
        <v>461</v>
      </c>
      <c r="C570" t="s">
        <v>34</v>
      </c>
      <c r="D570" s="2">
        <v>45429</v>
      </c>
      <c r="F570" s="2">
        <v>46237</v>
      </c>
      <c r="G570" s="2">
        <v>46239</v>
      </c>
      <c r="H570" s="1">
        <v>7465</v>
      </c>
      <c r="I570">
        <v>92.16</v>
      </c>
      <c r="J570" t="s">
        <v>605</v>
      </c>
      <c r="L570" t="s">
        <v>528</v>
      </c>
    </row>
    <row r="571" spans="1:12" x14ac:dyDescent="0.25">
      <c r="A571" t="s">
        <v>662</v>
      </c>
      <c r="B571" t="s">
        <v>746</v>
      </c>
      <c r="C571" t="s">
        <v>64</v>
      </c>
      <c r="D571" s="2">
        <v>45497</v>
      </c>
      <c r="F571" s="2">
        <v>46237</v>
      </c>
      <c r="G571" s="2">
        <v>46241</v>
      </c>
      <c r="H571" s="1">
        <v>15002</v>
      </c>
      <c r="I571">
        <v>111.12</v>
      </c>
      <c r="J571" t="s">
        <v>40</v>
      </c>
      <c r="L571" t="s">
        <v>528</v>
      </c>
    </row>
    <row r="572" spans="1:12" x14ac:dyDescent="0.25">
      <c r="A572" t="s">
        <v>607</v>
      </c>
      <c r="B572" t="s">
        <v>616</v>
      </c>
      <c r="C572" t="s">
        <v>21</v>
      </c>
      <c r="D572" s="2">
        <v>45485</v>
      </c>
      <c r="F572" s="2">
        <v>46242</v>
      </c>
      <c r="G572" s="2">
        <v>46242</v>
      </c>
      <c r="H572" s="1">
        <v>3390</v>
      </c>
      <c r="I572">
        <v>125.56</v>
      </c>
      <c r="J572" t="s">
        <v>89</v>
      </c>
      <c r="L572" t="s">
        <v>528</v>
      </c>
    </row>
    <row r="573" spans="1:12" x14ac:dyDescent="0.25">
      <c r="A573" t="s">
        <v>88</v>
      </c>
      <c r="B573" t="s">
        <v>282</v>
      </c>
      <c r="C573" t="s">
        <v>25</v>
      </c>
      <c r="D573" s="2">
        <v>45349</v>
      </c>
      <c r="F573" s="2">
        <v>46237</v>
      </c>
      <c r="G573" s="2">
        <v>46244</v>
      </c>
      <c r="H573" s="1">
        <v>28890</v>
      </c>
      <c r="I573">
        <v>107</v>
      </c>
      <c r="J573" t="s">
        <v>40</v>
      </c>
      <c r="L573" t="s">
        <v>528</v>
      </c>
    </row>
    <row r="574" spans="1:12" x14ac:dyDescent="0.25">
      <c r="A574" t="s">
        <v>3</v>
      </c>
      <c r="B574" t="s">
        <v>479</v>
      </c>
      <c r="C574" t="s">
        <v>98</v>
      </c>
      <c r="D574" s="2">
        <v>45447</v>
      </c>
      <c r="F574" s="2">
        <v>46244</v>
      </c>
      <c r="G574" s="2">
        <v>46245</v>
      </c>
      <c r="H574" s="1">
        <v>5826</v>
      </c>
      <c r="I574">
        <v>80.91</v>
      </c>
      <c r="J574" t="s">
        <v>89</v>
      </c>
      <c r="L574" t="s">
        <v>528</v>
      </c>
    </row>
    <row r="575" spans="1:12" x14ac:dyDescent="0.25">
      <c r="A575" t="s">
        <v>3</v>
      </c>
      <c r="B575" t="s">
        <v>325</v>
      </c>
      <c r="C575" t="s">
        <v>20</v>
      </c>
      <c r="D575" s="2">
        <v>45398</v>
      </c>
      <c r="F575" s="2">
        <v>46247</v>
      </c>
      <c r="G575" s="2">
        <v>46247</v>
      </c>
      <c r="H575" s="1">
        <v>3885</v>
      </c>
      <c r="I575">
        <v>457.06</v>
      </c>
      <c r="J575" t="s">
        <v>140</v>
      </c>
    </row>
    <row r="576" spans="1:12" x14ac:dyDescent="0.25">
      <c r="A576" t="s">
        <v>39</v>
      </c>
      <c r="B576" t="s">
        <v>646</v>
      </c>
      <c r="C576" t="s">
        <v>493</v>
      </c>
      <c r="D576" s="2">
        <v>45454</v>
      </c>
      <c r="F576" s="2">
        <v>46296</v>
      </c>
      <c r="G576" s="2">
        <v>46296</v>
      </c>
      <c r="H576" s="1">
        <v>3259</v>
      </c>
      <c r="I576">
        <v>120.69</v>
      </c>
      <c r="J576" t="s">
        <v>89</v>
      </c>
    </row>
    <row r="577" spans="1:12" x14ac:dyDescent="0.25">
      <c r="A577" t="s">
        <v>5</v>
      </c>
      <c r="B577" t="s">
        <v>417</v>
      </c>
      <c r="C577" t="s">
        <v>14</v>
      </c>
      <c r="D577" s="2">
        <v>45425</v>
      </c>
      <c r="F577" s="2">
        <v>46300</v>
      </c>
      <c r="G577" s="2">
        <v>46300</v>
      </c>
      <c r="H577" s="1">
        <v>4875</v>
      </c>
      <c r="I577">
        <v>541.66999999999996</v>
      </c>
      <c r="J577" t="s">
        <v>40</v>
      </c>
      <c r="L577" t="s">
        <v>528</v>
      </c>
    </row>
    <row r="578" spans="1:12" x14ac:dyDescent="0.25">
      <c r="A578" t="s">
        <v>150</v>
      </c>
      <c r="B578" t="s">
        <v>287</v>
      </c>
      <c r="C578" t="s">
        <v>38</v>
      </c>
      <c r="D578" s="2">
        <v>45337</v>
      </c>
      <c r="F578" s="2">
        <v>46300</v>
      </c>
      <c r="G578" s="2">
        <v>46300</v>
      </c>
      <c r="H578" s="1">
        <v>3725</v>
      </c>
      <c r="I578">
        <v>413.89</v>
      </c>
      <c r="J578" t="s">
        <v>40</v>
      </c>
      <c r="L578" t="s">
        <v>528</v>
      </c>
    </row>
    <row r="579" spans="1:12" x14ac:dyDescent="0.25">
      <c r="A579" t="s">
        <v>88</v>
      </c>
      <c r="B579" t="s">
        <v>328</v>
      </c>
      <c r="C579" t="s">
        <v>14</v>
      </c>
      <c r="D579" s="2">
        <v>45394</v>
      </c>
      <c r="F579" s="2">
        <v>46300</v>
      </c>
      <c r="G579" s="2">
        <v>46300</v>
      </c>
      <c r="H579" s="1">
        <v>7320</v>
      </c>
      <c r="I579">
        <v>203.33</v>
      </c>
      <c r="J579" t="s">
        <v>605</v>
      </c>
      <c r="L579" t="s">
        <v>528</v>
      </c>
    </row>
    <row r="580" spans="1:12" x14ac:dyDescent="0.25">
      <c r="A580" t="s">
        <v>88</v>
      </c>
      <c r="B580" t="s">
        <v>237</v>
      </c>
      <c r="C580" t="s">
        <v>49</v>
      </c>
      <c r="D580" s="2">
        <v>45373</v>
      </c>
      <c r="F580" s="2">
        <v>46300</v>
      </c>
      <c r="G580" s="2">
        <v>46301</v>
      </c>
      <c r="H580" s="1">
        <v>4638</v>
      </c>
      <c r="I580">
        <v>85.88</v>
      </c>
      <c r="J580" t="s">
        <v>89</v>
      </c>
      <c r="L580" t="s">
        <v>528</v>
      </c>
    </row>
    <row r="581" spans="1:12" x14ac:dyDescent="0.25">
      <c r="A581" t="s">
        <v>92</v>
      </c>
      <c r="B581" t="s">
        <v>218</v>
      </c>
      <c r="C581" t="s">
        <v>14</v>
      </c>
      <c r="D581" s="2">
        <v>45355</v>
      </c>
      <c r="F581" s="2">
        <v>46300</v>
      </c>
      <c r="G581" s="2">
        <v>46301</v>
      </c>
      <c r="H581" s="1">
        <v>4665</v>
      </c>
      <c r="I581">
        <v>107.24</v>
      </c>
      <c r="J581" t="s">
        <v>89</v>
      </c>
      <c r="L581" t="s">
        <v>528</v>
      </c>
    </row>
    <row r="582" spans="1:12" x14ac:dyDescent="0.25">
      <c r="A582" t="s">
        <v>15</v>
      </c>
      <c r="B582" t="s">
        <v>658</v>
      </c>
      <c r="C582" t="s">
        <v>25</v>
      </c>
      <c r="D582" s="2">
        <v>45484</v>
      </c>
      <c r="F582" s="2">
        <v>46301</v>
      </c>
      <c r="G582" s="2">
        <v>46301</v>
      </c>
      <c r="H582">
        <v>980</v>
      </c>
      <c r="I582">
        <v>108.86</v>
      </c>
      <c r="J582" t="s">
        <v>40</v>
      </c>
      <c r="L582" t="s">
        <v>528</v>
      </c>
    </row>
    <row r="583" spans="1:12" x14ac:dyDescent="0.25">
      <c r="A583" t="s">
        <v>88</v>
      </c>
      <c r="B583" t="s">
        <v>416</v>
      </c>
      <c r="C583" t="s">
        <v>14</v>
      </c>
      <c r="D583" s="2">
        <v>45426</v>
      </c>
      <c r="F583" s="2">
        <v>46301</v>
      </c>
      <c r="G583" s="2">
        <v>46302</v>
      </c>
      <c r="H583" s="1">
        <v>13900</v>
      </c>
      <c r="I583">
        <v>193.06</v>
      </c>
      <c r="J583" t="s">
        <v>40</v>
      </c>
      <c r="L583" t="s">
        <v>528</v>
      </c>
    </row>
    <row r="584" spans="1:12" x14ac:dyDescent="0.25">
      <c r="A584" t="s">
        <v>15</v>
      </c>
      <c r="B584" t="s">
        <v>594</v>
      </c>
      <c r="C584" t="s">
        <v>23</v>
      </c>
      <c r="D584" s="2">
        <v>45471</v>
      </c>
      <c r="F584" s="2">
        <v>46303</v>
      </c>
      <c r="G584" s="2">
        <v>46303</v>
      </c>
      <c r="H584" s="1">
        <v>5403</v>
      </c>
      <c r="I584">
        <v>300.14</v>
      </c>
      <c r="J584" t="s">
        <v>40</v>
      </c>
      <c r="L584" t="s">
        <v>528</v>
      </c>
    </row>
    <row r="585" spans="1:12" x14ac:dyDescent="0.25">
      <c r="A585" t="s">
        <v>467</v>
      </c>
      <c r="B585" t="s">
        <v>509</v>
      </c>
      <c r="C585" t="s">
        <v>17</v>
      </c>
      <c r="D585" s="2">
        <v>45450</v>
      </c>
      <c r="F585" s="2">
        <v>46300</v>
      </c>
      <c r="G585" s="2">
        <v>46304</v>
      </c>
      <c r="H585" s="1">
        <v>17215</v>
      </c>
      <c r="I585">
        <v>127.51</v>
      </c>
      <c r="J585" t="s">
        <v>89</v>
      </c>
      <c r="L585" t="s">
        <v>528</v>
      </c>
    </row>
    <row r="586" spans="1:12" x14ac:dyDescent="0.25">
      <c r="A586" t="s">
        <v>69</v>
      </c>
      <c r="B586" t="s">
        <v>552</v>
      </c>
      <c r="C586" t="s">
        <v>14</v>
      </c>
      <c r="D586" s="2">
        <v>45460</v>
      </c>
      <c r="F586" s="2">
        <v>46303</v>
      </c>
      <c r="G586" s="2">
        <v>46304</v>
      </c>
      <c r="H586" s="1">
        <v>8965</v>
      </c>
      <c r="I586">
        <v>498.06</v>
      </c>
      <c r="J586" t="s">
        <v>40</v>
      </c>
      <c r="L586" t="s">
        <v>528</v>
      </c>
    </row>
    <row r="587" spans="1:12" x14ac:dyDescent="0.25">
      <c r="A587" t="s">
        <v>88</v>
      </c>
      <c r="B587" t="s">
        <v>236</v>
      </c>
      <c r="C587" t="s">
        <v>20</v>
      </c>
      <c r="D587" s="2">
        <v>45373</v>
      </c>
      <c r="F587" s="2">
        <v>46300</v>
      </c>
      <c r="G587" s="2">
        <v>46304</v>
      </c>
      <c r="H587" s="1">
        <v>15926</v>
      </c>
      <c r="I587">
        <v>117.97</v>
      </c>
      <c r="J587" t="s">
        <v>40</v>
      </c>
      <c r="L587" t="s">
        <v>528</v>
      </c>
    </row>
    <row r="588" spans="1:12" x14ac:dyDescent="0.25">
      <c r="A588" t="s">
        <v>56</v>
      </c>
      <c r="B588" t="s">
        <v>651</v>
      </c>
      <c r="C588" t="s">
        <v>24</v>
      </c>
      <c r="D588" s="2">
        <v>45489</v>
      </c>
      <c r="F588" s="2">
        <v>46304</v>
      </c>
      <c r="G588" s="2">
        <v>46304</v>
      </c>
      <c r="H588" s="1">
        <v>6265</v>
      </c>
      <c r="I588">
        <v>696.11</v>
      </c>
      <c r="J588" t="s">
        <v>40</v>
      </c>
      <c r="L588" t="s">
        <v>528</v>
      </c>
    </row>
    <row r="589" spans="1:12" x14ac:dyDescent="0.25">
      <c r="A589" t="s">
        <v>39</v>
      </c>
      <c r="B589" t="s">
        <v>524</v>
      </c>
      <c r="C589" t="s">
        <v>20</v>
      </c>
      <c r="D589" s="2">
        <v>45460</v>
      </c>
      <c r="F589" s="2">
        <v>46304</v>
      </c>
      <c r="G589" s="2">
        <v>46304</v>
      </c>
      <c r="H589" s="1">
        <v>1350</v>
      </c>
      <c r="I589">
        <v>112.5</v>
      </c>
      <c r="J589" t="s">
        <v>140</v>
      </c>
      <c r="L589" t="s">
        <v>528</v>
      </c>
    </row>
    <row r="590" spans="1:12" x14ac:dyDescent="0.25">
      <c r="A590" t="s">
        <v>3</v>
      </c>
      <c r="B590" t="s">
        <v>284</v>
      </c>
      <c r="C590" t="s">
        <v>14</v>
      </c>
      <c r="D590" s="2">
        <v>45331</v>
      </c>
      <c r="F590" s="2">
        <v>46300</v>
      </c>
      <c r="G590" s="2">
        <v>46304</v>
      </c>
      <c r="H590" s="1">
        <v>25456</v>
      </c>
      <c r="I590">
        <v>113.14</v>
      </c>
      <c r="J590" t="s">
        <v>605</v>
      </c>
      <c r="L590" t="s">
        <v>528</v>
      </c>
    </row>
    <row r="591" spans="1:12" x14ac:dyDescent="0.25">
      <c r="A591" t="s">
        <v>15</v>
      </c>
      <c r="B591" t="s">
        <v>285</v>
      </c>
      <c r="C591" t="s">
        <v>23</v>
      </c>
      <c r="D591" s="2">
        <v>45384</v>
      </c>
      <c r="F591" s="2">
        <v>46307</v>
      </c>
      <c r="G591" s="2">
        <v>46307</v>
      </c>
      <c r="H591" s="1">
        <v>6845</v>
      </c>
      <c r="I591">
        <v>152.11000000000001</v>
      </c>
      <c r="J591" t="s">
        <v>40</v>
      </c>
      <c r="L591" t="s">
        <v>528</v>
      </c>
    </row>
    <row r="592" spans="1:12" x14ac:dyDescent="0.25">
      <c r="A592" t="s">
        <v>27</v>
      </c>
      <c r="B592" t="s">
        <v>549</v>
      </c>
      <c r="C592" t="s">
        <v>21</v>
      </c>
      <c r="D592" s="2">
        <v>45464</v>
      </c>
      <c r="F592" s="2">
        <v>46300</v>
      </c>
      <c r="G592" s="2">
        <v>46307</v>
      </c>
      <c r="H592" s="1">
        <v>26045</v>
      </c>
      <c r="I592">
        <v>120.58</v>
      </c>
      <c r="J592" t="s">
        <v>605</v>
      </c>
      <c r="L592" t="s">
        <v>528</v>
      </c>
    </row>
    <row r="593" spans="1:12" x14ac:dyDescent="0.25">
      <c r="A593" t="s">
        <v>499</v>
      </c>
      <c r="B593" t="s">
        <v>510</v>
      </c>
      <c r="C593" t="s">
        <v>45</v>
      </c>
      <c r="D593" s="2">
        <v>45454</v>
      </c>
      <c r="F593" s="2">
        <v>46307</v>
      </c>
      <c r="G593" s="2">
        <v>46309</v>
      </c>
      <c r="H593" s="1">
        <v>8563</v>
      </c>
      <c r="I593">
        <v>105.71</v>
      </c>
      <c r="J593" t="s">
        <v>89</v>
      </c>
      <c r="L593" t="s">
        <v>528</v>
      </c>
    </row>
    <row r="594" spans="1:12" x14ac:dyDescent="0.25">
      <c r="A594" t="s">
        <v>662</v>
      </c>
      <c r="B594" t="s">
        <v>748</v>
      </c>
      <c r="C594" t="s">
        <v>64</v>
      </c>
      <c r="D594" s="2">
        <v>45497</v>
      </c>
      <c r="F594" s="2">
        <v>46300</v>
      </c>
      <c r="G594" s="2">
        <v>46310</v>
      </c>
      <c r="H594" s="1">
        <v>29378</v>
      </c>
      <c r="I594">
        <v>120.9</v>
      </c>
      <c r="J594" t="s">
        <v>40</v>
      </c>
      <c r="L594" t="s">
        <v>528</v>
      </c>
    </row>
    <row r="595" spans="1:12" x14ac:dyDescent="0.25">
      <c r="A595" t="s">
        <v>27</v>
      </c>
      <c r="B595" t="s">
        <v>343</v>
      </c>
      <c r="C595" t="s">
        <v>28</v>
      </c>
      <c r="D595" s="2">
        <v>45405</v>
      </c>
      <c r="F595" s="2">
        <v>46300</v>
      </c>
      <c r="G595" s="2">
        <v>46311</v>
      </c>
      <c r="H595" s="1">
        <v>32383</v>
      </c>
      <c r="I595">
        <v>119.94</v>
      </c>
      <c r="J595" t="s">
        <v>89</v>
      </c>
      <c r="L595" t="s">
        <v>528</v>
      </c>
    </row>
    <row r="596" spans="1:12" x14ac:dyDescent="0.25">
      <c r="A596" t="s">
        <v>3</v>
      </c>
      <c r="B596" t="s">
        <v>410</v>
      </c>
      <c r="C596" t="s">
        <v>32</v>
      </c>
      <c r="D596" s="2">
        <v>45421</v>
      </c>
      <c r="F596" s="2">
        <v>46314</v>
      </c>
      <c r="G596" s="2">
        <v>46314</v>
      </c>
      <c r="H596" s="1">
        <v>2713</v>
      </c>
      <c r="I596">
        <v>100.46</v>
      </c>
      <c r="J596" t="s">
        <v>89</v>
      </c>
      <c r="L596" t="s">
        <v>528</v>
      </c>
    </row>
    <row r="597" spans="1:12" x14ac:dyDescent="0.25">
      <c r="A597" t="s">
        <v>15</v>
      </c>
      <c r="B597" t="s">
        <v>286</v>
      </c>
      <c r="C597" t="s">
        <v>25</v>
      </c>
      <c r="D597" s="2">
        <v>45371</v>
      </c>
      <c r="F597" s="2">
        <v>46300</v>
      </c>
      <c r="G597" s="2">
        <v>46322</v>
      </c>
      <c r="H597" s="1">
        <v>67843</v>
      </c>
      <c r="I597">
        <v>110.85</v>
      </c>
      <c r="J597" t="s">
        <v>40</v>
      </c>
    </row>
    <row r="598" spans="1:12" x14ac:dyDescent="0.25">
      <c r="A598" t="s">
        <v>3</v>
      </c>
      <c r="B598" t="s">
        <v>326</v>
      </c>
      <c r="C598" t="s">
        <v>20</v>
      </c>
      <c r="D598" s="2">
        <v>45398</v>
      </c>
      <c r="F598" s="2">
        <v>46336</v>
      </c>
      <c r="G598" s="2">
        <v>46336</v>
      </c>
      <c r="H598" s="1">
        <v>3885</v>
      </c>
      <c r="I598">
        <v>457.06</v>
      </c>
      <c r="J598" t="s">
        <v>140</v>
      </c>
    </row>
  </sheetData>
  <sortState xmlns:xlrd2="http://schemas.microsoft.com/office/spreadsheetml/2017/richdata2" ref="A2:L722">
    <sortCondition ref="G1:G7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36</vt:i4>
      </vt:variant>
    </vt:vector>
  </HeadingPairs>
  <TitlesOfParts>
    <vt:vector size="76" baseType="lpstr">
      <vt:lpstr>Completed+Sold (07-18-2024)</vt:lpstr>
      <vt:lpstr>Completed+Sold (07-25-2024)</vt:lpstr>
      <vt:lpstr>Completed+Sold (08-01-2024)</vt:lpstr>
      <vt:lpstr>Completed+Sold (08-08-2024)</vt:lpstr>
      <vt:lpstr>Completed+Sold (08-15-2024)</vt:lpstr>
      <vt:lpstr>Completed+Sold (08-22-2024)</vt:lpstr>
      <vt:lpstr>Completed+Sold (08-29-2024)</vt:lpstr>
      <vt:lpstr>Completed+Sold (09-05-2024)</vt:lpstr>
      <vt:lpstr>Completed+Sold (09-19-2024)</vt:lpstr>
      <vt:lpstr>Completed+Sold (09-26-2024)</vt:lpstr>
      <vt:lpstr>Completed+Sold (01.09.2026)</vt:lpstr>
      <vt:lpstr>Completed+Sold (04.10.2025) 2</vt:lpstr>
      <vt:lpstr>Completed+Sold (01.15.2026)</vt:lpstr>
      <vt:lpstr>Completed+Sold (02.12.2026)</vt:lpstr>
      <vt:lpstr>Completed+Sold (02.19.2026)</vt:lpstr>
      <vt:lpstr>Completed+Sold (02.26.2026)</vt:lpstr>
      <vt:lpstr>Completed+Sold (03.12.2026)</vt:lpstr>
      <vt:lpstr>Completed+Sold (03.19.2026)</vt:lpstr>
      <vt:lpstr>Completed+Sold (03.26.2026)</vt:lpstr>
      <vt:lpstr>Completed+Sold (04.02.2026)</vt:lpstr>
      <vt:lpstr>Completed+Sold (04.15.2026)</vt:lpstr>
      <vt:lpstr>Completed+Sold (04.23.2026) </vt:lpstr>
      <vt:lpstr>Completed+Sold (04.30.2026)</vt:lpstr>
      <vt:lpstr>Completed+Sold (05.06.2026)</vt:lpstr>
      <vt:lpstr>Completed+Sold (05.13.2026)</vt:lpstr>
      <vt:lpstr>Completed+Sold (05.20.2026)</vt:lpstr>
      <vt:lpstr>Completed+Sold (05.27.2026)</vt:lpstr>
      <vt:lpstr>Completed+Sold (06.03.2026)</vt:lpstr>
      <vt:lpstr>Completed+Sold (06.10.2026)</vt:lpstr>
      <vt:lpstr>Completed+Sold (06.17.2026)</vt:lpstr>
      <vt:lpstr>Completed+Sold (06.24.2026)</vt:lpstr>
      <vt:lpstr>Completed+Sold (07.1.2026)</vt:lpstr>
      <vt:lpstr>Completed+Sold (07.8.2026)</vt:lpstr>
      <vt:lpstr>Completed+Sold (07.15.2026)</vt:lpstr>
      <vt:lpstr>Completed+Sold (07.22.2026)</vt:lpstr>
      <vt:lpstr>Completed+Sold (07.29.2026)</vt:lpstr>
      <vt:lpstr>Pivot</vt:lpstr>
      <vt:lpstr>Schedule Board</vt:lpstr>
      <vt:lpstr>Pivot Table</vt:lpstr>
      <vt:lpstr>Data</vt:lpstr>
      <vt:lpstr>'Completed+Sold (01.09.2026)'!Print_Area</vt:lpstr>
      <vt:lpstr>'Completed+Sold (01.15.2026)'!Print_Area</vt:lpstr>
      <vt:lpstr>'Completed+Sold (02.12.2026)'!Print_Area</vt:lpstr>
      <vt:lpstr>'Completed+Sold (02.19.2026)'!Print_Area</vt:lpstr>
      <vt:lpstr>'Completed+Sold (02.26.2026)'!Print_Area</vt:lpstr>
      <vt:lpstr>'Completed+Sold (03.12.2026)'!Print_Area</vt:lpstr>
      <vt:lpstr>'Completed+Sold (03.19.2026)'!Print_Area</vt:lpstr>
      <vt:lpstr>'Completed+Sold (03.26.2026)'!Print_Area</vt:lpstr>
      <vt:lpstr>'Completed+Sold (04.02.2026)'!Print_Area</vt:lpstr>
      <vt:lpstr>'Completed+Sold (04.10.2025) 2'!Print_Area</vt:lpstr>
      <vt:lpstr>'Completed+Sold (04.15.2026)'!Print_Area</vt:lpstr>
      <vt:lpstr>'Completed+Sold (04.23.2026) '!Print_Area</vt:lpstr>
      <vt:lpstr>'Completed+Sold (04.30.2026)'!Print_Area</vt:lpstr>
      <vt:lpstr>'Completed+Sold (05.06.2026)'!Print_Area</vt:lpstr>
      <vt:lpstr>'Completed+Sold (05.13.2026)'!Print_Area</vt:lpstr>
      <vt:lpstr>'Completed+Sold (05.20.2026)'!Print_Area</vt:lpstr>
      <vt:lpstr>'Completed+Sold (05.27.2026)'!Print_Area</vt:lpstr>
      <vt:lpstr>'Completed+Sold (06.03.2026)'!Print_Area</vt:lpstr>
      <vt:lpstr>'Completed+Sold (06.10.2026)'!Print_Area</vt:lpstr>
      <vt:lpstr>'Completed+Sold (06.17.2026)'!Print_Area</vt:lpstr>
      <vt:lpstr>'Completed+Sold (06.24.2026)'!Print_Area</vt:lpstr>
      <vt:lpstr>'Completed+Sold (07.1.2026)'!Print_Area</vt:lpstr>
      <vt:lpstr>'Completed+Sold (07.15.2026)'!Print_Area</vt:lpstr>
      <vt:lpstr>'Completed+Sold (07.22.2026)'!Print_Area</vt:lpstr>
      <vt:lpstr>'Completed+Sold (07.29.2026)'!Print_Area</vt:lpstr>
      <vt:lpstr>'Completed+Sold (07.8.2026)'!Print_Area</vt:lpstr>
      <vt:lpstr>'Completed+Sold (07-18-2024)'!Print_Area</vt:lpstr>
      <vt:lpstr>'Completed+Sold (07-25-2024)'!Print_Area</vt:lpstr>
      <vt:lpstr>'Completed+Sold (08-01-2024)'!Print_Area</vt:lpstr>
      <vt:lpstr>'Completed+Sold (08-08-2024)'!Print_Area</vt:lpstr>
      <vt:lpstr>'Completed+Sold (08-15-2024)'!Print_Area</vt:lpstr>
      <vt:lpstr>'Completed+Sold (08-22-2024)'!Print_Area</vt:lpstr>
      <vt:lpstr>'Completed+Sold (08-29-2024)'!Print_Area</vt:lpstr>
      <vt:lpstr>'Completed+Sold (09-05-2024)'!Print_Area</vt:lpstr>
      <vt:lpstr>'Completed+Sold (09-19-2024)'!Print_Area</vt:lpstr>
      <vt:lpstr>'Completed+Sold (09-26-2024)'!Print_Area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BBeller</dc:creator>
  <cp:lastModifiedBy>Nathaniel Perkins</cp:lastModifiedBy>
  <cp:lastPrinted>2026-07-29T23:09:20Z</cp:lastPrinted>
  <dcterms:created xsi:type="dcterms:W3CDTF">2019-01-30T22:55:53Z</dcterms:created>
  <dcterms:modified xsi:type="dcterms:W3CDTF">2026-07-30T18:40:46Z</dcterms:modified>
</cp:coreProperties>
</file>