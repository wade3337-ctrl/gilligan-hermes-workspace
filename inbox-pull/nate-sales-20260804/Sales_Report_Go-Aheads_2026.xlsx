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stsinc-my.sharepoint.com/personal/nperkins_gstsinc_com/Documents/Desktop/Thursday meeting folder/"/>
    </mc:Choice>
  </mc:AlternateContent>
  <xr:revisionPtr revIDLastSave="8468" documentId="8_{B8793A65-0466-4C58-B531-2D722C4431C5}" xr6:coauthVersionLast="47" xr6:coauthVersionMax="47" xr10:uidLastSave="{C3467DB5-1609-4901-87F5-C06FC9BCB23D}"/>
  <bookViews>
    <workbookView xWindow="-98" yWindow="-98" windowWidth="21795" windowHeight="13875" firstSheet="269" activeTab="271" xr2:uid="{074F748F-7266-469F-9F0D-6C6975924DAA}"/>
  </bookViews>
  <sheets>
    <sheet name="GO-AHEADS (6-19-2019)" sheetId="1" r:id="rId1"/>
    <sheet name="GO-AHEADS (5-6-2020)" sheetId="3" r:id="rId2"/>
    <sheet name="GO-AHEADS (5-13-2020)" sheetId="4" r:id="rId3"/>
    <sheet name="GO-AHEADS (5-27-2020)" sheetId="5" r:id="rId4"/>
    <sheet name="GO-AHEADS (6-3-2020)" sheetId="6" r:id="rId5"/>
    <sheet name="GO-AHEADS (6-17-2020)" sheetId="7" r:id="rId6"/>
    <sheet name="GO-AHEADS (6-24-2020)" sheetId="8" r:id="rId7"/>
    <sheet name="GO-AHEADS (7-1-2020)" sheetId="9" r:id="rId8"/>
    <sheet name="GO-AHEADS (7-8-2020)" sheetId="10" r:id="rId9"/>
    <sheet name="GO-AHEADS (7-22-2020)" sheetId="11" r:id="rId10"/>
    <sheet name="GO-AHEADS (7-29-2020)" sheetId="12" r:id="rId11"/>
    <sheet name="GO-AHEADS (8-5-2020)" sheetId="13" r:id="rId12"/>
    <sheet name="GO-AHEADS (8-12-2020)" sheetId="14" r:id="rId13"/>
    <sheet name="GO-AHEADS (9-9-2020)" sheetId="15" r:id="rId14"/>
    <sheet name="GO-AHEADS (10-14-2020)" sheetId="16" r:id="rId15"/>
    <sheet name="GO-AHEADS (10-21-2020)" sheetId="17" r:id="rId16"/>
    <sheet name="GO-AHEADS (11-04-2020)" sheetId="18" r:id="rId17"/>
    <sheet name="GO-AHEADS (11-11-2020)" sheetId="19" r:id="rId18"/>
    <sheet name="GO-AHEADS (11-18-2020)" sheetId="20" r:id="rId19"/>
    <sheet name="GO-AHEADS (12-2-2020)" sheetId="21" r:id="rId20"/>
    <sheet name="GO-AHEADS (12-09-2020)" sheetId="22" r:id="rId21"/>
    <sheet name="GO-AHEADS (12-31-2020)" sheetId="23" r:id="rId22"/>
    <sheet name="GO-AHEADS (1-6-2021)" sheetId="24" r:id="rId23"/>
    <sheet name="GO-AHEADS (1-13-2021)" sheetId="25" r:id="rId24"/>
    <sheet name="GO-AHEADS (1-21-2021)" sheetId="26" r:id="rId25"/>
    <sheet name="GO-AHEADS (1-27-2021)" sheetId="27" r:id="rId26"/>
    <sheet name="GO-AHEADS (2-03-2021)" sheetId="28" r:id="rId27"/>
    <sheet name="GO-AHEADS (2-10-2021)" sheetId="29" r:id="rId28"/>
    <sheet name="GO-AHEADS (2-17-2021)" sheetId="30" r:id="rId29"/>
    <sheet name="GO-AHEADS (3-3-2021)" sheetId="31" r:id="rId30"/>
    <sheet name="GO-AHEADS (3-10-2021)" sheetId="33" r:id="rId31"/>
    <sheet name="GO-AHEADS (3-17-2021)" sheetId="34" r:id="rId32"/>
    <sheet name="GO-AHEADS (3-24-2021)" sheetId="35" r:id="rId33"/>
    <sheet name="GO-AHEADS (4-1-2021)" sheetId="37" r:id="rId34"/>
    <sheet name="GO-AHEADS (4-7-2021)" sheetId="38" r:id="rId35"/>
    <sheet name="GO-AHEADS (4-14-2021)" sheetId="39" r:id="rId36"/>
    <sheet name="GO-AHEADS (4-21-2021)" sheetId="40" r:id="rId37"/>
    <sheet name="GO-AHEADS (4-28-2021)" sheetId="41" r:id="rId38"/>
    <sheet name="GO-AHEADS (5-5-2021)" sheetId="42" r:id="rId39"/>
    <sheet name="GO-AHEADS (5-12-2021)" sheetId="43" r:id="rId40"/>
    <sheet name="GO-AHEADS (5-19-2021)" sheetId="44" r:id="rId41"/>
    <sheet name="GO-AHEADS (5-26-2021)" sheetId="45" r:id="rId42"/>
    <sheet name="GO-AHEADS (6-2-2021)" sheetId="46" r:id="rId43"/>
    <sheet name="GO-AHEADS (6-09-2021)" sheetId="47" r:id="rId44"/>
    <sheet name="GO-AHEADS (6-16-2021)" sheetId="48" r:id="rId45"/>
    <sheet name="GO-AHEADS (7-08-2021)" sheetId="49" r:id="rId46"/>
    <sheet name="GO-AHEADS (7-14-2021)" sheetId="50" r:id="rId47"/>
    <sheet name="GO-AHEADS (7-21-2021)" sheetId="51" r:id="rId48"/>
    <sheet name="GO-AHEADS (08-04-2021)" sheetId="52" r:id="rId49"/>
    <sheet name="GO-AHEADS (08-12-2021)" sheetId="53" r:id="rId50"/>
    <sheet name="GO-AHEADS (09-01-2021)" sheetId="54" r:id="rId51"/>
    <sheet name="GO-AHEADS (09-09-2021)" sheetId="55" r:id="rId52"/>
    <sheet name="GO-AHEADS (09-15-2021)" sheetId="56" r:id="rId53"/>
    <sheet name="GO-AHEADS (09-22-2021)" sheetId="57" r:id="rId54"/>
    <sheet name="GO-AHEADS (09-29-2021)" sheetId="58" r:id="rId55"/>
    <sheet name="GO-AHEADS (10-07-2021)" sheetId="59" r:id="rId56"/>
    <sheet name="GO-AHEADS (10-14-2021)" sheetId="60" r:id="rId57"/>
    <sheet name="GO-AHEADS (10-20-2021)" sheetId="61" r:id="rId58"/>
    <sheet name="GO-AHEADS (10-28-2021)" sheetId="62" r:id="rId59"/>
    <sheet name="GO-AHEADS (11-03-2021)" sheetId="63" r:id="rId60"/>
    <sheet name="GO-AHEADS (11-10-2021)" sheetId="64" r:id="rId61"/>
    <sheet name="GO-AHEADS (11.17.21)" sheetId="65" r:id="rId62"/>
    <sheet name="GO-AHEADS (12.02.21)" sheetId="66" r:id="rId63"/>
    <sheet name="GO-AHEADS (12.08.21)" sheetId="67" r:id="rId64"/>
    <sheet name="GO-AHEADS (12.15.21)" sheetId="68" r:id="rId65"/>
    <sheet name="GO-AHEADS (01-05-2022)" sheetId="69" r:id="rId66"/>
    <sheet name="GO-AHEADS (01-12-2022)" sheetId="70" r:id="rId67"/>
    <sheet name="GO-AHEADS (01-27-2022)" sheetId="72" r:id="rId68"/>
    <sheet name="GO-AHEADS (02-03-2022)" sheetId="71" r:id="rId69"/>
    <sheet name="GO-AHEADS (02-10-2022)" sheetId="73" r:id="rId70"/>
    <sheet name="GO-AHEADS (02-17-2022)" sheetId="74" r:id="rId71"/>
    <sheet name="GO-AHEADS (02-24-2022)" sheetId="75" r:id="rId72"/>
    <sheet name="GO-AHEADS (03-02-2022)" sheetId="76" r:id="rId73"/>
    <sheet name="GO-AHEADS (03-10-2022)" sheetId="77" r:id="rId74"/>
    <sheet name="GO-AHEADS (03-17-2022)" sheetId="78" r:id="rId75"/>
    <sheet name="GO-AHEADS (03-23-2022)" sheetId="79" r:id="rId76"/>
    <sheet name="GO-AHEADS (03-31-2022)" sheetId="80" r:id="rId77"/>
    <sheet name="GO-AHEADS (04-07-2022)" sheetId="81" r:id="rId78"/>
    <sheet name="GO-AHEADS (04-14-2022" sheetId="82" r:id="rId79"/>
    <sheet name="GO-AHEADS (04-21-2022)" sheetId="83" r:id="rId80"/>
    <sheet name="GO-AHEADS (04-28-2022)" sheetId="84" r:id="rId81"/>
    <sheet name="GO-AHEADS (05-05-2022)" sheetId="85" r:id="rId82"/>
    <sheet name="GO-AHEADS (05-12-2022)" sheetId="86" r:id="rId83"/>
    <sheet name="GO-AHEADS (06-02-2022)" sheetId="87" r:id="rId84"/>
    <sheet name="GO-AHEADS (06-08-2022)" sheetId="88" r:id="rId85"/>
    <sheet name="GO-AHEADS (06-16-2022)" sheetId="89" r:id="rId86"/>
    <sheet name="GO-AHEADS (06-23-2022)" sheetId="90" r:id="rId87"/>
    <sheet name="GO-AHEADS (06-30-2022)" sheetId="91" r:id="rId88"/>
    <sheet name="GO-AHEADS (07-07-2022)" sheetId="92" r:id="rId89"/>
    <sheet name="GO-AHEADS (07-14-2022)" sheetId="93" r:id="rId90"/>
    <sheet name="GO-AHEADS (07-21-2022)" sheetId="94" r:id="rId91"/>
    <sheet name="GO-AHEADS (07-28-2022)" sheetId="95" r:id="rId92"/>
    <sheet name="GO-AHEADS (08-04-2022)" sheetId="96" r:id="rId93"/>
    <sheet name="GO-AHEADS (08-11-2022)" sheetId="98" r:id="rId94"/>
    <sheet name="GO-AHEADS (08-18-2022)" sheetId="101" r:id="rId95"/>
    <sheet name="GO-AHEADS (08-25-2022)" sheetId="103" r:id="rId96"/>
    <sheet name="GO-AHEADS (09-01-2022)" sheetId="104" r:id="rId97"/>
    <sheet name="GO-AHEADS (09-08-2022)" sheetId="105" r:id="rId98"/>
    <sheet name="GO-AHEADS (09-15-2022)" sheetId="106" r:id="rId99"/>
    <sheet name="GO-AHEADS (09-22-2022)" sheetId="107" r:id="rId100"/>
    <sheet name="GO-AHEADS (09-29-2022)" sheetId="109" r:id="rId101"/>
    <sheet name="GO-AHEADS (10-06-2022)" sheetId="110" r:id="rId102"/>
    <sheet name="GO-AHEADS (10-13-2022)" sheetId="111" r:id="rId103"/>
    <sheet name="GO-AHEADS (10-20-2022)" sheetId="112" r:id="rId104"/>
    <sheet name="GO-AHEADS (10-26-2022)" sheetId="113" r:id="rId105"/>
    <sheet name="GO-AHEADS (11-03-2022)" sheetId="114" r:id="rId106"/>
    <sheet name="GO-AHEADS (11-10-2022)" sheetId="115" r:id="rId107"/>
    <sheet name="GO-AHEADS (11-17-2022)" sheetId="116" r:id="rId108"/>
    <sheet name="GO-AHEADS (12-01-2022)" sheetId="117" r:id="rId109"/>
    <sheet name="GO-AHEADS (12-14-2022)" sheetId="118" r:id="rId110"/>
    <sheet name="GO-AHEADS (12-22-2022)" sheetId="119" r:id="rId111"/>
    <sheet name="GO-AHEADS (12-29-2022)" sheetId="120" r:id="rId112"/>
    <sheet name="GO-AHEADS (01-05-2023)" sheetId="121" r:id="rId113"/>
    <sheet name="GO-AHEADS (01-12-2023)" sheetId="122" r:id="rId114"/>
    <sheet name="GO-AHEADS (01-19-2023)" sheetId="123" r:id="rId115"/>
    <sheet name="GO-AHEADS (01-26-2023)" sheetId="124" r:id="rId116"/>
    <sheet name="GO-AHEADS (02-02-2023)" sheetId="125" r:id="rId117"/>
    <sheet name="GO-AHEADS (02-09-2023)" sheetId="126" r:id="rId118"/>
    <sheet name="GO-AHEADS (02-15-2023)" sheetId="127" r:id="rId119"/>
    <sheet name="GO-AHEADS (02-22-2023)" sheetId="128" r:id="rId120"/>
    <sheet name="GO-AHEADS (03-01-2023)" sheetId="129" r:id="rId121"/>
    <sheet name="GO-AHEADS 03-09-2023)" sheetId="130" r:id="rId122"/>
    <sheet name="GO-AHEADS (03-16-2023)" sheetId="131" r:id="rId123"/>
    <sheet name="GO-AHEADS (03-23-2023)" sheetId="132" r:id="rId124"/>
    <sheet name="GO-AHEADS (03-30-2023)" sheetId="133" r:id="rId125"/>
    <sheet name="GO-AHEADS (04-05-2023)" sheetId="134" r:id="rId126"/>
    <sheet name="GO-AHEADS (04-12-2023)" sheetId="135" r:id="rId127"/>
    <sheet name="GO-AHEADS (04-20-2023)" sheetId="136" r:id="rId128"/>
    <sheet name="GO-AHEADS (04-27-2023)" sheetId="137" r:id="rId129"/>
    <sheet name="GO-AHEADS (05-04-2023)" sheetId="138" r:id="rId130"/>
    <sheet name="GO-AHEADS (05-25-2023)" sheetId="139" r:id="rId131"/>
    <sheet name="GO-AHEADS (06-01-2023)" sheetId="140" r:id="rId132"/>
    <sheet name="GO-AHEADS (06-08-2023)" sheetId="141" r:id="rId133"/>
    <sheet name="GO-AHEADS (06-22-2023)" sheetId="142" r:id="rId134"/>
    <sheet name="GO-AHEADS (06-29-2023)" sheetId="143" r:id="rId135"/>
    <sheet name="GO-AHEADS (07-06-2023)" sheetId="144" r:id="rId136"/>
    <sheet name="GO-AHEADS (07-13-2023)" sheetId="145" r:id="rId137"/>
    <sheet name="GO-AHEADS (07-20-2023)" sheetId="146" r:id="rId138"/>
    <sheet name="GO-AHEADS (07-26-2023)" sheetId="149" r:id="rId139"/>
    <sheet name="GO-AHEADS (08-03-2023)" sheetId="150" r:id="rId140"/>
    <sheet name="GO-AHEADS (08-10-2023)" sheetId="151" r:id="rId141"/>
    <sheet name="GO-AHEADS (08-17-2023)" sheetId="152" r:id="rId142"/>
    <sheet name="GO-AHEADS (08-24-2023)" sheetId="153" r:id="rId143"/>
    <sheet name="GO-AHEADS (08-31-2023)" sheetId="154" r:id="rId144"/>
    <sheet name="GO-AHEADS (09-14-2023)" sheetId="155" r:id="rId145"/>
    <sheet name="GO-AHEADS (09-21-2023)" sheetId="156" r:id="rId146"/>
    <sheet name="GO-AHEADS (09-28-2023)" sheetId="157" r:id="rId147"/>
    <sheet name="GO-AHEADS (10-05-2023)" sheetId="159" r:id="rId148"/>
    <sheet name="GO-AHEADS (10-19-2023)" sheetId="160" r:id="rId149"/>
    <sheet name="GO-AHEADS (10-26-2023)" sheetId="161" r:id="rId150"/>
    <sheet name="GO-AHEADS (11-02-2023)" sheetId="162" r:id="rId151"/>
    <sheet name="GO-AHEADS (11-09-2023)" sheetId="163" r:id="rId152"/>
    <sheet name="GO-AHEADS (11-15-2023)" sheetId="164" r:id="rId153"/>
    <sheet name="GO-AHEADS (12-07-2023)" sheetId="166" r:id="rId154"/>
    <sheet name="GO-AHEADS (12-21-2023)" sheetId="165" r:id="rId155"/>
    <sheet name="GO-AHEADS (01-04-2023)" sheetId="167" r:id="rId156"/>
    <sheet name="GO-AHEADS (01-11-2024)" sheetId="168" r:id="rId157"/>
    <sheet name="GO-AHEADS (01-18-2024)" sheetId="169" r:id="rId158"/>
    <sheet name="GO-AHEADS (01-25-2024)" sheetId="170" r:id="rId159"/>
    <sheet name="GO-AHEADS (02-07-2024)" sheetId="171" r:id="rId160"/>
    <sheet name="GO-AHEADS (02-22-2024)" sheetId="172" r:id="rId161"/>
    <sheet name="GO-AHEADS (02-29-2024)" sheetId="173" r:id="rId162"/>
    <sheet name="GO-AHEADS (03-07-2024)" sheetId="174" r:id="rId163"/>
    <sheet name="GO-AHEADS (03-14-2024)" sheetId="175" r:id="rId164"/>
    <sheet name="GO-AHEADS (03-20-2024)" sheetId="176" r:id="rId165"/>
    <sheet name="GO-AHEADS (03-28-2024)" sheetId="177" r:id="rId166"/>
    <sheet name="GO-AHEADS (04-04-2024)" sheetId="178" r:id="rId167"/>
    <sheet name="GO-AHEADS (04-11-2024)" sheetId="179" r:id="rId168"/>
    <sheet name="GO-AHEADS (04-18-2024)" sheetId="180" r:id="rId169"/>
    <sheet name="GO-AHEADS (04-25-2024" sheetId="181" r:id="rId170"/>
    <sheet name="GO-AHEADS (05-02-2024)" sheetId="182" r:id="rId171"/>
    <sheet name="GO-AHEADS (05-09-2024)" sheetId="183" r:id="rId172"/>
    <sheet name="GO-AHEADS (05-16-2024)" sheetId="184" r:id="rId173"/>
    <sheet name="GO-AHEADS (06-06-2024)" sheetId="186" r:id="rId174"/>
    <sheet name="GO-AHEADS (06-13-2024)" sheetId="185" r:id="rId175"/>
    <sheet name="GO-AHEADS (06-" sheetId="187" r:id="rId176"/>
    <sheet name="GO-AHEADS (06-20-2024)" sheetId="188" r:id="rId177"/>
    <sheet name="GO-AHEADS (06-27-2024)" sheetId="189" r:id="rId178"/>
    <sheet name="GO-AHEADS (07-03-2024)" sheetId="190" r:id="rId179"/>
    <sheet name="GO-AHEADS (07-11-2024)" sheetId="191" r:id="rId180"/>
    <sheet name="GO-AHEADS (07-18-2024)" sheetId="192" r:id="rId181"/>
    <sheet name="GO-AHEADS (07-25-2024)" sheetId="194" r:id="rId182"/>
    <sheet name="GO-AHEADS (08-01-2024)" sheetId="195" r:id="rId183"/>
    <sheet name="GO-AHEADS (08-08-2024)" sheetId="196" r:id="rId184"/>
    <sheet name="GO-AHEADS (08-15-2024)" sheetId="197" r:id="rId185"/>
    <sheet name="GO-AHEADS (08-22-2024)" sheetId="198" r:id="rId186"/>
    <sheet name="GO-AHEADS (08-29-2024)" sheetId="199" r:id="rId187"/>
    <sheet name="GO-AHEADS (09-05-2024)" sheetId="200" r:id="rId188"/>
    <sheet name="GO-AHEADS (09-12-2024)" sheetId="201" r:id="rId189"/>
    <sheet name="GO-AHEADS (09-19-2024)" sheetId="202" r:id="rId190"/>
    <sheet name="GO-AHEADS (09-26-2024)" sheetId="203" r:id="rId191"/>
    <sheet name="GO-AHEADS (10-03-2024)" sheetId="204" r:id="rId192"/>
    <sheet name="GO-AHEADS (10-17-2024)" sheetId="205" r:id="rId193"/>
    <sheet name="GO-AHEADS (10-24-2024" sheetId="206" r:id="rId194"/>
    <sheet name="GO-AHEADS (10-31-2024" sheetId="207" r:id="rId195"/>
    <sheet name="GO-AHEADS (11-07-2024" sheetId="208" r:id="rId196"/>
    <sheet name="GO-AHEADS (11-14-2024)" sheetId="209" r:id="rId197"/>
    <sheet name="GO-AHEADS (11-21-2024)" sheetId="210" r:id="rId198"/>
    <sheet name="GO-AHEADS (12-05-2024)" sheetId="211" r:id="rId199"/>
    <sheet name="GO-AHEADS (12-12-2024)" sheetId="213" r:id="rId200"/>
    <sheet name="GO-AHEADS (01-09-2025)" sheetId="214" r:id="rId201"/>
    <sheet name="GO-AHEADS (01-16-2025)" sheetId="215" r:id="rId202"/>
    <sheet name="GO-AHEADS (01-25-2025)" sheetId="216" r:id="rId203"/>
    <sheet name="GO-AHEADS (01-30-2025)" sheetId="217" r:id="rId204"/>
    <sheet name="GO-AHEADS (02-06-2025)" sheetId="218" r:id="rId205"/>
    <sheet name="GO-AHEADS (02-13-2025)" sheetId="219" r:id="rId206"/>
    <sheet name="GO-AHEADS (02-20-2025)" sheetId="220" r:id="rId207"/>
    <sheet name="GO-AHEADS (02-27-2025)" sheetId="221" r:id="rId208"/>
    <sheet name="GO-AHEADS (03-06-2025)" sheetId="222" r:id="rId209"/>
    <sheet name="GO-AHEADS (03-13-2025)" sheetId="223" r:id="rId210"/>
    <sheet name="GO-AHEADS (03-20-2025)" sheetId="225" r:id="rId211"/>
    <sheet name="GO-AHEADS (03-27-2025)" sheetId="226" r:id="rId212"/>
    <sheet name="GO-AHEADS (04-03-2025)" sheetId="228" r:id="rId213"/>
    <sheet name="GO-AHEADS (04-10-2025)" sheetId="230" r:id="rId214"/>
    <sheet name="GO-AHEADS (04-17-2025)" sheetId="231" r:id="rId215"/>
    <sheet name="GO-AHEADS (04-24-2025)" sheetId="232" r:id="rId216"/>
    <sheet name="GO-AHEADS (05-01-2025)" sheetId="233" r:id="rId217"/>
    <sheet name="GO-AHEADS (05-08-2025)" sheetId="234" r:id="rId218"/>
    <sheet name="GO-AHEADS (05-15-2025)" sheetId="235" r:id="rId219"/>
    <sheet name="GO-AHEADS (05-22-2025)" sheetId="237" r:id="rId220"/>
    <sheet name="GO-AHEADS (05-29-2025)" sheetId="238" r:id="rId221"/>
    <sheet name="GO-AHEADS (06-05-2025)" sheetId="239" r:id="rId222"/>
    <sheet name="GO-AHEADS (06-12-2025)" sheetId="240" r:id="rId223"/>
    <sheet name="GO-AHEADS (06-19-2025)" sheetId="241" r:id="rId224"/>
    <sheet name="GO-AHEADS (06-26-2025)" sheetId="242" r:id="rId225"/>
    <sheet name="GO-AHEADS (07-02-2025)" sheetId="243" r:id="rId226"/>
    <sheet name="GO-AHEADS (07-10-2025)" sheetId="244" r:id="rId227"/>
    <sheet name="GO-AHEADS (07-17-2025)" sheetId="245" r:id="rId228"/>
    <sheet name="GO-AHEADS (07-24-2025)" sheetId="246" r:id="rId229"/>
    <sheet name="GO-AHEADS (07-31-2025)" sheetId="247" r:id="rId230"/>
    <sheet name="GO-AHEADS (08-07-2025)" sheetId="248" r:id="rId231"/>
    <sheet name="GO-AHEADS (08-14-2025)" sheetId="249" r:id="rId232"/>
    <sheet name="GO-AHEADS (08-21-2025)" sheetId="250" r:id="rId233"/>
    <sheet name="GO-AHEADS (08-28-2025)" sheetId="251" r:id="rId234"/>
    <sheet name="GO-AHEADS (09-04-2025)" sheetId="252" r:id="rId235"/>
    <sheet name="GO-AHEADS (09-11-2025)" sheetId="253" r:id="rId236"/>
    <sheet name="GO-AHEADS (09-18-2025)" sheetId="254" r:id="rId237"/>
    <sheet name="GO-AHEADS (09-25-2025)" sheetId="255" r:id="rId238"/>
    <sheet name="GO-AHEADS (10-02-2025)" sheetId="256" r:id="rId239"/>
    <sheet name="GO-AHEADS (10-16-2025)" sheetId="257" r:id="rId240"/>
    <sheet name="GO-AHEADS (10-23-2025)" sheetId="258" r:id="rId241"/>
    <sheet name="GO-AHEADS (10-30-2025)" sheetId="259" r:id="rId242"/>
    <sheet name="GO-AHEADS (11-13-2025)" sheetId="260" r:id="rId243"/>
    <sheet name="GO-AHEADS (12-04-2025)" sheetId="261" r:id="rId244"/>
    <sheet name="GO-AHEADS (12-11-2025)" sheetId="262" r:id="rId245"/>
    <sheet name="GO-AHEADS (12-18-2025)" sheetId="263" r:id="rId246"/>
    <sheet name="GO-AHEADS (01.08.2026)" sheetId="264" r:id="rId247"/>
    <sheet name="GO-AHEADS (01.15.2026)" sheetId="265" r:id="rId248"/>
    <sheet name="GO-AHEADS (01.22.2026)" sheetId="266" r:id="rId249"/>
    <sheet name="GO-AHEADS (02.05.2026)" sheetId="267" r:id="rId250"/>
    <sheet name="GO-AHEADS (02.12.2026)" sheetId="268" r:id="rId251"/>
    <sheet name="GO-AHEADS (02.19.2026)" sheetId="269" r:id="rId252"/>
    <sheet name="GO-AHEADS (02.26.2026)" sheetId="270" r:id="rId253"/>
    <sheet name="GO-AHEADS (03.05.2026)" sheetId="271" r:id="rId254"/>
    <sheet name="GO-AHEADS (03.12.2026)" sheetId="272" r:id="rId255"/>
    <sheet name="GO-AHEADS (03.19.2026)" sheetId="273" r:id="rId256"/>
    <sheet name="GO-AHEADS (03.26.2026)" sheetId="274" r:id="rId257"/>
    <sheet name="GO-AHEADS (04.02.2026)" sheetId="275" r:id="rId258"/>
    <sheet name="GO-AHEADS (04.16.2026)" sheetId="276" r:id="rId259"/>
    <sheet name="GO-AHEADS (04.22.2026)" sheetId="277" r:id="rId260"/>
    <sheet name="GO-AHEADS (04.29.2026)" sheetId="278" r:id="rId261"/>
    <sheet name="GO-AHEADS (05.06.2026)" sheetId="279" r:id="rId262"/>
    <sheet name="GO-AHEADS (05.13.2026)" sheetId="280" r:id="rId263"/>
    <sheet name="GO-AHEADS (05.20.2026)" sheetId="281" r:id="rId264"/>
    <sheet name="GO-AHEADS (05.27.2026)" sheetId="282" r:id="rId265"/>
    <sheet name="GO-AHEADS (06.03.2026)" sheetId="283" r:id="rId266"/>
    <sheet name="GO-AHEADS (06.10.2026)" sheetId="284" r:id="rId267"/>
    <sheet name="GO-AHEADS (06.24.2026)" sheetId="285" r:id="rId268"/>
    <sheet name="GO-AHEADS (07.1.2026)" sheetId="286" r:id="rId269"/>
    <sheet name="GO-AHEADS (07.8.2026)" sheetId="287" r:id="rId270"/>
    <sheet name="GO-AHEADS (07.15.2026)" sheetId="288" r:id="rId271"/>
    <sheet name="GO-AHEADS (07.22.2026)" sheetId="289" r:id="rId272"/>
    <sheet name="Data" sheetId="229" r:id="rId273"/>
  </sheets>
  <definedNames>
    <definedName name="_xlnm._FilterDatabase" localSheetId="272" hidden="1">Data!$A$1:$J$1</definedName>
    <definedName name="_xlnm._FilterDatabase" localSheetId="259" hidden="1">'GO-AHEADS (04.22.2026)'!$A$1:$D$1</definedName>
    <definedName name="_xlnm._FilterDatabase" localSheetId="260" hidden="1">'GO-AHEADS (04.29.2026)'!$A$1:$D$1</definedName>
    <definedName name="_xlnm._FilterDatabase" localSheetId="261" hidden="1">'GO-AHEADS (05.06.2026)'!$A$1:$D$1</definedName>
    <definedName name="_xlnm._FilterDatabase" localSheetId="262" hidden="1">'GO-AHEADS (05.13.2026)'!$A$1:$D$1</definedName>
    <definedName name="_xlnm._FilterDatabase" localSheetId="263" hidden="1">'GO-AHEADS (05.20.2026)'!$A$1:$D$1</definedName>
    <definedName name="_xlnm._FilterDatabase" localSheetId="264" hidden="1">'GO-AHEADS (05.27.2026)'!$A$1:$D$1</definedName>
    <definedName name="_xlnm._FilterDatabase" localSheetId="265" hidden="1">'GO-AHEADS (06.03.2026)'!$A$1:$D$1</definedName>
    <definedName name="_xlnm._FilterDatabase" localSheetId="266" hidden="1">'GO-AHEADS (06.10.2026)'!$A$1:$D$1</definedName>
    <definedName name="_xlnm._FilterDatabase" localSheetId="267" hidden="1">'GO-AHEADS (06.24.2026)'!$A$1:$D$1</definedName>
    <definedName name="_xlnm._FilterDatabase" localSheetId="268" hidden="1">'GO-AHEADS (07.1.2026)'!$A$1:$D$1</definedName>
    <definedName name="_xlnm._FilterDatabase" localSheetId="270" hidden="1">'GO-AHEADS (07.15.2026)'!$A$1:$D$1</definedName>
    <definedName name="_xlnm._FilterDatabase" localSheetId="271" hidden="1">'GO-AHEADS (07.22.2026)'!$A$1:$D$1</definedName>
    <definedName name="_xlnm._FilterDatabase" localSheetId="269" hidden="1">'GO-AHEADS (07.8.2026)'!$A$1:$D$1</definedName>
    <definedName name="_xlnm.Print_Area" localSheetId="246">'GO-AHEADS (01.08.2026)'!$A$1:$D$94</definedName>
    <definedName name="_xlnm.Print_Area" localSheetId="247">'GO-AHEADS (01.15.2026)'!$A$1:$D$94</definedName>
    <definedName name="_xlnm.Print_Area" localSheetId="248">'GO-AHEADS (01.22.2026)'!$A$1:$D$94</definedName>
    <definedName name="_xlnm.Print_Area" localSheetId="155">'GO-AHEADS (01-04-2023)'!$A$1:$D$7</definedName>
    <definedName name="_xlnm.Print_Area" localSheetId="65">'GO-AHEADS (01-05-2022)'!$A$1:$D$19</definedName>
    <definedName name="_xlnm.Print_Area" localSheetId="112">'GO-AHEADS (01-05-2023)'!$A$1:$D$35</definedName>
    <definedName name="_xlnm.Print_Area" localSheetId="200">'GO-AHEADS (01-09-2025)'!$A$1:$D$92</definedName>
    <definedName name="_xlnm.Print_Area" localSheetId="156">'GO-AHEADS (01-11-2024)'!$A$1:$D$22</definedName>
    <definedName name="_xlnm.Print_Area" localSheetId="66">'GO-AHEADS (01-12-2022)'!$A$1:$D$10</definedName>
    <definedName name="_xlnm.Print_Area" localSheetId="113">'GO-AHEADS (01-12-2023)'!$A$1:$D$42</definedName>
    <definedName name="_xlnm.Print_Area" localSheetId="201">'GO-AHEADS (01-16-2025)'!$A$1:$D$92</definedName>
    <definedName name="_xlnm.Print_Area" localSheetId="157">'GO-AHEADS (01-18-2024)'!$A$1:$D$13</definedName>
    <definedName name="_xlnm.Print_Area" localSheetId="114">'GO-AHEADS (01-19-2023)'!$A$1:$D$38</definedName>
    <definedName name="_xlnm.Print_Area" localSheetId="158">'GO-AHEADS (01-25-2024)'!$A$1:$D$9</definedName>
    <definedName name="_xlnm.Print_Area" localSheetId="202">'GO-AHEADS (01-25-2025)'!$A$1:$D$92</definedName>
    <definedName name="_xlnm.Print_Area" localSheetId="115">'GO-AHEADS (01-26-2023)'!$A$1:$D$31</definedName>
    <definedName name="_xlnm.Print_Area" localSheetId="67">'GO-AHEADS (01-27-2022)'!$A$1:$D$9</definedName>
    <definedName name="_xlnm.Print_Area" localSheetId="203">'GO-AHEADS (01-30-2025)'!$A$1:$D$92</definedName>
    <definedName name="_xlnm.Print_Area" localSheetId="249">'GO-AHEADS (02.05.2026)'!$A$1:$D$94</definedName>
    <definedName name="_xlnm.Print_Area" localSheetId="250">'GO-AHEADS (02.12.2026)'!$A$1:$D$94</definedName>
    <definedName name="_xlnm.Print_Area" localSheetId="251">'GO-AHEADS (02.19.2026)'!$A$1:$D$94</definedName>
    <definedName name="_xlnm.Print_Area" localSheetId="252">'GO-AHEADS (02.26.2026)'!$A$1:$D$94</definedName>
    <definedName name="_xlnm.Print_Area" localSheetId="116">'GO-AHEADS (02-02-2023)'!$A$1:$D$35</definedName>
    <definedName name="_xlnm.Print_Area" localSheetId="68">'GO-AHEADS (02-03-2022)'!$A$1:$D$13</definedName>
    <definedName name="_xlnm.Print_Area" localSheetId="204">'GO-AHEADS (02-06-2025)'!$A$1:$D$92</definedName>
    <definedName name="_xlnm.Print_Area" localSheetId="159">'GO-AHEADS (02-07-2024)'!$A$1:$D$11</definedName>
    <definedName name="_xlnm.Print_Area" localSheetId="117">'GO-AHEADS (02-09-2023)'!$A$1:$D$17</definedName>
    <definedName name="_xlnm.Print_Area" localSheetId="69">'GO-AHEADS (02-10-2022)'!$A$1:$D$13</definedName>
    <definedName name="_xlnm.Print_Area" localSheetId="205">'GO-AHEADS (02-13-2025)'!$A$1:$D$92</definedName>
    <definedName name="_xlnm.Print_Area" localSheetId="118">'GO-AHEADS (02-15-2023)'!$A$1:$D$39</definedName>
    <definedName name="_xlnm.Print_Area" localSheetId="70">'GO-AHEADS (02-17-2022)'!$A$1:$D$26</definedName>
    <definedName name="_xlnm.Print_Area" localSheetId="206">'GO-AHEADS (02-20-2025)'!$A$1:$D$92</definedName>
    <definedName name="_xlnm.Print_Area" localSheetId="119">'GO-AHEADS (02-22-2023)'!$A$1:$D$40</definedName>
    <definedName name="_xlnm.Print_Area" localSheetId="160">'GO-AHEADS (02-22-2024)'!$A$1:$D$7</definedName>
    <definedName name="_xlnm.Print_Area" localSheetId="71">'GO-AHEADS (02-24-2022)'!$A$1:$D$19</definedName>
    <definedName name="_xlnm.Print_Area" localSheetId="207">'GO-AHEADS (02-27-2025)'!$A$1:$D$94</definedName>
    <definedName name="_xlnm.Print_Area" localSheetId="161">'GO-AHEADS (02-29-2024)'!$A$1:$D$8</definedName>
    <definedName name="_xlnm.Print_Area" localSheetId="253">'GO-AHEADS (03.05.2026)'!$A$1:$D$94</definedName>
    <definedName name="_xlnm.Print_Area" localSheetId="254">'GO-AHEADS (03.12.2026)'!$A$1:$D$94</definedName>
    <definedName name="_xlnm.Print_Area" localSheetId="255">'GO-AHEADS (03.19.2026)'!$A$1:$D$94</definedName>
    <definedName name="_xlnm.Print_Area" localSheetId="256">'GO-AHEADS (03.26.2026)'!$A$1:$D$94</definedName>
    <definedName name="_xlnm.Print_Area" localSheetId="120">'GO-AHEADS (03-01-2023)'!$A$1:$D$12</definedName>
    <definedName name="_xlnm.Print_Area" localSheetId="72">'GO-AHEADS (03-02-2022)'!$A$1:$D$10</definedName>
    <definedName name="_xlnm.Print_Area" localSheetId="208">'GO-AHEADS (03-06-2025)'!$A$1:$D$94</definedName>
    <definedName name="_xlnm.Print_Area" localSheetId="162">'GO-AHEADS (03-07-2024)'!$A$1:$D$18</definedName>
    <definedName name="_xlnm.Print_Area" localSheetId="73">'GO-AHEADS (03-10-2022)'!$A$1:$D$12</definedName>
    <definedName name="_xlnm.Print_Area" localSheetId="209">'GO-AHEADS (03-13-2025)'!$A$1:$D$94</definedName>
    <definedName name="_xlnm.Print_Area" localSheetId="163">'GO-AHEADS (03-14-2024)'!$A$1:$D$6</definedName>
    <definedName name="_xlnm.Print_Area" localSheetId="122">'GO-AHEADS (03-16-2023)'!$A$1:$D$27</definedName>
    <definedName name="_xlnm.Print_Area" localSheetId="74">'GO-AHEADS (03-17-2022)'!$A$1:$D$16</definedName>
    <definedName name="_xlnm.Print_Area" localSheetId="164">'GO-AHEADS (03-20-2024)'!$A$1:$D$19</definedName>
    <definedName name="_xlnm.Print_Area" localSheetId="210">'GO-AHEADS (03-20-2025)'!$A$1:$D$94</definedName>
    <definedName name="_xlnm.Print_Area" localSheetId="75">'GO-AHEADS (03-23-2022)'!$A$1:$D$11</definedName>
    <definedName name="_xlnm.Print_Area" localSheetId="123">'GO-AHEADS (03-23-2023)'!$A$1:$D$38</definedName>
    <definedName name="_xlnm.Print_Area" localSheetId="211">'GO-AHEADS (03-27-2025)'!$A$1:$D$94</definedName>
    <definedName name="_xlnm.Print_Area" localSheetId="165">'GO-AHEADS (03-28-2024)'!$A$1:$D$4</definedName>
    <definedName name="_xlnm.Print_Area" localSheetId="124">'GO-AHEADS (03-30-2023)'!$A$1:$D$21</definedName>
    <definedName name="_xlnm.Print_Area" localSheetId="76">'GO-AHEADS (03-31-2022)'!$A$1:$D$13</definedName>
    <definedName name="_xlnm.Print_Area" localSheetId="257">'GO-AHEADS (04.02.2026)'!$A$1:$D$91</definedName>
    <definedName name="_xlnm.Print_Area" localSheetId="258">'GO-AHEADS (04.16.2026)'!$A$1:$D$91</definedName>
    <definedName name="_xlnm.Print_Area" localSheetId="259">'GO-AHEADS (04.22.2026)'!$A$1:$D$94</definedName>
    <definedName name="_xlnm.Print_Area" localSheetId="260">'GO-AHEADS (04.29.2026)'!$A$1:$D$94</definedName>
    <definedName name="_xlnm.Print_Area" localSheetId="212">'GO-AHEADS (04-03-2025)'!$A$1:$D$94</definedName>
    <definedName name="_xlnm.Print_Area" localSheetId="166">'GO-AHEADS (04-04-2024)'!$A$1:$D$15</definedName>
    <definedName name="_xlnm.Print_Area" localSheetId="125">'GO-AHEADS (04-05-2023)'!$A$1:$D$21</definedName>
    <definedName name="_xlnm.Print_Area" localSheetId="77">'GO-AHEADS (04-07-2022)'!$A$1:$D$12</definedName>
    <definedName name="_xlnm.Print_Area" localSheetId="213">'GO-AHEADS (04-10-2025)'!$A$1:$D$94</definedName>
    <definedName name="_xlnm.Print_Area" localSheetId="167">'GO-AHEADS (04-11-2024)'!$A$1:$D$10</definedName>
    <definedName name="_xlnm.Print_Area" localSheetId="126">'GO-AHEADS (04-12-2023)'!$A$1:$D$25</definedName>
    <definedName name="_xlnm.Print_Area" localSheetId="78">'GO-AHEADS (04-14-2022'!$A$1:$D$11</definedName>
    <definedName name="_xlnm.Print_Area" localSheetId="214">'GO-AHEADS (04-17-2025)'!$A$1:$D$94</definedName>
    <definedName name="_xlnm.Print_Area" localSheetId="168">'GO-AHEADS (04-18-2024)'!$A$1:$D$4</definedName>
    <definedName name="_xlnm.Print_Area" localSheetId="127">'GO-AHEADS (04-20-2023)'!$A$1:$D$69</definedName>
    <definedName name="_xlnm.Print_Area" localSheetId="79">'GO-AHEADS (04-21-2022)'!$A$1:$D$15</definedName>
    <definedName name="_xlnm.Print_Area" localSheetId="215">'GO-AHEADS (04-24-2025)'!$A$1:$D$94</definedName>
    <definedName name="_xlnm.Print_Area" localSheetId="169">'GO-AHEADS (04-25-2024'!$A$1:$D$40</definedName>
    <definedName name="_xlnm.Print_Area" localSheetId="128">'GO-AHEADS (04-27-2023)'!$A$1:$D$49</definedName>
    <definedName name="_xlnm.Print_Area" localSheetId="80">'GO-AHEADS (04-28-2022)'!$A$1:$D$18</definedName>
    <definedName name="_xlnm.Print_Area" localSheetId="261">'GO-AHEADS (05.06.2026)'!$A$1:$D$94</definedName>
    <definedName name="_xlnm.Print_Area" localSheetId="262">'GO-AHEADS (05.13.2026)'!$A$1:$D$94</definedName>
    <definedName name="_xlnm.Print_Area" localSheetId="263">'GO-AHEADS (05.20.2026)'!$A$1:$D$94</definedName>
    <definedName name="_xlnm.Print_Area" localSheetId="264">'GO-AHEADS (05.27.2026)'!$A$1:$D$94</definedName>
    <definedName name="_xlnm.Print_Area" localSheetId="216">'GO-AHEADS (05-01-2025)'!$A$1:$D$94</definedName>
    <definedName name="_xlnm.Print_Area" localSheetId="170">'GO-AHEADS (05-02-2024)'!$A$1:$D$40</definedName>
    <definedName name="_xlnm.Print_Area" localSheetId="129">'GO-AHEADS (05-04-2023)'!$A$1:$D$63</definedName>
    <definedName name="_xlnm.Print_Area" localSheetId="81">'GO-AHEADS (05-05-2022)'!$A$1:$D$10</definedName>
    <definedName name="_xlnm.Print_Area" localSheetId="217">'GO-AHEADS (05-08-2025)'!$A$1:$D$94</definedName>
    <definedName name="_xlnm.Print_Area" localSheetId="171">'GO-AHEADS (05-09-2024)'!$A$1:$D$15</definedName>
    <definedName name="_xlnm.Print_Area" localSheetId="82">'GO-AHEADS (05-12-2022)'!$A$1:$D$10</definedName>
    <definedName name="_xlnm.Print_Area" localSheetId="218">'GO-AHEADS (05-15-2025)'!$A$1:$D$94</definedName>
    <definedName name="_xlnm.Print_Area" localSheetId="172">'GO-AHEADS (05-16-2024)'!$A$1:$D$40</definedName>
    <definedName name="_xlnm.Print_Area" localSheetId="219">'GO-AHEADS (05-22-2025)'!$A$1:$D$94</definedName>
    <definedName name="_xlnm.Print_Area" localSheetId="130">'GO-AHEADS (05-25-2023)'!$A$1:$D$49</definedName>
    <definedName name="_xlnm.Print_Area" localSheetId="220">'GO-AHEADS (05-29-2025)'!$A$1:$D$94</definedName>
    <definedName name="_xlnm.Print_Area" localSheetId="175">'GO-AHEADS (06-'!$A$1:$D$40</definedName>
    <definedName name="_xlnm.Print_Area" localSheetId="265">'GO-AHEADS (06.03.2026)'!$A$1:$D$94</definedName>
    <definedName name="_xlnm.Print_Area" localSheetId="266">'GO-AHEADS (06.10.2026)'!$A$1:$D$94</definedName>
    <definedName name="_xlnm.Print_Area" localSheetId="267">'GO-AHEADS (06.24.2026)'!$A$1:$D$94</definedName>
    <definedName name="_xlnm.Print_Area" localSheetId="131">'GO-AHEADS (06-01-2023)'!$A$1:$D$66</definedName>
    <definedName name="_xlnm.Print_Area" localSheetId="83">'GO-AHEADS (06-02-2022)'!$A$1:$D$14</definedName>
    <definedName name="_xlnm.Print_Area" localSheetId="221">'GO-AHEADS (06-05-2025)'!$A$1:$D$94</definedName>
    <definedName name="_xlnm.Print_Area" localSheetId="173">'GO-AHEADS (06-06-2024)'!$A$1:$D$33</definedName>
    <definedName name="_xlnm.Print_Area" localSheetId="84">'GO-AHEADS (06-08-2022)'!$A$1:$D$14</definedName>
    <definedName name="_xlnm.Print_Area" localSheetId="132">'GO-AHEADS (06-08-2023)'!$A$1:$D$20</definedName>
    <definedName name="_xlnm.Print_Area" localSheetId="222">'GO-AHEADS (06-12-2025)'!$A$1:$D$94</definedName>
    <definedName name="_xlnm.Print_Area" localSheetId="174">'GO-AHEADS (06-13-2024)'!$A$1:$D$40</definedName>
    <definedName name="_xlnm.Print_Area" localSheetId="85">'GO-AHEADS (06-16-2022)'!$A$1:$D$16</definedName>
    <definedName name="_xlnm.Print_Area" localSheetId="223">'GO-AHEADS (06-19-2025)'!$A$1:$D$94</definedName>
    <definedName name="_xlnm.Print_Area" localSheetId="176">'GO-AHEADS (06-20-2024)'!$A$1:$D$40</definedName>
    <definedName name="_xlnm.Print_Area" localSheetId="133">'GO-AHEADS (06-22-2023)'!$A$1:$D$17</definedName>
    <definedName name="_xlnm.Print_Area" localSheetId="86">'GO-AHEADS (06-23-2022)'!$A$1:$D$16</definedName>
    <definedName name="_xlnm.Print_Area" localSheetId="224">'GO-AHEADS (06-26-2025)'!$A$1:$D$94</definedName>
    <definedName name="_xlnm.Print_Area" localSheetId="177">'GO-AHEADS (06-27-2024)'!$A$1:$D$40</definedName>
    <definedName name="_xlnm.Print_Area" localSheetId="134">'GO-AHEADS (06-29-2023)'!$A$1:$D$32</definedName>
    <definedName name="_xlnm.Print_Area" localSheetId="87">'GO-AHEADS (06-30-2022)'!$A$1:$D$15</definedName>
    <definedName name="_xlnm.Print_Area" localSheetId="268">'GO-AHEADS (07.1.2026)'!$A$1:$D$94</definedName>
    <definedName name="_xlnm.Print_Area" localSheetId="270">'GO-AHEADS (07.15.2026)'!$A$1:$D$94</definedName>
    <definedName name="_xlnm.Print_Area" localSheetId="271">'GO-AHEADS (07.22.2026)'!$A$1:$D$94</definedName>
    <definedName name="_xlnm.Print_Area" localSheetId="269">'GO-AHEADS (07.8.2026)'!$A$1:$D$94</definedName>
    <definedName name="_xlnm.Print_Area" localSheetId="225">'GO-AHEADS (07-02-2025)'!$A$1:$D$94</definedName>
    <definedName name="_xlnm.Print_Area" localSheetId="178">'GO-AHEADS (07-03-2024)'!$A$1:$D$40</definedName>
    <definedName name="_xlnm.Print_Area" localSheetId="135">'GO-AHEADS (07-06-2023)'!$A$1:$D$39</definedName>
    <definedName name="_xlnm.Print_Area" localSheetId="88">'GO-AHEADS (07-07-2022)'!$A$1:$D$22</definedName>
    <definedName name="_xlnm.Print_Area" localSheetId="226">'GO-AHEADS (07-10-2025)'!$A$1:$D$94</definedName>
    <definedName name="_xlnm.Print_Area" localSheetId="179">'GO-AHEADS (07-11-2024)'!$A$1:$D$40</definedName>
    <definedName name="_xlnm.Print_Area" localSheetId="136">'GO-AHEADS (07-13-2023)'!$A$1:$D$42</definedName>
    <definedName name="_xlnm.Print_Area" localSheetId="89">'GO-AHEADS (07-14-2022)'!$A$1:$D$20</definedName>
    <definedName name="_xlnm.Print_Area" localSheetId="227">'GO-AHEADS (07-17-2025)'!$A$1:$D$94</definedName>
    <definedName name="_xlnm.Print_Area" localSheetId="180">'GO-AHEADS (07-18-2024)'!$A$1:$D$30</definedName>
    <definedName name="_xlnm.Print_Area" localSheetId="137">'GO-AHEADS (07-20-2023)'!$A$1:$D$76</definedName>
    <definedName name="_xlnm.Print_Area" localSheetId="90">'GO-AHEADS (07-21-2022)'!$A$1:$D$22</definedName>
    <definedName name="_xlnm.Print_Area" localSheetId="228">'GO-AHEADS (07-24-2025)'!$A$1:$D$94</definedName>
    <definedName name="_xlnm.Print_Area" localSheetId="181">'GO-AHEADS (07-25-2024)'!$A$1:$D$40</definedName>
    <definedName name="_xlnm.Print_Area" localSheetId="138">'GO-AHEADS (07-26-2023)'!$A$1:$D$64</definedName>
    <definedName name="_xlnm.Print_Area" localSheetId="91">'GO-AHEADS (07-28-2022)'!$A$1:$D$36</definedName>
    <definedName name="_xlnm.Print_Area" localSheetId="229">'GO-AHEADS (07-31-2025)'!$A$1:$D$94</definedName>
    <definedName name="_xlnm.Print_Area" localSheetId="182">'GO-AHEADS (08-01-2024)'!$A$1:$D$92</definedName>
    <definedName name="_xlnm.Print_Area" localSheetId="139">'GO-AHEADS (08-03-2023)'!$A$1:$D$18</definedName>
    <definedName name="_xlnm.Print_Area" localSheetId="48">'GO-AHEADS (08-04-2021)'!$A$1:$D$23</definedName>
    <definedName name="_xlnm.Print_Area" localSheetId="92">'GO-AHEADS (08-04-2022)'!$A$1:$D$28</definedName>
    <definedName name="_xlnm.Print_Area" localSheetId="230">'GO-AHEADS (08-07-2025)'!$A$1:$D$94</definedName>
    <definedName name="_xlnm.Print_Area" localSheetId="183">'GO-AHEADS (08-08-2024)'!$A$1:$D$92</definedName>
    <definedName name="_xlnm.Print_Area" localSheetId="140">'GO-AHEADS (08-10-2023)'!$A$1:$D$29</definedName>
    <definedName name="_xlnm.Print_Area" localSheetId="93">'GO-AHEADS (08-11-2022)'!$A$1:$D$42</definedName>
    <definedName name="_xlnm.Print_Area" localSheetId="49">'GO-AHEADS (08-12-2021)'!$A$1:$D$20</definedName>
    <definedName name="_xlnm.Print_Area" localSheetId="231">'GO-AHEADS (08-14-2025)'!$A$1:$D$94</definedName>
    <definedName name="_xlnm.Print_Area" localSheetId="184">'GO-AHEADS (08-15-2024)'!$A$1:$D$92</definedName>
    <definedName name="_xlnm.Print_Area" localSheetId="141">'GO-AHEADS (08-17-2023)'!$A$1:$D$21</definedName>
    <definedName name="_xlnm.Print_Area" localSheetId="94">'GO-AHEADS (08-18-2022)'!$A$1:$D$34</definedName>
    <definedName name="_xlnm.Print_Area" localSheetId="232">'GO-AHEADS (08-21-2025)'!$A$1:$D$94</definedName>
    <definedName name="_xlnm.Print_Area" localSheetId="185">'GO-AHEADS (08-22-2024)'!$A$1:$D$92</definedName>
    <definedName name="_xlnm.Print_Area" localSheetId="142">'GO-AHEADS (08-24-2023)'!$A$1:$D$24</definedName>
    <definedName name="_xlnm.Print_Area" localSheetId="95">'GO-AHEADS (08-25-2022)'!$A$1:$D$12</definedName>
    <definedName name="_xlnm.Print_Area" localSheetId="233">'GO-AHEADS (08-28-2025)'!$A$1:$D$94</definedName>
    <definedName name="_xlnm.Print_Area" localSheetId="186">'GO-AHEADS (08-29-2024)'!$A$1:$D$92</definedName>
    <definedName name="_xlnm.Print_Area" localSheetId="143">'GO-AHEADS (08-31-2023)'!$A$1:$D$46</definedName>
    <definedName name="_xlnm.Print_Area" localSheetId="50">'GO-AHEADS (09-01-2021)'!$A$1:$D$21</definedName>
    <definedName name="_xlnm.Print_Area" localSheetId="96">'GO-AHEADS (09-01-2022)'!$A$1:$D$8</definedName>
    <definedName name="_xlnm.Print_Area" localSheetId="234">'GO-AHEADS (09-04-2025)'!$A$1:$D$94</definedName>
    <definedName name="_xlnm.Print_Area" localSheetId="187">'GO-AHEADS (09-05-2024)'!$A$1:$D$92</definedName>
    <definedName name="_xlnm.Print_Area" localSheetId="97">'GO-AHEADS (09-08-2022)'!$A$1:$D$10</definedName>
    <definedName name="_xlnm.Print_Area" localSheetId="51">'GO-AHEADS (09-09-2021)'!$A$1:$D$32</definedName>
    <definedName name="_xlnm.Print_Area" localSheetId="235">'GO-AHEADS (09-11-2025)'!$A$1:$D$94</definedName>
    <definedName name="_xlnm.Print_Area" localSheetId="188">'GO-AHEADS (09-12-2024)'!$A$1:$D$92</definedName>
    <definedName name="_xlnm.Print_Area" localSheetId="144">'GO-AHEADS (09-14-2023)'!$A$1:$D$54</definedName>
    <definedName name="_xlnm.Print_Area" localSheetId="52">'GO-AHEADS (09-15-2021)'!$A$1:$D$14</definedName>
    <definedName name="_xlnm.Print_Area" localSheetId="98">'GO-AHEADS (09-15-2022)'!$A$1:$D$17</definedName>
    <definedName name="_xlnm.Print_Area" localSheetId="236">'GO-AHEADS (09-18-2025)'!$A$1:$D$94</definedName>
    <definedName name="_xlnm.Print_Area" localSheetId="189">'GO-AHEADS (09-19-2024)'!$A$1:$D$92</definedName>
    <definedName name="_xlnm.Print_Area" localSheetId="145">'GO-AHEADS (09-21-2023)'!$A$1:$D$23</definedName>
    <definedName name="_xlnm.Print_Area" localSheetId="53">'GO-AHEADS (09-22-2021)'!$A$1:$D$20</definedName>
    <definedName name="_xlnm.Print_Area" localSheetId="99">'GO-AHEADS (09-22-2022)'!$A$1:$D$28</definedName>
    <definedName name="_xlnm.Print_Area" localSheetId="237">'GO-AHEADS (09-25-2025)'!$A$1:$D$94</definedName>
    <definedName name="_xlnm.Print_Area" localSheetId="190">'GO-AHEADS (09-26-2024)'!$A$1:$D$92</definedName>
    <definedName name="_xlnm.Print_Area" localSheetId="146">'GO-AHEADS (09-28-2023)'!$A$1:$D$37</definedName>
    <definedName name="_xlnm.Print_Area" localSheetId="54">'GO-AHEADS (09-29-2021)'!$A$1:$D$21</definedName>
    <definedName name="_xlnm.Print_Area" localSheetId="100">'GO-AHEADS (09-29-2022)'!$A$1:$D$43</definedName>
    <definedName name="_xlnm.Print_Area" localSheetId="238">'GO-AHEADS (10-02-2025)'!$A$1:$D$94</definedName>
    <definedName name="_xlnm.Print_Area" localSheetId="191">'GO-AHEADS (10-03-2024)'!$A$1:$D$92</definedName>
    <definedName name="_xlnm.Print_Area" localSheetId="147">'GO-AHEADS (10-05-2023)'!$A$1:$D$11</definedName>
    <definedName name="_xlnm.Print_Area" localSheetId="101">'GO-AHEADS (10-06-2022)'!$A$1:$D$22</definedName>
    <definedName name="_xlnm.Print_Area" localSheetId="55">'GO-AHEADS (10-07-2021)'!$A$1:$D$16</definedName>
    <definedName name="_xlnm.Print_Area" localSheetId="102">'GO-AHEADS (10-13-2022)'!$A$1:$D$22</definedName>
    <definedName name="_xlnm.Print_Area" localSheetId="56">'GO-AHEADS (10-14-2021)'!$A$1:$D$20</definedName>
    <definedName name="_xlnm.Print_Area" localSheetId="239">'GO-AHEADS (10-16-2025)'!$A$1:$D$94</definedName>
    <definedName name="_xlnm.Print_Area" localSheetId="192">'GO-AHEADS (10-17-2024)'!$A$1:$D$92</definedName>
    <definedName name="_xlnm.Print_Area" localSheetId="148">'GO-AHEADS (10-19-2023)'!$A$1:$D$21</definedName>
    <definedName name="_xlnm.Print_Area" localSheetId="57">'GO-AHEADS (10-20-2021)'!$A$1:$D$16</definedName>
    <definedName name="_xlnm.Print_Area" localSheetId="103">'GO-AHEADS (10-20-2022)'!$A$1:$D$15</definedName>
    <definedName name="_xlnm.Print_Area" localSheetId="240">'GO-AHEADS (10-23-2025)'!$A$1:$D$94</definedName>
    <definedName name="_xlnm.Print_Area" localSheetId="193">'GO-AHEADS (10-24-2024'!$A$1:$D$92</definedName>
    <definedName name="_xlnm.Print_Area" localSheetId="104">'GO-AHEADS (10-26-2022)'!$A$1:$D$24</definedName>
    <definedName name="_xlnm.Print_Area" localSheetId="149">'GO-AHEADS (10-26-2023)'!$A$1:$D$15</definedName>
    <definedName name="_xlnm.Print_Area" localSheetId="58">'GO-AHEADS (10-28-2021)'!$A$1:$D$18</definedName>
    <definedName name="_xlnm.Print_Area" localSheetId="241">'GO-AHEADS (10-30-2025)'!$A$1:$D$94</definedName>
    <definedName name="_xlnm.Print_Area" localSheetId="194">'GO-AHEADS (10-31-2024'!$A$1:$D$92</definedName>
    <definedName name="_xlnm.Print_Area" localSheetId="61">'GO-AHEADS (11.17.21)'!$A$1:$D$32</definedName>
    <definedName name="_xlnm.Print_Area" localSheetId="150">'GO-AHEADS (11-02-2023)'!$A$1:$D$36</definedName>
    <definedName name="_xlnm.Print_Area" localSheetId="59">'GO-AHEADS (11-03-2021)'!$A$1:$D$18</definedName>
    <definedName name="_xlnm.Print_Area" localSheetId="105">'GO-AHEADS (11-03-2022)'!$A$1:$D$70</definedName>
    <definedName name="_xlnm.Print_Area" localSheetId="195">'GO-AHEADS (11-07-2024'!$A$1:$D$92</definedName>
    <definedName name="_xlnm.Print_Area" localSheetId="151">'GO-AHEADS (11-09-2023)'!$A$1:$D$10</definedName>
    <definedName name="_xlnm.Print_Area" localSheetId="60">'GO-AHEADS (11-10-2021)'!$A$1:$D$25</definedName>
    <definedName name="_xlnm.Print_Area" localSheetId="106">'GO-AHEADS (11-10-2022)'!$A$1:$D$54</definedName>
    <definedName name="_xlnm.Print_Area" localSheetId="242">'GO-AHEADS (11-13-2025)'!$A$1:$D$94</definedName>
    <definedName name="_xlnm.Print_Area" localSheetId="196">'GO-AHEADS (11-14-2024)'!$A$1:$D$92</definedName>
    <definedName name="_xlnm.Print_Area" localSheetId="152">'GO-AHEADS (11-15-2023)'!$A$1:$D$24</definedName>
    <definedName name="_xlnm.Print_Area" localSheetId="107">'GO-AHEADS (11-17-2022)'!$A$1:$D$25</definedName>
    <definedName name="_xlnm.Print_Area" localSheetId="197">'GO-AHEADS (11-21-2024)'!$A$1:$D$92</definedName>
    <definedName name="_xlnm.Print_Area" localSheetId="62">'GO-AHEADS (12.02.21)'!$A$1:$D$26</definedName>
    <definedName name="_xlnm.Print_Area" localSheetId="63">'GO-AHEADS (12.08.21)'!$A$1:$D$19</definedName>
    <definedName name="_xlnm.Print_Area" localSheetId="64">'GO-AHEADS (12.15.21)'!$A$1:$D$20</definedName>
    <definedName name="_xlnm.Print_Area" localSheetId="108">'GO-AHEADS (12-01-2022)'!$A$1:$D$39</definedName>
    <definedName name="_xlnm.Print_Area" localSheetId="243">'GO-AHEADS (12-04-2025)'!$A$1:$D$94</definedName>
    <definedName name="_xlnm.Print_Area" localSheetId="198">'GO-AHEADS (12-05-2024)'!$A$1:$D$92</definedName>
    <definedName name="_xlnm.Print_Area" localSheetId="153">'GO-AHEADS (12-07-2023)'!$A$1:$D$5</definedName>
    <definedName name="_xlnm.Print_Area" localSheetId="244">'GO-AHEADS (12-11-2025)'!$A$1:$D$94</definedName>
    <definedName name="_xlnm.Print_Area" localSheetId="24">'GO-AHEADS (1-21-2021)'!$A$1:$D$14</definedName>
    <definedName name="_xlnm.Print_Area" localSheetId="199">'GO-AHEADS (12-12-2024)'!$A$1:$D$92</definedName>
    <definedName name="_xlnm.Print_Area" localSheetId="109">'GO-AHEADS (12-14-2022)'!$A$1:$D$39</definedName>
    <definedName name="_xlnm.Print_Area" localSheetId="245">'GO-AHEADS (12-18-2025)'!$A$1:$D$94</definedName>
    <definedName name="_xlnm.Print_Area" localSheetId="154">'GO-AHEADS (12-21-2023)'!$A$1:$D$10</definedName>
    <definedName name="_xlnm.Print_Area" localSheetId="110">'GO-AHEADS (12-22-2022)'!$A$1:$D$16</definedName>
    <definedName name="_xlnm.Print_Area" localSheetId="111">'GO-AHEADS (12-29-2022)'!$A$1:$D$21</definedName>
    <definedName name="_xlnm.Print_Area" localSheetId="30">'GO-AHEADS (3-10-2021)'!$A$1:$D$54</definedName>
    <definedName name="_xlnm.Print_Area" localSheetId="31">'GO-AHEADS (3-17-2021)'!$A$1:$D$37</definedName>
    <definedName name="_xlnm.Print_Area" localSheetId="32">'GO-AHEADS (3-24-2021)'!$A$1:$D$41</definedName>
    <definedName name="_xlnm.Print_Area" localSheetId="29">'GO-AHEADS (3-3-2021)'!$A$1:$D$36</definedName>
    <definedName name="_xlnm.Print_Area" localSheetId="33">'GO-AHEADS (4-1-2021)'!$A$1:$D$20</definedName>
    <definedName name="_xlnm.Print_Area" localSheetId="35">'GO-AHEADS (4-14-2021)'!$A$1:$D$35</definedName>
    <definedName name="_xlnm.Print_Area" localSheetId="36">'GO-AHEADS (4-21-2021)'!$A$1:$D$31</definedName>
    <definedName name="_xlnm.Print_Area" localSheetId="37">'GO-AHEADS (4-28-2021)'!$A$1:$D$25</definedName>
    <definedName name="_xlnm.Print_Area" localSheetId="34">'GO-AHEADS (4-7-2021)'!$A$1:$D$24</definedName>
    <definedName name="_xlnm.Print_Area" localSheetId="39">'GO-AHEADS (5-12-2021)'!$A$1:$D$29</definedName>
    <definedName name="_xlnm.Print_Area" localSheetId="40">'GO-AHEADS (5-19-2021)'!$A$1:$D$28</definedName>
    <definedName name="_xlnm.Print_Area" localSheetId="41">'GO-AHEADS (5-26-2021)'!$A$1:$D$15</definedName>
    <definedName name="_xlnm.Print_Area" localSheetId="38">'GO-AHEADS (5-5-2021)'!$A$1:$D$24</definedName>
    <definedName name="_xlnm.Print_Area" localSheetId="43">'GO-AHEADS (6-09-2021)'!$A$1:$D$16</definedName>
    <definedName name="_xlnm.Print_Area" localSheetId="44">'GO-AHEADS (6-16-2021)'!$A$1:$D$11</definedName>
    <definedName name="_xlnm.Print_Area" localSheetId="42">'GO-AHEADS (6-2-2021)'!$A$1:$D$14</definedName>
    <definedName name="_xlnm.Print_Area" localSheetId="45">'GO-AHEADS (7-08-2021)'!$A$1:$D$16</definedName>
    <definedName name="_xlnm.Print_Area" localSheetId="46">'GO-AHEADS (7-14-2021)'!$A$1:$D$15</definedName>
    <definedName name="_xlnm.Print_Area" localSheetId="47">'GO-AHEADS (7-21-2021)'!$A$1:$D$23</definedName>
    <definedName name="_xlnm.Print_Area" localSheetId="121">'GO-AHEADS 03-09-2023)'!$A$1:$D$12</definedName>
    <definedName name="_xlnm.Print_Titles" localSheetId="246">'GO-AHEADS (01.08.2026)'!$1:$1</definedName>
    <definedName name="_xlnm.Print_Titles" localSheetId="247">'GO-AHEADS (01.15.2026)'!$1:$1</definedName>
    <definedName name="_xlnm.Print_Titles" localSheetId="248">'GO-AHEADS (01.22.2026)'!$1:$1</definedName>
    <definedName name="_xlnm.Print_Titles" localSheetId="155">'GO-AHEADS (01-04-2023)'!$1:$1</definedName>
    <definedName name="_xlnm.Print_Titles" localSheetId="112">'GO-AHEADS (01-05-2023)'!$1:$1</definedName>
    <definedName name="_xlnm.Print_Titles" localSheetId="200">'GO-AHEADS (01-09-2025)'!$1:$1</definedName>
    <definedName name="_xlnm.Print_Titles" localSheetId="156">'GO-AHEADS (01-11-2024)'!$1:$1</definedName>
    <definedName name="_xlnm.Print_Titles" localSheetId="113">'GO-AHEADS (01-12-2023)'!$1:$1</definedName>
    <definedName name="_xlnm.Print_Titles" localSheetId="201">'GO-AHEADS (01-16-2025)'!$1:$1</definedName>
    <definedName name="_xlnm.Print_Titles" localSheetId="157">'GO-AHEADS (01-18-2024)'!$1:$1</definedName>
    <definedName name="_xlnm.Print_Titles" localSheetId="114">'GO-AHEADS (01-19-2023)'!$1:$1</definedName>
    <definedName name="_xlnm.Print_Titles" localSheetId="158">'GO-AHEADS (01-25-2024)'!$1:$1</definedName>
    <definedName name="_xlnm.Print_Titles" localSheetId="202">'GO-AHEADS (01-25-2025)'!$1:$1</definedName>
    <definedName name="_xlnm.Print_Titles" localSheetId="115">'GO-AHEADS (01-26-2023)'!$1:$1</definedName>
    <definedName name="_xlnm.Print_Titles" localSheetId="203">'GO-AHEADS (01-30-2025)'!$1:$1</definedName>
    <definedName name="_xlnm.Print_Titles" localSheetId="249">'GO-AHEADS (02.05.2026)'!$1:$1</definedName>
    <definedName name="_xlnm.Print_Titles" localSheetId="250">'GO-AHEADS (02.12.2026)'!$1:$1</definedName>
    <definedName name="_xlnm.Print_Titles" localSheetId="251">'GO-AHEADS (02.19.2026)'!$1:$1</definedName>
    <definedName name="_xlnm.Print_Titles" localSheetId="252">'GO-AHEADS (02.26.2026)'!$1:$1</definedName>
    <definedName name="_xlnm.Print_Titles" localSheetId="116">'GO-AHEADS (02-02-2023)'!$1:$1</definedName>
    <definedName name="_xlnm.Print_Titles" localSheetId="204">'GO-AHEADS (02-06-2025)'!$1:$1</definedName>
    <definedName name="_xlnm.Print_Titles" localSheetId="159">'GO-AHEADS (02-07-2024)'!$1:$1</definedName>
    <definedName name="_xlnm.Print_Titles" localSheetId="117">'GO-AHEADS (02-09-2023)'!$1:$1</definedName>
    <definedName name="_xlnm.Print_Titles" localSheetId="205">'GO-AHEADS (02-13-2025)'!$1:$1</definedName>
    <definedName name="_xlnm.Print_Titles" localSheetId="118">'GO-AHEADS (02-15-2023)'!$1:$1</definedName>
    <definedName name="_xlnm.Print_Titles" localSheetId="206">'GO-AHEADS (02-20-2025)'!$1:$1</definedName>
    <definedName name="_xlnm.Print_Titles" localSheetId="119">'GO-AHEADS (02-22-2023)'!$1:$1</definedName>
    <definedName name="_xlnm.Print_Titles" localSheetId="160">'GO-AHEADS (02-22-2024)'!$1:$1</definedName>
    <definedName name="_xlnm.Print_Titles" localSheetId="207">'GO-AHEADS (02-27-2025)'!$1:$1</definedName>
    <definedName name="_xlnm.Print_Titles" localSheetId="161">'GO-AHEADS (02-29-2024)'!$1:$1</definedName>
    <definedName name="_xlnm.Print_Titles" localSheetId="253">'GO-AHEADS (03.05.2026)'!$1:$1</definedName>
    <definedName name="_xlnm.Print_Titles" localSheetId="254">'GO-AHEADS (03.12.2026)'!$1:$1</definedName>
    <definedName name="_xlnm.Print_Titles" localSheetId="255">'GO-AHEADS (03.19.2026)'!$1:$1</definedName>
    <definedName name="_xlnm.Print_Titles" localSheetId="256">'GO-AHEADS (03.26.2026)'!$1:$1</definedName>
    <definedName name="_xlnm.Print_Titles" localSheetId="120">'GO-AHEADS (03-01-2023)'!$1:$1</definedName>
    <definedName name="_xlnm.Print_Titles" localSheetId="208">'GO-AHEADS (03-06-2025)'!$1:$1</definedName>
    <definedName name="_xlnm.Print_Titles" localSheetId="162">'GO-AHEADS (03-07-2024)'!$1:$1</definedName>
    <definedName name="_xlnm.Print_Titles" localSheetId="209">'GO-AHEADS (03-13-2025)'!$1:$1</definedName>
    <definedName name="_xlnm.Print_Titles" localSheetId="163">'GO-AHEADS (03-14-2024)'!$1:$1</definedName>
    <definedName name="_xlnm.Print_Titles" localSheetId="122">'GO-AHEADS (03-16-2023)'!$1:$1</definedName>
    <definedName name="_xlnm.Print_Titles" localSheetId="164">'GO-AHEADS (03-20-2024)'!$1:$1</definedName>
    <definedName name="_xlnm.Print_Titles" localSheetId="210">'GO-AHEADS (03-20-2025)'!$1:$1</definedName>
    <definedName name="_xlnm.Print_Titles" localSheetId="123">'GO-AHEADS (03-23-2023)'!$1:$1</definedName>
    <definedName name="_xlnm.Print_Titles" localSheetId="211">'GO-AHEADS (03-27-2025)'!$1:$1</definedName>
    <definedName name="_xlnm.Print_Titles" localSheetId="165">'GO-AHEADS (03-28-2024)'!$1:$1</definedName>
    <definedName name="_xlnm.Print_Titles" localSheetId="124">'GO-AHEADS (03-30-2023)'!$1:$1</definedName>
    <definedName name="_xlnm.Print_Titles" localSheetId="257">'GO-AHEADS (04.02.2026)'!$1:$1</definedName>
    <definedName name="_xlnm.Print_Titles" localSheetId="258">'GO-AHEADS (04.16.2026)'!$1:$1</definedName>
    <definedName name="_xlnm.Print_Titles" localSheetId="259">'GO-AHEADS (04.22.2026)'!$1:$1</definedName>
    <definedName name="_xlnm.Print_Titles" localSheetId="260">'GO-AHEADS (04.29.2026)'!$1:$1</definedName>
    <definedName name="_xlnm.Print_Titles" localSheetId="212">'GO-AHEADS (04-03-2025)'!$1:$1</definedName>
    <definedName name="_xlnm.Print_Titles" localSheetId="166">'GO-AHEADS (04-04-2024)'!$1:$1</definedName>
    <definedName name="_xlnm.Print_Titles" localSheetId="125">'GO-AHEADS (04-05-2023)'!$1:$1</definedName>
    <definedName name="_xlnm.Print_Titles" localSheetId="213">'GO-AHEADS (04-10-2025)'!$1:$1</definedName>
    <definedName name="_xlnm.Print_Titles" localSheetId="167">'GO-AHEADS (04-11-2024)'!$1:$1</definedName>
    <definedName name="_xlnm.Print_Titles" localSheetId="126">'GO-AHEADS (04-12-2023)'!$1:$1</definedName>
    <definedName name="_xlnm.Print_Titles" localSheetId="214">'GO-AHEADS (04-17-2025)'!$1:$1</definedName>
    <definedName name="_xlnm.Print_Titles" localSheetId="168">'GO-AHEADS (04-18-2024)'!$1:$1</definedName>
    <definedName name="_xlnm.Print_Titles" localSheetId="127">'GO-AHEADS (04-20-2023)'!$1:$1</definedName>
    <definedName name="_xlnm.Print_Titles" localSheetId="215">'GO-AHEADS (04-24-2025)'!$1:$1</definedName>
    <definedName name="_xlnm.Print_Titles" localSheetId="169">'GO-AHEADS (04-25-2024'!$1:$1</definedName>
    <definedName name="_xlnm.Print_Titles" localSheetId="128">'GO-AHEADS (04-27-2023)'!$1:$1</definedName>
    <definedName name="_xlnm.Print_Titles" localSheetId="261">'GO-AHEADS (05.06.2026)'!$1:$1</definedName>
    <definedName name="_xlnm.Print_Titles" localSheetId="262">'GO-AHEADS (05.13.2026)'!$1:$1</definedName>
    <definedName name="_xlnm.Print_Titles" localSheetId="263">'GO-AHEADS (05.20.2026)'!$1:$1</definedName>
    <definedName name="_xlnm.Print_Titles" localSheetId="264">'GO-AHEADS (05.27.2026)'!$1:$1</definedName>
    <definedName name="_xlnm.Print_Titles" localSheetId="216">'GO-AHEADS (05-01-2025)'!$1:$1</definedName>
    <definedName name="_xlnm.Print_Titles" localSheetId="170">'GO-AHEADS (05-02-2024)'!$1:$1</definedName>
    <definedName name="_xlnm.Print_Titles" localSheetId="129">'GO-AHEADS (05-04-2023)'!$1:$1</definedName>
    <definedName name="_xlnm.Print_Titles" localSheetId="217">'GO-AHEADS (05-08-2025)'!$1:$1</definedName>
    <definedName name="_xlnm.Print_Titles" localSheetId="171">'GO-AHEADS (05-09-2024)'!$1:$1</definedName>
    <definedName name="_xlnm.Print_Titles" localSheetId="218">'GO-AHEADS (05-15-2025)'!$1:$1</definedName>
    <definedName name="_xlnm.Print_Titles" localSheetId="172">'GO-AHEADS (05-16-2024)'!$1:$1</definedName>
    <definedName name="_xlnm.Print_Titles" localSheetId="219">'GO-AHEADS (05-22-2025)'!$1:$1</definedName>
    <definedName name="_xlnm.Print_Titles" localSheetId="130">'GO-AHEADS (05-25-2023)'!$1:$1</definedName>
    <definedName name="_xlnm.Print_Titles" localSheetId="220">'GO-AHEADS (05-29-2025)'!$1:$1</definedName>
    <definedName name="_xlnm.Print_Titles" localSheetId="175">'GO-AHEADS (06-'!$1:$1</definedName>
    <definedName name="_xlnm.Print_Titles" localSheetId="265">'GO-AHEADS (06.03.2026)'!$1:$1</definedName>
    <definedName name="_xlnm.Print_Titles" localSheetId="266">'GO-AHEADS (06.10.2026)'!$1:$1</definedName>
    <definedName name="_xlnm.Print_Titles" localSheetId="267">'GO-AHEADS (06.24.2026)'!$1:$1</definedName>
    <definedName name="_xlnm.Print_Titles" localSheetId="131">'GO-AHEADS (06-01-2023)'!$1:$1</definedName>
    <definedName name="_xlnm.Print_Titles" localSheetId="221">'GO-AHEADS (06-05-2025)'!$1:$1</definedName>
    <definedName name="_xlnm.Print_Titles" localSheetId="173">'GO-AHEADS (06-06-2024)'!$1:$1</definedName>
    <definedName name="_xlnm.Print_Titles" localSheetId="132">'GO-AHEADS (06-08-2023)'!$1:$1</definedName>
    <definedName name="_xlnm.Print_Titles" localSheetId="222">'GO-AHEADS (06-12-2025)'!$1:$1</definedName>
    <definedName name="_xlnm.Print_Titles" localSheetId="174">'GO-AHEADS (06-13-2024)'!$1:$1</definedName>
    <definedName name="_xlnm.Print_Titles" localSheetId="223">'GO-AHEADS (06-19-2025)'!$1:$1</definedName>
    <definedName name="_xlnm.Print_Titles" localSheetId="176">'GO-AHEADS (06-20-2024)'!$1:$1</definedName>
    <definedName name="_xlnm.Print_Titles" localSheetId="133">'GO-AHEADS (06-22-2023)'!$1:$1</definedName>
    <definedName name="_xlnm.Print_Titles" localSheetId="224">'GO-AHEADS (06-26-2025)'!$1:$1</definedName>
    <definedName name="_xlnm.Print_Titles" localSheetId="177">'GO-AHEADS (06-27-2024)'!$1:$1</definedName>
    <definedName name="_xlnm.Print_Titles" localSheetId="134">'GO-AHEADS (06-29-2023)'!$1:$1</definedName>
    <definedName name="_xlnm.Print_Titles" localSheetId="268">'GO-AHEADS (07.1.2026)'!$1:$1</definedName>
    <definedName name="_xlnm.Print_Titles" localSheetId="270">'GO-AHEADS (07.15.2026)'!$1:$1</definedName>
    <definedName name="_xlnm.Print_Titles" localSheetId="271">'GO-AHEADS (07.22.2026)'!$1:$1</definedName>
    <definedName name="_xlnm.Print_Titles" localSheetId="269">'GO-AHEADS (07.8.2026)'!$1:$1</definedName>
    <definedName name="_xlnm.Print_Titles" localSheetId="225">'GO-AHEADS (07-02-2025)'!$1:$1</definedName>
    <definedName name="_xlnm.Print_Titles" localSheetId="178">'GO-AHEADS (07-03-2024)'!$1:$1</definedName>
    <definedName name="_xlnm.Print_Titles" localSheetId="135">'GO-AHEADS (07-06-2023)'!$1:$1</definedName>
    <definedName name="_xlnm.Print_Titles" localSheetId="226">'GO-AHEADS (07-10-2025)'!$1:$1</definedName>
    <definedName name="_xlnm.Print_Titles" localSheetId="179">'GO-AHEADS (07-11-2024)'!$1:$1</definedName>
    <definedName name="_xlnm.Print_Titles" localSheetId="136">'GO-AHEADS (07-13-2023)'!$1:$1</definedName>
    <definedName name="_xlnm.Print_Titles" localSheetId="227">'GO-AHEADS (07-17-2025)'!$1:$1</definedName>
    <definedName name="_xlnm.Print_Titles" localSheetId="180">'GO-AHEADS (07-18-2024)'!$1:$1</definedName>
    <definedName name="_xlnm.Print_Titles" localSheetId="137">'GO-AHEADS (07-20-2023)'!$1:$1</definedName>
    <definedName name="_xlnm.Print_Titles" localSheetId="228">'GO-AHEADS (07-24-2025)'!$1:$1</definedName>
    <definedName name="_xlnm.Print_Titles" localSheetId="181">'GO-AHEADS (07-25-2024)'!$1:$1</definedName>
    <definedName name="_xlnm.Print_Titles" localSheetId="138">'GO-AHEADS (07-26-2023)'!$1:$1</definedName>
    <definedName name="_xlnm.Print_Titles" localSheetId="229">'GO-AHEADS (07-31-2025)'!$1:$1</definedName>
    <definedName name="_xlnm.Print_Titles" localSheetId="182">'GO-AHEADS (08-01-2024)'!$1:$1</definedName>
    <definedName name="_xlnm.Print_Titles" localSheetId="139">'GO-AHEADS (08-03-2023)'!$1:$1</definedName>
    <definedName name="_xlnm.Print_Titles" localSheetId="230">'GO-AHEADS (08-07-2025)'!$1:$1</definedName>
    <definedName name="_xlnm.Print_Titles" localSheetId="183">'GO-AHEADS (08-08-2024)'!$1:$1</definedName>
    <definedName name="_xlnm.Print_Titles" localSheetId="140">'GO-AHEADS (08-10-2023)'!$1:$1</definedName>
    <definedName name="_xlnm.Print_Titles" localSheetId="231">'GO-AHEADS (08-14-2025)'!$1:$1</definedName>
    <definedName name="_xlnm.Print_Titles" localSheetId="184">'GO-AHEADS (08-15-2024)'!$1:$1</definedName>
    <definedName name="_xlnm.Print_Titles" localSheetId="141">'GO-AHEADS (08-17-2023)'!$1:$1</definedName>
    <definedName name="_xlnm.Print_Titles" localSheetId="232">'GO-AHEADS (08-21-2025)'!$1:$1</definedName>
    <definedName name="_xlnm.Print_Titles" localSheetId="185">'GO-AHEADS (08-22-2024)'!$1:$1</definedName>
    <definedName name="_xlnm.Print_Titles" localSheetId="142">'GO-AHEADS (08-24-2023)'!$1:$1</definedName>
    <definedName name="_xlnm.Print_Titles" localSheetId="233">'GO-AHEADS (08-28-2025)'!$1:$1</definedName>
    <definedName name="_xlnm.Print_Titles" localSheetId="186">'GO-AHEADS (08-29-2024)'!$1:$1</definedName>
    <definedName name="_xlnm.Print_Titles" localSheetId="143">'GO-AHEADS (08-31-2023)'!$1:$1</definedName>
    <definedName name="_xlnm.Print_Titles" localSheetId="234">'GO-AHEADS (09-04-2025)'!$1:$1</definedName>
    <definedName name="_xlnm.Print_Titles" localSheetId="187">'GO-AHEADS (09-05-2024)'!$1:$1</definedName>
    <definedName name="_xlnm.Print_Titles" localSheetId="235">'GO-AHEADS (09-11-2025)'!$1:$1</definedName>
    <definedName name="_xlnm.Print_Titles" localSheetId="188">'GO-AHEADS (09-12-2024)'!$1:$1</definedName>
    <definedName name="_xlnm.Print_Titles" localSheetId="144">'GO-AHEADS (09-14-2023)'!$1:$1</definedName>
    <definedName name="_xlnm.Print_Titles" localSheetId="236">'GO-AHEADS (09-18-2025)'!$1:$1</definedName>
    <definedName name="_xlnm.Print_Titles" localSheetId="189">'GO-AHEADS (09-19-2024)'!$1:$1</definedName>
    <definedName name="_xlnm.Print_Titles" localSheetId="145">'GO-AHEADS (09-21-2023)'!$1:$1</definedName>
    <definedName name="_xlnm.Print_Titles" localSheetId="237">'GO-AHEADS (09-25-2025)'!$1:$1</definedName>
    <definedName name="_xlnm.Print_Titles" localSheetId="190">'GO-AHEADS (09-26-2024)'!$1:$1</definedName>
    <definedName name="_xlnm.Print_Titles" localSheetId="146">'GO-AHEADS (09-28-2023)'!$1:$1</definedName>
    <definedName name="_xlnm.Print_Titles" localSheetId="238">'GO-AHEADS (10-02-2025)'!$1:$1</definedName>
    <definedName name="_xlnm.Print_Titles" localSheetId="191">'GO-AHEADS (10-03-2024)'!$1:$1</definedName>
    <definedName name="_xlnm.Print_Titles" localSheetId="147">'GO-AHEADS (10-05-2023)'!$1:$1</definedName>
    <definedName name="_xlnm.Print_Titles" localSheetId="239">'GO-AHEADS (10-16-2025)'!$1:$1</definedName>
    <definedName name="_xlnm.Print_Titles" localSheetId="192">'GO-AHEADS (10-17-2024)'!$1:$1</definedName>
    <definedName name="_xlnm.Print_Titles" localSheetId="148">'GO-AHEADS (10-19-2023)'!$1:$1</definedName>
    <definedName name="_xlnm.Print_Titles" localSheetId="240">'GO-AHEADS (10-23-2025)'!$1:$1</definedName>
    <definedName name="_xlnm.Print_Titles" localSheetId="193">'GO-AHEADS (10-24-2024'!$1:$1</definedName>
    <definedName name="_xlnm.Print_Titles" localSheetId="149">'GO-AHEADS (10-26-2023)'!$1:$1</definedName>
    <definedName name="_xlnm.Print_Titles" localSheetId="241">'GO-AHEADS (10-30-2025)'!$1:$1</definedName>
    <definedName name="_xlnm.Print_Titles" localSheetId="194">'GO-AHEADS (10-31-2024'!$1:$1</definedName>
    <definedName name="_xlnm.Print_Titles" localSheetId="150">'GO-AHEADS (11-02-2023)'!$1:$1</definedName>
    <definedName name="_xlnm.Print_Titles" localSheetId="105">'GO-AHEADS (11-03-2022)'!$1:$3</definedName>
    <definedName name="_xlnm.Print_Titles" localSheetId="195">'GO-AHEADS (11-07-2024'!$1:$1</definedName>
    <definedName name="_xlnm.Print_Titles" localSheetId="151">'GO-AHEADS (11-09-2023)'!$1:$1</definedName>
    <definedName name="_xlnm.Print_Titles" localSheetId="106">'GO-AHEADS (11-10-2022)'!$1:$3</definedName>
    <definedName name="_xlnm.Print_Titles" localSheetId="242">'GO-AHEADS (11-13-2025)'!$1:$1</definedName>
    <definedName name="_xlnm.Print_Titles" localSheetId="196">'GO-AHEADS (11-14-2024)'!$1:$1</definedName>
    <definedName name="_xlnm.Print_Titles" localSheetId="152">'GO-AHEADS (11-15-2023)'!$1:$1</definedName>
    <definedName name="_xlnm.Print_Titles" localSheetId="107">'GO-AHEADS (11-17-2022)'!$1:$3</definedName>
    <definedName name="_xlnm.Print_Titles" localSheetId="197">'GO-AHEADS (11-21-2024)'!$1:$1</definedName>
    <definedName name="_xlnm.Print_Titles" localSheetId="108">'GO-AHEADS (12-01-2022)'!$1:$3</definedName>
    <definedName name="_xlnm.Print_Titles" localSheetId="243">'GO-AHEADS (12-04-2025)'!$1:$1</definedName>
    <definedName name="_xlnm.Print_Titles" localSheetId="198">'GO-AHEADS (12-05-2024)'!$1:$1</definedName>
    <definedName name="_xlnm.Print_Titles" localSheetId="153">'GO-AHEADS (12-07-2023)'!$1:$1</definedName>
    <definedName name="_xlnm.Print_Titles" localSheetId="244">'GO-AHEADS (12-11-2025)'!$1:$1</definedName>
    <definedName name="_xlnm.Print_Titles" localSheetId="199">'GO-AHEADS (12-12-2024)'!$1:$1</definedName>
    <definedName name="_xlnm.Print_Titles" localSheetId="109">'GO-AHEADS (12-14-2022)'!$1:$3</definedName>
    <definedName name="_xlnm.Print_Titles" localSheetId="245">'GO-AHEADS (12-18-2025)'!$1:$1</definedName>
    <definedName name="_xlnm.Print_Titles" localSheetId="154">'GO-AHEADS (12-21-2023)'!$1:$1</definedName>
    <definedName name="_xlnm.Print_Titles" localSheetId="110">'GO-AHEADS (12-22-2022)'!$1:$3</definedName>
    <definedName name="_xlnm.Print_Titles" localSheetId="111">'GO-AHEADS (12-29-2022)'!$1:$1</definedName>
    <definedName name="_xlnm.Print_Titles" localSheetId="121">'GO-AHEADS 03-09-2023)'!$1:$1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3" i="289" l="1"/>
  <c r="D92" i="289"/>
  <c r="D94" i="289"/>
  <c r="D93" i="288"/>
  <c r="D92" i="288"/>
  <c r="D94" i="288"/>
  <c r="D93" i="287"/>
  <c r="D92" i="287"/>
  <c r="D94" i="287"/>
  <c r="D93" i="286"/>
  <c r="D92" i="286"/>
  <c r="D94" i="286"/>
  <c r="D93" i="285"/>
  <c r="D92" i="285"/>
  <c r="D94" i="285"/>
  <c r="D92" i="284"/>
  <c r="D93" i="284"/>
  <c r="D94" i="284"/>
  <c r="D93" i="283"/>
  <c r="D92" i="283"/>
  <c r="D94" i="283"/>
  <c r="D93" i="282"/>
  <c r="D92" i="282"/>
  <c r="D94" i="282"/>
  <c r="D93" i="281"/>
  <c r="D92" i="281"/>
  <c r="D94" i="281"/>
  <c r="D93" i="280"/>
  <c r="D92" i="280"/>
  <c r="D94" i="280"/>
  <c r="D93" i="279"/>
  <c r="D92" i="279"/>
  <c r="D94" i="279"/>
  <c r="D93" i="278"/>
  <c r="D92" i="278"/>
  <c r="D94" i="278"/>
  <c r="D93" i="277"/>
  <c r="D92" i="277"/>
  <c r="D94" i="277"/>
  <c r="D90" i="276" l="1"/>
  <c r="D89" i="276"/>
  <c r="D90" i="275"/>
  <c r="D89" i="275"/>
  <c r="D93" i="274"/>
  <c r="D92" i="274"/>
  <c r="D93" i="273"/>
  <c r="D92" i="273"/>
  <c r="D93" i="272"/>
  <c r="D92" i="272"/>
  <c r="D93" i="271"/>
  <c r="D92" i="271"/>
  <c r="D93" i="270"/>
  <c r="D92" i="270"/>
  <c r="D93" i="269"/>
  <c r="D92" i="269"/>
  <c r="D93" i="268"/>
  <c r="D92" i="268"/>
  <c r="D93" i="267"/>
  <c r="D92" i="267"/>
  <c r="D93" i="266"/>
  <c r="D92" i="266"/>
  <c r="D93" i="265"/>
  <c r="D92" i="265"/>
  <c r="D93" i="264"/>
  <c r="D92" i="264"/>
  <c r="D93" i="263"/>
  <c r="D92" i="263"/>
  <c r="D93" i="262"/>
  <c r="D92" i="262"/>
  <c r="D92" i="261"/>
  <c r="D94" i="261" s="1"/>
  <c r="D93" i="260"/>
  <c r="D92" i="260"/>
  <c r="D93" i="259"/>
  <c r="D92" i="259"/>
  <c r="D93" i="258"/>
  <c r="D92" i="258"/>
  <c r="D92" i="257"/>
  <c r="D94" i="257" s="1"/>
  <c r="D93" i="256"/>
  <c r="D92" i="256"/>
  <c r="D93" i="255"/>
  <c r="D92" i="255"/>
  <c r="D93" i="254"/>
  <c r="D92" i="254"/>
  <c r="D93" i="253"/>
  <c r="D92" i="253"/>
  <c r="D93" i="252"/>
  <c r="D92" i="252"/>
  <c r="D93" i="251"/>
  <c r="D92" i="251"/>
  <c r="D93" i="250"/>
  <c r="D92" i="250"/>
  <c r="D93" i="249"/>
  <c r="D92" i="249"/>
  <c r="D93" i="248"/>
  <c r="D92" i="248"/>
  <c r="D92" i="247"/>
  <c r="D94" i="247" s="1"/>
  <c r="D93" i="246"/>
  <c r="D92" i="246"/>
  <c r="D93" i="245"/>
  <c r="D92" i="245"/>
  <c r="D93" i="244"/>
  <c r="D92" i="244"/>
  <c r="D93" i="243"/>
  <c r="D92" i="243"/>
  <c r="D93" i="242"/>
  <c r="D92" i="242"/>
  <c r="D93" i="241"/>
  <c r="D92" i="241"/>
  <c r="D92" i="240"/>
  <c r="D94" i="240" s="1"/>
  <c r="D92" i="239"/>
  <c r="D94" i="239" s="1"/>
  <c r="D92" i="238"/>
  <c r="D94" i="238" s="1"/>
  <c r="D92" i="237"/>
  <c r="D94" i="237" s="1"/>
  <c r="D92" i="235"/>
  <c r="D93" i="235"/>
  <c r="D93" i="234"/>
  <c r="D92" i="234"/>
  <c r="D93" i="233"/>
  <c r="D92" i="233"/>
  <c r="D93" i="232"/>
  <c r="D92" i="232"/>
  <c r="D92" i="231"/>
  <c r="D93" i="231"/>
  <c r="D92" i="230"/>
  <c r="D93" i="230"/>
  <c r="D93" i="228"/>
  <c r="D92" i="228"/>
  <c r="D93" i="226"/>
  <c r="D92" i="226"/>
  <c r="D92" i="225"/>
  <c r="D93" i="225"/>
  <c r="D93" i="223"/>
  <c r="D92" i="223"/>
  <c r="D93" i="222"/>
  <c r="D92" i="222"/>
  <c r="D93" i="221"/>
  <c r="D92" i="221"/>
  <c r="D93" i="220"/>
  <c r="D92" i="220"/>
  <c r="D93" i="219"/>
  <c r="D92" i="219"/>
  <c r="D93" i="218"/>
  <c r="D92" i="218"/>
  <c r="D93" i="217"/>
  <c r="D92" i="217"/>
  <c r="D93" i="216"/>
  <c r="D92" i="216"/>
  <c r="D93" i="215"/>
  <c r="D92" i="215"/>
  <c r="D93" i="214"/>
  <c r="D92" i="214"/>
  <c r="D93" i="213"/>
  <c r="D92" i="213"/>
  <c r="D93" i="211"/>
  <c r="D92" i="211"/>
  <c r="D92" i="210"/>
  <c r="D94" i="210" s="1"/>
  <c r="D92" i="209"/>
  <c r="D93" i="209"/>
  <c r="D93" i="208"/>
  <c r="D92" i="208"/>
  <c r="D93" i="207"/>
  <c r="D92" i="207"/>
  <c r="D92" i="206"/>
  <c r="D94" i="206" s="1"/>
  <c r="D92" i="205"/>
  <c r="D93" i="204"/>
  <c r="D92" i="204"/>
  <c r="D92" i="203"/>
  <c r="D93" i="203"/>
  <c r="D92" i="202"/>
  <c r="D92" i="201"/>
  <c r="D92" i="200"/>
  <c r="D92" i="199"/>
  <c r="D92" i="198"/>
  <c r="D92" i="197"/>
  <c r="D92" i="196"/>
  <c r="D92" i="195"/>
  <c r="D40" i="194"/>
  <c r="D30" i="192"/>
  <c r="D40" i="191"/>
  <c r="D40" i="190"/>
  <c r="D40" i="189"/>
  <c r="D40" i="188"/>
  <c r="D40" i="187"/>
  <c r="D33" i="186"/>
  <c r="D40" i="185"/>
  <c r="D40" i="184"/>
  <c r="D15" i="183"/>
  <c r="D40" i="182"/>
  <c r="D40" i="181"/>
  <c r="D4" i="180"/>
  <c r="D10" i="179"/>
  <c r="D15" i="178"/>
  <c r="D4" i="177"/>
  <c r="D19" i="176"/>
  <c r="D6" i="175"/>
  <c r="D18" i="174"/>
  <c r="D8" i="173"/>
  <c r="D7" i="172"/>
  <c r="D11" i="171"/>
  <c r="D9" i="170"/>
  <c r="D13" i="169"/>
  <c r="D22" i="168"/>
  <c r="D7" i="167"/>
  <c r="D5" i="166"/>
  <c r="D10" i="165"/>
  <c r="D24" i="164"/>
  <c r="D10" i="163"/>
  <c r="D36" i="162"/>
  <c r="D15" i="161"/>
  <c r="D21" i="160"/>
  <c r="D11" i="159"/>
  <c r="D37" i="157"/>
  <c r="D23" i="156"/>
  <c r="D54" i="155"/>
  <c r="D46" i="154"/>
  <c r="D24" i="153"/>
  <c r="D21" i="152"/>
  <c r="D29" i="151"/>
  <c r="D18" i="150"/>
  <c r="D64" i="149"/>
  <c r="D76" i="146"/>
  <c r="D42" i="145"/>
  <c r="D39" i="144"/>
  <c r="D32" i="143"/>
  <c r="D17" i="142"/>
  <c r="D20" i="141"/>
  <c r="D66" i="140"/>
  <c r="D49" i="139"/>
  <c r="D63" i="138"/>
  <c r="D49" i="137"/>
  <c r="D69" i="136"/>
  <c r="D25" i="135"/>
  <c r="D21" i="134"/>
  <c r="D21" i="133"/>
  <c r="D38" i="132"/>
  <c r="D27" i="131"/>
  <c r="D12" i="130"/>
  <c r="D12" i="129"/>
  <c r="D91" i="276" l="1"/>
  <c r="D94" i="266"/>
  <c r="D91" i="275"/>
  <c r="D94" i="274"/>
  <c r="D94" i="273"/>
  <c r="D94" i="272"/>
  <c r="D94" i="271"/>
  <c r="D94" i="269"/>
  <c r="D94" i="270"/>
  <c r="D94" i="267"/>
  <c r="D94" i="268"/>
  <c r="D94" i="263"/>
  <c r="D94" i="265"/>
  <c r="D94" i="262"/>
  <c r="D94" i="264"/>
  <c r="D94" i="256"/>
  <c r="D94" i="260"/>
  <c r="D94" i="258"/>
  <c r="D94" i="252"/>
  <c r="D94" i="255"/>
  <c r="D94" i="259"/>
  <c r="D94" i="254"/>
  <c r="D94" i="250"/>
  <c r="D94" i="253"/>
  <c r="D94" i="251"/>
  <c r="D94" i="248"/>
  <c r="D94" i="222"/>
  <c r="D94" i="243"/>
  <c r="D94" i="249"/>
  <c r="D94" i="223"/>
  <c r="D94" i="228"/>
  <c r="D94" i="241"/>
  <c r="D94" i="221"/>
  <c r="D94" i="225"/>
  <c r="D94" i="233"/>
  <c r="D94" i="203"/>
  <c r="D94" i="215"/>
  <c r="D94" i="242"/>
  <c r="D94" i="246"/>
  <c r="D94" i="220"/>
  <c r="D94" i="216"/>
  <c r="D94" i="208"/>
  <c r="D94" i="235"/>
  <c r="D94" i="245"/>
  <c r="D94" i="244"/>
  <c r="D94" i="234"/>
  <c r="D94" i="232"/>
  <c r="D94" i="231"/>
  <c r="D94" i="230"/>
  <c r="D94" i="226"/>
  <c r="D94" i="219"/>
  <c r="D94" i="218"/>
  <c r="D94" i="217"/>
  <c r="D94" i="214"/>
  <c r="D94" i="213"/>
  <c r="D94" i="211"/>
  <c r="D94" i="209"/>
  <c r="D94" i="207"/>
  <c r="D94" i="205"/>
  <c r="D94" i="204"/>
  <c r="D40" i="128"/>
  <c r="D39" i="127"/>
  <c r="D17" i="126"/>
  <c r="D35" i="125"/>
  <c r="D31" i="124"/>
  <c r="D38" i="123"/>
  <c r="D42" i="122"/>
  <c r="D35" i="121"/>
  <c r="D21" i="120"/>
  <c r="D16" i="119" l="1"/>
  <c r="D39" i="118"/>
  <c r="D39" i="117"/>
  <c r="D25" i="116"/>
  <c r="D54" i="115"/>
  <c r="D70" i="114"/>
  <c r="D24" i="113"/>
  <c r="D15" i="112"/>
  <c r="D22" i="111"/>
  <c r="D22" i="110"/>
  <c r="D43" i="109" l="1"/>
  <c r="D28" i="107"/>
  <c r="D17" i="106"/>
  <c r="D10" i="105"/>
  <c r="D8" i="104"/>
  <c r="D12" i="103" l="1"/>
  <c r="D34" i="101"/>
  <c r="D42" i="98"/>
  <c r="D28" i="96"/>
  <c r="D36" i="95"/>
  <c r="D22" i="94"/>
  <c r="D22" i="93"/>
  <c r="D20" i="93"/>
  <c r="D22" i="92"/>
  <c r="D15" i="91"/>
  <c r="D16" i="90"/>
  <c r="D16" i="89"/>
  <c r="D14" i="88"/>
  <c r="D14" i="87"/>
  <c r="D10" i="86"/>
  <c r="D10" i="85"/>
  <c r="D18" i="84"/>
  <c r="D15" i="83"/>
  <c r="D11" i="82"/>
  <c r="D12" i="81"/>
  <c r="D13" i="80"/>
  <c r="D11" i="79"/>
  <c r="D16" i="78"/>
  <c r="D12" i="77"/>
  <c r="D10" i="76"/>
  <c r="D19" i="75"/>
  <c r="D26" i="74"/>
  <c r="D13" i="73"/>
  <c r="D9" i="72"/>
  <c r="D13" i="71"/>
  <c r="D10" i="70"/>
  <c r="D19" i="69"/>
  <c r="D20" i="68"/>
  <c r="D19" i="67"/>
  <c r="D26" i="66"/>
  <c r="D32" i="65"/>
  <c r="D25" i="64"/>
  <c r="D18" i="63"/>
  <c r="D18" i="62"/>
  <c r="D16" i="61"/>
  <c r="D20" i="60"/>
  <c r="D16" i="59"/>
  <c r="D21" i="58"/>
  <c r="D20" i="57"/>
  <c r="D14" i="56"/>
  <c r="D32" i="55"/>
  <c r="D21" i="54"/>
  <c r="D20" i="53"/>
  <c r="D23" i="52"/>
  <c r="D23" i="51" l="1"/>
  <c r="D15" i="50"/>
  <c r="D16" i="49"/>
  <c r="D11" i="48"/>
  <c r="D16" i="47"/>
  <c r="D14" i="46"/>
  <c r="D15" i="45"/>
  <c r="D28" i="44"/>
  <c r="D29" i="43"/>
  <c r="D24" i="42"/>
  <c r="D25" i="41"/>
  <c r="D31" i="40"/>
  <c r="D35" i="39"/>
  <c r="D24" i="38"/>
  <c r="D20" i="37"/>
  <c r="D41" i="35"/>
  <c r="D37" i="34"/>
  <c r="D54" i="33"/>
  <c r="D36" i="31"/>
  <c r="D21" i="30"/>
  <c r="D32" i="29"/>
  <c r="D24" i="28"/>
  <c r="D22" i="27"/>
  <c r="D14" i="26"/>
  <c r="D20" i="25"/>
  <c r="D25" i="24" l="1"/>
  <c r="D23" i="23" l="1"/>
  <c r="D29" i="22" l="1"/>
  <c r="D28" i="21" l="1"/>
  <c r="D31" i="20" l="1"/>
  <c r="D27" i="19" l="1"/>
  <c r="D25" i="18" l="1"/>
  <c r="D18" i="17" l="1"/>
  <c r="D19" i="16" l="1"/>
  <c r="D14" i="15" l="1"/>
  <c r="D14" i="14" l="1"/>
  <c r="D26" i="13" l="1"/>
  <c r="D13" i="12" l="1"/>
  <c r="D17" i="11" l="1"/>
  <c r="D18" i="10" l="1"/>
  <c r="D29" i="9" l="1"/>
  <c r="D17" i="8" l="1"/>
  <c r="D19" i="7" l="1"/>
  <c r="D12" i="6" l="1"/>
  <c r="D18" i="5" l="1"/>
  <c r="D6" i="4" l="1"/>
  <c r="D8" i="3" l="1"/>
</calcChain>
</file>

<file path=xl/sharedStrings.xml><?xml version="1.0" encoding="utf-8"?>
<sst xmlns="http://schemas.openxmlformats.org/spreadsheetml/2006/main" count="16540" uniqueCount="4119">
  <si>
    <t>Company</t>
  </si>
  <si>
    <t>Proposal</t>
  </si>
  <si>
    <t>Description</t>
  </si>
  <si>
    <t>S1</t>
  </si>
  <si>
    <t>EstValue</t>
  </si>
  <si>
    <t>ACTION PROPERTY MGMT</t>
  </si>
  <si>
    <t>2019 - ACTIVE BEEHIVE - Northwood Courtside (Removal ID 5) NEED PERMIT</t>
  </si>
  <si>
    <t>Amber Property Management</t>
  </si>
  <si>
    <t>2019 - Hillsford HOA-(2018/19 Trimming Recommendations)</t>
  </si>
  <si>
    <t>Carson Companies</t>
  </si>
  <si>
    <t>2019 - 1650 Charles Willard - (2019 Recommendations)</t>
  </si>
  <si>
    <t>2019 - 1651 Glenn Curtiss - (2019 Recommendations)</t>
  </si>
  <si>
    <t>2019 - 1725 Charles Willard - (2019 Recommendations)</t>
  </si>
  <si>
    <t>City of Anaheim</t>
  </si>
  <si>
    <t xml:space="preserve">2019 - Removals on DISNEYLAND DR </t>
  </si>
  <si>
    <t>City of Cerritos</t>
  </si>
  <si>
    <t>2018 - Removals at 12061 DEL AMO BLVD (Non-city)</t>
  </si>
  <si>
    <t>2019 - Page 10 Removals</t>
  </si>
  <si>
    <t>2019 - Page 4 Removals</t>
  </si>
  <si>
    <t>2019 - Page 5 Removals</t>
  </si>
  <si>
    <t>2019 - Page 6 Removals</t>
  </si>
  <si>
    <t>2019 - Page 7 Removals</t>
  </si>
  <si>
    <t>2019 - Page 8 Removals</t>
  </si>
  <si>
    <t xml:space="preserve">2019 - Page 9 Removals </t>
  </si>
  <si>
    <t>City of Long Beach</t>
  </si>
  <si>
    <t>2019 - Removals at EL DORADO PARK (Ranger Station) - REMAINING</t>
  </si>
  <si>
    <t>FirstService Residential</t>
  </si>
  <si>
    <t>2019 - Newport Ridge (NRI1)-(LS Walk; 6/11)</t>
  </si>
  <si>
    <t>2019 -(Apr/Jun) Seaway Collection Community (SCOL)-(2019 Recs)</t>
  </si>
  <si>
    <t>2019 -HOLD we lost the contract Santa Lucia (SLU)-(Dead Pepper; ID 157)</t>
  </si>
  <si>
    <t>Green Cerritos Investment, LLC</t>
  </si>
  <si>
    <t>NEED PERMIT 2019 - (Removal) Big 5 Plaza - (Revised 2019 April/June Recs)</t>
  </si>
  <si>
    <t>MarWest Commercial</t>
  </si>
  <si>
    <t>2019 - The Ortega Cottages - (3 Year Plan)</t>
  </si>
  <si>
    <t>Moulton Niguel Water District</t>
  </si>
  <si>
    <t>2019 - District Operations Facility (Carrotwood Trimming)</t>
  </si>
  <si>
    <t>Personal Touch</t>
  </si>
  <si>
    <t>2019 -(Jul) Rancho del Bougainvillea - (2019 Recommendations)</t>
  </si>
  <si>
    <t>POWERSTONE PROPERTY MGMT (formerly Classic)</t>
  </si>
  <si>
    <t>2019 - Clarendon Neighborhood Association - (Revised 2019 Removals Recommendations)</t>
  </si>
  <si>
    <t>2019 - Lakeside Park (Removal ID's 78, 79 &amp; 118)</t>
  </si>
  <si>
    <t>2019 - Rancho del Rio Master Association-(Revised 2019 Apr/Jun Recommendations)</t>
  </si>
  <si>
    <t>2019 - Smoketree HOA - ANAHEIM - (Removal; ID 11-13)</t>
  </si>
  <si>
    <t>Property Management Professionals, LLC</t>
  </si>
  <si>
    <t>2019 - Laguna Village HOA- (22175 Caminito Petatlan)</t>
  </si>
  <si>
    <t>Sares Regis</t>
  </si>
  <si>
    <t>2019 - Ridgecrest Apartments - (2019 Removals Recommendation)</t>
  </si>
  <si>
    <t xml:space="preserve">2019 -(Apr/Jun) Ridgecrest Apartments - (3 Year Plan) </t>
  </si>
  <si>
    <t>SEABREEZE MANAGEMENT</t>
  </si>
  <si>
    <t>2019 -(Apr/Jun) Seacliff Court Homeowners Association - (2019/20 Recommendations)</t>
  </si>
  <si>
    <t>The Groves Senior Community</t>
  </si>
  <si>
    <t>2019 - The Groves Homeowners-(152-155)</t>
  </si>
  <si>
    <t>The Management Trust</t>
  </si>
  <si>
    <t>NEED PERMIT- 2019 - Sundance HOA-(Revised-Removal Recommendaitons)</t>
  </si>
  <si>
    <t>TRC (formerly Terramar Retail Centers)</t>
  </si>
  <si>
    <t>2019 -(Jul &amp; Removals) The Village at Orange - (3 Year Plan)</t>
  </si>
  <si>
    <t>Vestar</t>
  </si>
  <si>
    <t>Waiting for Approval - 2019 - (Apr/Jun) Gateway Towne Center (2019 Recommendations)</t>
  </si>
  <si>
    <t>Waiting for Approval - 2019 - (Aug/Oct) Gateway Towne Center (2019 Recommendations)</t>
  </si>
  <si>
    <t>Waiting on Approval - 2019 - (Aug/Oct) Pico Rivera Plaza (2019 Recommendations)</t>
  </si>
  <si>
    <t>Waiting on Approval - 2019 -(Apr/Jun &amp; Removals) Pico Rivera Plaza (2019 Recommendations)</t>
  </si>
  <si>
    <t>City of Irvine</t>
  </si>
  <si>
    <t>2019 - BARRANCA PKWY (Jamboree to Red Hill)</t>
  </si>
  <si>
    <t>2019 - IRVINE CENTER DRIVE (HARVARD - JEFFREY)</t>
  </si>
  <si>
    <t>2019 - SR PK Trim at CIVIC CENTER</t>
  </si>
  <si>
    <t>2019 - SR Removals at WILLOWS PARK</t>
  </si>
  <si>
    <t>VERIFY - 2018 - (Removals) Westridge Community (V-Ditch Pines)</t>
  </si>
  <si>
    <t>2019 - (Jan/Mar &amp; Removals) Laguna Village HOA - District 4</t>
  </si>
  <si>
    <t>2019 - (Jan/Mar &amp; Removals) Laguna Village HOA- District 1</t>
  </si>
  <si>
    <t>Original Schedule Dates</t>
  </si>
  <si>
    <t>Start</t>
  </si>
  <si>
    <t>End</t>
  </si>
  <si>
    <t>Del</t>
  </si>
  <si>
    <t>TOTAL</t>
  </si>
  <si>
    <t>2020 (Removals) Northwood Courtside - (19/20 Removal Recommendations)</t>
  </si>
  <si>
    <t>2020 - Trimming at DISNEYLAND DR &amp; KATELLA AVE (Palms) -REMAINING TREES</t>
  </si>
  <si>
    <t>Golden Star Technology, Inc.</t>
  </si>
  <si>
    <t>2020 - (Removals) Golden Star Technology===NEED PERMIT</t>
  </si>
  <si>
    <t>2020 (July) San Joaquin Hills 20/21 Snapshot</t>
  </si>
  <si>
    <t xml:space="preserve">2020 (Removals) San Joaquin Hills - (2019/20 Removal Recommendations) </t>
  </si>
  <si>
    <t>2020 - San Joaquin Hills (Client Request Removals; ID's 90-92)</t>
  </si>
  <si>
    <t>City of Westminster</t>
  </si>
  <si>
    <t>2020 - May Service Request</t>
  </si>
  <si>
    <t>GRAND TOTAL</t>
  </si>
  <si>
    <t>2020 - Harbor Ridge Crest-(16 Coventry; ID 424)</t>
  </si>
  <si>
    <t>2020 - Removal on Donegal Dr</t>
  </si>
  <si>
    <t>Magnolia USD</t>
  </si>
  <si>
    <t>2020 - District Office (FY 19/20 Tree Maintenance)</t>
  </si>
  <si>
    <t>2020 - Dr. Albert Schweitzer (FY 19/20 Tree Maintenance)</t>
  </si>
  <si>
    <t>2020 - Dr. Jonas E. Salk School (FY 19/20 Tree Maintenance)</t>
  </si>
  <si>
    <t>2020 - Dr. Peter Marshall Elementary (FY 19/20 Tree Maintenance)</t>
  </si>
  <si>
    <t>2020 - Esther L Walter (FY 19/20 Tree Maintenance)</t>
  </si>
  <si>
    <t>2020 - Juliet Low Elementary (FY 19/20 Tree Maintenance)</t>
  </si>
  <si>
    <t>2020 - Lord Baden Powell (FY 19/20 Tree Maintenance)</t>
  </si>
  <si>
    <t>2020 - Mattie Lou Maxwell Elementary (FY 19/20 Tree Maintenance)</t>
  </si>
  <si>
    <t>2020 - Robert M Pyles School</t>
  </si>
  <si>
    <t>2020 - Walt Disney School (FY 19/20 Tree Maintenance)</t>
  </si>
  <si>
    <t>2020 (Jan/Jun &amp; Removals) Lakeside Park- (2020 Snapshot)</t>
  </si>
  <si>
    <t>Associa (AKA PCM)</t>
  </si>
  <si>
    <t xml:space="preserve">2020 - University Community Association- (ID 1303 &amp; 2022) </t>
  </si>
  <si>
    <t>2020 - University Community Association- (ID 1821)</t>
  </si>
  <si>
    <t>2020 - University Community Association-(764 &amp; 1294)</t>
  </si>
  <si>
    <t>Hacienda Christian Fellowship</t>
  </si>
  <si>
    <t>2020 - Hacienda Christian Fellowship</t>
  </si>
  <si>
    <t>2020 - Palm Gardens Community Association (Apr/Jun Snapshot, Trim ID 262)</t>
  </si>
  <si>
    <t xml:space="preserve">2020 - Trimming at CONVENTION CENTER (Arena Plaza) </t>
  </si>
  <si>
    <t>2020 - Trimming at CONVENTION CENTER (Palm Gardens) - Palms</t>
  </si>
  <si>
    <t>2020 - Trimming at GRAND PLAZA (Palms)</t>
  </si>
  <si>
    <t>City of Cypress</t>
  </si>
  <si>
    <t>2020 - GRID 47 (PALMS)</t>
  </si>
  <si>
    <t>2020 - GRID 48 (PALMS)</t>
  </si>
  <si>
    <t>City of Newport Beach</t>
  </si>
  <si>
    <t>2020 - CITYWIDE CORALS (Greater than 19 inches)</t>
  </si>
  <si>
    <t>COMMON INTERESTS</t>
  </si>
  <si>
    <t>2020 - Aliso Meadows Condominium Association - (2020 Removal Recommendations</t>
  </si>
  <si>
    <t>POST 2020 (Apr/Sept) Aliso Meadows Condominium Association - (3 Year Plan)</t>
  </si>
  <si>
    <t>2020 - Newport Ridge- (2 Dead Pines; ID 267 &amp; 618)</t>
  </si>
  <si>
    <t>2020 (Jan/Jun &amp; Removals) Sunset Ridge -(Revised 3 Year Plan)</t>
  </si>
  <si>
    <t>2020 - PORTOLA PKWY (Jamboree - Jeffrey)</t>
  </si>
  <si>
    <t>2020 (Oct/Dec) Laderbel Business Park-(2020 Recommendations)</t>
  </si>
  <si>
    <t>2020 - Laderbel Business Park-(Removlas; ID 14-16)</t>
  </si>
  <si>
    <t>2020 - 15989 Cypress Avenue (2020 Snapshot)</t>
  </si>
  <si>
    <t>2020 - 16043 El Prado Road (2020 Snapshot)</t>
  </si>
  <si>
    <t>2020 - 16142 Fern Avenue (2020 Snapshot)</t>
  </si>
  <si>
    <t xml:space="preserve">2020 - Trimming at CONVENTION CENTER (Arena Plaza) - REVISED </t>
  </si>
  <si>
    <t>Bellflower Unified School District</t>
  </si>
  <si>
    <t xml:space="preserve">2020 - Basiner School </t>
  </si>
  <si>
    <t>2020 - 1250 E Victoria St (2020 Snapshot)</t>
  </si>
  <si>
    <t>2020 - 1375 Beachey (2020 Snapshot)</t>
  </si>
  <si>
    <t>2020 - 15730 Figueroa (2020 Snapshot)</t>
  </si>
  <si>
    <t>2020 - 1650 Charles Willard (2020 Snapshot)</t>
  </si>
  <si>
    <t>2020 - 1651 Glenn Curtiss (2020 Snapshot)</t>
  </si>
  <si>
    <t>2020 - 1725 Charles Willard (2020 Snapshot)</t>
  </si>
  <si>
    <t>2020 - 18049 Wilmington (2020 Snapshot)</t>
  </si>
  <si>
    <t>2020 - 18201 Central (2020 Snapshot)</t>
  </si>
  <si>
    <t>2020 - 18300 Central (2020 Snapshot)</t>
  </si>
  <si>
    <t>2020 - 2600 Homestead (2020 Recommendations)</t>
  </si>
  <si>
    <t>2020 - 2605 Homestead (2020 Recommendations)</t>
  </si>
  <si>
    <t>2020 - 2610 Homestead (2020 Recommendations)</t>
  </si>
  <si>
    <t xml:space="preserve">2020 - 2615 Homestead (2020 Recommendations) </t>
  </si>
  <si>
    <t>2020 - 2625 Homestead (2020 Recommendations)</t>
  </si>
  <si>
    <t>2020 - 2630 Homestead (2020 Recommendations)</t>
  </si>
  <si>
    <t>2020 - Dominguez Plaza (2020 Snapshot)</t>
  </si>
  <si>
    <t>CB Richard Ellis</t>
  </si>
  <si>
    <t xml:space="preserve">2020 - Corporate Pointe @ West Hills (Revised 2020 Recommendations) </t>
  </si>
  <si>
    <t>2020 - Trimming at CONVENTION CENTER (Transit Plaza) - Palms</t>
  </si>
  <si>
    <t>2020 (Apr/Jun) Fairview Village HOA-(3 Year Plan)</t>
  </si>
  <si>
    <t>Cardinal Property Management</t>
  </si>
  <si>
    <t>2020 - Lakeridge Whittier-(Removal; ID 49)</t>
  </si>
  <si>
    <t>2020 - Lakeridge Whittier-(WO XN276805; Unit 162)</t>
  </si>
  <si>
    <t>2020 - Trimming at KATELLA AVE (Harbor Blvd - Disneyland Dr)</t>
  </si>
  <si>
    <t>Warmington Properties, Inc.</t>
  </si>
  <si>
    <t>2020 - Batavia Business Park (2020 Recommendations)</t>
  </si>
  <si>
    <t>2020 - City of Anaheim Contract (Palm Tree Lab Report)==NEED TO INVOICE</t>
  </si>
  <si>
    <t>2020 - MOUNTAIN VIEW ST (Non - City)</t>
  </si>
  <si>
    <t>2020 - Removal at El Dorado Park (East)</t>
  </si>
  <si>
    <t>2020 - ROSA PARKS PARK (Sycamore)</t>
  </si>
  <si>
    <t>2020 - Trimming at 21ST TO HILL PARK (Eucalyptus) - REVISED</t>
  </si>
  <si>
    <t>2020 - Trimming at EL DORADO REGIONAL PARK EAST (Pine) - REVISED</t>
  </si>
  <si>
    <t xml:space="preserve">2020 - Trimming at MAGIC WY (Disneyland Dr - Walnut St) </t>
  </si>
  <si>
    <t>2020 - CESAR E CHAVEZ PARK (Shoreline Dr - 3rd St)</t>
  </si>
  <si>
    <t>2020 - Removal at BIXBY KNOLLS PARK (Maple - Silver)</t>
  </si>
  <si>
    <t>2020 - Removals at 7700 E Spring St (Non-City) - REVISED</t>
  </si>
  <si>
    <t>2020 - Removals at RAMONA PARK (Liquidambar)</t>
  </si>
  <si>
    <t>2020 - Trimming at HERMAN J SCHERER PARK</t>
  </si>
  <si>
    <t xml:space="preserve">2020 - Trimming at RAMONA PARK </t>
  </si>
  <si>
    <t>2020 - WARDLOW PARK (Pine)</t>
  </si>
  <si>
    <t>City of Stanton</t>
  </si>
  <si>
    <t>2020 - AREA 3-3</t>
  </si>
  <si>
    <t xml:space="preserve">2020 - (JULY &amp; Removals) Pacific Hills East - (W.O Requests Recommendations) </t>
  </si>
  <si>
    <t>2020 - (AUG/SEP &amp; Removals) Cape Cove HOA - (Revised Recommendations Per LS Walk; 6-9-20)</t>
  </si>
  <si>
    <t>2020 - (AUG/SEP) Cape Cove HOA - (Revised Landscape walk Recommendations; 7/20/20)</t>
  </si>
  <si>
    <t>2020 - (Removal) Whispering Hills Community Association - (Alder Removal ; ID 79)</t>
  </si>
  <si>
    <t xml:space="preserve">2020 - Canyon Fairway - (2020 Removal Recommendations) </t>
  </si>
  <si>
    <t>2020 - Northwood II HOA- (20/21 Eucalyptus Removals &amp; Monitors)</t>
  </si>
  <si>
    <t>Crummack Huseby, Inc.</t>
  </si>
  <si>
    <t>2020 -Northpark Maintenance HOA-(Wind Row Trees) (ID 5-59, 5-69, &amp; 5-159)</t>
  </si>
  <si>
    <t>East Whittier City School District</t>
  </si>
  <si>
    <t xml:space="preserve">2020 - Ocean View Elementary (Silk Floss) </t>
  </si>
  <si>
    <t>2020 (Removals) Golden Star Technology===NEED PERMIT</t>
  </si>
  <si>
    <t>Keystone Pacific Property Management, LLC</t>
  </si>
  <si>
    <t xml:space="preserve">2020 - Portola Springs Community Association - (Removal Recommendation; ID 85) </t>
  </si>
  <si>
    <t>2020 - Rolling Hills Community - (Removal Recommendation; ID 71)</t>
  </si>
  <si>
    <t>2020 - PERMIT Northwood II HOA- (20/21 Eucalyptus Removals &amp; Monitors)</t>
  </si>
  <si>
    <t>2020 - Moody St (Cerritos - Lincoln Ave)</t>
  </si>
  <si>
    <t>2020 - AREA 4-2</t>
  </si>
  <si>
    <t>2020 - AREA 4-3</t>
  </si>
  <si>
    <t>2020 - AREA 4-4 (Revised)</t>
  </si>
  <si>
    <t>PERMIT 2020 Northpark Maintenance HOA-(Wind Row Trees) (ID 5-59, 5-69, &amp; 5-159)</t>
  </si>
  <si>
    <t xml:space="preserve">HOLD/ PERMIT 2020 Portola Springs Community Association - (Removal Recommendation; ID 85) </t>
  </si>
  <si>
    <t>2020 - Woodbridge Laurels Maintenance Association-(Competitive Bid)</t>
  </si>
  <si>
    <t>2020 - JAMBOREE (5 FWY - CITY LIMITS)</t>
  </si>
  <si>
    <t>Casta Del Sol</t>
  </si>
  <si>
    <t>2020 - Removal at 23681 VIA LOPEZ (Camphor)</t>
  </si>
  <si>
    <t>2020 - Removal at REC CENTER 2 (Liquidambar)</t>
  </si>
  <si>
    <t>2020 - Removals at 23312 VILLENA</t>
  </si>
  <si>
    <t>2020 - Removals at 28492 &amp; 28482 BORGONA</t>
  </si>
  <si>
    <t>2020 - Trimming at DISNEYLAND DR (Paradise Way - Magic Way)</t>
  </si>
  <si>
    <t>2020 - City of Long Beach Queensway Bay (Palms and Corals RevA)</t>
  </si>
  <si>
    <t>2020 - Removals at VET PARK (Crape Myrtle)</t>
  </si>
  <si>
    <t>Elite Property Services</t>
  </si>
  <si>
    <t>2020 - REVISED- (2020 Client Request Removals)</t>
  </si>
  <si>
    <t>2020 - Wimbledon Village Association - (Oct/Dec 2020 Snapshot)</t>
  </si>
  <si>
    <t>2020 - (Removals) Trailwood Maintenance Association- (Recommended Removals ; ID 58-88)</t>
  </si>
  <si>
    <t>2020 - Laguna Heights- (26 Trestles)</t>
  </si>
  <si>
    <t>2020 Laguna Heights - (ID 145; Pepper Trees on Circle Hill CT) CO 17774</t>
  </si>
  <si>
    <t>Vintage Group</t>
  </si>
  <si>
    <t>2020 - Vista La Cuesta MC, RSM-(Root Prune; Removals)</t>
  </si>
  <si>
    <t>Irvine Spectrum</t>
  </si>
  <si>
    <t>2019 - PLACEHOLDER- Irvine Spectrum Center</t>
  </si>
  <si>
    <t>2020 - The Cape Series in Aliso Viejo -(2020 Add'tl Removal ID's 4-7)</t>
  </si>
  <si>
    <t>Encore Property Management</t>
  </si>
  <si>
    <t>2020 Artisan Community-(Tristanias)</t>
  </si>
  <si>
    <t>Orange County Fire Authority</t>
  </si>
  <si>
    <t>2020 - Aliso Viejo &amp; Vista Pointe Ridge (Contract Bid)</t>
  </si>
  <si>
    <t>2020 - PRIORITY 1 REMOVALS</t>
  </si>
  <si>
    <t>2020 - Removal at Calle Espina &amp; Vía Herrera (Eucalyptus)</t>
  </si>
  <si>
    <t>2020 - Watering at Maple Grove Park (South)</t>
  </si>
  <si>
    <t>2020 (Oct/Dec &amp; Removals) Serrano Park - (Additional 4th Quarter Recommendations)</t>
  </si>
  <si>
    <t>2020 - Vista Monte HOA - (2020 Removal Recommendations)</t>
  </si>
  <si>
    <t xml:space="preserve">2020 - Vista Monte HOA - (Revised 3 Year Plan) </t>
  </si>
  <si>
    <t>Mariners Church</t>
  </si>
  <si>
    <t>2020 - Mariners Church - (Magnolia Scale Treatment)</t>
  </si>
  <si>
    <t xml:space="preserve">2020 - Plant 3A Treatment Plant (Pepper Removals) </t>
  </si>
  <si>
    <t>2020 - Rolling Hills Res. Pump Station (Pine Removal)</t>
  </si>
  <si>
    <t>2020 (Oct/Dec &amp; Removals) Aliso Creek Apts (2020 Recommendations)</t>
  </si>
  <si>
    <t>2020 - Alicia Center Company (Honali) - Additional Recommendations</t>
  </si>
  <si>
    <t>2020 (Oct/Dec &amp; Removals) Pacific Ridge - REVISED (LS Walk H.O. Request Recommendations)</t>
  </si>
  <si>
    <t>GRAND TOTAL:</t>
  </si>
  <si>
    <t>ACCELL PROPERTY MGMT</t>
  </si>
  <si>
    <t xml:space="preserve">2020 - Terramonte HOA - (Revised 6 Sequero Root Barrier Installation) </t>
  </si>
  <si>
    <t>2020 - Laurelmont Community Association (PRO424-18077) (H/O Request Recommendations)</t>
  </si>
  <si>
    <t>Chris Morris Residence</t>
  </si>
  <si>
    <t>2020 - Chris Morris Residence-(Crew Rental)</t>
  </si>
  <si>
    <t>City of Lake Forest</t>
  </si>
  <si>
    <t>2020 - Trimming at 22712 BAKE PKWY (Pine)</t>
  </si>
  <si>
    <t>2020 - Removal at EL DORADO PARK WEST (Acacia)</t>
  </si>
  <si>
    <t>2020 - November Service Request</t>
  </si>
  <si>
    <t>2020 - Vista Pointe Ridge - (WO 2020-P189-00003; Removal ID 96)</t>
  </si>
  <si>
    <t>2020 - The Terrace Community- (ID 359; 5161 Maple)</t>
  </si>
  <si>
    <t xml:space="preserve">2020 - Whispering Hills Community Association - (2020 Add'tl Recommendations) </t>
  </si>
  <si>
    <t>Tritz Professional Management Service, Inc.</t>
  </si>
  <si>
    <t xml:space="preserve">2020 - Serrano Woods HOA - (2020 Snapshot; Trimming &amp; Removals) </t>
  </si>
  <si>
    <t>TOTAL:</t>
  </si>
  <si>
    <t>Ammcor</t>
  </si>
  <si>
    <t>2020 - Montego Rancho San Clemente - (Calle Del Cerro Island; Coral Trimming)</t>
  </si>
  <si>
    <t>2020 - GRID 19 (NEWPORT RIDGE) - FIRE AUTHORITY</t>
  </si>
  <si>
    <t>2020 - GRID 20 (Pelican Crest) - FIRE AUTHORITY</t>
  </si>
  <si>
    <t>2020 - GRID 21 (OCEAN RIDGE) - FIRE AUTHORITY</t>
  </si>
  <si>
    <t xml:space="preserve">2020 - Removal at 608 BALBOA BLVD (Palm) </t>
  </si>
  <si>
    <t xml:space="preserve">2020 - Mission Sunrise Ridge - (GSTS Removal Recommendations) </t>
  </si>
  <si>
    <t xml:space="preserve">2020 - Mission Sunrise Ridge - (H/O Request Removals) </t>
  </si>
  <si>
    <t>2020 - Mesa Vista North - (27249 Via Capri Removal ID 84)</t>
  </si>
  <si>
    <t xml:space="preserve">2020 - Valencia HOA - (2020 Snapshot) </t>
  </si>
  <si>
    <t xml:space="preserve">2020 - San Joaquin Hills (Aug/Sept 2020 Snapshot) </t>
  </si>
  <si>
    <t>2021 (Removals) Concorde Place -(2021 Recommendations)</t>
  </si>
  <si>
    <t>BHE Management</t>
  </si>
  <si>
    <t>2020 - Windflower - (53 Camomile Place)</t>
  </si>
  <si>
    <t>2020 - Mesa Vista North - (Jul/Sept Snapshot)</t>
  </si>
  <si>
    <t xml:space="preserve">2020 - Palm Gardens Community Association - (Revised 2020 Snapshot) </t>
  </si>
  <si>
    <t>2020 - The Terrace Community Association - (ID 1261-1264)</t>
  </si>
  <si>
    <t>PERMIT 2020 - The Terrace Community Assoc. - (2020 Additional Service Requests)</t>
  </si>
  <si>
    <t>Saint Vincent de Paul</t>
  </si>
  <si>
    <t>2020 - Saint Vincent de Paul (Various Crew Rental Work)</t>
  </si>
  <si>
    <t>2020 - Baja Finisterra (PRO406-18077) (Client Request Removal ID 33)</t>
  </si>
  <si>
    <t>2020 - Baja Finisterra (PRO406-18077) - (WO 1143 Add'tl Removals)</t>
  </si>
  <si>
    <t>PERMIT 2020 - Baja Finisterra (PRO406-18077) - (WO 1082 Client Removal ID 34)</t>
  </si>
  <si>
    <t>2020- The Groves HOA - (Removal ID 137; 14-3)</t>
  </si>
  <si>
    <t>2020 - Serrano Heights -(2020 Recommendations)</t>
  </si>
  <si>
    <t>Millennium Community Management</t>
  </si>
  <si>
    <t>2020 - Niguel Villas Association - (2020 Oct/Dec Snapshot)</t>
  </si>
  <si>
    <t xml:space="preserve">2021 (Mar/Jun) Marinita Townhomes Association - (3 Year Plan) </t>
  </si>
  <si>
    <t xml:space="preserve">2022 (Jan/Feb) Marinita Townhomes Association - (3 Year Plan) </t>
  </si>
  <si>
    <t xml:space="preserve">2022 (Mar/Jun) Marinita Townhomes Association - (3 Year Plan) </t>
  </si>
  <si>
    <t xml:space="preserve">2023 (Jan/Feb) Marinita Townhomes Association - (3 Year Plan) </t>
  </si>
  <si>
    <t xml:space="preserve">2023 (Mar/Jun) Marinita Townhomes Association - (3 Year Plan) </t>
  </si>
  <si>
    <t xml:space="preserve">2024 (Jan/Feb) Marinita Townhomes Association - (3 Year Plan) </t>
  </si>
  <si>
    <t>Southwest Landscape Inc</t>
  </si>
  <si>
    <t>2020 - Moog Aircraft Group (2020 Recommendations)</t>
  </si>
  <si>
    <t>Western Landscape Maintenance Plus, Inc.</t>
  </si>
  <si>
    <t xml:space="preserve">2020 - Glenwood - (Client Request Removals) </t>
  </si>
  <si>
    <t>2020 - UCA - (ID 392; 28 Foxglove)</t>
  </si>
  <si>
    <t>Cal State Long Beach</t>
  </si>
  <si>
    <t>(DIR) 2020 - FM WINTER REMOVALS</t>
  </si>
  <si>
    <t>(DIR) 2020 - HOUSING WINTER REMOVALS</t>
  </si>
  <si>
    <t>(DIR) 2020 - HRL BEACHSIDE TREE TRIM</t>
  </si>
  <si>
    <t>(DIR) 2020 - JAPANESE GARDENS WINTER TRIM</t>
  </si>
  <si>
    <t>2020 - Mexican Fan Palms on Lincoln Ave</t>
  </si>
  <si>
    <t>2020 - BURTON W CHASE MINI PARK (Palm - Queen)</t>
  </si>
  <si>
    <t>2020 - EL DORADO PARK WEST (Palm - Queen)</t>
  </si>
  <si>
    <t>2020 - ROSE PARK (Palm - Queen)</t>
  </si>
  <si>
    <t>2020 - Stump Grinding at POINSETTIA AVE &amp; PORT BARMOUTH PL</t>
  </si>
  <si>
    <t>2020 - December Service Request</t>
  </si>
  <si>
    <t xml:space="preserve">PERMIT 2020 - Rolling Hills Community - (Revised 2020 Add'tl Removals) </t>
  </si>
  <si>
    <t xml:space="preserve">2020 (Oct/Dec) Tierra Linda HOA </t>
  </si>
  <si>
    <t>2021 - Palm Pruning on WESTMINSTER BLVD (REVISED)</t>
  </si>
  <si>
    <t xml:space="preserve">2021 (Apr/Jun) Portola Springs Community Association - (2021 Snapshot) </t>
  </si>
  <si>
    <t xml:space="preserve">2021 (Aug/Sept) Portola Springs Community Association - (2021 Snapshot) </t>
  </si>
  <si>
    <t xml:space="preserve">2021 (Jul) Portola Springs Community Association - (2021 Snapshot) </t>
  </si>
  <si>
    <t xml:space="preserve">PERMIT 2021 (Apr/Jun) Laguna Woods Homeowners Association - (4 Year Plan) </t>
  </si>
  <si>
    <t xml:space="preserve">PERMIT 2021 (Jan/Mar) Laguna Woods Homeowners Association - (4 Year Plan) </t>
  </si>
  <si>
    <t xml:space="preserve">2021 (Jan/Mar) Cape Cove HOA - (Site Walk 9-24-19) CO 17889 </t>
  </si>
  <si>
    <t xml:space="preserve">2021 (Jan/Mar) Canyons Edge Community Association - (4 Year Plan) </t>
  </si>
  <si>
    <t xml:space="preserve">2022 (Apr/Jun) Canyons Edge Community Association - (4 Year Plan) </t>
  </si>
  <si>
    <t xml:space="preserve">2023 (Jan/Mar) Canyons Edge Community Association - (4 Year Plan) </t>
  </si>
  <si>
    <t xml:space="preserve">HOLD 2021 (Jan/Apr) Silverstone HOA - (4 Year Plan) </t>
  </si>
  <si>
    <t>RealManage</t>
  </si>
  <si>
    <t>2020 - Palms at Cerritos-(2021 Palm Trimming)</t>
  </si>
  <si>
    <t>2021 - Northpark Monterey-(Priority 1 Removals)</t>
  </si>
  <si>
    <t xml:space="preserve">2020 (Oct/Dec) SeaView Townhomes - (40 Vista Encanta; Palm Trimming) </t>
  </si>
  <si>
    <t>2021 - Newport Ridge - (Removal ID 1052; Crestridge Meadow)</t>
  </si>
  <si>
    <t>2020 - Pacific Ridge HOA - (Removal ID 168; 1 Skygate)</t>
  </si>
  <si>
    <t>Long Beach USD</t>
  </si>
  <si>
    <t xml:space="preserve">(DIR) 2020 Herbert Hoover Middle School (Eucalyptus) </t>
  </si>
  <si>
    <t>(DIR) 2021 Bancroft Middle School (Eugenia Trimming)</t>
  </si>
  <si>
    <t>Optimum</t>
  </si>
  <si>
    <t>2021 (Jan/Mar &amp; Removals) Newport Crest HOA (2021 Snapshot)</t>
  </si>
  <si>
    <t>2021 (Apr/Jun) Turtle Rock Crest Maintenance Assoc. (Front Yards) - (2021 Snapshot)</t>
  </si>
  <si>
    <t>2021 - Laguna Woods HOA-(Removals ID 60 &amp; 122)</t>
  </si>
  <si>
    <t>2020 - Trimming at PEBBLE CREEK PARK (Sycamore) (Bird nest)</t>
  </si>
  <si>
    <t>Certified HOA Management, Inc.</t>
  </si>
  <si>
    <t>Need Permit 2021 Parkside Cerritos (20/21 Removal Recommendations)</t>
  </si>
  <si>
    <t>2021 - Removal at 22721 CHERRY AVE (Eucalyptus)</t>
  </si>
  <si>
    <t>2021 - Removal at MONTBURY PARK (Poplar)</t>
  </si>
  <si>
    <t>2021 - Removals at 22640 SERRANO RD (Pine)</t>
  </si>
  <si>
    <t>2020 (Oct/Dec &amp; Removal) - Lake Forest (Neighborhoods) - (Tract 7781-LF)</t>
  </si>
  <si>
    <t>2020 (Oct/Dec &amp; Removal) Lake Forest (Neighborhoods) - (Tract 5398 LF)</t>
  </si>
  <si>
    <t>2020 (Oct/Dec) Lake Forest (Neighborhoods) - (Tract 5398 LL)</t>
  </si>
  <si>
    <t>2020 (Oct/Dec) Lake Forest (Neighborhoods) - (Tract 6002- Common Areas)</t>
  </si>
  <si>
    <t>2020 (Oct/Dec) Lake Forest (Neighborhoods) - (Tract 6654- LF)</t>
  </si>
  <si>
    <t>Interpacific Asset Mgmt</t>
  </si>
  <si>
    <t>2020 - New Brookdale - GARDEN GROVE-(Removal; ID 25)</t>
  </si>
  <si>
    <t>TOTAL PROPERTY MGMT</t>
  </si>
  <si>
    <t xml:space="preserve">2021 - Casa De Laguna Owner Association - (Crew Rental Remaining Pear Trees) </t>
  </si>
  <si>
    <t>Village Park Community Association</t>
  </si>
  <si>
    <t>2021 -Village Park Community Association (34 Willow)</t>
  </si>
  <si>
    <t>City of Laguna Niguel</t>
  </si>
  <si>
    <t xml:space="preserve">2021 - (F) METROLINK STATION </t>
  </si>
  <si>
    <t xml:space="preserve">2021 - (F) SEA COUNTRY SENIOR &amp; COMMUNITY CENTER </t>
  </si>
  <si>
    <t xml:space="preserve">2021 - (P) LA PLATA PARK </t>
  </si>
  <si>
    <t xml:space="preserve">2021 - (RGT) APEX LAGUNA </t>
  </si>
  <si>
    <t>2021 - (RGT) CAMINO CAPISTRANO WEST SIDE (N/S CITY BOUNDARIES)</t>
  </si>
  <si>
    <t>2021 - (RGT) OSO CREEK TRAIL</t>
  </si>
  <si>
    <t>2021 - TEST 1 (WR47075)</t>
  </si>
  <si>
    <t>2021 - TEST 2 (WR47076)</t>
  </si>
  <si>
    <t>Cruz Lerma</t>
  </si>
  <si>
    <t>2021 - 6302 Anthony Ave - (Removal ID 1-3)</t>
  </si>
  <si>
    <t>2021 - Bella Rosa Cost Center - (Bombay Requests)</t>
  </si>
  <si>
    <t>(DIR) 2021 - El Dorado Reservoir Pump Station (Pine Removal)</t>
  </si>
  <si>
    <t>2021 (Jan/Mar) Garden Homes Maintenance Assoc.(Revised 3 Year Plan)</t>
  </si>
  <si>
    <t>2021 (Oct/Dec) Garden Homes Maintenance Assoc.(Revised 3 Year Plan)</t>
  </si>
  <si>
    <t xml:space="preserve">CONFIRM DATE 2021 - Cypress North - (Revised 2021 Removal Recommendations) </t>
  </si>
  <si>
    <t>(DIR) 2021 Leffingwell Elementary (20/21 Snapshot)</t>
  </si>
  <si>
    <t xml:space="preserve">(DIR) 2021 Ocean View Elementary (Pepper - California) </t>
  </si>
  <si>
    <t>2021 - Newport Ridge (NRI1) - (ID 1053 &amp; 1054; 41 Chandon)</t>
  </si>
  <si>
    <t>2021 (Jan/Mar) Laguna Heights - (Aleppo Pines Standard Pruning &amp; Corrective Pruning)</t>
  </si>
  <si>
    <t xml:space="preserve">2021 - Ville Cerise - (Revised 25521 Rue Terrase; Removal ID's 3 &amp;6) </t>
  </si>
  <si>
    <t>(DIR) 2020 - Somerset Continuation High School (20/21 Snapshot)</t>
  </si>
  <si>
    <t>(DIR) 2021 - Washington Elementary School (20/21 Snapshot)</t>
  </si>
  <si>
    <t>(DIR) 2021 Bellflower High School (20/21 Snapshot)</t>
  </si>
  <si>
    <t>(DIR) 2021 Esther Lindstrom Elementary (20/21 Snapshot)</t>
  </si>
  <si>
    <t>(DIR) 2021 Mayfair High School (Ash Removal)</t>
  </si>
  <si>
    <t>(DIR) 2021 Ramona Elementary School (20/21 Snapshot)</t>
  </si>
  <si>
    <t>2020 - Ron Yary Stadium (20/21 Snapshot)</t>
  </si>
  <si>
    <t>2021 - (P) HIDDEN HILLS PARK (Pine - Canary Island)</t>
  </si>
  <si>
    <t>Need Permit 2021 - Parkside Cerritos-(Removal; ID 13)</t>
  </si>
  <si>
    <t xml:space="preserve">ON HOLD===2021 - BASIN 1 REMOVALS </t>
  </si>
  <si>
    <t>2021 - Palm Removals at MARGUERITE AVE</t>
  </si>
  <si>
    <t>2021 - SR at 14121 FRANCES ST</t>
  </si>
  <si>
    <t>Fairhaven Memorial</t>
  </si>
  <si>
    <t xml:space="preserve">2021 (Jan/Mar &amp; Removals) Fairhaven Memorial-(LOC 05078) - (1901 House Recommendations) </t>
  </si>
  <si>
    <t>Irvine Company - Retail</t>
  </si>
  <si>
    <t>2021 - Bluffs (CI Palms)</t>
  </si>
  <si>
    <t>2021 - Corona Del Mar (CI Palms)</t>
  </si>
  <si>
    <t>2021 - Crossroads (CI Palms)</t>
  </si>
  <si>
    <t>2021 - Crystal Cove (CI Palms)</t>
  </si>
  <si>
    <t>2021 - Harvard Place (CI Palms)</t>
  </si>
  <si>
    <t>2021 - Newport Coast (CI Palms)</t>
  </si>
  <si>
    <t>2021 - Quail Hill Village Center (CI Palms)</t>
  </si>
  <si>
    <t xml:space="preserve">2021 - Hillsford HOA - (Revised Jan/Mar 2021 Snapshot) </t>
  </si>
  <si>
    <t xml:space="preserve">2021 - AREA 4 </t>
  </si>
  <si>
    <t xml:space="preserve">2021 - Lake Forest (Woods) - (Priority 1: Tract 7390 Slope 1 Trimming) </t>
  </si>
  <si>
    <t>2021 - Lake Forest (Woods) - (Tract 5797 Woods - Area 2 Trimming)</t>
  </si>
  <si>
    <t>2021 - Lake Forest (Woods) - (Tract 5797 Woods - Area 3 Trimming)</t>
  </si>
  <si>
    <t xml:space="preserve">2021 - Lake Forest (Woods) - (Trimming -Tract 6801-Slope) </t>
  </si>
  <si>
    <t>2021 Lake Forest (Woods) - (Tract 5797 Woods - Area 1 Trimming)</t>
  </si>
  <si>
    <t>NO NOISE BEFORE 10 2021 - Lake Forest (Woods) - (Priority 2: Tract 9124 -Slope Trimming)</t>
  </si>
  <si>
    <t xml:space="preserve">TRIM 2021 - Lake Forest (Woods) - (Tract 6349 - Slope 1 NO NOISE BEFORE 10) </t>
  </si>
  <si>
    <t>TRIMMING 2021 - Lake Forest (Woods) (Tract 6349 - Slope 2 NO NOISE BEFORE 10)</t>
  </si>
  <si>
    <t xml:space="preserve">TRIMMING 2021 - Lake Forest (Woods) - (Tract 6353 - Slope 2) </t>
  </si>
  <si>
    <t>TRIMMING 2021 - Lake Forest (Woods) - (Tract 6349 - Slope 3 NO NOISE BEFORE 10)</t>
  </si>
  <si>
    <t>TRIMMING 2021 - Lake Forest (Woods) - (Tract 6353 - Slope 1)</t>
  </si>
  <si>
    <t xml:space="preserve">TRIMMING 2021 - Lake Forest (Woods) - (Tract 6353 - Trail 1) </t>
  </si>
  <si>
    <t xml:space="preserve">TRIMMING 2021 - Lake Forest (Woods) - (Tract 6353 - Trail 2) </t>
  </si>
  <si>
    <t>Irvine Company - Office</t>
  </si>
  <si>
    <t>2021 - Newport Gateway (Winter Trimming)</t>
  </si>
  <si>
    <t>2021 - The Launch (Spring Trimming)</t>
  </si>
  <si>
    <t xml:space="preserve">2021 - Pacific Ridge HOA - (2021 Removals; Per LS Walk 2/24) </t>
  </si>
  <si>
    <t xml:space="preserve">2021 (Apr/Jun) Belflora in Rancho Santa Margarita - (Revised 3 Year Plan) </t>
  </si>
  <si>
    <t xml:space="preserve">PERMIT 2021 - Harbor Creek HOA - (Revised Jan/Mar 2021 Snapshot) </t>
  </si>
  <si>
    <t>Rowland Water District</t>
  </si>
  <si>
    <t>(DIR) 2021 - Reservoir 6 Landscaping Project (RWD)</t>
  </si>
  <si>
    <t xml:space="preserve">2021 (Mar/Jun &amp; Removals) Laguna Sur Villas (Revised 2021/22 Trimming &amp; Removals) </t>
  </si>
  <si>
    <t xml:space="preserve">2021 (Mar/Jun) - Laguna Community - (Revised 3 Year Plan) </t>
  </si>
  <si>
    <t xml:space="preserve">2021 (Oct/Dec) Laguna Community - (Revised 3 Year Plan) </t>
  </si>
  <si>
    <t>2021 - Laguna Heights - (WO 4365; Removal ID 191-192)</t>
  </si>
  <si>
    <t>PERMIT 2021 - Laguna Heights - (Crew Rental - 2 Days - Stump Grinding)</t>
  </si>
  <si>
    <t xml:space="preserve">2021 (Jan/May) Ville Cerise - (Priority 2; 2021/22 Eucalyptus Special Trimming) </t>
  </si>
  <si>
    <t xml:space="preserve">2021 - Ville Cerise - (Priority 1; Special Trimming &amp; Removal Recommendations) </t>
  </si>
  <si>
    <t xml:space="preserve">2021 - Ville Cerise - (Priority 3; 2021/22 Eucalyptus Special Trimming) </t>
  </si>
  <si>
    <t>2021 (Stump &amp; Replant) Mariners Church - (2021 Jan/Mar Work)</t>
  </si>
  <si>
    <t>2021 (Jan/Mar &amp; Removals) Serrano Sand Castle Condominium Association - (2021 Add'tl Recommendations)</t>
  </si>
  <si>
    <t>2021 Serrano Sand Castle Condominium Association - (Removal Recommendation ID 8)</t>
  </si>
  <si>
    <t>PERMIT 2021 - Executive Guild El Toro (2021 Snapshot)</t>
  </si>
  <si>
    <t>2020 - Laguna Heights -(5 Landing; ID 186)</t>
  </si>
  <si>
    <t>2021 - Laguna Heights-(Area 3 Slope 2; Palisades - South)</t>
  </si>
  <si>
    <t>2020 - Acacia Park Trimming</t>
  </si>
  <si>
    <t>2021 - Removal at 22785 BAKE PKWY (Camphor)</t>
  </si>
  <si>
    <t xml:space="preserve">PERMIT 2021 (Jan/Jun) Eastbrook Community HOA - (2021 Snapshot) </t>
  </si>
  <si>
    <t xml:space="preserve">2021 - Newport Coast (Palm Tree Hangers) </t>
  </si>
  <si>
    <t>2021 - Aliso Hills Res. (FY 20/21 Removals)</t>
  </si>
  <si>
    <t>2021 - Marguerite Res. (FY 20/21 Removals)</t>
  </si>
  <si>
    <t>2021 - North Aliso Lift (FY 20/21 Trimming)</t>
  </si>
  <si>
    <t>2021 - Pacific Island Drive Res.2/Pump3 (FY 20/21 Trimming)</t>
  </si>
  <si>
    <t>2021 - Pacific Park Pump (FY 20/21 Removals)</t>
  </si>
  <si>
    <t>2021 - Rancho Reservoir Pump (FY 20/21 Removals)</t>
  </si>
  <si>
    <t>2021 - Regional Lift (FY 20/21 Trimming)</t>
  </si>
  <si>
    <t>2021 - Rolling Hills Res/Pump (FY 20/21 Removals)</t>
  </si>
  <si>
    <t>2021 - Seville Res. (FY 20/21 Trimming &amp; Removals)</t>
  </si>
  <si>
    <t xml:space="preserve">2021 (Apr/Jun &amp; Removals) Tijeras Creek Villas Maintenance Corporation - (2021 Add'tl Recommendations) </t>
  </si>
  <si>
    <t xml:space="preserve">2021 (Apr/Jun) Tijeras Creek Villas Maintenance Corporation - (4 Year Plan) </t>
  </si>
  <si>
    <t xml:space="preserve">2021 (July) Tijeras Creek Villas Maintenance Corporation - (4 Year Plan) </t>
  </si>
  <si>
    <t>2021 - Lakeside Park - (2021 Removals)</t>
  </si>
  <si>
    <t xml:space="preserve">NEED PERMIT 2021 (Jan/Jun &amp; Removals) Foothill Antibes HOA - (4 Year Plan) </t>
  </si>
  <si>
    <t>PERMIT 2021 (Jan/Jun) Lakeside Park - (2021 Recommendations)</t>
  </si>
  <si>
    <t>2021 - Laguna Village HOA - Revised (2021 Pine Removals)</t>
  </si>
  <si>
    <t>2021 - Village Park Community (Euc Removal; ID 18)</t>
  </si>
  <si>
    <t xml:space="preserve">2021 (Apr/Jun) Palm Court at Laguna Heights Condominium Assoc. - (Revised 2021/22 Snapshot) </t>
  </si>
  <si>
    <t>2021 - Trailwood Maintenance Association - (2021 Removals)</t>
  </si>
  <si>
    <t>Leslie Thorn's Residence</t>
  </si>
  <si>
    <t>2021 - Leslie Thorn's Residence - (2021 Palm Removals)</t>
  </si>
  <si>
    <t>2021 - (P) Removal at NIGUEL WOODS PARK (Alder - White)</t>
  </si>
  <si>
    <t>2021 - (P) Removals at YOSEMITE PARK (Pine)</t>
  </si>
  <si>
    <t>Tarantino Landscape</t>
  </si>
  <si>
    <t xml:space="preserve">2021 (Apr) The Corinthian Center - (2021 Recommendations) </t>
  </si>
  <si>
    <t>2021 (Apr) Tustin Ranch Plaza - (Revised 2021 Recommendations)</t>
  </si>
  <si>
    <t>2021 - Trimming at 800 KATELLA AVE (Palms)</t>
  </si>
  <si>
    <t>2021 - Removal at 27063 SUMMERWOOD WAY (Eucalyptus)</t>
  </si>
  <si>
    <t>2021 - Removal at LAKE FOREST PARK (Eucalyptus)</t>
  </si>
  <si>
    <t>2021 - Removal at TAMARISK PARK (Eucalyptus)</t>
  </si>
  <si>
    <t>2021 - Removals at RIMGATE PARK (Pepper)</t>
  </si>
  <si>
    <t>2021 - Trimming at BAKE PKWY (All Trees)</t>
  </si>
  <si>
    <t xml:space="preserve">2021 - Trimming at CHERRY PARK (Palm &amp; Eucalyptus) </t>
  </si>
  <si>
    <t>2021 - Trimming at LOS ALISOS BLVD (All Trees)</t>
  </si>
  <si>
    <t>2021 - Trimming at MUIRLANDS BLVD (All Trees)</t>
  </si>
  <si>
    <t>2021 - Ocean Heights HOA (OHE) - (Emergency; Sample Prune 3 Podocarpus)</t>
  </si>
  <si>
    <t>2021 - Corona Del Mar Plaza (Apr/Jun Trimming)</t>
  </si>
  <si>
    <t>2021 - Harbor View Center (Apr/Jun Trimming)</t>
  </si>
  <si>
    <t>2021 - Orchard Hills Village Center (Apr/Jun Trimming)</t>
  </si>
  <si>
    <t>2021 - Walnut Village Center (Apr/Jun Trimming)</t>
  </si>
  <si>
    <t>2021 - Woodbury Town Center (Apr/Jun Trimming)</t>
  </si>
  <si>
    <t>Noel Mattinson</t>
  </si>
  <si>
    <t>2021 - Noel Mattinson Residence (Keisha)-(Palms &amp; Removals)</t>
  </si>
  <si>
    <t xml:space="preserve">2021 Vista La Cuesta MC, RSM-(Root Prune; Removals) CO 18128 </t>
  </si>
  <si>
    <t>2020 - Trimming at SUMMERWOOD WAY (Eucalyptus) - Birds nest</t>
  </si>
  <si>
    <t>2021 - Trimming at LAKE FOREST DR (All Trees)</t>
  </si>
  <si>
    <t>2021 - Removal at 8791 Walker St</t>
  </si>
  <si>
    <t>2021 - (F) Remove &amp; Plant at 2 CITY HALL (Pine)</t>
  </si>
  <si>
    <t xml:space="preserve">2021 - Trimming at EL TORO RD </t>
  </si>
  <si>
    <t>2021 - Trimming at SUMMERWOOD WAY (El Toro Rd - Vintage Way)</t>
  </si>
  <si>
    <t>2021 - Removal at 201 CANAL ST (Bird of Paradise)</t>
  </si>
  <si>
    <t xml:space="preserve">2021 - Removals at 2807 NEWPORT BLVD (Palm - Mexican Fan) </t>
  </si>
  <si>
    <t>2021 - Removals at BEGONIA PARK (Myoporum &amp; Pepper)</t>
  </si>
  <si>
    <t>2021 - Canyons Edge Community Association - (Revised 3 Shade Tree; Removal ID's 90-91)</t>
  </si>
  <si>
    <t xml:space="preserve">PERMIT 2021 (Mar/Jun) Mesa Vista South - (4 Year Plan) </t>
  </si>
  <si>
    <t>Bob Brumleu</t>
  </si>
  <si>
    <t>2021 - 12 Morgan - (2021 Trimming)</t>
  </si>
  <si>
    <t>ON HOLD====2021 - SR at 14121 FRANCES ST</t>
  </si>
  <si>
    <t xml:space="preserve">2021 (Apr/Jun) Rancho Monterey - (2021/22 Snapshot) </t>
  </si>
  <si>
    <t xml:space="preserve">2021 (Aug/Sep) Rancho Monterey - (2021/22 Snapshot) </t>
  </si>
  <si>
    <t xml:space="preserve">2021 (Jan/Jun) Melrose at Mission Viejo - (Approved 2021 Snapshot) </t>
  </si>
  <si>
    <t xml:space="preserve">2021 - Palm Gardens Community Association - (GSTS Recommended Removals) </t>
  </si>
  <si>
    <t xml:space="preserve">2021 - Wind Rows Homeowners Association - (WO 237; Removal ID's 64 &amp; 65) </t>
  </si>
  <si>
    <t>2021 (Aug/Sept) Corporate Point at West Hills Campus - 2021 Trimming</t>
  </si>
  <si>
    <t xml:space="preserve">2021 - Corporate Point at West Hills Campus - 2021 Removals </t>
  </si>
  <si>
    <t>2021 - CP West Hills (Roscoe) (2021 Recommendations)</t>
  </si>
  <si>
    <t>2021 - Trimming at CHERRY PARK (Eucalyptus) - Bird Nest</t>
  </si>
  <si>
    <t>California Pacific Homes</t>
  </si>
  <si>
    <t>2021 - Canyon Club-(Crew Rental; Trimming &amp; Removal)</t>
  </si>
  <si>
    <t>2021 - Trim at 15772 LAS NUBES ST</t>
  </si>
  <si>
    <t>(DIR) 2021 East Whittier Middle School (Limb Removal)</t>
  </si>
  <si>
    <t>2021 (Removals) Bella Rosa - (ID 9 &amp; 10; 30 Bombay)</t>
  </si>
  <si>
    <t>2021 (Removals) Northwood II HOA- (Deliverables from Quality Walk)</t>
  </si>
  <si>
    <t>MacLeith Residence</t>
  </si>
  <si>
    <t>2021 - MacLeith Residence - (2021 Recommendations)</t>
  </si>
  <si>
    <t>2021 (Jan/Jun) Barcelona Community Association-(2021 Recommendations)</t>
  </si>
  <si>
    <t>2021 (Oct/Dec) Barcelona Community Association-(2021 Recommendations)</t>
  </si>
  <si>
    <t>2021 - Laguna Village HOA- (ID 488; WO XN3610782)Revised</t>
  </si>
  <si>
    <t>2021 - Laguna Heights - (ID 218; Removal at 13 Sand Oaks Rd)</t>
  </si>
  <si>
    <t>2021 - Laguna Heights - (WO 4376; Removal ID 218)</t>
  </si>
  <si>
    <t>City of Fountain Valley</t>
  </si>
  <si>
    <t>2021 - City of Fountain Valley =PLACEHOLDER=</t>
  </si>
  <si>
    <t xml:space="preserve">2021 - (Removals) Trailwood Maintenance Association </t>
  </si>
  <si>
    <t>2021 - Los Alamitos Business Park (Stump Removals)</t>
  </si>
  <si>
    <t>2021 - Cypress Civic Center (Mulberry Trees)</t>
  </si>
  <si>
    <t>Electronic Waveform Lab</t>
  </si>
  <si>
    <t>2021 - Electronic Waveform Lab - Interior and Back Perimeter</t>
  </si>
  <si>
    <t>Prebilled 2021 Newport Gateway (Trimming &amp; Removals)</t>
  </si>
  <si>
    <t>2021 - Mattinson Residence (Keisha) - (2021 Recommendations)</t>
  </si>
  <si>
    <t>2021 - Castellina Neighborhood Corporation - (PSHB Treatment; Koelreuteria's &amp; Sycamores)</t>
  </si>
  <si>
    <t>2021 - Removal at 1042 BALL RD (Pine)</t>
  </si>
  <si>
    <t xml:space="preserve">2021 - Specialty Trim at MUIRLANDS BLVD &amp; EL TORO RD </t>
  </si>
  <si>
    <t>2021 - Planting at 10281 SENTRY (Jacaranda)</t>
  </si>
  <si>
    <t>2021 - Planting at JANE WAY (Crape Myrtle)</t>
  </si>
  <si>
    <t>Darrell &amp; Lisa Hoover</t>
  </si>
  <si>
    <t>2021 - Darrell Hoover Private Residence-(2021 Recommendations)</t>
  </si>
  <si>
    <t>Cal State Dominguez Hills</t>
  </si>
  <si>
    <t>2021 - Cal State Dominguez Hills (GPS Inventory Services)</t>
  </si>
  <si>
    <t>2021 - Memorial Tree for Lighthouse Park</t>
  </si>
  <si>
    <t xml:space="preserve">2021 - AREA 3-4 </t>
  </si>
  <si>
    <t>2021 - Mesa Vista North - (Crew Rental; Behind 27219 Paseo Lomita)</t>
  </si>
  <si>
    <t xml:space="preserve">2021 - Silverstone HOA - (ID 31 Removal - Bird Nest) </t>
  </si>
  <si>
    <t xml:space="preserve">2021 - Silverstone HOA - (Melaleuca - Due to Parked Car) </t>
  </si>
  <si>
    <t>2021 - Laguna Village HOA (22356-22352 Arroyo Seco)</t>
  </si>
  <si>
    <t>2021 - Laguna Village HOA - (22382-22386 Arroyo Seco)</t>
  </si>
  <si>
    <t>NEED APPROVAL 2021 - Candelero (Palm - Mexican -Bird Nest)</t>
  </si>
  <si>
    <t xml:space="preserve">2021 - Canyon Point Maintenance Corp. - (ID 8 Trimming Bird Nest) </t>
  </si>
  <si>
    <t>2021 - Trimming at DISNEYLAND DR (Katella Ave - South St) - Mexican Fan Palms</t>
  </si>
  <si>
    <t>2021 - Woodbury East -(Go Back; Melaleuca w/ Beehive)</t>
  </si>
  <si>
    <t>Anaheim Union High School District</t>
  </si>
  <si>
    <t>2021 - Brookhurst Jr High (FY 21-22 Tree Maintenance)</t>
  </si>
  <si>
    <t>2021 (Apr/Jun) Indigo at Portola Springs - (3 Year Plan)</t>
  </si>
  <si>
    <t>2021 - DISNEYLAND DR (Paradise Way - Katella Ave) - Skin Palms</t>
  </si>
  <si>
    <t>2021 - Palm Tree Pineappling at KATELLA AVE (Palm - Dactylifera)</t>
  </si>
  <si>
    <t xml:space="preserve">2021 - Trimming at KATELLA AVE (Cassia - Gold Medallion) </t>
  </si>
  <si>
    <t>2021 - Arterial Palms 2021</t>
  </si>
  <si>
    <t>2021 - Norfolk Pine Removals</t>
  </si>
  <si>
    <t>2021 - Marguerite Pump Station (CA Pepper Removal)</t>
  </si>
  <si>
    <t>2021 - Laguna Heights - (Removal ID 221-224)</t>
  </si>
  <si>
    <t>Woodbridge Village Association</t>
  </si>
  <si>
    <t>2021 - WVA (Quarterly PlaceHolders)</t>
  </si>
  <si>
    <t>2021 - Laderbel Business Park-(WO 266703; Removal; ID 20)</t>
  </si>
  <si>
    <t>Ambar Matas Residence</t>
  </si>
  <si>
    <t>2021 - Amber Matas Residence - (2021 Palm Trimming)</t>
  </si>
  <si>
    <t>2021 - Trimming at ARENA PLAZA (Palms)</t>
  </si>
  <si>
    <t>2021 - Trimming at KATELLA AVE (Cassia - Gold Medallion)</t>
  </si>
  <si>
    <t>2021 - Trimming at SOUTH PALM COURT (Palm - Dactylifera)</t>
  </si>
  <si>
    <t>2021- Citywide Palms (greater than 75') NEED BOOM TRUCK</t>
  </si>
  <si>
    <t>2021 - Buckingham Park</t>
  </si>
  <si>
    <t>(DIR) 2021 Cow Camp, RMV (Sycamore Trimming &amp; Removals)</t>
  </si>
  <si>
    <t>2021 - Silverstone HOA - (ID 31 Removal - Bird Nest)</t>
  </si>
  <si>
    <t>2021 - Silverstone HOA - (Melaleuca - Due to Parked Car)</t>
  </si>
  <si>
    <t>2021 - Canyon Point Maintenance Corp. - (ID 8 Trimming Bird Nest)</t>
  </si>
  <si>
    <t>2021 - Palms Adjacent to Fountain (NORTH/SOUTH PALM COURT)</t>
  </si>
  <si>
    <t>2021 - Various Tree Removals</t>
  </si>
  <si>
    <t>Katie Shawver Residence</t>
  </si>
  <si>
    <t>2021 - Katie Shawver Residence - (Crape Myrtle Removal)</t>
  </si>
  <si>
    <t>2021 - Woodbury East Comm. - (ID 122-123; Root Pruning)</t>
  </si>
  <si>
    <t>Scott Griffiths (Residence)</t>
  </si>
  <si>
    <t>2021 - Scott Griffith's Residence - (2021 $0 Go-Ahead; Palm Trimming)</t>
  </si>
  <si>
    <t>(DIR) 2021 - Orangeview Jr. High (FY 21/22 Tree Maintenance)</t>
  </si>
  <si>
    <t>2021 - Selective Trimming at CONVENTION CENTER</t>
  </si>
  <si>
    <t>2021 - Corona Del Mar Plaza (CI Palms)</t>
  </si>
  <si>
    <t>2021 - Crystal Cove Promenade (CI Palms)</t>
  </si>
  <si>
    <t>2021 - The Bluffs (CI Palms)</t>
  </si>
  <si>
    <t>Not full day 2021 Quail Hill Village Center (CI Palms)</t>
  </si>
  <si>
    <t>2021 - CAVANAUGH MINI PARK (All Trees)</t>
  </si>
  <si>
    <t>Cushman &amp; Wakefield</t>
  </si>
  <si>
    <t xml:space="preserve">PERMIT? 2021 (Apr/Jun) The Cascades (20-30 Enterprise) - (3 Year Plan) </t>
  </si>
  <si>
    <t>2021 - Bayside Center (Coastal) - (Palms &amp; Broadleaves)</t>
  </si>
  <si>
    <t>2021 - Corona Del Mar Plaza (Coastal) - (Palms &amp; Broadleaves)</t>
  </si>
  <si>
    <t>2021 - Crystal Cove Promenade (Coastal) - (Palms &amp; Broadleaves)</t>
  </si>
  <si>
    <t>2021 - Eastbluff Village (Coastal) - (Broadleaves)</t>
  </si>
  <si>
    <t>2021 - Harbor View Center (Coastal) - (Palms &amp; Broadleaves)</t>
  </si>
  <si>
    <t>2021 - Newport Coast (Coastal) - (Palms &amp; Broadleaves)</t>
  </si>
  <si>
    <t>2021 - Newport Hills Center (Coastal) - (Palms &amp; Broadleaves)</t>
  </si>
  <si>
    <t>2021 - Northpark Plaza (Foothill) - (Palms &amp; Broadleaves)</t>
  </si>
  <si>
    <t>2021 - Orchard Hills Village Center (Foothill) - (Palms &amp; Broadleaves)</t>
  </si>
  <si>
    <t>2021 - Walnut Village Center (Foothill) - (Palms &amp; Broadleaves)</t>
  </si>
  <si>
    <t>2021 - Westcliff Plaza (Coastal) - (Palms &amp; Broadleaves)</t>
  </si>
  <si>
    <t xml:space="preserve">PERMIT 2021 (Aug/Sep &amp; Removals) Villorio Homeowners Association - (2021 Priority 1 Trimming &amp; Removals) </t>
  </si>
  <si>
    <t xml:space="preserve">PERMIT 2022 (Jan/Mar &amp; Removals) - Villorio Homeowners Association - (2022 Priority 2 Trimming &amp; Removals) </t>
  </si>
  <si>
    <t>2021 (Aug/Sep( Eastbluff Childtime-(Large Melaleuca)</t>
  </si>
  <si>
    <t>2021 - Grid 27 (Chinese Elms)</t>
  </si>
  <si>
    <t>2021 - Removal at Cedar Glen Park</t>
  </si>
  <si>
    <t>2021 - Trimming &amp; Removal on Orange Ave</t>
  </si>
  <si>
    <t>2021 - BAKER RANCH COMMUNITY PARK (Palms)</t>
  </si>
  <si>
    <t>2021 - (P) CROWN ROYALE PARK</t>
  </si>
  <si>
    <t>2021 - (P) PARC VISTA OVERLOOK PARK</t>
  </si>
  <si>
    <t>2021 - (P) PARC VISTA PARK</t>
  </si>
  <si>
    <t>2021 - (P) PARC VISTA VIEW PARK</t>
  </si>
  <si>
    <t>2021 - (P) RIDGE VIEW PARK</t>
  </si>
  <si>
    <t>2021 - (P) YOSEMITE PARK</t>
  </si>
  <si>
    <t>2021 - Shoreline Aquatic Park (Crape Myrtle Planting)</t>
  </si>
  <si>
    <t>2021 - Removal at HARRY M DOTSON PARK (Mulberry)</t>
  </si>
  <si>
    <t>2021 - Harbor Ridge Master Association-( WO 12108-5288; WO 12108-5105)</t>
  </si>
  <si>
    <t>2021 - Trimming at Pinewood Park</t>
  </si>
  <si>
    <t>2021 - Planting at MARINA HILLS PARK (Sycamore)</t>
  </si>
  <si>
    <t>2021 - Citywide Chinese Elms</t>
  </si>
  <si>
    <t>2021 - Hoover St (Garden Grove-Westminster)</t>
  </si>
  <si>
    <t>DIR 2021 Juliet Low Elementary (Crown Reduce &amp; Side Trim)</t>
  </si>
  <si>
    <t>2021 (Aug/Sep &amp; Removal) Laguna Heights Comm. - (Area 5 Peppers near Homes)</t>
  </si>
  <si>
    <t>2021 (Removal) Laguna Heights Comm. - (ID 241; 2 Thornapple)</t>
  </si>
  <si>
    <t>2021 (Removals) Laguna Heights Comm. - (ID 236-238; Dead Koelreuterias)</t>
  </si>
  <si>
    <t>Steaven Jones Development Company, Inc.</t>
  </si>
  <si>
    <t>2021 - 12910 Culver Blvd-(2021 Recommendations)</t>
  </si>
  <si>
    <t>2021 - Trimming at VINTAGE WAY (Eucalyptus)</t>
  </si>
  <si>
    <t>2021 (Oct/Dec) Woodbury East - (Pine located at Elysian &amp; Hedge Bloom)</t>
  </si>
  <si>
    <t>2021 - Brea Vista Community Association- (CT/STB Tristania BB)</t>
  </si>
  <si>
    <t>2021 - Brea Vista Community Association- (Mobilization Fee)</t>
  </si>
  <si>
    <t>Professional Community Management</t>
  </si>
  <si>
    <t>HOLD SCHEDULING 2021 (Oct/Dec) Chambray Neighborhood (PRO167-18077) - (2021 Oct/Dec Remaining Approved Work)</t>
  </si>
  <si>
    <t>2021 - Pacific Ridge HOA - (Slope 14 Removal ID 177)</t>
  </si>
  <si>
    <t>2021(Aug/Sep &amp; Removals) Pacific Ridge HOA - (LS Walk Recommendations 9/16)</t>
  </si>
  <si>
    <t>Lolita Harmon</t>
  </si>
  <si>
    <t>2021 - Lolita Harmon's Residence - (2021 Removals)</t>
  </si>
  <si>
    <t>2021 - Lolita Harmon's Residence - (2021 Trimming)</t>
  </si>
  <si>
    <t>2021 - LAKE FOREST PARK</t>
  </si>
  <si>
    <t>2021 - RANCHWOOD PARK</t>
  </si>
  <si>
    <t>2021 - Stump Grinding at VARIOUS LOCATIONS</t>
  </si>
  <si>
    <t>2021 - Planting at 10291 GARRETT (Tabebuia)</t>
  </si>
  <si>
    <t>2021 - Trailwood Maintenance Assoc. - (ID 95)</t>
  </si>
  <si>
    <t>2021 (Oct/Dec) University Community Assoc. - (2021 Pear Trimming)</t>
  </si>
  <si>
    <t>2021 - DISTRICT B-4 (Broadleaves)</t>
  </si>
  <si>
    <t>2021 - ON HOLD===Alamitos Bay South - (Removal at Bixby Park; ID 68)</t>
  </si>
  <si>
    <t>2021 - Queensway Bay (2021 Fall Trimming Revised)</t>
  </si>
  <si>
    <t>Foundation Real Estate Advisors, Inc.</t>
  </si>
  <si>
    <t>2021 (Oct/Dec) Riverbend Industrial Center-(Revised LS trim + 2 missed Eucs)</t>
  </si>
  <si>
    <t>PERMIT 2021 (Oct/Dec) Terraces at Belmont Assoc. - (2021-2022 Trimming Proposal)</t>
  </si>
  <si>
    <t>2021 - PLACEHOLDER- Irvine Spectrum Center</t>
  </si>
  <si>
    <t>2021 - (F) Planting at CITY HALL (Jacaranda)</t>
  </si>
  <si>
    <t>2021 - La Colima Elementary</t>
  </si>
  <si>
    <t>2021 - Mulberry Elementary</t>
  </si>
  <si>
    <t>2021 - Ocean View Elementary</t>
  </si>
  <si>
    <t>2021 - Orchard Dale Elementary</t>
  </si>
  <si>
    <t>Investment Concepts, INC</t>
  </si>
  <si>
    <t>2021 (Oct/Dec) Cypress Plaza - (2021 Recommendations)</t>
  </si>
  <si>
    <t>2021 - Briosa Owners Association - (Removal ID 2)</t>
  </si>
  <si>
    <t>Beshore Residence</t>
  </si>
  <si>
    <t>2021 - Beshore Residence -(Revised 2021 Recommendations)</t>
  </si>
  <si>
    <t>2021 - CSULB: HRL BEACHSIDE PLACEHOLDER</t>
  </si>
  <si>
    <t>2021 - CSULB: JAPANESE GARDENS PLACEHOLDER</t>
  </si>
  <si>
    <t>2021 - Trim at Evergreen Park</t>
  </si>
  <si>
    <t>2021 - Removal at 24791 TOLEDO WAY (Eucalyptus)</t>
  </si>
  <si>
    <t>2021 - Removal at RECREATION PARK (Eucalyptus)</t>
  </si>
  <si>
    <t>2021 - Trimming at BIXBY PARK</t>
  </si>
  <si>
    <t>2021 - Trimming at BIXBY PARK (Indian Laurel Fig)</t>
  </si>
  <si>
    <t>2021 - Harbor Corporate Park- (2021 Palm Tree Pineappling)</t>
  </si>
  <si>
    <t>2021 - Harbor Corporate Park- 2021 Tree Trimming (Non-Palm Trees)</t>
  </si>
  <si>
    <t>2021 -Serrano Woods === PLACEHOLDER ===</t>
  </si>
  <si>
    <t>2021 - Christmas Tree Decorating</t>
  </si>
  <si>
    <t>Kaiser (Cindy Nichols)</t>
  </si>
  <si>
    <t>2021 - Anaheim Medical Center (2021 Tree Maintenance)</t>
  </si>
  <si>
    <t>2021 - Barcelona Warehouse (2021 Tree Maintenance)</t>
  </si>
  <si>
    <t>2021 - Foothill Ranch Medical Offices (2021 Tree Services)</t>
  </si>
  <si>
    <t>2021 - La Habra MOB (2021 Tree Maintenance)</t>
  </si>
  <si>
    <t>2021 - Yorba Linda Medical Offices (2021 Tree Maintenance)</t>
  </si>
  <si>
    <t>2021 - (Oct/Dec) Woodbury East - (Pine located at Elysian &amp; Hedge Bloom)</t>
  </si>
  <si>
    <t>2021 - Woodbury East - (Go Back; Melaleuca w/ Beehive)</t>
  </si>
  <si>
    <t>2021 - Mirador Community - (2021 Oct/Dec Snapshot)</t>
  </si>
  <si>
    <t>2021 - Mirador Community - (2021 Removal Recommendations)</t>
  </si>
  <si>
    <t>2021 (Aug/Sep &amp; Removals) Laguna Heights Comm. - (Client Requested Removals &amp; Trimming)</t>
  </si>
  <si>
    <t>2021 - Laguna Heights - (ID 258-259; WO 4449-00104-0894)</t>
  </si>
  <si>
    <t>2021 - Laguna Heights - (ID 260-261; Client Requested Removals)</t>
  </si>
  <si>
    <t>2021 - Laguna Heights Comm. - (ID 250; Behind 21 Doheny)</t>
  </si>
  <si>
    <t>2021 - Laguna Heights Comm. - (ID 254-257; Client Requested Removals)</t>
  </si>
  <si>
    <t>2021 - REMAINING 8 TREES FOR 2021</t>
  </si>
  <si>
    <t>2021 - Belmont Veterans Memorial Pier (Coral Removal)</t>
  </si>
  <si>
    <t>2021 - City of Long Beach- Queen Mary Special Events Park</t>
  </si>
  <si>
    <t>2021 - Pacific Hills East - (WO 983830 Removal ID 29)</t>
  </si>
  <si>
    <t>PERMIT 2021 - Pacific Hills East - (Revised 2021 Removal IDs 28, 18,26, 24)</t>
  </si>
  <si>
    <t>2021 (Oct/Dec &amp; Removal) Mariners Church - (21/22 Oct/Dec Snapshot)</t>
  </si>
  <si>
    <t>2021 - Brea Vista Com. Assoc.-(1527 W. Alexander Ct.;3rd Attempt)</t>
  </si>
  <si>
    <t>PERMIT 2022 (Jan/Mar) - The Terrace -( Remaining 2022 Jan/Mar)</t>
  </si>
  <si>
    <t>2021 - Woodbridge Seasons Maint. - (ID 11; 12 Robinsong)</t>
  </si>
  <si>
    <t>2021 - Main Office (FY 21/22 Trimming &amp; Removals)</t>
  </si>
  <si>
    <t>2021 - Sheep Hills Res. Pump Station (Communications Trimming)</t>
  </si>
  <si>
    <t>2021 - Laguna Heights Comm. - (Removal ID 239)</t>
  </si>
  <si>
    <t>2021 - (2021-22 Japanese Garden Trimming)</t>
  </si>
  <si>
    <t>2021 - CSULB (Japanese Garden Winter Removals)</t>
  </si>
  <si>
    <t>City of Aliso Viejo</t>
  </si>
  <si>
    <t>2021 - Removal at PACIFIC PARK (Oak)</t>
  </si>
  <si>
    <t>2021 - Trimming at CITY HALL</t>
  </si>
  <si>
    <t>2021 - Trimming at VISTA PARK (Sycamore)</t>
  </si>
  <si>
    <t>2022 - Stump Grinding at ADMIRAL ISSAC C KIDD PARK</t>
  </si>
  <si>
    <t>NOT FULL DAY 2021 - Laguna Village HOA - (Removal ID 503; 22392 Caminito Tecate)</t>
  </si>
  <si>
    <t>2022 - Removal at PACIFIC PARK DR (Oak)-(ID 468)</t>
  </si>
  <si>
    <t>2022 - Removal at CORDATA PARK (Pine)</t>
  </si>
  <si>
    <t>2022 - (P) Planting at CROWN VALLEY COMMUNITY PARK</t>
  </si>
  <si>
    <t>2022 - DISTRICT 7</t>
  </si>
  <si>
    <t>(DIR) 2022 - Evergreen Elementary</t>
  </si>
  <si>
    <t>2022 - Serrano Park Community - (ID 145)</t>
  </si>
  <si>
    <t>2022 - GRID 48 (Queen Palms)</t>
  </si>
  <si>
    <t>2022 - Removal on Orange Ave</t>
  </si>
  <si>
    <t>2022 - (P) Removals at MARINA HILLS PARK (Pine)</t>
  </si>
  <si>
    <t>2022 - (P) Removals at RANCHO NIGUEL PARK</t>
  </si>
  <si>
    <t>2022 - Limb Removals at MOULTON ELEMENTARY SCHOOL</t>
  </si>
  <si>
    <t>2022 - PARK WEST PARK</t>
  </si>
  <si>
    <t>2022 - UCA - (Silk Oaks adjacent to 20 Wintersweet)</t>
  </si>
  <si>
    <t>2022 (Removal) The Summit at Newport Ridge - (ID 149)</t>
  </si>
  <si>
    <t>2022 - Arterial Queen Palms</t>
  </si>
  <si>
    <t>2022 - GRID 26 (Queen Palms)</t>
  </si>
  <si>
    <t>2022 - Trimming at Evergreen Park</t>
  </si>
  <si>
    <t>2022 - Selective Trimming &amp; Removals at HOUGHTON PARK====NEED NESTING SURVEY INVOICE</t>
  </si>
  <si>
    <t>2022 - Grid 17 (Queen Palms)</t>
  </si>
  <si>
    <t>2022 - Grid 19 (Queen Palms)</t>
  </si>
  <si>
    <t>2022 - Grid 20 (Queen Palms)</t>
  </si>
  <si>
    <t>2022 - Grid 21 (Queen Palms)</t>
  </si>
  <si>
    <t>2022 - Grid 22 (Queen Palms)</t>
  </si>
  <si>
    <t>2022 - Grid 23 (Queen Palms)</t>
  </si>
  <si>
    <t>2022 - Grid 25 (Queen Palms)</t>
  </si>
  <si>
    <t>NOT FULL DAY 2022 - Pinehurst Hills Community Assoc.- Tree ID 168</t>
  </si>
  <si>
    <t>2022 (Jan/Mar) Portola Springs Community - (Enclave 4-2A-Interior - Cypress Italian Trimming)</t>
  </si>
  <si>
    <t>2022 (Jan/Mar) Portola Springs Community - (Enclave 5 Portola Springs Slope - Pine Aleppo Trimming)</t>
  </si>
  <si>
    <t>PERMIT 2022 (Jan/Mar) Portola Springs Community - (Enclave 6-Back Slope - Side Trim Pine Aleppos)</t>
  </si>
  <si>
    <t>La Perla Property Management</t>
  </si>
  <si>
    <t>2022 (Apr/Jun &amp; Removals) Windsong Community Association-(3 Year Plan)</t>
  </si>
  <si>
    <t>NOT FULL DAY 2022 (Oct/Dec) Windsong Community Association-(3 Year Plan)</t>
  </si>
  <si>
    <t>Laguna Woods Village</t>
  </si>
  <si>
    <t>2022 - WR47596 - United Mutual Removal List</t>
  </si>
  <si>
    <t>2022 - WR47632 - Third Mutual Removal &amp; Trim List</t>
  </si>
  <si>
    <t>2022 (Apr/Jun) Lakeside Park - (2022 Recommendations)</t>
  </si>
  <si>
    <t>PERMIT 2022 (Jan/mar) Lakeside Park - (2022 Recommendations)</t>
  </si>
  <si>
    <t>2022 - GRID 1 (Queen Palms)</t>
  </si>
  <si>
    <t>2022 - GRID 10 (Queen Palms)</t>
  </si>
  <si>
    <t>2022 - GRID 13 (Queen Palms)</t>
  </si>
  <si>
    <t>2022 - GRID 14 (Queen Palms)</t>
  </si>
  <si>
    <t>2022 - GRID 15 (Queen Palms)</t>
  </si>
  <si>
    <t>2022 - GRID 2 (Queen Palms)</t>
  </si>
  <si>
    <t>2022 - GRID 8 (Queen Palms)</t>
  </si>
  <si>
    <t>2022 - GRID 9 (Queen Palms)</t>
  </si>
  <si>
    <t>2022 - (P) Removal at CROWN VALLEY COMMUNITY PARK (Non - inventory)</t>
  </si>
  <si>
    <t>ON HOLD===2022 - DISTRICT 6 (TRIMMING)</t>
  </si>
  <si>
    <t>ON HOLD===2022 - WESTMINSTER PARK</t>
  </si>
  <si>
    <t>2022 (Jan/May &amp; Removals) WVA - (REVISED 21/22 November Requests)</t>
  </si>
  <si>
    <t>Buena Park School District</t>
  </si>
  <si>
    <t>2022 - Gilbert Elementary School (Removal)</t>
  </si>
  <si>
    <t>2022 - Terramour Beachside Residence - (2022 palm trimming)</t>
  </si>
  <si>
    <t>2022 - Trimming at Jane Way - Pine Tree Ln</t>
  </si>
  <si>
    <t>2022 - La Paz Reservoir (FY 21/22 Tree Maintenance)</t>
  </si>
  <si>
    <t>NOT FULL DAY 2022 - Laguna Village HOA - (ID 506; 22197 C Laureles)</t>
  </si>
  <si>
    <t>2022 - Plant 3A Treatment (FY 21/22 Tree Maintenance)</t>
  </si>
  <si>
    <t>2022 - IGLESIA PARK (Removals)</t>
  </si>
  <si>
    <t>2022 - IGLESIA PARK (SELECTIVE TRIMMING) - REVISED</t>
  </si>
  <si>
    <t>2022 - WR47677 - Removal at 432 AVE SEVILLA</t>
  </si>
  <si>
    <t>2022 - Marguerite Pump Station (Eucalyptus Removal)</t>
  </si>
  <si>
    <t>2022 - Saddleback RW Pump Station (Dead Tristania Removals)</t>
  </si>
  <si>
    <t>2022 - Southridge Wood Canyon (Dead Tristania Removal)</t>
  </si>
  <si>
    <t>2022 - PRIORITY 3; DISTRICT D-1</t>
  </si>
  <si>
    <t>NOT FULL DAY 2022 - Lambert Ranch Maintenance Association - (Removal ID 26; Squirrels Nest)</t>
  </si>
  <si>
    <t>2022 - PRIORITY 4; DISTRICT D-2</t>
  </si>
  <si>
    <t>2022 - (P) Removal at SEMINOLE PARK (Pine)</t>
  </si>
  <si>
    <t>2022 - WR47688 - 3197 VIA BUENA VISTA RD (H.O. REQUEST)</t>
  </si>
  <si>
    <t>2022 - (S) Removals at 30435 VIA VALLE SLOPE (Pine)</t>
  </si>
  <si>
    <t>2022 - Grid 10 (Cameo Shores) - All Trees</t>
  </si>
  <si>
    <t>2022 - Grid 9 (Cameo Highlands) - All Trees</t>
  </si>
  <si>
    <t>Cardinal Management Group</t>
  </si>
  <si>
    <t>5%? 2023 (Aug/Sep) Crestline HOA - (3 Year Plan)</t>
  </si>
  <si>
    <t>NOT FULL DAY 2022 - Belflora in Rancho Santa Margarita - (Removal Rec; ID 114)</t>
  </si>
  <si>
    <t>2022 - Stump Grinding at VARIOUS LOCATIONS</t>
  </si>
  <si>
    <t>2022 (Removals) Serrano Park (Community) - (Additional work per walk - revised)</t>
  </si>
  <si>
    <t>2022 - District Operations Facility (Dead Tree Removals)</t>
  </si>
  <si>
    <t>2022 (Jan/Mar &amp; Removals) Tustin Ranch Estates - (WO XN1270437; ID 39-44)</t>
  </si>
  <si>
    <t>PERMIT 2022 (Apr/Jun) Foothill Antibes HOA - (Revised 2022 Approved Rec's)</t>
  </si>
  <si>
    <t>2022 - Aliso Viejo Aquatic Center (Palm Trimming)</t>
  </si>
  <si>
    <t>2022 - Selective Trimming &amp; Sounding at ARENA PLAZA</t>
  </si>
  <si>
    <t>2022 - PRIORITY 4; DISTRICT D-2 (remaining)</t>
  </si>
  <si>
    <t>GREENLAW MANAGEMENT</t>
  </si>
  <si>
    <t>2022 (Apr/Jun) Centerpointe La Palma- (2022 Recommendations)</t>
  </si>
  <si>
    <t>2022 (Aug/Sept) Centerpointe La Palma- (2022 Recommendations)</t>
  </si>
  <si>
    <t>2022 - Plant 3A Treatment (Revised - FY 21/22 Tree Maintenance)</t>
  </si>
  <si>
    <t>2021 - Riverbeach HOA- Side Trim (319 Regatta)</t>
  </si>
  <si>
    <t>2022 (Apr/Jun &amp; Removal) Harvard Square Maintenance - (22/23 Recommendations)</t>
  </si>
  <si>
    <t>2022 (Apr/Jun) Harvard Square Maintenance - (Early Care Trimming)</t>
  </si>
  <si>
    <t>2022 (Oct/Dec) Harvard Square Maintenance - (22/23 Recommendations)</t>
  </si>
  <si>
    <t>2022 (Oct/Dec) Harvard Square Maintenance - (Early Care Trimming)</t>
  </si>
  <si>
    <t>2022 - Trimming at DATE ST - CEDAR ST</t>
  </si>
  <si>
    <t>2022 - United Mutual | Planting at 45 Calle Aragon (Palo Verde)</t>
  </si>
  <si>
    <t>2022 - Removal at 15900 HARBOR BL (Pine)</t>
  </si>
  <si>
    <t>2022 - Third Mutual | Buildings 3136-3175</t>
  </si>
  <si>
    <t>2022 - Third Mutual | Buildings 5396-5417</t>
  </si>
  <si>
    <t>2022 - Buildings 3041-3135 (Ficus/Carrotwood/Carob)</t>
  </si>
  <si>
    <t>2022 - United Mutual - (Section 2; Buildings 1-28, 289-318, &amp; 356-426)</t>
  </si>
  <si>
    <t>2022 - United Mutual - (Section 3; Buildings 529-573)</t>
  </si>
  <si>
    <t>2022 - WR47720 - 238-E CALLE ARAGON (H.O. REQUEST)</t>
  </si>
  <si>
    <t>2022 - June Removal List</t>
  </si>
  <si>
    <t>2022 - (S) Removal at 29101 GOLDEN LANTERN SLOPE (Pine)</t>
  </si>
  <si>
    <t>2022 (July) 19000 MacArthur - (2022 Palm Trimming)</t>
  </si>
  <si>
    <t>2022 - 19000 MacArthur - (Removal ID 44)</t>
  </si>
  <si>
    <t>2022 (Apr/Jun) Greenbriar Village (2022 SLR Add'tl Trimming Rec's)</t>
  </si>
  <si>
    <t>2022 - Greenbriar Village - (2022 Removal Rec's Excel ID's 1-3)</t>
  </si>
  <si>
    <t>2022 - Laguna Heights Comm. - (Removal ID 278; 2 Oakcliff)</t>
  </si>
  <si>
    <t>2022 - Craig Williams Adult School</t>
  </si>
  <si>
    <t>2022 - Palm Trimming at DISNEYLAND DR (Forecourt)</t>
  </si>
  <si>
    <t>2022 - Palm Trimming at DISNEYLAND DR (Jug Handles)</t>
  </si>
  <si>
    <t>2022 - June Planting List</t>
  </si>
  <si>
    <t>2022 - Stump Grinding at 10700 SLATER AV</t>
  </si>
  <si>
    <t>2022 (Jan/Mar &amp; Removals) Garden Homes - (WO XN1397611)</t>
  </si>
  <si>
    <t>2022 (Oct/Dec) Garden Homes - (April Work Order Requests)</t>
  </si>
  <si>
    <t>2022 - Planting at 1803 HARBOR BL (Palm - King)</t>
  </si>
  <si>
    <t>2022 - Planting at KATELLA AVE &amp; HASTER ST (Gold Medallion Tree)</t>
  </si>
  <si>
    <t>2022 - Removals at 9715 DOVE CIR (Liquidambar)</t>
  </si>
  <si>
    <t>2022 - CIVIC CENTER</t>
  </si>
  <si>
    <t>2022 - Removals at RALPH GATES ELEMENTARY SCHOOL (Non - inventory)</t>
  </si>
  <si>
    <t>2022 - Trimming at 22001 LAKE FOREST DR</t>
  </si>
  <si>
    <t>2022 - Homeowner Request at 494 62ND ST (Palm)</t>
  </si>
  <si>
    <t>2022 - BURTON W CHASE MINI PARK</t>
  </si>
  <si>
    <t>2022 - Removal at GUMBINER PARK (Palm)</t>
  </si>
  <si>
    <t>2022 - Removals at 21ST TO HILL PARK</t>
  </si>
  <si>
    <t>2022 - Selective Removal &amp; Trimming at CRAFTSMAN VILLAGE PARK</t>
  </si>
  <si>
    <t>2022 - Trimming at FOURTEENTH ST PARK</t>
  </si>
  <si>
    <t>2022 - Trimming at GRACE PARK</t>
  </si>
  <si>
    <t>2022 - Trimming at HERMAN J SCHERER PARK</t>
  </si>
  <si>
    <t>2022 - Trimming at MARTIN LUTHER KING JR PARK</t>
  </si>
  <si>
    <t>SPIDER LIFT 2022 - The Oaks at Lake Forest HOA - (Removal Rec's ID:s 11, 14-15)</t>
  </si>
  <si>
    <t>HOLD 2022 (REMOVALS) Laguna Community - (Back Slope 2 Removal Rec's)</t>
  </si>
  <si>
    <t>2022 - Selective Removal &amp; Trimming at HEARTWELL PARK</t>
  </si>
  <si>
    <t>2022 - Selective Removal &amp; Trimming at ORIZABA PARK</t>
  </si>
  <si>
    <t>2022 - Selective Removal &amp; Trimming at ROTARY CENTENNIAL PARK</t>
  </si>
  <si>
    <t>2022 - Selective Trimming at RECREATION PARK</t>
  </si>
  <si>
    <t>2022 - Trimming at EL DORADO PARK WEST</t>
  </si>
  <si>
    <t>2022 - Trimming at RECREATION PARK (Palm - Queen)</t>
  </si>
  <si>
    <t>2022 - Trimming at VETERANS MEMORIAL PARK</t>
  </si>
  <si>
    <t>2022 - Trimming at WHALEY PARK</t>
  </si>
  <si>
    <t>2022 - Trimming at WHALEY PARK (Podocarpus)</t>
  </si>
  <si>
    <t>PERMIT? 2022 - Portola Springs Community Association - (2022 Add'l Removal Rec's)</t>
  </si>
  <si>
    <t>2022 - WR47956 | Third Mutual | Removals at VIA SERENA SOUTH</t>
  </si>
  <si>
    <t>2022 - Laguna Heights Comm. - (Removals w/ Bird Nest)</t>
  </si>
  <si>
    <t>2022 - Wind Rows Homeowners Association (2022 Removal ID's 71-72)</t>
  </si>
  <si>
    <t>2021/2022 UCA=== PLACEHOLDER ===</t>
  </si>
  <si>
    <t>2022 - United Mutual | Planting at AVE CASTILLA &amp; VIA LOS ALTOS</t>
  </si>
  <si>
    <t>2022 - GRID 16 (Westcliff) - Remaining Broadleaves</t>
  </si>
  <si>
    <t>Powerstone Property Management</t>
  </si>
  <si>
    <t>NOT FULL DAY 2022 (Aug/Sep) Silver Oaks At Westridge Assoc. - (Revised Entrance Tree Trimming)</t>
  </si>
  <si>
    <t>2022 - AREA 3 REMOVALS (Revised)</t>
  </si>
  <si>
    <t>2022 - Bird of Paradise on KATELLA AVE (Walnut - Hotel Way)</t>
  </si>
  <si>
    <t>2022 - Melaleucas on DISNEYLAND DR (Ball - Magic Way)</t>
  </si>
  <si>
    <t>2022 - Baroldi/Sycamore Park Trim</t>
  </si>
  <si>
    <t>2022 - Cedar Glen Park Trim</t>
  </si>
  <si>
    <t>2022 - Melaleucas on Ball Rd</t>
  </si>
  <si>
    <t>2022 - Rosen/Acacia Park Trim</t>
  </si>
  <si>
    <t>2022 - Willow Park Trimming</t>
  </si>
  <si>
    <t>2022 - United Mutual | Planting at 192 AVE MAJORCA</t>
  </si>
  <si>
    <t>2022 - United Mutual | Planting at 77 CALLE ARAGON</t>
  </si>
  <si>
    <t>2022 - WR47971 | Third Mutual | Deadwooding at SAN AMADEO</t>
  </si>
  <si>
    <t>2022 - WR47972 | Third Mutual | Removals at SAN AMADEO &amp; PUNTA ALTA</t>
  </si>
  <si>
    <t>2022 - WR47982 | United Mutual | Removal at 2121 VIA PUERTA</t>
  </si>
  <si>
    <t>2022 - San Simeon Maintenance Assoc. - (ID 36; 107 Talmadge)</t>
  </si>
  <si>
    <t>5%? 2024 (Apr/Jun) Windflower Community Association - (3 Year Plan)</t>
  </si>
  <si>
    <t>5%? 2024 (Jan/Mar) Windflower Community Association - (3 Year Plan)</t>
  </si>
  <si>
    <t>5%? 2024 (Jul/Sep) Windflower Community Association - (3 Year Plan)</t>
  </si>
  <si>
    <t>2022 - Grid 14 (Broadleaves)</t>
  </si>
  <si>
    <t>2022 - Grid 48 (Broadleaves)</t>
  </si>
  <si>
    <t>2022 - Lincoln Ave (Median) [Bloomfield - Valley View]</t>
  </si>
  <si>
    <t>2022 - Pines on Knott Ave (Cerritos - Katella)</t>
  </si>
  <si>
    <t>2022 - Valley View St (Median) [Lincoln - Chapman]</t>
  </si>
  <si>
    <t>2022 - Removal at HUDSON PARK (Sycamore - California)</t>
  </si>
  <si>
    <t>2022 - Removal at WHALEY PARK (Magnolia)</t>
  </si>
  <si>
    <t>2022 - Removals at SOMERSET PARK (Ash - Shamel)</t>
  </si>
  <si>
    <t>2022 - Selective Trimming at RAILWAY GREENBELT</t>
  </si>
  <si>
    <t>2022 - Removal at 1323 Ashford LN</t>
  </si>
  <si>
    <t>2022 - Removals at 1124 Highland Dr</t>
  </si>
  <si>
    <t>2022 - JOHN LAND PARK</t>
  </si>
  <si>
    <t>PERMIT? 2022 - Niguel Villas Association - (Removal Rec's ID's 62-65)</t>
  </si>
  <si>
    <t>SG</t>
  </si>
  <si>
    <t>2022 - Citywide Removals</t>
  </si>
  <si>
    <t>2022 - Removals at LA HERMOSA/JUANENO/MARINA HILLS PARKS</t>
  </si>
  <si>
    <t>2022 - The Groves Homeowners - (2022 Removals &amp; Specialty Trim)</t>
  </si>
  <si>
    <t>NOT FULL DAY 2022 - Hillsford HOA - (Removal Recommendation ID 74)</t>
  </si>
  <si>
    <t>2022 - Remove/Replace Italian Cypress on DISNEYLAND DR</t>
  </si>
  <si>
    <t>2022 - Grid 20 (Palms)</t>
  </si>
  <si>
    <t>2022 - Grid 21 (Palms)</t>
  </si>
  <si>
    <t>2022 - Grid 22 (Palms)</t>
  </si>
  <si>
    <t>2022 - Grid 23 (Palms)</t>
  </si>
  <si>
    <t>2022 - Grid 25 (Palms)</t>
  </si>
  <si>
    <t>2022 - Grid 26 (Palms)</t>
  </si>
  <si>
    <t>2022 - Grid 27 (Palms)</t>
  </si>
  <si>
    <t>2022 - Grid 28 (Palms)</t>
  </si>
  <si>
    <t>2022 - Grid 35 (Palms)</t>
  </si>
  <si>
    <t>2022 - Grid 36 (Palms)</t>
  </si>
  <si>
    <t>2022 - Grid 41 (Palms)</t>
  </si>
  <si>
    <t>2022 - Grid 46 (Palms)</t>
  </si>
  <si>
    <t>2022 - Grid 47 (Palms)</t>
  </si>
  <si>
    <t>2022 - Grid 48 (Palms)</t>
  </si>
  <si>
    <t>2022 - Removal at 1600 DOVER DR (Jacaranda)</t>
  </si>
  <si>
    <t>2022 - Stump Grinding at SPYGLASS HILL RES PK</t>
  </si>
  <si>
    <t>PERMIT 2022 (July &amp; Removal) Rancho San Juan Community Association - (Revised LS Walk 6/2; Trim &amp; Removal Rec's)</t>
  </si>
  <si>
    <t>2022 - Palm Trimming/Sounding at GRAND PLAZA</t>
  </si>
  <si>
    <t>2022 - Palm Trimming/Sounding at SOUTH PALM COURT</t>
  </si>
  <si>
    <t>2022 - Palm Trimming/Sounding at TRANSIT PLAZA</t>
  </si>
  <si>
    <t>2022 - C-2 PALMS (#6)</t>
  </si>
  <si>
    <t>2022 - D-4 Palms (#15)</t>
  </si>
  <si>
    <t>2022 - E-4 Palms (#16)</t>
  </si>
  <si>
    <t>2022 - E-5 Palms (#19)</t>
  </si>
  <si>
    <t>2022 - F-4 Palms (#17)</t>
  </si>
  <si>
    <t>2022 - F-5 Palms (#20)</t>
  </si>
  <si>
    <t>2022 - G-2 PALMS (#8)</t>
  </si>
  <si>
    <t>2022 - Tree Removals at VARIOUS LOCATIONS</t>
  </si>
  <si>
    <t>2022 - (F) Planting at City Hall (CA - Sycamore)</t>
  </si>
  <si>
    <t>2022 - Grid 13 (Irvine Terrace) - Palms</t>
  </si>
  <si>
    <t>2022 - Grid 18 (Newport Heights) - Palms</t>
  </si>
  <si>
    <t>2022 - Removal at 1501 BAY AVE /W</t>
  </si>
  <si>
    <t>2022 - SR Trim at 2611 MESA DR</t>
  </si>
  <si>
    <t>2022 - Stump Grinding at NEWPORT COAST COMMUNITY CENTER</t>
  </si>
  <si>
    <t>2022 - United Mutual | Buildings 289-318 &amp; 356-426 | CI Pines</t>
  </si>
  <si>
    <t>2022 - Tree Planting at VARIOUS LOCATIONS</t>
  </si>
  <si>
    <t>Great Scott Tree Care</t>
  </si>
  <si>
    <t>2022 - 20865 Canada Road - (8/27 $0 Go-ahead)</t>
  </si>
  <si>
    <t>2022 - WR48059 | Third Mutual | Buildings 3320-3326</t>
  </si>
  <si>
    <t>2022 - Foothill Antibes HOA - (3 Anacapa Root Prune ID 66)</t>
  </si>
  <si>
    <t>NOT FULL DAY 2022 - Palm Gardens Community Association - (Removal Recommendation ID 281)</t>
  </si>
  <si>
    <t>2022 - Removal at 8000 San Joaquin Hills Rd</t>
  </si>
  <si>
    <t>NOT FULL DAY 2022 (Jan/Mar) Serrano Park (Community) - (21291 Calle Balsa)</t>
  </si>
  <si>
    <t>2022 - Annual Ficus Trimming (REVISED) 2022</t>
  </si>
  <si>
    <t>2022 - Trimming on Civic Center</t>
  </si>
  <si>
    <t>2022 (Aug/Sep) Lakeside Park - (WO 12208-1684; 24802 Lakefield)</t>
  </si>
  <si>
    <t>2022 - SR Trim at 309 MARINELLA AISLE (Ficus)</t>
  </si>
  <si>
    <t>2022 - (M) LA PAZ</t>
  </si>
  <si>
    <t>2022 - Removal at 1227 Outrigger Dr</t>
  </si>
  <si>
    <t>2022 - Removal at 15441 ORLEANS CIR (Magnolia)</t>
  </si>
  <si>
    <t>2022 - Removal at 19422 SIERRA SANTO RD (Arbutus)</t>
  </si>
  <si>
    <t>2022 - Removals on IRVINE CENTER DR (Kaffir)</t>
  </si>
  <si>
    <t>2022 - SR Trim at 2 IVY LN (Eucs.)</t>
  </si>
  <si>
    <t>2022 - SR Trim at 322 HANCOCK LN (Pears)</t>
  </si>
  <si>
    <t>2022 (Aug/Sep) (WVA)-(8/17 L/S Walk Deliverables)</t>
  </si>
  <si>
    <t>2022 (Aug/Sep) WVA - (Revised May Service Requests)</t>
  </si>
  <si>
    <t>2022 - ALISO VIEJO RANCH</t>
  </si>
  <si>
    <t>2022 - Trimming at BALL RD (Walnut St - Disneyland Dr) - Pines</t>
  </si>
  <si>
    <t>2022 - Trimming at MAGIC WY (Camphor)</t>
  </si>
  <si>
    <t>2022 - Citywide Palms (greater than 75 ft)</t>
  </si>
  <si>
    <t>2022 - Grid 1 (Palms)</t>
  </si>
  <si>
    <t>2022 - Grid 10 (Palms)</t>
  </si>
  <si>
    <t>2022 - Grid 13 (Palms)</t>
  </si>
  <si>
    <t>2022 - Grid 14 (Palms)</t>
  </si>
  <si>
    <t>2022 - Grid 15 (Palms)</t>
  </si>
  <si>
    <t>2022 - Grid 16 (Palms)</t>
  </si>
  <si>
    <t>2022 - Grid 17 (Palms)</t>
  </si>
  <si>
    <t>2022 - Grid 19 (Palms)</t>
  </si>
  <si>
    <t>2022 - Grid 2 (Palms)</t>
  </si>
  <si>
    <t>2022 - Grid 8 (Palms)</t>
  </si>
  <si>
    <t>2022 - Grid 9 (Palms)</t>
  </si>
  <si>
    <t>2022 - (M) CROWN VALLEY PARKWAY</t>
  </si>
  <si>
    <t>2022 - (M) PASEO LOS COLINAS</t>
  </si>
  <si>
    <t>2022 - Removal at 1107 White Sails Way</t>
  </si>
  <si>
    <t>2022 - Various Removals at Bonita Creek Park</t>
  </si>
  <si>
    <t>HOLD DATE 2022 - Eastbrook Community HOA - (WO 2022-184-00016 Removal ID 42)</t>
  </si>
  <si>
    <t>HOLD 2022 - Harbor Ridge Master- (WO 12202-8216; 2022 Addt'l Recs.)</t>
  </si>
  <si>
    <t>2022 - Pine Trimming on WALNUT ST</t>
  </si>
  <si>
    <t>2022 - (P) HIDDEN HILL</t>
  </si>
  <si>
    <t>2022 - (P) LAGUNA NIGUEL SKATE AND SOCCER</t>
  </si>
  <si>
    <t>2022 - Selective Trimming at HIDDEN HILLS PARK</t>
  </si>
  <si>
    <t>2022 - Removals at BONITA CANYON SPORTS PARK</t>
  </si>
  <si>
    <t>2022 - Stump Grinding at 2901 EASTBLUFF DR</t>
  </si>
  <si>
    <t>2022 - Stump Grinding at BALBOA BLVD /E</t>
  </si>
  <si>
    <t>2022 Lake Forest (Woods) - (Tract 6801- Slope Trim &amp; Removals)</t>
  </si>
  <si>
    <t>2022 - Lake Forest (Woods) - (Tract 5797 Woods - Area 1 Removal ID 268)</t>
  </si>
  <si>
    <t>2022 - Lake Forest (Woods) - (Tract 5797 Woods - Area 2 Trim &amp; Removals)</t>
  </si>
  <si>
    <t>2022 - Lake Forest (Woods) - (Tract 6353-Slope 1 Removals)</t>
  </si>
  <si>
    <t>2022 - Lake Forest (Woods) - (Tract 7390- Slope 1 Trim &amp; Removals)</t>
  </si>
  <si>
    <t>NO NOISE BEFORE 10 2022 - Lake Forest (Woods) - (Tract 6349-Jeronimo Removals)</t>
  </si>
  <si>
    <t>NO NOISE BEFORE 10 2022 - Lake Forest (Woods) - (Tract 6349-Slope 1 Removals)</t>
  </si>
  <si>
    <t>NO NOISE BEFORE 10 2022 - Lake Forest (Woods) - (Tract 9124-Slope Trim &amp; Removals)</t>
  </si>
  <si>
    <t>NOT FULL DAY 2022 (Aug/Sep) Lakeside Park - (WO 12208-1684; 24802 Lakefield)</t>
  </si>
  <si>
    <t>2022 - Clearance Trim at 15171 CHALON (Magnolia)</t>
  </si>
  <si>
    <t>2022 - Clearance Trim at 4902 BARKWOOD</t>
  </si>
  <si>
    <t>2022 - Removal at 18935 RACINE (Kaffir)</t>
  </si>
  <si>
    <t>2022 - Removal at 19452 SIERRA CHULA</t>
  </si>
  <si>
    <t>2022 - Removal on BARRANCA PKWY (Oak)</t>
  </si>
  <si>
    <t>2022 - SR Trim at 15092 TALLEY (Orchid)</t>
  </si>
  <si>
    <t>2022 - SR Trim at JEFFREY RD</t>
  </si>
  <si>
    <t>2022 - SR Trim at TRABUCO &amp; YALE (Non-Inventory)</t>
  </si>
  <si>
    <t>2022 - PRIORITY 6; DISTRICT D-4 - (REVISED)</t>
  </si>
  <si>
    <t>2022 - (P) MARINA HILLS</t>
  </si>
  <si>
    <t>2022 - (P) REDONDO VIEW NODE</t>
  </si>
  <si>
    <t>2022 - Removal at 1818 PORT MARGATE PL</t>
  </si>
  <si>
    <t>2022 - WR48081 | Third Mutual | Buildings 3022-3040</t>
  </si>
  <si>
    <t>2022 - WR48085 | Third Mutual | Removal at 5510 PASEO DEL LAGO WEST ST</t>
  </si>
  <si>
    <t>2022 - WR48114 | Third Mutual | Removal at 5468 PASEO DEL LAGO EAST ST</t>
  </si>
  <si>
    <t>2022 - WR48116 | Third Mutual | Removal at 5579 LUZ DEL SOL</t>
  </si>
  <si>
    <t>NOT FULL DAY 2022 (Aug/Oct) Candelero - (Crape Myrtle Trimming)</t>
  </si>
  <si>
    <t>NOT FULL DAY 2022 (Oct/Dec) Kite Hill HOA - (2022 Palm Trimming Snapshot)</t>
  </si>
  <si>
    <t>2022 - (Removal) Northwood Courtside - (20 Delaware Client Request Removal ID's 43-44)</t>
  </si>
  <si>
    <t>2022 - ARTERIAL PALM TRIMMING (FY 22/23)</t>
  </si>
  <si>
    <t>2022 - (P) SEMINOLE</t>
  </si>
  <si>
    <t>2022 - (P) VISTA PLAZA</t>
  </si>
  <si>
    <t>2022 - United Mutual | Buildings 310-364; 408 | CI Pines - (REVISED)</t>
  </si>
  <si>
    <t>POWERSTONE PROPERTY MANAGEMENT</t>
  </si>
  <si>
    <t>2022 - SR Trim at 14612 HIGHCREST CIR</t>
  </si>
  <si>
    <t>2022 - SR Trim on SALACIA DR (Koelreuterias)</t>
  </si>
  <si>
    <t>2022 (Jul/Sep &amp; Removals) Mayfair High School</t>
  </si>
  <si>
    <t>Cushman &amp; Wakefield/Bell</t>
  </si>
  <si>
    <t>2022 - (Oct/Dec &amp; removals) Cheli Distribution Center - (2022 Recommendations)</t>
  </si>
  <si>
    <t>2022 - Evergreen Elementary (Trimming &amp; Removal)</t>
  </si>
  <si>
    <t>2022 - WR48124 | Third Mutual | 3320-A VIA CARRIZO</t>
  </si>
  <si>
    <t>2022 - Bayridge Park HOA - ($0 Go-Ahead)</t>
  </si>
  <si>
    <t>Seabreeze Management Company</t>
  </si>
  <si>
    <t>2022 (Oct/Dec &amp; Removal) Alicia Business Center (2022 Tree Maintenance)</t>
  </si>
  <si>
    <t>2022 - SR Trim on BARRANCA PKWY (Sycamores)</t>
  </si>
  <si>
    <t>2022 -(Oct/Dec &amp; removals) Tennis Estates - (2022 Recommendations)</t>
  </si>
  <si>
    <t>2022 - (S) ROLLING HILLS SLOPE</t>
  </si>
  <si>
    <t>Country Road Homeowner’s Association</t>
  </si>
  <si>
    <t>2022 - Country Road HOA - (2022 Trimming)</t>
  </si>
  <si>
    <t>2022 - Northpark Maintenance - (Removal ID 2-17)</t>
  </si>
  <si>
    <t>2022 - Ceres Elementary (Removals)</t>
  </si>
  <si>
    <t>2022 (Oct/Dec) Canyon View Maintenance - (2022/23 Trimming Snapshot)</t>
  </si>
  <si>
    <t>DIR 2022 - District Office (FY 22/23 Trimming)</t>
  </si>
  <si>
    <t>DIR 2022 - Dr. Albert Schweitzer School (FY 22/23 Trimming)</t>
  </si>
  <si>
    <t>DIR 2022 - Dr. Jonas E. Salk School ( FY 22/23 Trimming)</t>
  </si>
  <si>
    <t>DIR 2022 - Dr. Peter Marshall Elementary School (FY 22/23 Trimming)</t>
  </si>
  <si>
    <t>DIR 2022 - Esther L Walter School ( FY 22/23 Trimming)</t>
  </si>
  <si>
    <t>DIR 2022 - Juliet Low Elementary ( FY 22/23 Trimming)</t>
  </si>
  <si>
    <t>DIR 2022 - Mattie Lou Maxwell Elementary School (FY 22/23 Trimming)</t>
  </si>
  <si>
    <t>DIR 2022 - Robert M Pyles School (FY 22/23 Trimming)</t>
  </si>
  <si>
    <t>DIR 2022 - Walt Disney School (FY 22/23 Trimming)</t>
  </si>
  <si>
    <t>DIR 2022 -Lord Baden Powell School (FY22/23 Trimming)</t>
  </si>
  <si>
    <t>2022 (Jan/Mar) Arborel &amp; Chantory Maintenance - (Priority 1 Cypress Pruning)</t>
  </si>
  <si>
    <t>2022 (Jul/Nov) The Grand Monarch - (Revised 3 Year Plan)</t>
  </si>
  <si>
    <t>2022 (Oct/Dec) Arborel &amp; Chantory Maintenance Assoc. - (Approval Proposal 277014)</t>
  </si>
  <si>
    <t>2022 (Oct/Dec) SeaView Townhomes - (3 Year Plan)</t>
  </si>
  <si>
    <t>2022 - 6TH And MONROVIA PARK (Palms &amp; 1 Ficus)</t>
  </si>
  <si>
    <t>2022 - ALAMITOS HEIGHTS PARK (Oaks)</t>
  </si>
  <si>
    <t>2022 - BASIN 3 (Melaleucas)</t>
  </si>
  <si>
    <t>2022 - BASIN 4 (Carrotwoods)</t>
  </si>
  <si>
    <t>2022 - BASIN 6-NORTH (Carrotwood &amp; Euc)</t>
  </si>
  <si>
    <t>2022 - BEACH MAINTENANCE (New Zealand Christmas Tree)</t>
  </si>
  <si>
    <t>2022 - BIXBY ANNEX (Ficus &amp; Podocarpus)</t>
  </si>
  <si>
    <t>2022 - BLUFF PARK (Ficus)</t>
  </si>
  <si>
    <t>2022 - DENNIS WILLIAMS GREENBELT (Ficus)</t>
  </si>
  <si>
    <t>2022 - MARINE STADIUM PARK (Eucs &amp; Ficus)</t>
  </si>
  <si>
    <t>2022 - MOTHER’S BEACH (Elms &amp; Pepper)</t>
  </si>
  <si>
    <t>2022 - OIL DOCK ROAD (Ficus)</t>
  </si>
  <si>
    <t>2022 - RAINBOW HARBOR (Eucalyptus)</t>
  </si>
  <si>
    <t>2022 - RAINBOW LAGOON (Ficus)</t>
  </si>
  <si>
    <t>2022 - ROAD TO MARINE BUREAU HEADQUARTERS</t>
  </si>
  <si>
    <t>2022 - SPINNAKER &amp; ELLIOT (Ficus)</t>
  </si>
  <si>
    <t>2022 - DISTRICT 4 (TRIMMING)</t>
  </si>
  <si>
    <t>2022 - Pacific Hills East - (7 Risero; Removal ID 36)</t>
  </si>
  <si>
    <t>2022 - Pacific Hills East - (Removal ID 37)</t>
  </si>
  <si>
    <t>2022 (Oct/Dec) Stoney Pointe at Bear Brand - (2022 Revised Trimming Rec's)</t>
  </si>
  <si>
    <t>2022 - (Oct/Dec) Canyon View Maintenance - (2022/23 Trimming Snapshot)CO 20167</t>
  </si>
  <si>
    <t>2022 - Pacific Ridge HOA (Revised 2022 Add't H/O Request Removals)</t>
  </si>
  <si>
    <t>2022 - Stoney Pointe at Bear Brand - (2022 Removal Rec's ID's 1-2)</t>
  </si>
  <si>
    <t>2022 - Third Mutual | Buildings 3041-3135 - (REMAINING)</t>
  </si>
  <si>
    <t>2022 - Third Mutual | Buildings 5396-5417 - (REMAINING)</t>
  </si>
  <si>
    <t>2022 - WR48033 | United Mutual | Supplemental Pine Trimming - (REMAINING)</t>
  </si>
  <si>
    <t>2022 - WR48069 | Third Mutual | Buildings 5318-5346 - (REMAINING)</t>
  </si>
  <si>
    <t>2022 - WR48080 | United Mutual | Buildings 24-64 - (REMAINING)</t>
  </si>
  <si>
    <t>Lordon Management</t>
  </si>
  <si>
    <t>2022 - Granada Park Cerritos HOA - (Removal ID 23)</t>
  </si>
  <si>
    <t>2022 - Lakeside Master Association - (2022 Removals)</t>
  </si>
  <si>
    <t>2022 - Loma Vista Owners Association - (2022 H/O Request Removal ID's 27-29)</t>
  </si>
  <si>
    <t>2022 (Aug/Oct &amp; Removal) Presidential Heights 1 - (2022 Add'tl Trim &amp; Removal Rec's)</t>
  </si>
  <si>
    <t>2022 - Mission Sunrise Ridge - (WO 12208-3590 Removal ID 218)</t>
  </si>
  <si>
    <t>PERMIT 2022 (Oct/Dec &amp; Removals) Canyon Point Maintenance Corp - (Revised 2022 Snapshot Trim &amp; Removals)</t>
  </si>
  <si>
    <t>Progressive Association Management</t>
  </si>
  <si>
    <t>2022 (Aug/Sep) Santa Clara Neighborhood - (WO 00498; Cypress Trimming)</t>
  </si>
  <si>
    <t>2022 - Northwood II Master - (ID 166; 93 Wonderland)</t>
  </si>
  <si>
    <t>Steelwave CDS, LLC</t>
  </si>
  <si>
    <t>2022 - 1382 Bell (Mulch + Spread)</t>
  </si>
  <si>
    <t>2022 - 1382 Bell (Phase 2 Tree Maintenance)</t>
  </si>
  <si>
    <t>2022 (Removals) Aliso Villas - (2 Year Phase Removal Plan)</t>
  </si>
  <si>
    <t>2022 - Blue Gum Removal at 3864 VIEWPARK AVE</t>
  </si>
  <si>
    <t>2022 - CLR Trim on ALTON PKWY (Non-City Tipu)</t>
  </si>
  <si>
    <t>2022 - MAIN ST (Jamboree - W. Yale)</t>
  </si>
  <si>
    <t>2022 - Removal on MAIN ST (pine)</t>
  </si>
  <si>
    <t>2022 - Removals at NORTHWOOD COMM. PARK</t>
  </si>
  <si>
    <t>2022 - San Leandro Park Trimming</t>
  </si>
  <si>
    <t>2022 - SR Trim at PEPPERWOOD PARK</t>
  </si>
  <si>
    <t>2022 - Sweet Shade Park Trimming</t>
  </si>
  <si>
    <t>2022 - (P) Planting at POOCH PARK</t>
  </si>
  <si>
    <t>2022 - (P) POOCH PARK</t>
  </si>
  <si>
    <t>LINK===2022 - 6TH And MONROVIA PARK (Palms &amp; 1 Ficus)</t>
  </si>
  <si>
    <t>LINK===2022 - ALAMITOS HEIGHTS PARK (Oaks)</t>
  </si>
  <si>
    <t>LINK===2022 - BASIN 3 (Melaleucas)</t>
  </si>
  <si>
    <t>LINK===2022 - BASIN 4 (Carrotwoods)</t>
  </si>
  <si>
    <t>LINK===2022 - BASIN 6-NORTH (Carrotwood &amp; Euc)</t>
  </si>
  <si>
    <t>LINK===2022 - BEACH MAINTENANCE (New Zealand Christmas Tree)</t>
  </si>
  <si>
    <t>LINK===2022 - BIXBY ANNEX (Ficus &amp; Podocarpus)</t>
  </si>
  <si>
    <t>LINK===2022 - BLUFF PARK (Ficus)</t>
  </si>
  <si>
    <t>LINK===2022 - DENNIS WILLIAMS GREENBELT (Ficus)</t>
  </si>
  <si>
    <t>LINK===2022 - MARINE STADIUM PARK (Eucs &amp; Ficus)</t>
  </si>
  <si>
    <t>LINK===2022 - OIL DOCK ROAD (Ficus)</t>
  </si>
  <si>
    <t>LINK===2022 - Palms &amp; Corals: Alamitos Bay (Oil Dock Road &amp; Road to Marine HQ)</t>
  </si>
  <si>
    <t>LINK===2022 - Palms &amp; Corals: Beach Areas (2nd St to 15th Pl)</t>
  </si>
  <si>
    <t>LINK===2022 - Palms &amp; Corals: Beach Areas (Basin 7-72nd, Bayshore Playground, Beach Maint, Belmont Plaza &amp; Pier Parking)</t>
  </si>
  <si>
    <t>LINK===2022 - Palms &amp; Corals: Beach Areas (Basins 1-6)</t>
  </si>
  <si>
    <t>LINK===2022 - Palms &amp; Corals: Beach Areas (Bixby Annex, Bluff Park, Junipero Parking)</t>
  </si>
  <si>
    <t>LINK===2022 - Palms &amp; Corals: Beach Areas (Colonade, La Bella Fontina, Overlook Park, Treasure Island))</t>
  </si>
  <si>
    <t>LINK===2022 - ROAD TO MARINE BUREAU HEADQUARTERS</t>
  </si>
  <si>
    <t>LINK===2022 - SPINNAKER &amp; ELLIOT (Ficus)</t>
  </si>
  <si>
    <t>2022 - Orchid Trimming (Grid 13)</t>
  </si>
  <si>
    <t>2022 - Leffingwell Elementary (Service Request Trimming)</t>
  </si>
  <si>
    <t>2022 - Ocean View Elementary (Service Request Trimming)</t>
  </si>
  <si>
    <t>LBA Realty</t>
  </si>
  <si>
    <t>2022 (Removals) Park Place - REVISED (10/12 Meeting Deliverables)</t>
  </si>
  <si>
    <t>2022 - Granada Park Cerritos HOA - (Client Requested Removals)</t>
  </si>
  <si>
    <t>NOT FULL DAY 2022 (Jul/Sep) Meridian Apartments - (Revised Tree Trimming Snapshot)</t>
  </si>
  <si>
    <t>2022 - WALNUT TRAIL (Harvard - Culver)</t>
  </si>
  <si>
    <t>2022 - TOLL ROAD/ CITY ENTRY</t>
  </si>
  <si>
    <t>2022 - Removals at 318 MONTERO AVE</t>
  </si>
  <si>
    <t>2022 - Removals at 37 MAINSAIL DR</t>
  </si>
  <si>
    <t>Irvine Company Office - Launch, MacArthur, Newport</t>
  </si>
  <si>
    <t>2022 - (Oct/Dec) MacArthur Court (FY 22/23 Tree Maintenance)</t>
  </si>
  <si>
    <t>North Orange County Community College Di</t>
  </si>
  <si>
    <t>2022 - (Oct/Dec)Fullerton Community College (Fall Trimming &amp; Removals)</t>
  </si>
  <si>
    <t>2023 - (Jan/Mar) Fullerton Community College (Tag &amp; Plot All Trees)</t>
  </si>
  <si>
    <t>TRANSWESTERN</t>
  </si>
  <si>
    <t>2022 - (Removals) 338 E Beach, LLC - (Site Clearance)</t>
  </si>
  <si>
    <t>2022 - Blue Gum Removals on HICKS CANYON</t>
  </si>
  <si>
    <t>2022 - Koelreuteria Trim on BLACKFIN AVE</t>
  </si>
  <si>
    <t>2022 - Removal on YALE &amp; ORANGE ARROW</t>
  </si>
  <si>
    <t>2022 - SR Trim at 14781 DONCASTER RD</t>
  </si>
  <si>
    <t>2022 - SR Trim at 15192 VICHY CIR</t>
  </si>
  <si>
    <t>2022 - SR Trim on FOXGLOVE WAY</t>
  </si>
  <si>
    <t>2022 - SR Trim on JAMBOREE RD (CA-Peppers)</t>
  </si>
  <si>
    <t>2022 - Christmas Walk - Tree Trimming</t>
  </si>
  <si>
    <t>City of Anaheim: Public Works</t>
  </si>
  <si>
    <t>2022 - FIRE STATION NO. 11</t>
  </si>
  <si>
    <t>2022 - Palms &amp; Corals: Alamitos Bay (Aquarium Parking &amp; Rainbow Harbor/Lagoon)</t>
  </si>
  <si>
    <t>2022 - Palms &amp; Corals: Downtown Marina: (Harry Bridges, Queen Mary, South Shore Launch)</t>
  </si>
  <si>
    <t>2022 - Palms &amp; Corals: Downtown Marina: (Magnolia Slopes, Marine Ops, Shoreline Aquatic, University Parking)</t>
  </si>
  <si>
    <t>2022 - Palms &amp; Corals: Downtown Marina: (Shoreline Village/Slope, Marina Green Park, Marine Bureau Office)</t>
  </si>
  <si>
    <t>2022 - Planting at WILL ROGERS MINI PARK</t>
  </si>
  <si>
    <t>2022 - Removal at 241 N Marina Dr.</t>
  </si>
  <si>
    <t>2022 - Removals at AQUARIUM PARKING STRUCTURE</t>
  </si>
  <si>
    <t>2022 - Removal at 2253 GOLDEN CIR</t>
  </si>
  <si>
    <t>2022 - Stump Grinding at 1800 Port Barmouth Pl</t>
  </si>
  <si>
    <t>2022 - City of Westminster</t>
  </si>
  <si>
    <t>2022 - 19000 MacArthur - (Removal ID 45)</t>
  </si>
  <si>
    <t>2022 - Third Mutual Planting</t>
  </si>
  <si>
    <t>SCHEDULE IN JANUARY===2022 - United Mutual Planting</t>
  </si>
  <si>
    <t>SPIDER LIFT 2022 - The Vineyards at Foothill Ranch - (Removal Recommendation 5)</t>
  </si>
  <si>
    <t>2022 - Palm Gardens Community Association - (WO 12210-2400; Removal ID's 283-284)</t>
  </si>
  <si>
    <t>2022 - Scott Griffith's Residence - (2022 $0 Go-Ahead; Palm Trimming)</t>
  </si>
  <si>
    <t>2023 (Jan/Mar) Woodbridge Seasons - (Crape Mrytle Trimming)</t>
  </si>
  <si>
    <t>2022 - (Oct/Dec) West Coast University - (2022 Palms Trimming)</t>
  </si>
  <si>
    <t>(DIR) 2022 Mayfair High School</t>
  </si>
  <si>
    <t>2022 - Lemon Grass Windrow Trimming</t>
  </si>
  <si>
    <t>2022 - SR Trim at 3 ASBURY</t>
  </si>
  <si>
    <t>2022 - SR Trim at CARROTWOOD PARK</t>
  </si>
  <si>
    <t>2022 - SR Trim on IRVINE BLVD (Jacarandas)</t>
  </si>
  <si>
    <t>2022 - DENNIS WILLIAMS GREENBELT (2022)</t>
  </si>
  <si>
    <t>2022 - EL DORADO PARK EAST REMOVALS (AREA 2)</t>
  </si>
  <si>
    <t>2022 - Meadowcreek Community Assoc - (Missed tree due to parked car)</t>
  </si>
  <si>
    <t>2022 - Homeowner Request at 1021 WHITE SAILS WAY</t>
  </si>
  <si>
    <t>2022 - Removal at Newport Coast Community Center</t>
  </si>
  <si>
    <t>2022 - Removals at Various Locations (Revised)</t>
  </si>
  <si>
    <t>2022 - SR trimming at Newport Coast Dr and Donna Bella</t>
  </si>
  <si>
    <t>2022 - Chapman Ave (2022)</t>
  </si>
  <si>
    <t>2022 - Removals at Chapman Ave.</t>
  </si>
  <si>
    <t>2022 - (Removal) Granada Park Cerritos HOA - (Removal ID 23)</t>
  </si>
  <si>
    <t>2022 - (Removals) Granada Park Cerritos HOA - (Client Requested Removals)</t>
  </si>
  <si>
    <t>2022 - (Removals) Loma Vista Owners Association - (WO XN1896310; Removal Rec's IDs 38-39)</t>
  </si>
  <si>
    <t>2022 - Garden Homes - (ID 161; LRG Tipu blocked by car)</t>
  </si>
  <si>
    <t>2022 - Woodbridge Parkway - (Removal ID 442)</t>
  </si>
  <si>
    <t>2023 (Jan/Mar) Garden Homes - (WO XN1984513; 25 Rainbow Falls)</t>
  </si>
  <si>
    <t>2022 - (Removals) Palm Gardens Community Association - (WO 12210-2400; Removal ID's 283-284)</t>
  </si>
  <si>
    <t>NOT FULL DAY 2022 - (Aug/Sep) Lakeside Park - (WO 12208-1684; 24802 Lakefield)</t>
  </si>
  <si>
    <t>PERMIT 2023 (Removal) The Hamptons at Aliso Viejo - (Revised 2023 Client Requested Removals</t>
  </si>
  <si>
    <t>(DIR) 2022 - (Jul/Sep &amp; Removals) Mayfair High School</t>
  </si>
  <si>
    <t>2022 - (RGT) Camino Capistrano</t>
  </si>
  <si>
    <t>2022 - Ficus Planting at BIXBY ANNEX - (REV.B)</t>
  </si>
  <si>
    <t>2022 - Crew Rental at Piazza Lido (Revised)</t>
  </si>
  <si>
    <t>2022 - Palm Skinning at 19th St Parking Lot</t>
  </si>
  <si>
    <t>2022 - Removals at Various Locations</t>
  </si>
  <si>
    <t>2022 - Stump Grinding at 225 Riverside Ave</t>
  </si>
  <si>
    <t>2022 - Stump Grinding at Grant Howald Park</t>
  </si>
  <si>
    <t>2022 - (May/Jun) Meadowcreek Community Assoc - (Missed tree due to parked car)</t>
  </si>
  <si>
    <t>2022 - Anaheim City Hall</t>
  </si>
  <si>
    <t>2022 - WR48248 | United Mutual | Removals at 696 AVE MAJORCA</t>
  </si>
  <si>
    <t>2022 - WR48249 | United Mutual | Trimming at 846 RONDA SEVILLA</t>
  </si>
  <si>
    <t>2022 (Aug/Mar) Niguel Pointe HOA - (Revised 2022 Snapshot)</t>
  </si>
  <si>
    <t>2022 (Oct/Dec) Niguel Pointe HOA - (6, 10, 11 Via Laguna Trimming Rec's)</t>
  </si>
  <si>
    <t>2022 - Removal at 1435 Mariners Dr</t>
  </si>
  <si>
    <t>NOT A FULL DAY 2023 (Jan/Mar) Tustin Ranch Community Association I - (2023 Crown Reduce ID 11)</t>
  </si>
  <si>
    <t>NOT A FULL DAY 2023 (Jan/Mar) Beshore Residence - (2023 Trimming)</t>
  </si>
  <si>
    <t>2022 - California State Long Beach (FM Removals)</t>
  </si>
  <si>
    <t>2022 - California State Long Beach (FM Trimming)</t>
  </si>
  <si>
    <t>2022 - Strump Grinding at Bixby Annex</t>
  </si>
  <si>
    <t>SPIDER LIFT/NOT A FULL DAY 2023 (Jan/Mar) Valencia Maintenance Assoc. - (12457 Boros Pl)</t>
  </si>
  <si>
    <t>OC Water District</t>
  </si>
  <si>
    <t>2022 - (Oct/Dec) Off River Trees</t>
  </si>
  <si>
    <t>NEED PERMIT 2022 - Grandview Crest Homeowner Association (Revised Approved 2022 Recommended Removals)</t>
  </si>
  <si>
    <t>Otis HOA Management</t>
  </si>
  <si>
    <t>2022 (Oct/Dec) Canyon Estates Community Assoc. - (Crew Rental Corrective Prune Pine Aleppo)</t>
  </si>
  <si>
    <t>2022 - Removals on TURTLE ROCK DR</t>
  </si>
  <si>
    <t>2022 - SR Trim at 13822 TYPEE WAY</t>
  </si>
  <si>
    <t>2022 - Palms &amp; Corals: Beach Areas (2nd St to 15th Pl)</t>
  </si>
  <si>
    <t>Lake Forest II</t>
  </si>
  <si>
    <t>2022- === PLACEHOLDER === (Removals)</t>
  </si>
  <si>
    <t>2023 - ARTERIAL PALM TRIMMING (2023)</t>
  </si>
  <si>
    <t>2023 - Citywide Palms (greater than 75 ft) (2023)</t>
  </si>
  <si>
    <t>2023 - Palms on BALL RD (2023)</t>
  </si>
  <si>
    <t>2023 - 2022 - PRIORITY 10; DISTRICT E-5 - (REVISED) (2023)</t>
  </si>
  <si>
    <t>2023 - 2022 - PRIORITY 12; DISTRICT F-4 (2023)</t>
  </si>
  <si>
    <t>2023 - 2022 - PRIORITY 9; DISTRICT E-4 - (Revised) (2023)</t>
  </si>
  <si>
    <t>2022 - WARNER (E. Yale Loop - Peters Cyn Channel)</t>
  </si>
  <si>
    <t>2022 - Windrow Trimming on MAYFLOWER</t>
  </si>
  <si>
    <t>2022 - WO-22-09-00631=== CULVER DR (5 Fwy - Walnut Ave)</t>
  </si>
  <si>
    <t>2023 - (M) LA PAZ (2023)</t>
  </si>
  <si>
    <t>2023 - (M) PACIFIC ISLAND DRIVE (2023)</t>
  </si>
  <si>
    <t>2023 - (M) Removals &amp; Replanting at GOLDEN LANTERN (REVISED) (2023)</t>
  </si>
  <si>
    <t>2023 - (P) Crown Valley Park (Light Clearance)</t>
  </si>
  <si>
    <t>2023 - (P) Selective Trimming at CHAPARROSA PARK</t>
  </si>
  <si>
    <t>2022 - ADMIRAL KIDD PARK (2022)</t>
  </si>
  <si>
    <t>2022 - El Dorado Park West (Removals)</t>
  </si>
  <si>
    <t>2022 - HUDSON PARK</t>
  </si>
  <si>
    <t>2022 - LOS ALTOS PARK (2022)</t>
  </si>
  <si>
    <t>2022 - ORIZABA PARK (2022)</t>
  </si>
  <si>
    <t>2022 - PEACE PARK (2022)</t>
  </si>
  <si>
    <t>2022 - ROSA PARKS PARK (2022)</t>
  </si>
  <si>
    <t>2022 - ROTARY CENTENNIAL PARK (2022)</t>
  </si>
  <si>
    <t>2022 - SR Trim at 17472 WAYNE AVE</t>
  </si>
  <si>
    <t>2022 - SR Trim at 67 EDGEWOOD</t>
  </si>
  <si>
    <t>2023 - (Apr/Jun) Bowen Court Maintenance - (2023 Crown Reduce Tristanias)</t>
  </si>
  <si>
    <t>2022 - COOLIDGE PARK</t>
  </si>
  <si>
    <t>2022 - COOLIDGE PARK (Removals)</t>
  </si>
  <si>
    <t>2022 - Grace Park (2022)</t>
  </si>
  <si>
    <t>2022 - HOUGHTON PARK (Removals)</t>
  </si>
  <si>
    <t>2022 - RAMONA PARK (Removals)</t>
  </si>
  <si>
    <t>2023 - Planting List (Received on 9/27/22; Tuesday) (2023)</t>
  </si>
  <si>
    <t>2023 - Removal at 22000 Newport Coast Dr</t>
  </si>
  <si>
    <t>2023 - Service Request at 1601 Pegasus Street</t>
  </si>
  <si>
    <t>2023 - Service Request at 514 W Bay Ave</t>
  </si>
  <si>
    <t>2023 - SR Trimming at 105 Main Street</t>
  </si>
  <si>
    <t>2023 - Stump Grinding at 2340 Aralia St</t>
  </si>
  <si>
    <t>2022 - Trimming at Starr St</t>
  </si>
  <si>
    <t>2023 - Area 3-3 (2023)</t>
  </si>
  <si>
    <t>2023 - United Mutual | Buildings 310-364; 408 | CI Pines - (REVISED)</t>
  </si>
  <si>
    <t>2023 - United Mutual Planting</t>
  </si>
  <si>
    <t>2023 - WR48059 | Third Mutual | Buildings 3320-3326 (2nd Revision)</t>
  </si>
  <si>
    <t>2023 - WR48261 | United Mutual | Gate 5 Perimeter Wall Trees</t>
  </si>
  <si>
    <t>NOT A FULL DAY 2023 (Removals) KPC Summit HOA - (2023; 2 Palos Verdes Removal IDs 11-12)</t>
  </si>
  <si>
    <t>2023 - DISTRICT F-6 - (INVENTORY SERVICES)</t>
  </si>
  <si>
    <t>2023 - Removal at 4545 Fairfield Dr</t>
  </si>
  <si>
    <t>2023 - (Jan/Mar) Bowen Court Maintenance Association - (Tristania Trimming; 200 Groveland)</t>
  </si>
  <si>
    <t>2023 - HERITAGE PARK TRIMMING</t>
  </si>
  <si>
    <t>2023 - RANCH PARK RESIDENTIAL</t>
  </si>
  <si>
    <t>2023 - Windrow Trimming at VALENCIA PARK</t>
  </si>
  <si>
    <t>2023 - Windrow Trimming on ALLEGHENY (all trees)</t>
  </si>
  <si>
    <t>2023 - Windrow Trimming on CHESAPEAKE</t>
  </si>
  <si>
    <t>2023 - Windrow Trimming on FLORENCE</t>
  </si>
  <si>
    <t>2023 - Sage Maintenance - (32 Windchime; Removal ID 47)</t>
  </si>
  <si>
    <t>2022 - (Oct/Dec) Trinidad Island HOA - (3 Year Plan)</t>
  </si>
  <si>
    <t>2023 - WR48297 | United Mutual | Trimming at 319-321 Perimeter trees</t>
  </si>
  <si>
    <t>2023 - WR48298 | United Mutual | Trimming at 427-466</t>
  </si>
  <si>
    <t>2022 (Oct/Dec &amp; Removals) Woodbridge Village Association (WVA)</t>
  </si>
  <si>
    <t>2023 - SR Trim at 14301 YALE AVE</t>
  </si>
  <si>
    <t>2023 - SR Trim behind 13 MINERS TRAIL</t>
  </si>
  <si>
    <t>2023 - SR Trim on 1104 VISIONS</t>
  </si>
  <si>
    <t>2023 - SR Trim on EL CAMINO REAL (Non-City)</t>
  </si>
  <si>
    <t>2023 - LOS OLIVOS COMMUNITY PARK - (Removal &amp; Replanting)</t>
  </si>
  <si>
    <t>Irvine Company Office - Hi Rise</t>
  </si>
  <si>
    <t>2023 (Apr/Jun) 600,610 Newport Center Drive (FY 22/23 Trimming)</t>
  </si>
  <si>
    <t>2023 -Trailwood Maintenance - (Removals at Trailwood Park; ID 17 &amp; 84)</t>
  </si>
  <si>
    <t>2023 - GARDEN CENTER</t>
  </si>
  <si>
    <t>2023 - Removals at DOVECREEK PARK</t>
  </si>
  <si>
    <t>2023 - SR Trim at 13651 ESPIRIT WAY</t>
  </si>
  <si>
    <t>2023 - SR Trim at 14782 ATHEL AVE</t>
  </si>
  <si>
    <t>2023 - SR Trim behind 13 &amp; 14 CHARLESTON</t>
  </si>
  <si>
    <t>2023 - VENTA SPUR TRAIL (Culver - Jeffrey)</t>
  </si>
  <si>
    <t>2023 - WILLOWS PARK TRIMMING</t>
  </si>
  <si>
    <t>2023 - Windrow Trimming on VIEWPARK</t>
  </si>
  <si>
    <t>2023 (Apr/Jun) 620 Newport Center Drive (FY 22/23 Trimming)</t>
  </si>
  <si>
    <t>2023 (Apr/Jun) 660 Newport Center Drive (FY 22/23 Trimming)</t>
  </si>
  <si>
    <t>2023 (Apr/Jun) Mesa Vista North - (2023 Snapshot)</t>
  </si>
  <si>
    <t>NOT A FULL DAY 2023 - Glenwood Terrace - (2023 Removal Rec's; ID's 8-9)</t>
  </si>
  <si>
    <t>Nexagen Corporation</t>
  </si>
  <si>
    <t>2023 - (Jan/Mar) Nexagen Corporation - (2023 Recommendations)</t>
  </si>
  <si>
    <t>NEED PERMINT 2023 - (Removal) Nexagen Corporation - (Removal ID 6)</t>
  </si>
  <si>
    <t>2023 - WR49362 | OFF RIVER TREES</t>
  </si>
  <si>
    <t>2023 - WR49363 | LA JOLLA BASIN</t>
  </si>
  <si>
    <t>2023 - WR49365 | KRAEMER BASIN</t>
  </si>
  <si>
    <t>PERMIT 2023 (Jan/Mar) Grandview Crest HOA - (2023 Trimming Snapshot)</t>
  </si>
  <si>
    <t>PERMIT 2023 - Grandview Crest HOA - (2023 Dead Trees Removal Rec's)</t>
  </si>
  <si>
    <t>2023 - CONVENTION WAY PALMS (2023)</t>
  </si>
  <si>
    <t>2023 - Service Requesst at 3551 Pecan</t>
  </si>
  <si>
    <t>2023 - SR Trim at 38 COPPERLEAF</t>
  </si>
  <si>
    <t>2023 - DRAKE CHAVEZ SOCCER FIELD (Trimming)</t>
  </si>
  <si>
    <t>2023 - Remaining Trees in El Dorado Park West (Area 2)</t>
  </si>
  <si>
    <t>2023 - Remaining Trees in El Dorado Park West (Area 3)</t>
  </si>
  <si>
    <t>2023 - Remaining Trees in El Dorado Park West (Removals)</t>
  </si>
  <si>
    <t>2023 - Removal at Bonita Canyon Sports Park (964)</t>
  </si>
  <si>
    <t>2023 - Removal Newport Coast Dr (Front 42)</t>
  </si>
  <si>
    <t>2020 - District 3 Removals</t>
  </si>
  <si>
    <t>2023 - BUCKINGHAM PARK</t>
  </si>
  <si>
    <t>2023 - CASCADE PARK</t>
  </si>
  <si>
    <t>2023 - DISTRICT 3 (REMOVALS)</t>
  </si>
  <si>
    <t>2023 - DISTRICT 3 (TRIMMING)</t>
  </si>
  <si>
    <t>2023 - GOLDENWEST PARK</t>
  </si>
  <si>
    <t>2023 - MARGIE L RICE PARK</t>
  </si>
  <si>
    <t>2023 - WESTMINSTER BLVD (405 Fwy - Goldenwest)</t>
  </si>
  <si>
    <t>2023 - (OCt/Dec) Country Road HOA - (Revised 3 Year Plan)</t>
  </si>
  <si>
    <t>2023 - (Jan/Mar) Mulberry Elementary (Trimming &amp; Removals)</t>
  </si>
  <si>
    <t>POST 2023 - (Apr/Jun) Newport Crest HOA - (2023 Recommendations)</t>
  </si>
  <si>
    <t>POST 2023 - (Jul/Sep) Newport Crest HOA - (2023 Recommendations)</t>
  </si>
  <si>
    <t>2022 - WR48247 | Third Mutual | Removal at 2178 VIA PUERTA</t>
  </si>
  <si>
    <t>2023 - FEBRUARY PLANTING LIST</t>
  </si>
  <si>
    <t>2023 - Watering at Quail Hill Comm. Center</t>
  </si>
  <si>
    <t>2023 - Removals at Iglesia Park (Crew Rental)</t>
  </si>
  <si>
    <t>2023 - Trimming at Iglesia Park (2023) (Revised)</t>
  </si>
  <si>
    <t>2023 - PRIORITY 15; DISTRICT G-2 (2023)</t>
  </si>
  <si>
    <t>2023 - SR at 1712 Tradewinds Ln.</t>
  </si>
  <si>
    <t>2023 - Watering (Febuary 2023)</t>
  </si>
  <si>
    <t>NOT A FULL DAY 2023 (Jan/Mar) Bougainvillea HOA - (Podocarpus Tree Trimming)</t>
  </si>
  <si>
    <t>2022 (Jan/Mar) Hidden Canyon Community Assoc. - (3 Year Plan)</t>
  </si>
  <si>
    <t>2023 - (Apr/Jun) Belsomet Homeowners Association - (2023 Recs)</t>
  </si>
  <si>
    <t>2023 - (Stump Removals) Belsomet Homeowners Association</t>
  </si>
  <si>
    <t>2023 -(3 Year Removal Plan) Belsomet HOA</t>
  </si>
  <si>
    <t>2023 -(Jan/Mar) Belsomet Homeowners Association - (2023 Recs)</t>
  </si>
  <si>
    <t>NOT A FULL DAY 2023 - Westpark Village One - (WO 12116481; ID 32)</t>
  </si>
  <si>
    <t>2022 - WR48250 | Third Mutual | Crew Rental at VIA MARIPOSA</t>
  </si>
  <si>
    <t>2023 - Woodside Irvine HOA - (Removal IDs 213-214)</t>
  </si>
  <si>
    <t>2023 - (Jan/Mar) Woodbury Town Center (Foothill)(Heavy Pine Trimming)</t>
  </si>
  <si>
    <t>2023 (Jan/Mar) Belflora in Rancho Santa Margarita - (2023 Add'tl Trimming Rec's)</t>
  </si>
  <si>
    <t>NOT A FULL DAY 2023 (Jan/Mar) St. Tropez Condominium Association - (Revised 2022 Oct/Dec Trimming &amp; Root Prune)</t>
  </si>
  <si>
    <t>2023 - Watering (March 2023)</t>
  </si>
  <si>
    <t>Equity Office - Orange County</t>
  </si>
  <si>
    <t>2023 (Jan/Mar &amp; Removal) Canvas South - (2023 Recommendations)</t>
  </si>
  <si>
    <t>2023 (Jan/Mar) Canvas North - (Revised 2023 Recommendations)</t>
  </si>
  <si>
    <t>2023 - Laguna Niguel Business Center - (2023 Removals Bid; 27801 La Paz)</t>
  </si>
  <si>
    <t>NOT A FULL DAY 2023 - Woodbridge Parkway Maint. - (ID 450; WO XN2206020)</t>
  </si>
  <si>
    <t>Bentley Community Management, Inc.</t>
  </si>
  <si>
    <t>2023 (Apr/Jun &amp; Removal) Promenade at Seagate - (2023 Recommendations)</t>
  </si>
  <si>
    <t>2023 (Apr/Jun) Promenade at Seagate - (23 Transportation Corridor Recs)</t>
  </si>
  <si>
    <t>2023 (Jul/Sep) Promenade at Seagate - (2023 Recommendations)</t>
  </si>
  <si>
    <t>2023 (Jul/Sep) Promenade at Seagate - (23' Transportation Corridor Recs)</t>
  </si>
  <si>
    <t>City of Anaheim: Sports &amp; Entertainment</t>
  </si>
  <si>
    <t>2023 - (Jun) Stadium Gateway (2 Year Master)</t>
  </si>
  <si>
    <t>2023 - (Mar) Stadium Gateway</t>
  </si>
  <si>
    <t>2023 - Heartwell Removals (Area 1)</t>
  </si>
  <si>
    <t>Golden West Property Management</t>
  </si>
  <si>
    <t>2023 - (Feb/Apr) Rancho Dominguez - (23/24 Recommendations)</t>
  </si>
  <si>
    <t>2023 - (Jun/Sep) Rancho Dominguez - (23/24 Recommendations)</t>
  </si>
  <si>
    <t>2023 - (Oct/Jan) Rancho Dominguez - (23/24 Recommendations)</t>
  </si>
  <si>
    <t>Kidder Mathews</t>
  </si>
  <si>
    <t>2023 (Apr/Jun) LB South &amp; Downey LLC - (2023 Recommendations)</t>
  </si>
  <si>
    <t>2022 (Oct/Dec) Painter Business Park - (22/23 Carrotwood &amp; Crape Myrtle Recs)</t>
  </si>
  <si>
    <t>2023 - The Main Attraction HOA - (Removal ID 3)</t>
  </si>
  <si>
    <t>Pristine Property Management</t>
  </si>
  <si>
    <t>2023 - Village Green HOA - (Removal ID 6, 9, 10)</t>
  </si>
  <si>
    <t>PERMIT 2023 (Apr/Jun) Concorde Place - (2023 Recommendations)</t>
  </si>
  <si>
    <t>PERMIT 2023 (Jan/Mar) Concorde Place - (2023 Recommendations)</t>
  </si>
  <si>
    <t>PERMIT 2023 (Jul/Sep) Concorde Place - (2023 Recommendations)</t>
  </si>
  <si>
    <t>PERMIT 2023 (Oct/Dec) Concorde Place - (2023 Recommendations)</t>
  </si>
  <si>
    <t>PERMIT 2023 - Concorde Place - (2023 Removals)</t>
  </si>
  <si>
    <t>2023 - (Aug/Sep) Corporate Point at West Hills (2023 Tree Maintenance)</t>
  </si>
  <si>
    <t>2023 - (Jan/Mar &amp; Removals) Corporate Point at West Hills (2023 Tree Maintenance)</t>
  </si>
  <si>
    <t>2023 - (Jan/Mar) CP West Hills (Roscoe) 2023 Trimming</t>
  </si>
  <si>
    <t>2023 - (Removals) Corporate Point at West Hills (Campus) - R&amp;G ID #186</t>
  </si>
  <si>
    <t>2023 - (Jan/Mar) Bayside Center (Jan/Mar Trimming)</t>
  </si>
  <si>
    <t>2023 - (Jan/Mar) Corona Del Mar Plaza (CI Palms)</t>
  </si>
  <si>
    <t>2023 - (Jan/Mar) Corona Del Mar Plaza (Jan/Mar Trimming)</t>
  </si>
  <si>
    <t>2023 - (Jan/Mar) Crossroads (CI Palms)</t>
  </si>
  <si>
    <t>2023 - (Jan/Mar) Crystal Cove Promenade (CI Palms)</t>
  </si>
  <si>
    <t>2023 - (Jan/Mar) Crystal Cove Promenade (Jan/Mar Trimming)</t>
  </si>
  <si>
    <t>2023 - (Jan/Mar) Culver Plaza (Jan/Mar Trimming)</t>
  </si>
  <si>
    <t>2023 - (Jan/Mar) Cypress Village Center (Jan/Mar Trimming)</t>
  </si>
  <si>
    <t>2023 - (Jan/Mar) Eastbluff Village (Jan/Mar Trimming)</t>
  </si>
  <si>
    <t>2023 - (Jan/Mar) Harvard Place (CI Palms)</t>
  </si>
  <si>
    <t>2023 - (Jan/Mar) Newport Coast (Coastal)</t>
  </si>
  <si>
    <t>2023 - (Jan/Mar) Newport Hills Center (Jan/Mar Trimming)</t>
  </si>
  <si>
    <t>2023 - (Jan/Mar) Northpark Plaza (Jan/Mar Trimming)</t>
  </si>
  <si>
    <t>2023 - (Jan/Mar) Orchard Hills Village Center (Jan/Mar Trimming)</t>
  </si>
  <si>
    <t>2023 - (Jan/Mar) Quail Hill Village Center (CI Palms)</t>
  </si>
  <si>
    <t>2023 - (Jan/Mar) The Bluffs (CI Palms)</t>
  </si>
  <si>
    <t>2023 - (Jan/Mar) The Bluffs (Jan/Mar Trimming)</t>
  </si>
  <si>
    <t>2023 - (Jan/Mar) Woodbury Town Center (Jan/Mar Trimming)</t>
  </si>
  <si>
    <t>2023 (Jan/Mar) Canyon Edge - (23 Rec's per LS Walk)</t>
  </si>
  <si>
    <t>NOT A FULL DAY 2023 (Jan/Mar) Mirador Community - (2023 Palm Fronds Trimming)</t>
  </si>
  <si>
    <t>2023 - (Jan/Mar &amp; Removals) Moog Aircraft Group (2023 Tree Maintenance)</t>
  </si>
  <si>
    <t>PRINT SOUND REPORT 2023 - (Apr/Jun) Long Beach Town Center (Date Palm Sounding)</t>
  </si>
  <si>
    <t>2023 - Laguna College of Art &amp; Design (Jan/Mar Trimming)</t>
  </si>
  <si>
    <t>2023 - District H-3</t>
  </si>
  <si>
    <t>2023 - (S) Removal at 24300 ALISO CREEK SLOPE</t>
  </si>
  <si>
    <t>2024 - (Jul/Sep) Celamonte - (3 Year Plan)</t>
  </si>
  <si>
    <t>2025 - (Jul/Sep) Celamonte - (3 Year Plan)</t>
  </si>
  <si>
    <t>2023 - Homeowner Request at 3241 SAN AMADEO</t>
  </si>
  <si>
    <t>2023 - (Apr/Jun) The Villages at Heritage Springs - (2023 Recs)</t>
  </si>
  <si>
    <t>2023 - Fountain Valley Planting Proposal</t>
  </si>
  <si>
    <t>City of Laguna Woods</t>
  </si>
  <si>
    <t>2023 - ==PLACEHOLDER==City of Laguna Woods</t>
  </si>
  <si>
    <t>2023 - Removals at Heartwell Park</t>
  </si>
  <si>
    <t>2023 (July) 19000 MacArthur - (2023 Recommendations)</t>
  </si>
  <si>
    <t>2023 - WR49440 | United Mutual | Removal at 110 Via Estrada</t>
  </si>
  <si>
    <t>2023 - (Apr/Jun) California Academy of Math &amp; Sciences (Tristania Trimming)</t>
  </si>
  <si>
    <t>2023 - (Apr/Jun) Campobello HOA - (2023 Recommendations)</t>
  </si>
  <si>
    <t>Property Management Professionals, LLC (PMP)</t>
  </si>
  <si>
    <t>PERMIT 2023 - Concorde Place - CERRITOS - (Revised Pool Removals)</t>
  </si>
  <si>
    <t>2023 - Brea Canyon Villas - (Crew Rental for Stumps)</t>
  </si>
  <si>
    <t>2023 (Jul/Sep) Trellis Court Neighborhood Assoc. - (3 Year Plan)</t>
  </si>
  <si>
    <t>2023 - Stump Grinding at SILVER LN &amp; BERKSHIRE LN</t>
  </si>
  <si>
    <t>NEED PERMIT 2023 - (Removal) Nexagen Corporation - (Removal ID 6)</t>
  </si>
  <si>
    <t>2023 (Apr/Jun) Villavante Community Association - (2023 Slope Trimming Rec's)</t>
  </si>
  <si>
    <t>2023 (Aug/Sep) Villavante Community Association - (2023 Slope Trimming Rec's)</t>
  </si>
  <si>
    <t>2023 (Oct/Dec) The Oaks at Lake Forest HOA - (Revised 4 Year Plan)</t>
  </si>
  <si>
    <t>2023 - CITYWIDE PALMS</t>
  </si>
  <si>
    <t>2023 (Aug/Sep &amp; Removal) Cortile Maintenance Association-(Revised WO 17931 Rec's)</t>
  </si>
  <si>
    <t>5%? 2024 (Apr/Jun) Belterazza HOA-(Revised 3 Year Plan)</t>
  </si>
  <si>
    <t>5%? 2025 (Apr/Jun) Belterazza HOA-(Revised 3 Year Plan)</t>
  </si>
  <si>
    <t>2023 - Palm Trimming on Katella Ave</t>
  </si>
  <si>
    <t>2023 - City of Laguna Woods (FY 2023/2024 Trimming)</t>
  </si>
  <si>
    <t>2023 - El Dorado Park Remaining Removals (All Areas)</t>
  </si>
  <si>
    <t>2023 - El Dorado Park Removals Work Order</t>
  </si>
  <si>
    <t>2023 - Removals &amp; 1 Limb Removal at SILVERADO PARK</t>
  </si>
  <si>
    <t>2023 - Removals at BAKER MINI PARK</t>
  </si>
  <si>
    <t>2023 - Removals at Burton Chase</t>
  </si>
  <si>
    <t>2023 - Removals at DEFOREST and SOUTH STREET</t>
  </si>
  <si>
    <t>2023 - Removals at DEFOREST PARK (CA PEPPERS)</t>
  </si>
  <si>
    <t>2023 - Removals at MARTIN LUTHER KING PARK</t>
  </si>
  <si>
    <t>2023 - Removals at TANAKA PARK</t>
  </si>
  <si>
    <t>2023 - Removals at WHALEY PARK</t>
  </si>
  <si>
    <t>2023 - Removals at WHALEY PARK NORTH</t>
  </si>
  <si>
    <t>2023 - Removals at WILLOW ST &amp; GOLDEN AVE</t>
  </si>
  <si>
    <t>2023 - Removals at WRIGLEY DOG PARK</t>
  </si>
  <si>
    <t>2023 - STEARNS CHAMPIONS PARK REMOVALS</t>
  </si>
  <si>
    <t>2023 - Wardlow Park Trimming (2023)</t>
  </si>
  <si>
    <t>2023 - Removal and Planting at 7211 Lullaby (36 in)</t>
  </si>
  <si>
    <t>2023 - DISTRICT 2</t>
  </si>
  <si>
    <t>Irvine Company - Retail (GPS)</t>
  </si>
  <si>
    <t>2023 (Apr/Jun) Los Olivos Marketplace 2 (Spring Trimming)</t>
  </si>
  <si>
    <t>2023 - Los Olivos Marketplace 2 (Winter Trimming)</t>
  </si>
  <si>
    <t>2023 - WR49340 | United Mutual | Trimming at 427-466 (Deferred)</t>
  </si>
  <si>
    <t>2023 - WR49339 | United Mutual | Trimming at 319-355</t>
  </si>
  <si>
    <t>2023 - WR49339 | United Mutual | Trimming at 319-355 (Deferred)</t>
  </si>
  <si>
    <t>2023 - WR49340 | United Mutual | Trimming at 427-466</t>
  </si>
  <si>
    <t>2023 - WR49341 | United Mutual | Trimming at 467 - 528</t>
  </si>
  <si>
    <t>2023 - WR49341 | United Mutual | Trimming at 467 - 528 (Deferred)</t>
  </si>
  <si>
    <t>2023 - WR49343 | Third Mutual | Trimming at 3176-3204</t>
  </si>
  <si>
    <t>2023 - WR49346 | Third Mutual | Trimming at 3212-3231</t>
  </si>
  <si>
    <t>2023 - WR49346 | Third Mutual | Trimming at 3212-3231 (Deferred)</t>
  </si>
  <si>
    <t>2023 - WR49347 | Third Mutual | Trimming at 3232 - 3270</t>
  </si>
  <si>
    <t>2023 - WR49347 | Third Mutual | Trimming at 3232 - 3270 (Deferred)</t>
  </si>
  <si>
    <t>2023 - WR49348 | Third Mutual | Trimming at 3271-3297</t>
  </si>
  <si>
    <t>2023 - WR49348 | Third Mutual | Trimming at 3271-3297 (Deferred Trees Done)</t>
  </si>
  <si>
    <t>2023 - WR49348 | Third Mutual | Trimming at 3271-3297 (Deferred)</t>
  </si>
  <si>
    <t>2023 - WR49353 | Homeowner Request | Building 532 Removal</t>
  </si>
  <si>
    <t>2023 - WR49397 | Third Mutual | Planting at 5098 AVE DEL SOL</t>
  </si>
  <si>
    <t>2023 - Westbluff HOA - (Pioneer Removals)</t>
  </si>
  <si>
    <t>2023 - Westbluff HOA - (Removal ID 115-124)</t>
  </si>
  <si>
    <t>NOT A FULL DAY 2023 (Apr/Jun) Villavante Community Association - (2023 Slope Trimming Rec's)</t>
  </si>
  <si>
    <t>PERMIT? 2023 (Apr/Jun) Grandview Crest Homeowner Association-(WO XN2281175 Pepper-CA Trimming)</t>
  </si>
  <si>
    <t>2023 - (Apr/Jun) West Coast University - (2023 Recommendations)</t>
  </si>
  <si>
    <t>2023 - Evergreen Country Villas - (Client Requested Removals)</t>
  </si>
  <si>
    <t>2023 - Walden Community - (Client Requested Removals)</t>
  </si>
  <si>
    <t>2023 (Jan/Mar) Aliso Villas-(WO 12303-5133; Corrective Prune)</t>
  </si>
  <si>
    <t>2023 - (Jan/Mar) Lakeview Homeowners Association - (Revised 3 Year Plan)</t>
  </si>
  <si>
    <t>2023 - Aliso Villas - (2023 Add'tl Removal Rec's ID's 41-42)</t>
  </si>
  <si>
    <t>2023 - Lakeview Homeowners Association - (Removal ID 7)</t>
  </si>
  <si>
    <t>2023 - (Apr/Jun &amp; Removal) Cabo del Mar - (2023 Recommendations)</t>
  </si>
  <si>
    <t>2023 - (Apr/Jun) Cabo del Mar - (2023 Palm Recs)</t>
  </si>
  <si>
    <t>2023 - Chelsea Place HOA - (Removal ID 45, 14905 Rockford)</t>
  </si>
  <si>
    <t>2023 - Chelsea Place HOA - (Removal ID 46, 14902 Ellington)</t>
  </si>
  <si>
    <t>2023 - Trimming at Katella Av (Golden Medallions)</t>
  </si>
  <si>
    <t>2023 - Removals at Cherry Park</t>
  </si>
  <si>
    <t>2023 - Removals at MUNICIPAL CEMETERY</t>
  </si>
  <si>
    <t>2023 - Removals at RAMONA PARK</t>
  </si>
  <si>
    <t>2023 - Removals at SOMERSET PARK</t>
  </si>
  <si>
    <t>2023 - Removals at WILLOW SPRINGS PARK</t>
  </si>
  <si>
    <t>ON HOLD ***2023 - Removals at DEFOREST PARK (CA PEPPERS)</t>
  </si>
  <si>
    <t>2023 - SR Trim at 2441 PACIFIC COAST HWY /E</t>
  </si>
  <si>
    <t>2023 - SR Trim at 311 JASMINE AVE</t>
  </si>
  <si>
    <t>2023 - (Jun) Irvine Spectrum Center - (23/24 Ficus Trimming)</t>
  </si>
  <si>
    <t>2023 - Serrano Park (Community)-(Limb Removal ID 6)</t>
  </si>
  <si>
    <t>2023 - WR49456 | United Mutual | Trimming at 201-232</t>
  </si>
  <si>
    <t>2023 - WR49455 | United Mutual | Trimming at 98-125</t>
  </si>
  <si>
    <t>COMP BID 2023 (Apr/Jun) Coronado at Aliso Viejo HOA-(2023 Competitive Bid)</t>
  </si>
  <si>
    <t>2023 - Planting at PORTOLA SPRING PARK</t>
  </si>
  <si>
    <t>PERMIT 2022 - Northwood Courtside (Removal Rec; ID 9)</t>
  </si>
  <si>
    <t>2023 - (Aug/Sep) North Bluff Bayview HOA (2023 Tree Maintenance)</t>
  </si>
  <si>
    <t>2023 - (Oct/Dec) North Bluff Bayview HOA (2023 Tree Maintenance)</t>
  </si>
  <si>
    <t>2023 - ALISO CREEK RD (Medians)</t>
  </si>
  <si>
    <t>2023 - PACIFIC PARK (Medians)</t>
  </si>
  <si>
    <t>2023 - Removal at Barkwood Ave</t>
  </si>
  <si>
    <t>2023 - Removals at Willows &amp; Pinewood Parks</t>
  </si>
  <si>
    <t>2023 - (P) Removals at CHAPPAROSA PARK</t>
  </si>
  <si>
    <t>2023 - Removals at SLEEPY HOLLOW</t>
  </si>
  <si>
    <t>2023 - Limb Removal at WEST NEWPORT PARK</t>
  </si>
  <si>
    <t>2023 - Removal at 24 MISSION BAY DR</t>
  </si>
  <si>
    <t>2023 - SR Trim at 3 PT SUR DR</t>
  </si>
  <si>
    <t>2023 - (Apr/Jun) Bayside Center (Apr/Jun Trimming)</t>
  </si>
  <si>
    <t>2023 - (Apr/Jun) Corona Del Mar Plaza (Apr/Jun Trimming)</t>
  </si>
  <si>
    <t>2023 - (Apr/Jun) Culver Plaza (Apr/Jun Trimming)</t>
  </si>
  <si>
    <t>2023 - (Apr/Jun) Cypress Village Center (Apr/Jun Trimming)</t>
  </si>
  <si>
    <t>2023 - (Apr/Jun) Harbor View Center (Apr/Jun Trimming)</t>
  </si>
  <si>
    <t>2023 - (Apr/Jun) Newport Coast (Apr/Jun Trimming)</t>
  </si>
  <si>
    <t>2023 - (Apr/Jun) Newport North Center (Apr/Jun Trimming)</t>
  </si>
  <si>
    <t>2023 - (Apr/Jun) Orchard Hills Village Center (Apr/Jun Trimming)</t>
  </si>
  <si>
    <t>2023 - (Apr/Jun) The Bluffs (Apr/Jun Trimming)</t>
  </si>
  <si>
    <t>2023 - (Apr/Jun) Walnut Village Center (Apr/Jun Trimming)</t>
  </si>
  <si>
    <t>2023 - (Apr/Jun) Woodbury Town Center (Apr/Jun Trimming)</t>
  </si>
  <si>
    <t>2023 - Eastbluff Village (Apr/Jun Trimming)</t>
  </si>
  <si>
    <t>2023 - Northpark Plaza (Apr/Jun Trimming)</t>
  </si>
  <si>
    <t>2023 - (Apr/Jun) Alton Retail Center (Apr/Jun Trimming)</t>
  </si>
  <si>
    <t>2023 - Alton Retail Center (Jan/Mar Trimming)</t>
  </si>
  <si>
    <t>2023 - Lakeside (Apr/Jun Trimming)</t>
  </si>
  <si>
    <t>2023 - Lakeside (Jan/Mar Trimming)</t>
  </si>
  <si>
    <t>2023 - Woodbridge Village Center (Apr/Jun Trimming)</t>
  </si>
  <si>
    <t>2023 - Woodbridge Village Center (Jan/Mar Trimming)</t>
  </si>
  <si>
    <t>2023 - WR49473 | Third Mutual | 5240 and 5241 Removals</t>
  </si>
  <si>
    <t>2023 - WR49476 | United Mutual | Remove and Replant at 521 Ave Sevilla</t>
  </si>
  <si>
    <t>SCLM</t>
  </si>
  <si>
    <t>2023 - (Jan/Mar) Rainbird Distribution Center - (2023 Trimming)</t>
  </si>
  <si>
    <t>2023 - Rainbird Distribution Center - (Removal ID 92)</t>
  </si>
  <si>
    <t>PERMIT 2023 (Apr/Jun) Coronado at Aliso Viejo HOA-(2023 Palm Trimming Snapshot)</t>
  </si>
  <si>
    <t>2023 - (Apr/Jun) 1650 Charles Willard (Revised 2023 Tree Maintenance)</t>
  </si>
  <si>
    <t>2023 - (Apr/Jun) 1651 Glenn Curtiss (Revised 2023 Tree Maintenance)</t>
  </si>
  <si>
    <t>2023 - (Apr/Jun) 1725 Charles Willard (2023 Tree Maintenance)</t>
  </si>
  <si>
    <t>2023 - (Apr/Jun) 18049 Wilmington (2023 Tree Maintenance)</t>
  </si>
  <si>
    <t>2023 - (Apr/Jun) 18201 Central (2023 Tree Maintenance)</t>
  </si>
  <si>
    <t>2023 - (Apr/Jun) Dominguez Plaza: AKA 18626 Wilmington (2023 Tree Maintenance)</t>
  </si>
  <si>
    <t>2023 - (Jul/Sep) 1375 Beachey (2023 Tree Maintenance)</t>
  </si>
  <si>
    <t>2023 - Trimming on Magic Way (Camphors)</t>
  </si>
  <si>
    <t>2023 - GRID 26 (Chinese Elms)</t>
  </si>
  <si>
    <t>2023 - GRID 27 (Chinese Elms)</t>
  </si>
  <si>
    <t>2023 - GRID 28 (Chinese Elms)</t>
  </si>
  <si>
    <t>2023 - Trimming at Cerritos Ave</t>
  </si>
  <si>
    <t>2023 - Trimming at Stanton Channel Berm</t>
  </si>
  <si>
    <t>2023 - (P) Removal at LA PAZ SPORTS PARK</t>
  </si>
  <si>
    <t>2023 - (P) Trimming at LA PAZ SPORTS PARK</t>
  </si>
  <si>
    <t>2023 - Removals with Bird Nests</t>
  </si>
  <si>
    <t>2023 - GRID 5 (Fashion Island) – Palms</t>
  </si>
  <si>
    <t>2023 - Citywide Planting (Received on 4/13/23) - Revised</t>
  </si>
  <si>
    <t>PERMIT 2023 - Northpark Maintenance HOA-(Wind Row Trees) - (Removal ID 10-8)</t>
  </si>
  <si>
    <t>VERIFY NEST 2023 - Flores Los Alisos-(Palms missed Due to Bird Nests)</t>
  </si>
  <si>
    <t>2023 - Harvard Auto Plaza (Apr/Jun Trimming)</t>
  </si>
  <si>
    <t>2023 - WR49515 | Third Mutual | Removals at 5268 and 3221</t>
  </si>
  <si>
    <t>2023 - WR49352 | Third Mutual | Trimming at 5347 - 5372</t>
  </si>
  <si>
    <t>2023 - WR49352 | Third Mutual | Trimming at 5347 - 5372 (Deferred)</t>
  </si>
  <si>
    <t>OCTA</t>
  </si>
  <si>
    <t>2023 - (Jan/Feb) Newport Beach Transportation Center (2023 Trimming)</t>
  </si>
  <si>
    <t>2023 - Newport Beach Transportation Center (Removal ID 2)</t>
  </si>
  <si>
    <t>2023 - (Apr/Jun) Linda Isle - (Missed Trees due to Parked Car)</t>
  </si>
  <si>
    <t>2023 - (Jan/Mar) Bayridge Park HOA - (ID 65-68; STB/BC)</t>
  </si>
  <si>
    <t>Additional Work was Approved ==2023 - The Arbours Service Corporation - (WO 12302-7438; 2023 Removal IDs 1-2)</t>
  </si>
  <si>
    <t>REGENT ASSOCIATION SERVICES</t>
  </si>
  <si>
    <t>2023 - Westminster Village HOA - (Removal ID 21)</t>
  </si>
  <si>
    <t>2023 - (APR) The Corinthian Center - (2023 Recommendations)</t>
  </si>
  <si>
    <t>SoCo - 2023 (Apr/Jun) PLACEHOLDER (Irvine Co - Spectrum Collection)</t>
  </si>
  <si>
    <t>2022 Irvine Spectrum=== PLACEHOLDER === Palm trimming</t>
  </si>
  <si>
    <t>2023 - WR49510 | Third Mutual | 5388 Liquid Amber Removal</t>
  </si>
  <si>
    <t>2023 - WR49495 | Third Mutual | Trimming at 3445-3486</t>
  </si>
  <si>
    <t>2023 - WR49496 | Third Mutual | Trim at (3445-3486)</t>
  </si>
  <si>
    <t>2023 - WR49496 | Third Mutual | Trim at (3445-3486) Deferred</t>
  </si>
  <si>
    <t>2023 - WR49509 | Third Mutual | Removal at 3478 and 5343</t>
  </si>
  <si>
    <t>2023 - Beshore Residence - (Client Request Removal IDs 4-5)</t>
  </si>
  <si>
    <t>2023 - Palms on MARGUERITE AVE (5th Ave - Ocean Blvd) (2023)</t>
  </si>
  <si>
    <t>2023 - Planting List Received on 5/23/23</t>
  </si>
  <si>
    <t>2023 - (Removal) Barcelona Community Association</t>
  </si>
  <si>
    <t>2023 - (Apr/Jun) Crystal Cove Promenade</t>
  </si>
  <si>
    <t>2023 - (Apr/Jun) Campus Plaza (Apr/Jun Trimming)</t>
  </si>
  <si>
    <t>2023 - (Apr/Jun) Crossroads (Apr/Jun Trimming)</t>
  </si>
  <si>
    <t>2023 - (Apr/Jun) Harvard Place (Apr/Jun Trimming)</t>
  </si>
  <si>
    <t>2023 - (Apr/Jun) Los Olivos Marketplace 1 (Apr/Jun Trimming)</t>
  </si>
  <si>
    <t>2023 - (Apr/Jun) Sand Canyon Plaza</t>
  </si>
  <si>
    <t>2023 - (Apr/Jun) The Square (Apr/Jun Trimming)</t>
  </si>
  <si>
    <t>2023 - (Apr/Jun) University Center (University)</t>
  </si>
  <si>
    <t>2023 - (Apr/Jun) Venture Park (Apr/Jun Trimming)</t>
  </si>
  <si>
    <t>2023 - (Jan/Mar) Campus Plaza (Jan/Mar Trimming)</t>
  </si>
  <si>
    <t>2023 - (Jan/Mar) Crossroads (Jan/Mar Trimming)</t>
  </si>
  <si>
    <t>2023 - (Jan/Mar) Harvard Place (Jan/Mar Trimming)</t>
  </si>
  <si>
    <t>2023 - (Jan/Mar) Parkview Center (Jan/Mar Trimming)</t>
  </si>
  <si>
    <t>2023 - (Jan/Mar) Sand Canyon Plaza</t>
  </si>
  <si>
    <t>2023 - (Jan/Mar) The Square</t>
  </si>
  <si>
    <t>2023 - (Jan/Mar) Westpark Plaza (Jan/Mar Trimming)</t>
  </si>
  <si>
    <t>2023 - Los Olivos Marketplace 1 (Jan/Mar Trimming)</t>
  </si>
  <si>
    <t>NOT A FULL DAY 2023 (Apr/Jun) Seacove Place HOA-(Coral Tree Trimming Snapshot)</t>
  </si>
  <si>
    <t>2023 - WR49351 | Third Mutual | Trimming at 3368 - 3417</t>
  </si>
  <si>
    <t>2023 - WR49351 | Third Mutual | Trimming at 3368 - 3417 (Deferred)</t>
  </si>
  <si>
    <t>2023 - WR49494 | Third Mutual | Trimming at 3503 - 3527</t>
  </si>
  <si>
    <t>2023 - WR49526 | Third Mutual | Removals at 5364 and 3469</t>
  </si>
  <si>
    <t>2023 - WR49484 - Removals</t>
  </si>
  <si>
    <t>2023 - (Sep/Nov) PLACEHOLDER: Coastal Collection</t>
  </si>
  <si>
    <t>2023 - (Sep/Nov) PLACEHOLDER: University Collection (Sep/Nov)</t>
  </si>
  <si>
    <t>2023 - DRAKE CHAVEZ PARK Trimming</t>
  </si>
  <si>
    <t>Green Perspective</t>
  </si>
  <si>
    <t>2023 (Oct/Dec) Alcon Lake Forest-(Revised 3 Year Plan)</t>
  </si>
  <si>
    <t>2023 (Oct/Dec) Sheridan Maintenance-(Approved Pepper-CA's; 2023/24 Snapshot)</t>
  </si>
  <si>
    <t>2023 (Oct/Dec) Westpark Village One - Culverdale -(3 Year Plan)</t>
  </si>
  <si>
    <t>2023 - Mesa Vista North-(WO 12304-6629 Add't Rec's)</t>
  </si>
  <si>
    <t>PERMIT 2023 - Northwood Estates - (23/24 Euc Ghost Gum Removals)</t>
  </si>
  <si>
    <t>2023 - St. Laurent at Newport Ridge - (Removal ID 19)</t>
  </si>
  <si>
    <t>Irvine School District</t>
  </si>
  <si>
    <t>2023 - BEACON PARK ELEMENTARY (Trimming)</t>
  </si>
  <si>
    <t>PERMIT? 2023 (Oct/Dec) Foothill Antibes HOA - (2023 Snapshot)</t>
  </si>
  <si>
    <t>2023 (Apr/Jun &amp; Removals) Luna Neighborhood Assoc. - (3 Year Plan)</t>
  </si>
  <si>
    <t>2023 - The Grand Monarch-(Recommended Removal ID 15</t>
  </si>
  <si>
    <t>2023 - Crestline HOA-(WO XN798506 Removal ID 662)</t>
  </si>
  <si>
    <t>2023 - Removal at ALDERWOOD ELEMENTARY SCHOOL</t>
  </si>
  <si>
    <t>2023 (June) Willow Glen Serrano HOA-(2023/24 Apr/Jun Snapshot)</t>
  </si>
  <si>
    <t>2023 - WR50570 | Third Mutual | Light Clearance at 5497 Paseo Del Lago East St</t>
  </si>
  <si>
    <t>Molina Healthcare, Inc.</t>
  </si>
  <si>
    <t>2023 - (Jul/Sep) Molina Healthcare, Inc. - (2023 Recommendations)</t>
  </si>
  <si>
    <t>PERMIT? 2023 (Apr/Jun) Tustin Ranch Shadowbrook HOA - (3 Year Plan)</t>
  </si>
  <si>
    <t>2023 - Sheridan Maintenance Association-(Carrotwoods; Missed Due Car Blocked)</t>
  </si>
  <si>
    <t>2023 -(JULY) Pacific Ranch HOA - (Palm, Carrotwood, and Coral Trimming)</t>
  </si>
  <si>
    <t>NOT A FULL DAY 2023 - Provence D Aliso Community Association - (ID 19; 118 Matisse)</t>
  </si>
  <si>
    <t>2023 (Apr/Jun) Vista de Oro Homeowners Association-(Revised Approved 3 Year Plan)</t>
  </si>
  <si>
    <t>2023 (Aug/Sep) Vista de Oro Homeowners Association-(Revised Approved 3 Year Plan)</t>
  </si>
  <si>
    <t>2023 (Oct/Dec) Vista de Oro Homeowners Association-(Revised Approved 3 Year Plan)</t>
  </si>
  <si>
    <t>5%? 2024 (Apr/Jun) Vista de Oro Homeowners Association-(Revised Approved 3 Year Plan)</t>
  </si>
  <si>
    <t>5%? 2024 (Oct/Dec) Vista de Oro Homeowners Association-(Revised Approved 3 Year Plan)</t>
  </si>
  <si>
    <t>5%? 2025 (Apr/Jun) Vista de Oro Homeowners Association-(Revised Approved 3 Year Plan)</t>
  </si>
  <si>
    <t>5%? 2025 (Aug/Sep) Vista de Oro Homeowners Association-(Revised Approved 3 Year Plan)</t>
  </si>
  <si>
    <t>2023 - (Apr/Jun) Bradford Place 1 - (3 Year Plan)</t>
  </si>
  <si>
    <t>(AUG) 2023 - PLACEHOLDER: University Collection (Jul/Aug)</t>
  </si>
  <si>
    <t>(AUG)2023 - PLACEHOLDER: Coastal Collection (Jul/Aug)</t>
  </si>
  <si>
    <t>HOLD 2023 (Apr/Jun &amp; Removal) Trailing Vine Maintenance Association</t>
  </si>
  <si>
    <t>HOLD 2023 (Oct/Dec) Trailing Vine Maintenance Assoc. - (2023 Recommendations)</t>
  </si>
  <si>
    <t>2023 - Priority #11 | B-7 Palms</t>
  </si>
  <si>
    <t>2023 - Priority #12 | C-7 Palms</t>
  </si>
  <si>
    <t>2023 - Priority #13 | D-7 Palms</t>
  </si>
  <si>
    <t>2023 - Priority #14 | E-7 Palms</t>
  </si>
  <si>
    <t>2023 - Priority #2 | C-4 Palms</t>
  </si>
  <si>
    <t>2023 - Priority #3 | B-5 Palms</t>
  </si>
  <si>
    <t>2023 - Priority #4 | C-5 Palms</t>
  </si>
  <si>
    <t>2023 - Priority #5 | D-5 Palms</t>
  </si>
  <si>
    <t>2023 - Priority #6 | B-6 Palms</t>
  </si>
  <si>
    <t>2023 - Priority #7 | C-6 Palms</t>
  </si>
  <si>
    <t>2023 - Priority #8 | D-6 Palms</t>
  </si>
  <si>
    <t>2023 - Priority #9 | E-6 Palms</t>
  </si>
  <si>
    <t>2023 - Emergency Limb Removals at ROTARY CENTENNIAL PARK</t>
  </si>
  <si>
    <t>2023 - Removals at Wardlow Park (2023)</t>
  </si>
  <si>
    <t>NOT A FULL DAY 2023 - Serrano Park - (24761 Paseo Vendaval, 2023 Trimming)</t>
  </si>
  <si>
    <t>2023 - WR49515 | United Mutual | Removal at 2103 RONDA GRANADA</t>
  </si>
  <si>
    <t>2023 - Aliso Viejo RW Pump Station</t>
  </si>
  <si>
    <t>2023 - La Paz Reservoir Pump Station (Service Request)</t>
  </si>
  <si>
    <t>2023 - Moulton Peak Reservoir (FY 22/23 Tree Maintenance)</t>
  </si>
  <si>
    <t>NOT A FULL DAY 2023 (Apr/Jun) Tustin Ranch Estates - (WO XN2575382; 2375 Hoxie Dr)</t>
  </si>
  <si>
    <t>HOLD 2023 - The Arbours Service Corporation - (WO 12302-7438; 2023 Removal IDs 1-2)</t>
  </si>
  <si>
    <t>2023 (Oct/Dec) Trailing Vine Maintenance Association - (2023 Recs)</t>
  </si>
  <si>
    <t>2023 - AREA 3 REMOVALS</t>
  </si>
  <si>
    <t>2023 - AREA 4 REMOVALS</t>
  </si>
  <si>
    <t>2023 - AREA 5 REMOVALS</t>
  </si>
  <si>
    <t>2023 - Residential Watering</t>
  </si>
  <si>
    <t>Huntington Beach City School District</t>
  </si>
  <si>
    <t>DIR 2023 - Dr. Ralph E. Hawes (FY 23/24 Tree Maintenance)</t>
  </si>
  <si>
    <t>DIR 2023 - Ethel Dwyer Middle School (FY 23/24 Tree Maintenance)</t>
  </si>
  <si>
    <t>DIR 2023 - Huntington Seacliff School (FY 23/24 Tree Maintenance)</t>
  </si>
  <si>
    <t>DIR 2023 - Isaac Sowers Middles School (FY 23/24 Tree Maintenance)</t>
  </si>
  <si>
    <t>DIR 2023 - John H. Eader School (FY 23/24 Tree Maintenance)</t>
  </si>
  <si>
    <t>DIR 2023 - Joseph R. Perry Elementary (FY 23/24 Tree Maintenance)</t>
  </si>
  <si>
    <t>DIR 2023 - S.A. Moffett School (FY 23/24 Tree Maintenance)</t>
  </si>
  <si>
    <t>2023 - Third Mutual | Eucalyptus - Blue Gum Removals</t>
  </si>
  <si>
    <t>2023 - Mariners Church - (23/24 Magnolia Treatment)</t>
  </si>
  <si>
    <t>2023 (Sep/Oct) The Village Cottages-(Revised 2023 Side Trim Pepper-CA's @ 25 Halcyon)</t>
  </si>
  <si>
    <t>2023 - Evergreen Country Villas - (Additional Trimming)</t>
  </si>
  <si>
    <t>2023 - Grid 20 (Palms) (2023)</t>
  </si>
  <si>
    <t>2023 - Grid 1 (Palms) (2023)</t>
  </si>
  <si>
    <t>2023 - Grid 10 (Palms) (2023)</t>
  </si>
  <si>
    <t>2023 - Grid 13 (Palms) (2023)</t>
  </si>
  <si>
    <t>2023 - Grid 14 (Palms) (2023)</t>
  </si>
  <si>
    <t>2023 - Grid 15 (Palms) (2023)</t>
  </si>
  <si>
    <t>2023 - Grid 16 (Palms) (2023)</t>
  </si>
  <si>
    <t>2023 - Grid 17 (Palms) (2023)</t>
  </si>
  <si>
    <t>2023 - Grid 19 (Palms) (2023)</t>
  </si>
  <si>
    <t>2023 - Grid 2 (Palms) (2023)</t>
  </si>
  <si>
    <t>2023 - Grid 21 (Palms) (2023)</t>
  </si>
  <si>
    <t>2023 - Grid 22 (Palms) (2023)</t>
  </si>
  <si>
    <t>2023 - Grid 23 (Palms) (2023)</t>
  </si>
  <si>
    <t>2023 - Grid 25 (Palms) (2023)</t>
  </si>
  <si>
    <t>2023 - Grid 26 (Palms) (2023)</t>
  </si>
  <si>
    <t>2023 - Grid 27 (Palms) (2023)</t>
  </si>
  <si>
    <t>2023 - Grid 28 (Palms) (2023)</t>
  </si>
  <si>
    <t>2023 - Grid 35 (Palms) (2023)</t>
  </si>
  <si>
    <t>2023 - Grid 36 (Palms) (2023)</t>
  </si>
  <si>
    <t>2023 - Grid 41 (Palms) (2023)</t>
  </si>
  <si>
    <t>2023 - Grid 46 (Palms) (2023)</t>
  </si>
  <si>
    <t>2023 - Grid 47 (Palms) (2023)</t>
  </si>
  <si>
    <t>2023 - Grid 48 (Palms) (2023)</t>
  </si>
  <si>
    <t>2023 - Grid 8 (Palms) (2023)</t>
  </si>
  <si>
    <t>2023 - Grid 9 (Palms) (2023)</t>
  </si>
  <si>
    <t>2023 - Emergency Limb Removals at Stearns Park</t>
  </si>
  <si>
    <t>2023 - Grid 12 (Corona Del Mar) - Palms (2023)</t>
  </si>
  <si>
    <t>2023 - Grid 2 (Airport) - Palms (2023)</t>
  </si>
  <si>
    <t>2023 - Removal at 1530 Ocean Blvd</t>
  </si>
  <si>
    <t>2023 - SR at 1818 COMMODORE RD</t>
  </si>
  <si>
    <t>2023 - SR at FIRE STATION 8</t>
  </si>
  <si>
    <t>2023 - SR at FIRE STATION 8 (Pepper)</t>
  </si>
  <si>
    <t>2023 - SR Trimming at 1100 Dover Dr</t>
  </si>
  <si>
    <t>5%? 2024 (Dec/Feb) Oak Creek Village Maint. - (3 Year Plan)</t>
  </si>
  <si>
    <t>5%? 2024 (Jun/Aug) Oak Creek Village Maint. - (3 Year Plan)</t>
  </si>
  <si>
    <t>5%? 2024 (Mar/May) Oak Creek Village Maint. - (3 Year Plan)</t>
  </si>
  <si>
    <t>5%? 2024 (Sep/Nov) Oak Creek Village Maint. - (3 Year Plan)</t>
  </si>
  <si>
    <t>5%? 2025 (Dec/Feb) Oak Creek Village Maint. - (3 Year Plan)</t>
  </si>
  <si>
    <t>5%? 2025 (Jun/Aug) Oak Creek Village Maint. - (3 Year Plan)</t>
  </si>
  <si>
    <t>5%? 2025 (Mar/May) Oak Creek Village Maint. - (3 Year Plan)</t>
  </si>
  <si>
    <t>5%? 2025 (Sep/Nov) Oak Creek Village Maint. - (3 Year Plan)</t>
  </si>
  <si>
    <t>5%? 2026 (Mar/May) Oak Creek Village Maint. - (3 Year Plan)</t>
  </si>
  <si>
    <t>2023 - PERIMETER WALL HEDGE TRIMMING</t>
  </si>
  <si>
    <t>2023 - Townhomes Maintenance Assoc. (Turtle Rock) - ($0 Go-Ahead)</t>
  </si>
  <si>
    <t>5%? 2024 (Jan/Mar) Woodbridge Parkway Maint. Assoc. -(3 Year Plan)</t>
  </si>
  <si>
    <t>5%? 2025 (Apr/Jun) Woodbridge Parkway Maint. Assoc. -(3 Year Plan)</t>
  </si>
  <si>
    <t>PERMIT 5%? 2024 (Apr/Jun) Woodbridge Parkway Maint. Assoc. -(3 Year Plan)</t>
  </si>
  <si>
    <t>PERMIT 5%? 2025 (Oct/Dec) Woodbridge Parkway Maint. Assoc. -(3 Year Plan)</t>
  </si>
  <si>
    <t>2024 (Oct/Nov) Montbury HOA-(3 Year Plan)</t>
  </si>
  <si>
    <t>5%? 2025 (Apr/Jun) Montbury HOA-(3 Year Plan)</t>
  </si>
  <si>
    <t>PERMIT 2023 (Oct/Nov) Montbury HOA-(3 Year Plan)</t>
  </si>
  <si>
    <t>PERMIT 2024 (Apr/Jun) Montbury HOA-(3 Year Plan)</t>
  </si>
  <si>
    <t>PERMIT 5%? 2025 (Oct/Nov) Montbury HOA-(3 Year Plan)</t>
  </si>
  <si>
    <t>2023 - WR51604 | Third Mutual | Trimming at 5418-5429 and 5474-5477</t>
  </si>
  <si>
    <t>2023 - (Oct/Dec) Evergreen Country Villas</t>
  </si>
  <si>
    <t>2023 (SEP) Promenade at Seagate - (Remaining Jul/Sep Work)</t>
  </si>
  <si>
    <t>2023 - Watering (August 2023)</t>
  </si>
  <si>
    <t>2023 - Removals at Santa Rosalia and Joel</t>
  </si>
  <si>
    <t>PERMIT 2023 (Aug/Sep) Country Road HOA - (Additional Trimming)</t>
  </si>
  <si>
    <t>PERMIT 2023 (Oct/Dec) Country Road HOA - (Additional Trimming)</t>
  </si>
  <si>
    <t>2023 (Jul/Aug) Culver Plaza Shopping Center (Summer Trimming)</t>
  </si>
  <si>
    <t>2023 (Jul/Aug) Newport Coast Shopping Center (Olive Trimming)</t>
  </si>
  <si>
    <t>2023 (Jul/Aug) Northpark Plaza (Olive Trimming)</t>
  </si>
  <si>
    <t>2023 (Jul/Aug) The Bluffs Shopping Center (Olive Trimming)</t>
  </si>
  <si>
    <t>2023 (Jul/Aug) Walnut Village Center (Olive Trimming)</t>
  </si>
  <si>
    <t>2023 - RANCHO SAN JOAQUIN MIDDLE SCHOOL (FY 23/24 Trimming)</t>
  </si>
  <si>
    <t>2023 - ALDERWOOD ELEMENTARY (FY 23/24 Trimming)</t>
  </si>
  <si>
    <t>2024 (Jan/Mar) Trailwood Maintenance Assoc. -(23/24 Recommendations)</t>
  </si>
  <si>
    <t>2023 (REMOVAL) Townhomes Maintenance Assoc. (Turtle Rock) - (Removal ID 118)</t>
  </si>
  <si>
    <t>2024 (Jan/Mar) Pinehurst Estates - (2023/2024 Recommendations)</t>
  </si>
  <si>
    <t>Partners Community Management</t>
  </si>
  <si>
    <t>2023 - Greenmeadows West HOA - (Removal ID 12-14)</t>
  </si>
  <si>
    <t>2023 - Village Green Garden Grove HOA - (Removal ID 12)</t>
  </si>
  <si>
    <t>2023 - Village Green Garden Grove HOA - (Removal ID 4)</t>
  </si>
  <si>
    <t>2023 - SR Trim at 603 CARNATION AVE</t>
  </si>
  <si>
    <t>2023 - Supplemental Pruning at 215 JASMINE AVE</t>
  </si>
  <si>
    <t>PERMIT 2023(N) (Aug/Sep) Country Road HOA - (Additional Trimming)</t>
  </si>
  <si>
    <t>PERMIT 2023(N) (Oct/Dec) Country Road HOA - (Additional Trimming)</t>
  </si>
  <si>
    <t>PLANTING (N) 2023 - Barcelona - ($0 Go-Ahead; Planting (4) 15 Gal Cherry Carolinas)</t>
  </si>
  <si>
    <t>2023 (N) - Armstrong Ranch - (WO 1151990, Removal ID 2)</t>
  </si>
  <si>
    <t>2023 - Rolling Hills Community-(Eucalyptus Treatment; Lerp psyllid)</t>
  </si>
  <si>
    <t>2023 - WR49455 | United Mutual | 98-125 (Deferred)</t>
  </si>
  <si>
    <t>2023 - WR51631 | United Mutual | 792 VIA LOS ALTOS</t>
  </si>
  <si>
    <t>2023 - (N) Priority #20 | C-3 Palms (2023)</t>
  </si>
  <si>
    <t>2023 - (N) Priority #21 | D-3 Palms (2023)</t>
  </si>
  <si>
    <t>2023 - (N) Priority #22 | G-3 Palms (2023)</t>
  </si>
  <si>
    <t>2023 - (N) Priority #23 | H-3 Palms (2023)</t>
  </si>
  <si>
    <t>2023 - (N) GRID 17 (Balboa Peninsula) (2023)</t>
  </si>
  <si>
    <t>2023 - Removal at 1300 BONNIE DOONE TER</t>
  </si>
  <si>
    <t>2023 - Removal at 22000 NEWPORT COAST DR</t>
  </si>
  <si>
    <t>2023 - Removal at 2297 LA LINDA CT</t>
  </si>
  <si>
    <t>2023 - Removal at 3100 JAMBOREE RD</t>
  </si>
  <si>
    <t>2023 - Removal at 3111 THIRD AVE</t>
  </si>
  <si>
    <t>2023 - SR Trim at 494 62ND ST</t>
  </si>
  <si>
    <t>2023 - SR Trim at BALBOA YACHT CLUB</t>
  </si>
  <si>
    <t>2023 - SR Trimming at OASIS SENIOR CENTER</t>
  </si>
  <si>
    <t>2023 - (N) Area 4-2 Trimming</t>
  </si>
  <si>
    <t>2023 - (N) Area 4-3 Trimming</t>
  </si>
  <si>
    <t>2023(N) - Brightwater HOA - (Removal ID 9)</t>
  </si>
  <si>
    <t>2023(N) - (Oct/Dec) Portarosa - (Revised 3 Year Plan)</t>
  </si>
  <si>
    <t>NOT A FULL DAY 2023 (Apr/Jun) Pacific Hills HOA - (26 Rimani)</t>
  </si>
  <si>
    <t>2023(N) - (Removals)Coyote Hills Bluffs HOA</t>
  </si>
  <si>
    <t>2023 - Removal at 200 JAMBOREE RD</t>
  </si>
  <si>
    <t>2023(N) - Sage Maintenance Association - (Removal ID 50; 38 Windchime)</t>
  </si>
  <si>
    <t>2023 - PRIORITY #1 | MOODY (LINCOLN - CERRITOS)</t>
  </si>
  <si>
    <t>2023 - PRIORITY #3 | PEPPERTREE PARK</t>
  </si>
  <si>
    <t>2023 - (N) District 1 Trimming (2023)</t>
  </si>
  <si>
    <t>2023(N) - Valencia Maintenance Assoc. - (ID 82; 2861 Carner Dr)</t>
  </si>
  <si>
    <t>Kaiser (Brenda Lavender)</t>
  </si>
  <si>
    <t>2023 (Jul/Sep) Tustin Ranch MOB (Tristania Trimming)</t>
  </si>
  <si>
    <t>PERMIT 2023 - Grandview Crest Homeowner Association-(Revised WO XN2580746 Approval ID 158)</t>
  </si>
  <si>
    <t>2023 - Sheridan Maintenance Association-(Revised Approved Removal IDs 6-7)</t>
  </si>
  <si>
    <t>2023 - Sheridan Maintenance Association-(Soil Treatment)</t>
  </si>
  <si>
    <t>2023 - (S) Iglesia Park Removals</t>
  </si>
  <si>
    <t>2023 - Citywide Planting</t>
  </si>
  <si>
    <t>2023 - (N) Grid 16 - Palms (2023)</t>
  </si>
  <si>
    <t>2023 - Removal at 1050 BISON AVE</t>
  </si>
  <si>
    <t>2023 - Country Road HOA - (ID 25; Shape Option)</t>
  </si>
  <si>
    <t>2023 - WR51688 | United Mutual | Removal at 428 AVE SEVILLA</t>
  </si>
  <si>
    <t>2023 - (ARPA) Park Planting</t>
  </si>
  <si>
    <t>2023 - (ARPA) Park Watering</t>
  </si>
  <si>
    <t>2023 (N) (Dec)- Stadium Gateway (FY 23/24 Trimming)</t>
  </si>
  <si>
    <t>2023(N) (SEP) - Stadium Gateway (FY 23/24 Trimming)</t>
  </si>
  <si>
    <t>2024 (N) (Jun)- Stadium Gateway (FY 23/24 Trimming)</t>
  </si>
  <si>
    <t>2024 - Stadium Gateway (FY 23/24 Trimming)</t>
  </si>
  <si>
    <t>PERMIT 2023 - (N) (Aug/Sep) Country Road HOA - (Additional Trimming)</t>
  </si>
  <si>
    <t>2023 (Aug) - District Office (Service Request Trimming)</t>
  </si>
  <si>
    <t>2023 (Oct/Dec &amp; Removals) Marbella Maintenance Corp. (MAR)-(LS Walk 07/24 Trim &amp; Removal Rec's)</t>
  </si>
  <si>
    <t>Good Shepherd Lutheran Church</t>
  </si>
  <si>
    <t>2023 (Oct/Dec) Good Shepherd Lutheran Church - (2023 Recommendations)</t>
  </si>
  <si>
    <t>2023 (Sep/Nov) - Bayside Center (Fall Trimming)</t>
  </si>
  <si>
    <t>2023 (Sep/Nov) - Corona Del Mar Plaza (Fall Trimming)</t>
  </si>
  <si>
    <t>2023 (Sep/Nov) - Culver Plaza Shopping Center (Fall Trimming)</t>
  </si>
  <si>
    <t>2023 (Sep/Nov) - Cypress Village Shopping Center (Fall Trimming)</t>
  </si>
  <si>
    <t>2023 (Sep/Nov) - Eastbluff Village Center (Fall Trimming)</t>
  </si>
  <si>
    <t>2023 (Sep/Nov) - Harbor View Center (Fall Trimming)</t>
  </si>
  <si>
    <t>2023 (Sep/Nov) - Newport Coast Shopping Center (Fall Trimming)</t>
  </si>
  <si>
    <t>2023 (Sep/Nov) - Newport Hills Center (Fall Trimming)</t>
  </si>
  <si>
    <t>2023 (Sep/Nov) - Newport North Shopping Center (Fall Trimming)</t>
  </si>
  <si>
    <t>2023 (Sep/Nov) - Orchard Hills Village Center (Fall Trimming)</t>
  </si>
  <si>
    <t>2023 (Sep/Nov) - Woodbury Town Center (Fall Trimming)</t>
  </si>
  <si>
    <t>2023 (Sep/Nov)- Westcliff Plaza (Fall Trimming)</t>
  </si>
  <si>
    <t>2023 - (Sep/Nov) Crystal Cove Shopping Center (Coastal)</t>
  </si>
  <si>
    <t>2023 - (Sep/Nov) The Bluffs Shopping Center (Fall Trimming)</t>
  </si>
  <si>
    <t>2023(Sep/Nov) - Walnut Village Center (Fall Trimming)</t>
  </si>
  <si>
    <t>2023(Sep/Nov) - Northpark Plaza (Fall Trimming)</t>
  </si>
  <si>
    <t>2023 (Oct/Dec) Serrano Park (Community) - (ID 172-173)</t>
  </si>
  <si>
    <t>2024 (Apr/Jun) Lantern Bay Estates-(Revised 3 Year Plan)</t>
  </si>
  <si>
    <t>5%? 2025 (Apr/Jun) Lantern Bay Estates-(Revised 3 Year Plan)</t>
  </si>
  <si>
    <t>5%? 2026 (Apr/Jun) Lantern Bay Estates-(Revised 3 Year Plan)</t>
  </si>
  <si>
    <t>MGR Property Management</t>
  </si>
  <si>
    <t>2023 (Oct/Dec) Canvas South - (2023 Recommendations)</t>
  </si>
  <si>
    <t>2023 - East Aliso Creek (Crown Reduction &amp; Removals)</t>
  </si>
  <si>
    <t>2023 - Pacific Park Pump Station (Crown Reduction)</t>
  </si>
  <si>
    <t>2023(N) - (Aug/Sep) Prado Damn (Arroyo Willow Clearance)</t>
  </si>
  <si>
    <t>2023 (July) Woodbridge Parkway - (WO XN2706334,Crown Thin ID 499)</t>
  </si>
  <si>
    <t>2023 (Oct/Dec) The Oaks at Lake Forest HOA-(2023 Special Trimming Rec's))</t>
  </si>
  <si>
    <t>2023 - Woodbridge Parkway - (WO XN2660402, Removal ID 498)</t>
  </si>
  <si>
    <t>2023 - Woodbridge Parkway - (WO XN2706334, Removal ID 446)</t>
  </si>
  <si>
    <t>(N) 2023 -(Jul/Sep) Batavia Business Park (2023 Tree Maintenance)</t>
  </si>
  <si>
    <t>2023 - Los Alamitos Business Park (Planting - Goback)</t>
  </si>
  <si>
    <t>NOT A FULL DAY 2023 (Jul/Sep) Alicia Center Company (Service Request Trimming)</t>
  </si>
  <si>
    <t>Western Property Management Services</t>
  </si>
  <si>
    <t>2023 - Ivyhill Maintenance - (Removal ID 136)</t>
  </si>
  <si>
    <t>Ameresco Inc.</t>
  </si>
  <si>
    <t>2023 (Aug/Sep) - Garden Grove Urgent Care (Magnolia Trimming)</t>
  </si>
  <si>
    <t>2023 - St. Laurent at Newport Ridge - (ID 20-22)</t>
  </si>
  <si>
    <t>2023 - SR Trimming at Sunset Ridge</t>
  </si>
  <si>
    <t>2023 - Palo Vista HOA - (Tree missed due to birds nest)</t>
  </si>
  <si>
    <t>2023 - (Oct/Dec) Vineyards Marketplace - (3 Year Plan)</t>
  </si>
  <si>
    <t>2023 - Vineyards Marketplace - (Removal ID 22)</t>
  </si>
  <si>
    <t>2023 (Sep/Nov) - Campus Plaza (Fall Trimming)</t>
  </si>
  <si>
    <t>2023 (Sep/Nov) - Lakeside (Fall Trimming)</t>
  </si>
  <si>
    <t>2023 (sep/Nov) - Los Olivos Marketplace 1 (Fall Trimming)</t>
  </si>
  <si>
    <t>2023 (Sep/Nov) - Los Olivos Marketplace 2 (Fall Trimming)</t>
  </si>
  <si>
    <t>2023 (Sep/Nov) - Oak Creek Shopping Center (Fall Trimming)</t>
  </si>
  <si>
    <t>2023 (Sep/Nov) - The Square (Fall Trimming)</t>
  </si>
  <si>
    <t>2023 (Sep/Nov) - Venture Park (Fall Trimming)</t>
  </si>
  <si>
    <t>2023 (Sep/Nov) - Woodbridge Village Center (Fall Trimming)</t>
  </si>
  <si>
    <t>2023 (Sep/Nov)- Alton Marketplace (Fall Trimming)</t>
  </si>
  <si>
    <t>2023 (Sep/Nov)- Alton Retail Center (Fall Trimming)</t>
  </si>
  <si>
    <t>2023 (Sep/Nov)- Crossroads (Fall Trimming)</t>
  </si>
  <si>
    <t>2023 (Sep/Nov)- Harvard Auto Plaza (Fall Trimming)</t>
  </si>
  <si>
    <t>2023 (Sep/Nov)- Parkview Center (Fall Trimming)</t>
  </si>
  <si>
    <t>2023 (Sep/Nov)- Quail Hill Shopping Center (Fall Trimming)</t>
  </si>
  <si>
    <t>2023 (Sep/Nov)- Sand Canyon Plaza (Sand Canyon Plaza)</t>
  </si>
  <si>
    <t>2023 - (Sep/Nov) Alton Square (Fall Trimming)</t>
  </si>
  <si>
    <t>2023 (Oct/Dec) Pacific Financial Plaza (FY 23-24 Tree Maintenance)</t>
  </si>
  <si>
    <t>2024 (Apr/Jun) 500, 520, 550 NCD (FY 23-24 Tree Maintenance)</t>
  </si>
  <si>
    <t>2024 (Apr/Jun) 600,610 NCD (FY 23/24 Tree Maintenance)</t>
  </si>
  <si>
    <t>2024 (Apr/Jun) 620 NCD (FY 23-24 Tree Maintenance)</t>
  </si>
  <si>
    <t>2024 (Apr/Jun) 650 NCD (FY 23-24 Tree Maintenance)</t>
  </si>
  <si>
    <t>2024 (Apr/Jun) 660 NCD (FY 23-24 Tree Maintenance)</t>
  </si>
  <si>
    <t>2024 (Jan/Mar) 680 Newport Center Drive (FY 23-24 Tree Maintenance)</t>
  </si>
  <si>
    <t>2024 (Jan/Mar) Block 500 Common Area (FY 23-24 Tree Maintenance)</t>
  </si>
  <si>
    <t>2024 (Jan/Mar) Jamboree Center (FY 23-24 Tree Maintenance)</t>
  </si>
  <si>
    <t>2024 (Jan/Mar) Pacific Financial Plaza (FY 23-24 Tree Maintenance)</t>
  </si>
  <si>
    <t>2024 (Apr/Jun) MacArthur Court (FY 23-24 Tree Maintenance)</t>
  </si>
  <si>
    <t>2024 (Apr/Jun) Newport Gateway (FY 23/24 Tree Maintenance)</t>
  </si>
  <si>
    <t>2024 (Apr/Jun) The Launch (FY 23-24 Tree Maintenance)</t>
  </si>
  <si>
    <t>2024 (Jan/Mar) MacArthur Court (FY 23-24 Tree Maintenance)</t>
  </si>
  <si>
    <t>2024 (Jan/Mar) Newport Gateway (FY 23/24 Tree Maintenance)</t>
  </si>
  <si>
    <t>2023 - Irvine Spectrum Center - (23/24 Mexican Fan Palm Trimming)</t>
  </si>
  <si>
    <t>2024 - (Apr/Jun) Torrance Crossroads - (2024 Recommendations)</t>
  </si>
  <si>
    <t>2024(Oct/Dec) - Torrance Crossroads - (2024 Recommendations)</t>
  </si>
  <si>
    <t>2023 (Oct/Dec) - Anaheim Park South HOA (3 Year Plan)</t>
  </si>
  <si>
    <t>2023 - Windrows on Bragg</t>
  </si>
  <si>
    <t>2023 - Windrows on Tory St.</t>
  </si>
  <si>
    <t>2023 - Annual Ficus Trimming (2023)</t>
  </si>
  <si>
    <t>2023 - Palm Skinning at CLIFF DR</t>
  </si>
  <si>
    <t>2023 - Removal at 5700 W PCH (Non-Inventory)</t>
  </si>
  <si>
    <t>2023 - Supplemental trimming at 304 Jasmine Ave</t>
  </si>
  <si>
    <t>2023 (Oct/Dec) - Leffingwell Elementary (Service Request Trimming)</t>
  </si>
  <si>
    <t>2023 - (Oct/Dec) Hillview Middle School (Service Request Trimming)</t>
  </si>
  <si>
    <t>2023 - Laurel Elementary (Selective Trimming &amp; Removal)</t>
  </si>
  <si>
    <t>2023 - Scott Avenue Elementary (Service Request Trimming)</t>
  </si>
  <si>
    <t>2024 (Apr/Jun) Pacific Ridge HOA-(3 Year Plan)</t>
  </si>
  <si>
    <t>5%? 2025 (Apr/Jun) Pacific Ridge HOA-(3 Year Plan)</t>
  </si>
  <si>
    <t>5%? 2025 (Jan/Mar) Pacific Ridge HOA-(3 Year Plan)</t>
  </si>
  <si>
    <t>5%? 2026 (Apr/Jun) Pacific Ridge HOA-(3 Year Plan)</t>
  </si>
  <si>
    <t>5%? 2026 (Jan/Mar) Pacific Ridge HOA-(3 Year Plan)</t>
  </si>
  <si>
    <t>NOT A FULL DAY 2023 (Oct/Dec &amp; Removal) Pacific Hills HOA-(Revised 25545 Pacific Hills H/O Request Rec's)</t>
  </si>
  <si>
    <t>2023 - Pacific Ranch HOA - (Removal ID 131-133)</t>
  </si>
  <si>
    <t>NOT A FULL DAY 2023 (Aug/Sep) Vista Del Cerro HOA - (3 Year Plan)</t>
  </si>
  <si>
    <t>2023 - Parkside Property Owners Association-(Olive Tree Missed Due to Beehive)</t>
  </si>
  <si>
    <t>2023 - Culver Plaza Shopping Center (Dact Palm Sounding)</t>
  </si>
  <si>
    <t>2023 - (S) WR51698 | Third Mutual | 4024 Cle Sonora Este Willow Removal</t>
  </si>
  <si>
    <t>2023 - United Mutual | Removal at 2009 VIA MARIPOSA WEST</t>
  </si>
  <si>
    <t>2023 - United Mutual | Stump Grinding at 2009 VIA MARIPOSA WEST</t>
  </si>
  <si>
    <t>2023 - WR51761 | United Mutual | Removal at 162 AVE MAJORCA</t>
  </si>
  <si>
    <t>2023 - WR51762 | United Mutual | Removals at AVE MAJORCA &amp; AVE CASTILLA</t>
  </si>
  <si>
    <t>2023 - WR51766 | Third Mutual | Removal at 3474 BAHIA BLANCA WEST ST</t>
  </si>
  <si>
    <t>2023 - (Jul/Sep Removals) Dr. Peter Marshall Elementary (FY 23-24 Tree Maintenance)</t>
  </si>
  <si>
    <t>2023 - (Jul/Sep) Dr. Albert Schweitzer (FY 23-24 Tree Maintenance)</t>
  </si>
  <si>
    <t>2023 - (Jul/Sep) Dr. Jonas E. Salk (FY 23-24 Tree Maintenance)</t>
  </si>
  <si>
    <t>2023 - (Jul/Sep) Juliet Low Elementary (FY 23-24 Tree Maintenance)</t>
  </si>
  <si>
    <t>2023 - (Jul/Sep) Lord Baden Powell (FY 23-24 Tree Maintenance)</t>
  </si>
  <si>
    <t>2023 - (Jul/Sep) Robert M Pyles (FY 23-24 Tree Maintenance)</t>
  </si>
  <si>
    <t>2023 - (Jul/Sep) Walt Disney School (FY 23-24 Tree Maintenance)</t>
  </si>
  <si>
    <t>2023 - (Oct/Dec) Mattie Lou Maxwell Elementary (FY 23-24 Tree Maintenance)</t>
  </si>
  <si>
    <t>2023 - (Oct/Dec) Walt Disney School (FY 23-24 Tree Maintenance)</t>
  </si>
  <si>
    <t>2023 -(Jul/Sep Removals) Mattie Lou Maxwell Elementary (FY 23-24 Tree Maintenance)</t>
  </si>
  <si>
    <t>2023 -(Jul/Sep) Esther L Walter School (FY 23-24 Trimming)</t>
  </si>
  <si>
    <t>2023 -(Jul/Sep) District Office (FY 23-24 Tree Maintenance)</t>
  </si>
  <si>
    <t>Revolve Property Management</t>
  </si>
  <si>
    <t>2023 (Oct/Dec &amp; Removals) Greenbriar Neighborhood - (2023 Add'tl Trim &amp; Removals)</t>
  </si>
  <si>
    <t>NOT A FULL DAY / POST 2023 (Aug/Sep) Vista Del Cerro HOA - (3 Year Plan)</t>
  </si>
  <si>
    <t>2023 - Windrow Trimming at Pepperwood Park</t>
  </si>
  <si>
    <t>2023 - Windrow Trimming at Roosevelt</t>
  </si>
  <si>
    <t>2023 - Windrow Trimming at Trabuco</t>
  </si>
  <si>
    <t>2023 - Windrow Trimming on Huntington</t>
  </si>
  <si>
    <t>2023 - Windrow Trimming on Walnut Trail</t>
  </si>
  <si>
    <t>2023 - AREA 2-1 Trimming</t>
  </si>
  <si>
    <t>NOT A FULL DAY 2023 (Apr/Jun &amp; Removals) Mesa Vista North</t>
  </si>
  <si>
    <t>2023 - Vista Pointe Ridge - (ID 238 Removal; Birds Nest)</t>
  </si>
  <si>
    <t>2023 - (Oct/Dec) Corporate Point at West Hills (Additional Trimming)</t>
  </si>
  <si>
    <t>2023 - (N) (Option #1) Village Center Trimming (Ficus/Broadleaves)</t>
  </si>
  <si>
    <t>ESSEX Property Trust, Inc.</t>
  </si>
  <si>
    <t>2023 (Oct/Dec) MacArthur Business Center - (23/24 Recommendations)</t>
  </si>
  <si>
    <t>2023 - WR51788 | Third Mutual | Removal at 5346 BAHIA BLANCA WEST ST</t>
  </si>
  <si>
    <t>NOT A FULL DAY / PERMIT 2023 - Pacific Hills East - (29 Cantata Dr; Opt. 1 SLR ID 48)</t>
  </si>
  <si>
    <t>Beven and Brock</t>
  </si>
  <si>
    <t>2023 - Glenbrook Townhomes - (2023 Removals)</t>
  </si>
  <si>
    <t>2023 -(Oct/Dec) Glenbrook Townhomes</t>
  </si>
  <si>
    <t>2023 - (N) HARRY DOTSON PARK (Pine Removal)</t>
  </si>
  <si>
    <t>2023 (Oct/Dec) The Village at Coto de Caza - (31952/ 31951 Via Coyote; Pine Trimming)</t>
  </si>
  <si>
    <t>2023 -(Oct/Dec) Montilla at Oak Creek - (Building Clearance Recs)</t>
  </si>
  <si>
    <t>PERMIT? 2023 (Oct/Dec) Valencia HOA-(26261 Las Flores; SLR)</t>
  </si>
  <si>
    <t>2023 - Vista de Oro HOA - (ID 53-55; Pine Removals)</t>
  </si>
  <si>
    <t>5%? 2024 (Jul/Sep) Vista Pointe Ridge-(Approved 3 Year Plan)</t>
  </si>
  <si>
    <t>5%? 2024 (Oct/Dec) Vista Pointe Ridge-(Approved 3 Year Plan)</t>
  </si>
  <si>
    <t>5%? 2025 (Jul/Sep) Vista Pointe Ridge-(Approved 3 Year Plan)</t>
  </si>
  <si>
    <t>5%? 2025 (Oct/Dec) Vista Pointe Ridge-(Approved 3 Year Plan)</t>
  </si>
  <si>
    <t>The Muller Company</t>
  </si>
  <si>
    <t>2023 (Oct/Dec) Airport Tower - (2023 Recommendations)</t>
  </si>
  <si>
    <t>2023 - (Nov/Dec) Pullman Associates (2023 Tree Maintenance)</t>
  </si>
  <si>
    <t>2023 - Trimming at Blue Gum Park</t>
  </si>
  <si>
    <t>2023 - Trimming at Pepperwood Park</t>
  </si>
  <si>
    <t>2023 - Ivy Neighborhood Association - (Removal ID 21)</t>
  </si>
  <si>
    <t>2023 - Hillview Middle School (Removals)</t>
  </si>
  <si>
    <t>2023 - (Oct/Dec) Electronic Waveform Lab - (2023 Recommendations)</t>
  </si>
  <si>
    <t>2023 - Third Mutual | Removal at 3249 SAN AMADEO</t>
  </si>
  <si>
    <t>2023 - Bayridge Park HOA - (ID 76; 269 Haverfield)</t>
  </si>
  <si>
    <t>PERMIT? 2024 (Mar/Jun) Mesa Vista South-(4 Year Plan)</t>
  </si>
  <si>
    <t>PERMIT? 2024 (Oct/Dec) Mesa Vista South-(WO 12309-5270 4 Year Plan)</t>
  </si>
  <si>
    <t>PERMIT? 5%? 2025 (Mar/Jun) Mesa Vista South-(4 Year Plan)</t>
  </si>
  <si>
    <t>2023 -(Oct/Dec &amp; Removal) Los Alamitos Business Park (2023 Tree Maintenance)</t>
  </si>
  <si>
    <t>2023 - AREA 2 (2024)</t>
  </si>
  <si>
    <t>2023 - (N) Dead Tree Removals</t>
  </si>
  <si>
    <t>2023 - (N) (Option #1) Removals at 1761 Port Henley Cir</t>
  </si>
  <si>
    <t>2023 - Removal at 2 Groves Bike Trail.</t>
  </si>
  <si>
    <t>2023 - Removal at 219 Dahlia Ave.</t>
  </si>
  <si>
    <t>2023 - Removal at 328 Marguerite Ave.</t>
  </si>
  <si>
    <t>2023 - SR trimming at 4640 Orrington Rd.</t>
  </si>
  <si>
    <t>2023 - Stump Grinding at 613 Marguerite Ave</t>
  </si>
  <si>
    <t>2023 - (Oct/Dec) AQUA - (3 Year Plan)</t>
  </si>
  <si>
    <t>2023 - (Removal) Oak Creek Village - (ID 129; 2 Preston)</t>
  </si>
  <si>
    <t>Huntington West Properties, Inc.</t>
  </si>
  <si>
    <t>2023 - (Aug/Sep) Valley View Villas HOA – (23 Recommendations)</t>
  </si>
  <si>
    <t>5% 2024 - (Jan/Mar) Monterey Neighborhood Association - (3 Year Plan)</t>
  </si>
  <si>
    <t>5% 2025 -(Oct/Dec) Monterey Neighborhood Association - (3 Year Plan)</t>
  </si>
  <si>
    <t>Laz Parking</t>
  </si>
  <si>
    <t>2023 - (Oct/Dec &amp; Removal) The Pike Garage (2023 Recommendations)</t>
  </si>
  <si>
    <t>2023 - (Oct/Dec) Crown Point Pump Station (Eucalyptus Crown Reduction)</t>
  </si>
  <si>
    <t>2023 - (Oct/Dec) Woodbridge Parkway Maint. Assoc. - (MED Jacaranda missed due to parked car)</t>
  </si>
  <si>
    <t>2023 - (Removal) Tustin Place HOA - (Removal ID 2)</t>
  </si>
  <si>
    <t>2023 - (Removal) Whispering Hills Community Association (WO 12308-6886 Removal ID 107)</t>
  </si>
  <si>
    <t>2023 - Pacific Ranch HOA - (Requested Removals)</t>
  </si>
  <si>
    <t>2023 -(Oct/Dec) Level 1 Community - (2023 Recommendations)</t>
  </si>
  <si>
    <t>2023 - (Oct/Dec) 5855 Green Valley Circle - (2023 Additional Recs)</t>
  </si>
  <si>
    <t>2023 - (OCt/Dec &amp; Removal) Orange Financial Center - (Revised 2023 Recs)</t>
  </si>
  <si>
    <t>2023 - ARPA PLANTING (FINAL 18 TREES)</t>
  </si>
  <si>
    <t>2023 - Planting List (Received 10/19/23)</t>
  </si>
  <si>
    <t>2024 - (Apr/Jun &amp; Removal) CREF X Foothill Plaza - (2024 Recommendations)</t>
  </si>
  <si>
    <t>2023 - Removal at 701 Heliotrope Ave.</t>
  </si>
  <si>
    <t>HOLD SCHEDULING 2023 - (Removal) Whispering Hills Community Association (WO 12308-6886 Removal ID 107)</t>
  </si>
  <si>
    <t>2023 - (Oct/Dec) Rainbird Distribution Center - (Oct/Dec Trimming)</t>
  </si>
  <si>
    <t>2023 - Rainbird Distribution Center - (2023 Removals)</t>
  </si>
  <si>
    <t>2023 -(Eucalyptus Removals) Rainbird Distribution Center</t>
  </si>
  <si>
    <t>2024 - (Jan/Mar) Rainbird Distribution Center - (Eucalyptus Trimming)</t>
  </si>
  <si>
    <t>Anaheim Union High School District (GPS)</t>
  </si>
  <si>
    <t>2023 - Anaheim UHSD (Zone 3) ===December 23 - January 7th (Winter Break)</t>
  </si>
  <si>
    <t>2023 - Anaheim UHSD (Zone 4) ==(Weekends Available January - 13, 14, 20, 21, 27, 28) * Jan 15th Holiday</t>
  </si>
  <si>
    <t>5%? 2024 (Oct/Dec) Lux Community Association - (3 Year Plan)</t>
  </si>
  <si>
    <t>5%? 2024 (Oct/Dec) Montara Neighborhood Association - (3 Year Plan)</t>
  </si>
  <si>
    <t>5%? 2025 (Oct/Dec) Lux Community Association - (3 Year Plan)</t>
  </si>
  <si>
    <t>5%? 2025 (Oct/Dec) Montara Neighborhood Association - (3 Year Plan)</t>
  </si>
  <si>
    <t>2023 (Oct/Dec) Palm Terrace-(4 Year Plan)</t>
  </si>
  <si>
    <t>(Oct/Dec) 2023 (Aug/Sep &amp; Jan/May) Classics Lake Forest-(3 Year Plan)</t>
  </si>
  <si>
    <t>5%? 2024 (Aug/Sep) Classics Lake Forest-(3 Year Plan)</t>
  </si>
  <si>
    <t>5%? 2025 (Aug/Sep) Classics Lake Forest-(3 Year Plan)</t>
  </si>
  <si>
    <t>5%? 2026 (Jan/May) Classics Lake Forest-(3 Year Plan)</t>
  </si>
  <si>
    <t>2024 - (APR/JUN) Pacific Hills - (Approved 2024 Snapshot)</t>
  </si>
  <si>
    <t>2024 - (JAN/MAR) Pacific Hills - (Approved 2024 Snapshot)</t>
  </si>
  <si>
    <t>2024 - (Oct/Dec) Pacific Hills - (Approved 2024 Snapshot)</t>
  </si>
  <si>
    <t>2023 - (Oct/Dec) WR51809 | Kraemer Basin</t>
  </si>
  <si>
    <t>2023 - (Oct/Dec) WR51811 | LA JOLLA BASIN</t>
  </si>
  <si>
    <t>2023 - (Oct/Dec) WR51815 | OFF RIVER</t>
  </si>
  <si>
    <t>2023 - (Oct/Dec) WR51819 | ANAHEIM LAKE</t>
  </si>
  <si>
    <t>2023 -(Oct/Dec) WR51803 | Warner Basin</t>
  </si>
  <si>
    <t>2023 (Oct/Dec) Sheridan Maintenance Association-(Tristanias &amp; CA-Pepper Root Rot Treatment)</t>
  </si>
  <si>
    <t>2023 (Oct/Dec) Sheridan Maintenance Association-(WO12309-7154 Trimming)</t>
  </si>
  <si>
    <t>2023 - (Oct/Dec) Pacific Ranch HOA - (Punch List Trimming Recs)</t>
  </si>
  <si>
    <t>2024 (Apr/Jun) Sheridan Maintenance Association-(Tristanias &amp; CA-Pepper Root Rot Treatment)</t>
  </si>
  <si>
    <t>2023 - Citywide Planting - (REMAINING)</t>
  </si>
  <si>
    <t>2023 - Planting List (Received 10/19/23) - REMAINING</t>
  </si>
  <si>
    <t>2023 - WARRANTY REPLACEMENT TREE - (Remaining)</t>
  </si>
  <si>
    <t>2024 - (Jan/Mar) Brightwater HOA - (Additional Work)</t>
  </si>
  <si>
    <t>NOT A FULL DAY 2023 (Dec/Feb) Oak Creek Village Maintenance Master (OCR) - (Royal Oak Trimming)</t>
  </si>
  <si>
    <t>2023 - (Aug/Sep) Vineyards Marketplace- (Crape Myrtle/Albertsons Recs)</t>
  </si>
  <si>
    <t>LAREM</t>
  </si>
  <si>
    <t>2023 - (Oct/Dec) La Verne Business Park (Phase I) - (3 Year Plan)</t>
  </si>
  <si>
    <t>2024 - (Jan/Mar) La Verne Business Park (Phase I) - (3 Year Plan)</t>
  </si>
  <si>
    <t>5%/ 2025 - (Oct/Dec) La Verne Business Park (Phase I) - (3 Year Plan)</t>
  </si>
  <si>
    <t>[TREATMENT] 2023 - Vista Pointe Ridge-(56 RockRose Pepper-CA Treatment)</t>
  </si>
  <si>
    <t>2024 - Chelsea Place HOA - (2024 Removals)</t>
  </si>
  <si>
    <t>NOT A FULL DAY 2023 - (Oct/Dec) Bowen Court Maintenance Association - (200 Groveland)</t>
  </si>
  <si>
    <t>NOT A FULL DAY 2023 - (Aug/Sep) Vineyards Marketplace- (Crape Myrtle/Albertsons Recs)</t>
  </si>
  <si>
    <t>NOT A FULL DAY (Jan/Mar) 2024 (Oct/Dec) Garden Homes Maintenance Assoc. - (WO XN3202466)</t>
  </si>
  <si>
    <t>NOT FULL DAY 2024 - Chelsea Place HOA - (2024 Removals)</t>
  </si>
  <si>
    <t>2024 - Annual Ficus Trimming - (REMAINING)</t>
  </si>
  <si>
    <t>2024 (Jul/Aug) PLACEHOLDER: Foothill Collection (Summer 24/25)</t>
  </si>
  <si>
    <t>2024 (Jul/Aug) PLACEHOLDER: Spectrum Collection (Summer 24/25)</t>
  </si>
  <si>
    <t>2024 (Jul/Aug) PLACEHOLDER: University Collection (Summer 24/25)</t>
  </si>
  <si>
    <t>2024 (Sep/Nov) PLACEHOLDER: Foothill Collection (Fall 24/25)</t>
  </si>
  <si>
    <t>2024 (Sep/Nov) PLACEHOLDER: Spectrum Collection (Fall 24/25)</t>
  </si>
  <si>
    <t>2024 (Sep/Nov) PLACEHOLDER: University Collection (Fall 24/25)</t>
  </si>
  <si>
    <t>2024 - (Jul/Sep) PLACEHOLDER: Coastal Collection (Summer 24/25)</t>
  </si>
  <si>
    <t>2024 - PLACEHOLDER: Coastal Collection (Fall 24/25)</t>
  </si>
  <si>
    <t>2025 (Apr/Jun) PLACEHOLDER: Foothill Collection (Spring 24/25)</t>
  </si>
  <si>
    <t>2025 (Apr/Jun) PLACEHOLDER: Spectrum Collection (Spring 24/25)</t>
  </si>
  <si>
    <t>2025 (Apr/Jun) PLACEHOLDER: University Collection (Spring 24/25)</t>
  </si>
  <si>
    <t>2025 (Jan/Mar) PLACEHOLDER: Foothill Collection (Winter 24/25)</t>
  </si>
  <si>
    <t>2025 (Jan/Mar) PLACEHOLDER: Spectrum Collection (Winter 24/25)</t>
  </si>
  <si>
    <t>2025 (Jan/Mar) PLACEHOLDER: University Collection (Winter 24/25)</t>
  </si>
  <si>
    <t>2025 - (Jan/Mar)PLACEHOLDER: Coastal Collection (Winter 24/25)</t>
  </si>
  <si>
    <t>2025 -(Apr/Jun) PLACEHOLDER: Coastal Collection (Spring 24/25)</t>
  </si>
  <si>
    <t>2024 - (N) GRID 12 (Corona del Mar) - Broadleaves</t>
  </si>
  <si>
    <t>2024 - (N) SOUTH OF 405 FWY | DISTRICT B-5</t>
  </si>
  <si>
    <t>2024 - (N) SOUTH OF 405 FWY | DISTRICT B-6</t>
  </si>
  <si>
    <t>2024 - (N) SOUTH OF 405 FWY | DISTRICT C-4</t>
  </si>
  <si>
    <t>2024 - (N) SOUTH OF 405 FWY | DISTRICT C-5</t>
  </si>
  <si>
    <t>2024 - (N) SOUTH OF 405 FWY | DISTRICT C-6</t>
  </si>
  <si>
    <t>2024 - (N) SOUTH OF 405 FWY | DISTRICT D-5</t>
  </si>
  <si>
    <t>2024 - (N) SOUTH OF 405 FWY | DISTRICT D-6</t>
  </si>
  <si>
    <t>2023 - (Jan/Mar) Newport Hills (Winter Trimming: Coastal)</t>
  </si>
  <si>
    <t>2023 - (Jan/Mar) Newport North (Winter Trimming: Coastal)</t>
  </si>
  <si>
    <t>2023 - (Jan/Mar) The Bluffs (Winter Trimming: Coastal)</t>
  </si>
  <si>
    <t>2023 - Eastbluff Village (Winter Trimming: Coastal)</t>
  </si>
  <si>
    <t>2024 (Removal &amp; Root Prune) Oak Park Maintenance Association - (ID 33; 906 Maple Wood)</t>
  </si>
  <si>
    <t>2024 - (N) SOUTH OF 405 FWY | DISTRICT B-7</t>
  </si>
  <si>
    <t>2024 - (N) SOUTH OF 405 FWY | DISTRICT C-7</t>
  </si>
  <si>
    <t>2024 - (N) SOUTH OF 405 FWY | DISTRICT D-7</t>
  </si>
  <si>
    <t>2024 - (N) SOUTH OF 405 FWY | DISTRICT E-6</t>
  </si>
  <si>
    <t>2024 - (N) SOUTH OF 405 FWY | DISTRICT E-7</t>
  </si>
  <si>
    <t>2023 - Tustin Ranch Comm. II - (2023 Removal Comp Bid)</t>
  </si>
  <si>
    <t>2024 - (N) NORTH OF 405 FWY | DISTRICT C-2</t>
  </si>
  <si>
    <t>2024 - (N) NORTH OF 405 FWY | DISTRICT D-1</t>
  </si>
  <si>
    <t>2024 - (N) NORTH OF 405 FWY | DISTRICT D-2</t>
  </si>
  <si>
    <t>2024 - (N) NORTH OF 405 FWY | DISTRICT E-1</t>
  </si>
  <si>
    <t>2024 - (N) NORTH OF 405 FWY | DISTRICT G-2</t>
  </si>
  <si>
    <t>2024 - (N) NORTH OF 405 FWY | DISTRICT H-1</t>
  </si>
  <si>
    <t>2024 - (N) NORTH OF 405 FWY | DISTRICT H-2</t>
  </si>
  <si>
    <t>2024 - (N) NORTH OF 405 FWY | DISTRICT J-1</t>
  </si>
  <si>
    <t>2024 - SR Trimming at DELRAY CIR (Palms)</t>
  </si>
  <si>
    <t>2024 - (F) Selective Trimming at ALISO RANCH</t>
  </si>
  <si>
    <t>2024 - (N) Planting at Cerritos Ave</t>
  </si>
  <si>
    <t>2024 - (N) Stump Grinding at Cerritos Ave</t>
  </si>
  <si>
    <t>2024 - (Jan/Mar) WoodLake Santa Ana HOA - (Incomplete Ficus Trimming)</t>
  </si>
  <si>
    <t>2024 - (Jan/Mar) OCWD: Conrock Basin (Side Trimming)</t>
  </si>
  <si>
    <t>2024 - Birdcage Park Trimming</t>
  </si>
  <si>
    <t>2024 - (N) Palm Trimming at Beach Blvd</t>
  </si>
  <si>
    <t>2024 - (N) Traffic Control on BEACH BLVD</t>
  </si>
  <si>
    <t>2024 - (Jan/Mar) Crosspointe Village HOA - (Building Clearance Trimming)</t>
  </si>
  <si>
    <t>NEED LANE CLOSURE===2024 - SOUTH OF 405 FWY | DISTRICT B-4 (Remaining)</t>
  </si>
  <si>
    <t>2024 - (N) Lilly Park (Removals)</t>
  </si>
  <si>
    <t>2024 - (N) Rosie the Rivetier Park (Removals)</t>
  </si>
  <si>
    <t>2024 - Planting at Bluff Park (Option #1)</t>
  </si>
  <si>
    <t>5%? 2025 (Apr/Jun) Pacific Hills HOA-(3 Year Plan)</t>
  </si>
  <si>
    <t>5%? 2025 (Jan/Mar) Pacific Hills HOA-(3 Year Plan)</t>
  </si>
  <si>
    <t>5%? 2025 (Oct/Dec) Pacific Hills HOA-(3 Year Plan)</t>
  </si>
  <si>
    <t>5%? 2026 (Apr/Jun) Pacific Hills HOA-(3 Year Plan)</t>
  </si>
  <si>
    <t>5%? 2026 (Jan/Mar) Pacific Hills HOA-(3 Year Plan)</t>
  </si>
  <si>
    <t>5%? 2026 (Oct/Dec) Pacific Hills HOA-(3 Year Plan)</t>
  </si>
  <si>
    <t>2024 (Apr/Jun) The Oaks at Lake Forest HOA-(2024 Trimming Snapshot)</t>
  </si>
  <si>
    <t>2024 (Oct/Dec) The Oaks at Lake Forest HOA-(2024 Trimming Snapshot)</t>
  </si>
  <si>
    <t>2024 - (Apr/Jun) Monticello Community Association - (3 Year Plan)</t>
  </si>
  <si>
    <t>2024 - (Oct/Dec) Monticello Community Association - (3 Year Plan)</t>
  </si>
  <si>
    <t>2024 - Easley Estates (1125) - (Removal ID's 1-4)</t>
  </si>
  <si>
    <t>2024 - Alondra Corporate Center - (2024 Removals)</t>
  </si>
  <si>
    <t>2024 - Eucalyptus Park Trimming</t>
  </si>
  <si>
    <t>2024 - Planting at Cordata Park</t>
  </si>
  <si>
    <t>2024 - Removal at 100 Newport Blvd Parking lot</t>
  </si>
  <si>
    <t>2024 - Removal at 1200 Cliff Dr</t>
  </si>
  <si>
    <t>2024 - Removal at Harbor View Nature Park</t>
  </si>
  <si>
    <t>2024 - Removal at Newport Hills Dr</t>
  </si>
  <si>
    <t>2024 - SR trimming at 704 Heliotrope Ave</t>
  </si>
  <si>
    <t>2024 - Supplemental trimming at Main Library</t>
  </si>
  <si>
    <t>2024 (Oct/Dec) Pacific Hills HOA- Revised 3yr</t>
  </si>
  <si>
    <t>5%? 2026 (Oct/Dec) Pacific Hills HOA- Revised 3yr</t>
  </si>
  <si>
    <t>2024 - WR51999 | Third Mutual | 3367 PUNTA ALTA (Deferred)</t>
  </si>
  <si>
    <t>2024 - WR52004 | United Mutual | Removal at VIA LOS ALTOS</t>
  </si>
  <si>
    <t>NEED PAPERWORK ==2024 - WR51999 | Third Mutual | Buildings 3364-3367</t>
  </si>
  <si>
    <t>PERMIT=2024 - Alondra Corporate Center - (2024 Removals)</t>
  </si>
  <si>
    <t>2024 - GRID 8 (BROADLEAVES)</t>
  </si>
  <si>
    <t>2024 - Newport Crest HOA -($0 Replanting Go-Ahead)</t>
  </si>
  <si>
    <t>2024 - Cypress Village Master - (2024 Giant Bird of Paradise Comp Bid)</t>
  </si>
  <si>
    <t>PERMIT 2024 (June) Tennis Villas at Monarch Beach</t>
  </si>
  <si>
    <t>PERMIT 5%? 2025 (June) Tennis Villas at Monarch Beach</t>
  </si>
  <si>
    <t>2024 (Jul/Sep &amp; Removal) 16142 Fern Avenue (2024 Tree Maintenance)</t>
  </si>
  <si>
    <t>2024 (Jul/Sep) 15989 Cypress Avenue (2024 Tree Maintenance)</t>
  </si>
  <si>
    <t>2024 (Jul/Sep) 16043 El Prado Road (2024 Tree Maintenance)</t>
  </si>
  <si>
    <t>2024 (Jul/Sep) 16051 El Prado Road (2024 Tree Maintenance)</t>
  </si>
  <si>
    <t>2024 (Oct/Dec) Glenwood Terrace-(3 Year Plan)</t>
  </si>
  <si>
    <t>5%? 2025 (Oct/Dec) Glenwood Terrace-(3 Year Plan)</t>
  </si>
  <si>
    <t>5%? 2026 (Oct/Dec) Glenwood Terrace-(3 Year Plan)</t>
  </si>
  <si>
    <t>2024 - Montbury HOA-(ID 539 Active Bird Nest)</t>
  </si>
  <si>
    <t>2024 - DISTRICT 6 - HOMEOWNER</t>
  </si>
  <si>
    <t>2024 - Pacific Financial Plaza (Alder Removals)</t>
  </si>
  <si>
    <t>2024 (Jul/Sep) Irvine USD (FY 24/25 Placeholder)</t>
  </si>
  <si>
    <t>2024 (Oct/Dec) Irvine USD (FY 24/25 Placeholder)</t>
  </si>
  <si>
    <t>2025 (Jan/Mar) Irvine USD (FY 24/25 Placeholder)</t>
  </si>
  <si>
    <t>2024 - Vista Firenze HOA-(1 Tierra Vista Removal ID 14)</t>
  </si>
  <si>
    <t>2024 (JULY) Cypress Village Master-(July)</t>
  </si>
  <si>
    <t>2024 - Freedom Park Trimming</t>
  </si>
  <si>
    <t>2024 - Westminster Park Trimming</t>
  </si>
  <si>
    <t>2024 - Orangeview Jr. High (FY 23/24 Removals)</t>
  </si>
  <si>
    <t>2024 (Oct/Dec) Trailing Vine Maintenance Association - (3 Year Plan)</t>
  </si>
  <si>
    <t>2024 - Stump Grinding at 10290 MORNING GLORY AVE</t>
  </si>
  <si>
    <t>2024 - El Dorado 3 World of Trees Removals (Remaining)</t>
  </si>
  <si>
    <t>NOT A FULL DAY 2024 (Oct/Dec) Windsong Community Association - (3 Year Plan)</t>
  </si>
  <si>
    <t>2024 - WR52062 | United Mutual | Buildings 774-829</t>
  </si>
  <si>
    <t>2024 - WR52062 | United Mutual | Buildings 774-829 (Deferred)</t>
  </si>
  <si>
    <t>2024 - WR52063 | United Mutual | Buildings 662-685 (Deferred)</t>
  </si>
  <si>
    <t>2024 - Rancho Veracruz Condominium Association - (Removal ID 18; Birds Nest Interference)</t>
  </si>
  <si>
    <t>NOT A FULL DAY 2024 - Montego Rancho San Clemente-(Stump Removal ID 20)</t>
  </si>
  <si>
    <t>2024 - Bayside Shopping Center - (Removal ID 1)</t>
  </si>
  <si>
    <t>2024 - PLACEHOLDER ==Shady Canyon and Quail Hill (LAB SAMPLES)</t>
  </si>
  <si>
    <t>2024 - Stump Grind &amp; Planting at Asbury St</t>
  </si>
  <si>
    <t>2024 - WR52076 | Third Mutual | Buildings 4001-4026</t>
  </si>
  <si>
    <t>2024 - WR52077 | United Mutual | Buildings 757-773</t>
  </si>
  <si>
    <t>2024 - Oak Park Maintenance Assoc. - (Missed Carrotwoods due to parked cars)</t>
  </si>
  <si>
    <t>2024 - Removals in GRID 19</t>
  </si>
  <si>
    <t>2024 - AREA 3-1 Trimming</t>
  </si>
  <si>
    <t>2024 - Macduff ST Grid pruning (AREA 2-2)</t>
  </si>
  <si>
    <t>2024 - Yana DR Grid Pruning (AREA 2-2)</t>
  </si>
  <si>
    <t>PAPERWORK ==2024 - WR52102 | United Mutual | Buildings 2001-2108</t>
  </si>
  <si>
    <t>PAPERWORK ==2024 - WR52103 | United Mutual | Buildings 2137-2165</t>
  </si>
  <si>
    <t>PAPERWORK ==2024 - WR52104 | United Mutual | Buildings 2209-2220</t>
  </si>
  <si>
    <t>PAPERWORK ==2024 - WR52105 | Third Mutual | Buildings 2109-2120</t>
  </si>
  <si>
    <t>PAPERWORK ==2024 - WR52106 | Third Mutual | Buildings 2166-2182</t>
  </si>
  <si>
    <t>PAPERWORK ==2024 - WR52107 | Third Mutual | Buildings 2192-2208</t>
  </si>
  <si>
    <t>PAPERWORK ==2024 - WR52110 | Third Mutual | Buildings 2221-2405</t>
  </si>
  <si>
    <t>[TREATMENT] 2024 (Apr/Jun) Park Place - (3 Year Treatment Plan)</t>
  </si>
  <si>
    <t>2024 - Planting at STONECRESS &amp; SLATER AVE</t>
  </si>
  <si>
    <t>2024 - Mathis Nellie Gail Res. (Service Request)</t>
  </si>
  <si>
    <t>NOT A FULL DAY 2024 - Airport Tower - (2024 Removals)</t>
  </si>
  <si>
    <t>2024 - Date Palm Removal (LINCOLN AVE)</t>
  </si>
  <si>
    <t>2024 - LINCOLN AVE ( All Median broadleaves)</t>
  </si>
  <si>
    <t>2024 - Planting at 9170 HELM AVE</t>
  </si>
  <si>
    <t>2024 - Removal at 9800 VALLEY VIEW ST</t>
  </si>
  <si>
    <t>2024 - (N) DISTRICT B-7 - (Remaining)</t>
  </si>
  <si>
    <t>2024 - (N) DISTRICT C-6 - (Remaining)</t>
  </si>
  <si>
    <t>2024 - (N) DISTRICT C-7 - (Remaining)</t>
  </si>
  <si>
    <t>2024 - (N) DISTRICT D-6 - (Remaining)</t>
  </si>
  <si>
    <t>2024 - Trimming at EL DORADO PARK WEST (Paking Lot)</t>
  </si>
  <si>
    <t>2024 - Limb Removal at 3201 PACIFIC COAST HWY /E</t>
  </si>
  <si>
    <t>2024 - Palm Trimming at PENINSULA PARK</t>
  </si>
  <si>
    <t>2024 - Removal at IRVINE TERRACE PARK (CI Pine)</t>
  </si>
  <si>
    <t>2024 - SR Trim at 2221 ALTA VISTA DR</t>
  </si>
  <si>
    <t>2024 - SR Trim at 2401 PORT CARLISLE PL</t>
  </si>
  <si>
    <t>ON HOLD ---2024 - GRID 19 (Newport Ridge) - Broadleaves - (Remaining)</t>
  </si>
  <si>
    <t>2024 - District 1-4 (all trees)</t>
  </si>
  <si>
    <t>Compass Property Management</t>
  </si>
  <si>
    <t>2024 - Stoney Pointe at Bear Brand-(Planting Pittosporum - Mock Orange)</t>
  </si>
  <si>
    <t>2024 (Removals) Northpark Maintenance Street Trees - (WO 2024-101-00115)</t>
  </si>
  <si>
    <t>2024 - Pacific Hills HOA-(WO 12159 Pepper Treatment)</t>
  </si>
  <si>
    <t>PRE-BILLED--2024 - (Jan/Mar &amp; Removal) Bayside Center (Structural Pruning &amp; Removal: Restaurant Slope)</t>
  </si>
  <si>
    <t>2024 - SIERRA VISTA MIDDLE SCHOOL - (Oak Trims)</t>
  </si>
  <si>
    <t>2024 - WR52152 | Third Mutual | Buildings 5497-5519</t>
  </si>
  <si>
    <t>2024 - Gateway Americana - (ID 5; WO XN3603887)</t>
  </si>
  <si>
    <t>2024 (Apr/Jun) Whispering Hills Community Association-(WO 12403-3011 Side Trim Rec's)</t>
  </si>
  <si>
    <t>2024 - Mesa Vista North-(Removal IDs 154-160)</t>
  </si>
  <si>
    <t>2024 - Mesa Vista North-(Revised WO 12401-1691 Removals)</t>
  </si>
  <si>
    <t>2024 - Whispering Hills Community Association-(21121 Knights Glen Root Encroachment)</t>
  </si>
  <si>
    <t>NOT A FULL DAY 2024 (Apr/Jun) Mission Sunrise Ridge-(25192 Fairgreen Side Trim)</t>
  </si>
  <si>
    <t>2024 (Removal) Serissa Community Association - (5,8; 36 Bamboo)</t>
  </si>
  <si>
    <t>NOT A FULL DAY 2024 (Apr/Jun) Northpark Monterey Community Association-(Podocarpus; Blocked Car)</t>
  </si>
  <si>
    <t>2024 - Planting at 18600 LAS FLORES ST</t>
  </si>
  <si>
    <t>2024 - Planting at COURREGES PARK</t>
  </si>
  <si>
    <t>2024 - Removal at 2701 VISTA DEL ORO</t>
  </si>
  <si>
    <t>2024 - Removal at 2800 CASSIA ST</t>
  </si>
  <si>
    <t>2024 - Removal at 4500 WAYNE RD</t>
  </si>
  <si>
    <t>2024 - SR Trim at CLIFF DRIVE PARK (Stone Pines)</t>
  </si>
  <si>
    <t>2024 - Trimming on CHAMPMAN AVE - (REVISED)</t>
  </si>
  <si>
    <t>PERMIT 2024 (Oct/Dec) Tustin Field II-(2024 Trimming)</t>
  </si>
  <si>
    <t>NOT A FULL DAY 2024 (Apr/Jun) Ridgemont Community Association -(6 Missed Tristanias due to parked cars)</t>
  </si>
  <si>
    <t>2024 - Park Niguel Community-(Inventory Services)</t>
  </si>
  <si>
    <t>2024 - Woodside Irvine HOA - (Removal ID 226)</t>
  </si>
  <si>
    <t>2024 (Apr/Jun) Santa Barbara HOA - (LRG Rhus – African Sumac, blocked by a car)</t>
  </si>
  <si>
    <t>2024 (Aug/Sep) Vista San Joaquin HOA-(4 Year Plan)</t>
  </si>
  <si>
    <t>2024 (Oct/Dec) Vista San Joaquin HOA-(4 Year Plan)</t>
  </si>
  <si>
    <t>5%? 2025 (Aug/Sep) Vista San Joaquin HOA-(4 Year Plan)</t>
  </si>
  <si>
    <t>5%? 2025 (Oct/Dec) Vista San Joaquin HOA-(4 Year Plan)</t>
  </si>
  <si>
    <t>5%? 2026 (Aug/Sep) Vista San Joaquin HOA-(4 Year Plan)</t>
  </si>
  <si>
    <t>5%? 2026 (Oct/Dec) Vista San Joaquin HOA-(4 Year Plan)</t>
  </si>
  <si>
    <t>2024 - Planting List 18100 MAGNOLIA ST (Crape Myrtle)</t>
  </si>
  <si>
    <t>2024 - Grid 20 (Pelican Crest) - Remaining</t>
  </si>
  <si>
    <t>[TREATMENT] 2024 - Pacific Hills HOA-(WO 12159 Pepper Treatment)</t>
  </si>
  <si>
    <t>2024 - WR52152 | Third Mutual | Buildings 5497-5519 - (REVISED)</t>
  </si>
  <si>
    <t>2024 - WR52167 | United Mutual | 2089-B Ronda Granada (Deferred)</t>
  </si>
  <si>
    <t>2024 (Apr/Jun) Linda Isle -(Missed Podo due to Parked Car)</t>
  </si>
  <si>
    <t>NOT A FULL DAY 2024 (Root Prune) Chandon HOA-(St. Germian Entry Root Prune; ID 5)</t>
  </si>
  <si>
    <t>Downey Unified School District</t>
  </si>
  <si>
    <t>2024 - Alameda Elementary (FY 24/25 Removals)</t>
  </si>
  <si>
    <t>2024 - District Administration (FY 24/25 Tree Trimming)</t>
  </si>
  <si>
    <t>2024 - Doty Middle School (FY 24/25 Removals)</t>
  </si>
  <si>
    <t>2024 - Downey Adult School (FY 24/25 Trimming)</t>
  </si>
  <si>
    <t>2024 - Griffiths Middle (FY 24/25 Trimming)</t>
  </si>
  <si>
    <t>2024 - Lewis Elementary (FY 24/25 Trimming)</t>
  </si>
  <si>
    <t>2024 - PACE Academy (FY 24/25 Trimming)</t>
  </si>
  <si>
    <t>2024 - Stauffer Middle School (FY 24/25 Trimming)</t>
  </si>
  <si>
    <t>2024 - Sussman Middle (FY 24/25 Trimming)</t>
  </si>
  <si>
    <t>2024 - Unsworth Elementary (FY 24/25 Removals)</t>
  </si>
  <si>
    <t>2024 - Unsworth Elementary (FY 24/25 Trimming)</t>
  </si>
  <si>
    <t>2024 - Warren High</t>
  </si>
  <si>
    <t>2024 - Removal at 1200 HIGHLAND DR</t>
  </si>
  <si>
    <t>2024 - Removals at STARLIGHT CIR &amp; GLENWOOD LN</t>
  </si>
  <si>
    <t>2024 - GRID 4</t>
  </si>
  <si>
    <t>Lincoln Property Company</t>
  </si>
  <si>
    <t>2 MAN 2024 - 9199 Cleveland Ave. - (Removal ID 1-2)</t>
  </si>
  <si>
    <t>[TREATMENT] 2024 (Apr/Jun) Terrace View Community Assoc. (California Terrace)-(H/O Request Rec's)</t>
  </si>
  <si>
    <t>[TREATMENT] 2024 - Terrace View Community Assoc-(Palo Verde Fertilize Treatment)</t>
  </si>
  <si>
    <t>2024 - GRID 14 (ALL TREES)</t>
  </si>
  <si>
    <t>2024 - GRID 46 (PALMS)</t>
  </si>
  <si>
    <t>2024 - GRID 47 (PALMS)</t>
  </si>
  <si>
    <t>2024 - GRID 48 (PALMS)</t>
  </si>
  <si>
    <t>2024 - Planting at 17900 MAGNOLIA ST</t>
  </si>
  <si>
    <t>2024 - ACACIA AVE (Palms)</t>
  </si>
  <si>
    <t>2024 - STANFORD AVE (Palms)</t>
  </si>
  <si>
    <t>2024 (Apr/Jun &amp; Removal) Mariners Church - (ID 316-318)</t>
  </si>
  <si>
    <t>2024 (Removal) Garden Homes -(WO XN3848414; ID 176 Only)</t>
  </si>
  <si>
    <t>NOT A FULL DAY 2024 (Apr/Jun) Coronado at Aliso Viejo HOA- Active Bird Nest</t>
  </si>
  <si>
    <t>2024 - VETERANS PARK (ALL TREES)</t>
  </si>
  <si>
    <t>5%? PERMIT 2025 (Apr/Jun) Pacific Hills East-(Revised 3 Year Plan)</t>
  </si>
  <si>
    <t>5%? PERMIT 2025 (Jan/Mar) Pacific Hills East-(Revised 3 Year Plan)</t>
  </si>
  <si>
    <t>5%? PERMIT 2026 (Apr/Jun) Pacific Hills East-(Revised 3 Year Plan)</t>
  </si>
  <si>
    <t>5%? PERMIT 2026 (Jan/Mar) Pacific Hills East-(Revised 3 Year Plan)</t>
  </si>
  <si>
    <t>5%? PERMIT 2026 (Oct/Dec) Pacific Hills East-(Revised 3 Year Plan)</t>
  </si>
  <si>
    <t>NOT A FULL DAY/PERMIT 2024 (Oct/Dec) Pacific Hills East-(Revised 3 Year Plan)</t>
  </si>
  <si>
    <t>[TREATMENT] 2024 (Apr/Jun) Mariners Church - (ID 316-318)</t>
  </si>
  <si>
    <t>2024 (Removal) Mariners Church - (ID 316)</t>
  </si>
  <si>
    <t>2024 (Oct/Nov) Sirco III Business Park - (2024 Recommendations)</t>
  </si>
  <si>
    <t>2024 (Rem &amp; Root Prune) California Renaissance-(WO 12406-8811 Recommendations)</t>
  </si>
  <si>
    <t>TREATMENT 2024 - Pacific Ranch HOA - (July Treatment Recs)</t>
  </si>
  <si>
    <t>TREATMENT 2024 - Pacific Ranch HOA - (Oct/Dec Treatment Recs)</t>
  </si>
  <si>
    <t>2024 (Apr/Jun) Mirador at Rancho Niguel Association - (3 Year Plan)</t>
  </si>
  <si>
    <t>2024 (Oct/Dec) Mirador at Rancho Niguel Association - (3 Year Plan)</t>
  </si>
  <si>
    <t>2025 (Jan/Mar) Mirador at Rancho Niguel Association - (3 Year Plan)</t>
  </si>
  <si>
    <t>5%? 2025 (Apr/Jun) Mirador at Rancho Niguel Association - (3 Year Plan)</t>
  </si>
  <si>
    <t>5%? 2025 (Oct/Dec) Mirador at Rancho Niguel Association - (3 Year Plan)</t>
  </si>
  <si>
    <t>5%? 2026 (Apr/Jun) Mirador at Rancho Niguel Association - (3 Year Plan)</t>
  </si>
  <si>
    <t>5%? 2026 (Oct/Dec) Mirador at Rancho Niguel Association - (3 Year Plan)</t>
  </si>
  <si>
    <t>PERMIT 2024 - Mirador Community-(Removal ID 39)</t>
  </si>
  <si>
    <t>2024 - Westminster Village HOA-(Removal ID 29)</t>
  </si>
  <si>
    <t>(FALL) 2024 - Stoney Pointe at Bear Brand (Approved Pine Removals)</t>
  </si>
  <si>
    <t>2024 - CADENCE PARK SCHOOL (FY 24-25 Trimming)</t>
  </si>
  <si>
    <t>2024 - CANYON VIEW ELEMENTARY (FY 24/25 Removal)</t>
  </si>
  <si>
    <t>2024 - CANYON VIEW ELEMENTARY (FY 24/25 Trimming)</t>
  </si>
  <si>
    <t>2024 - EASTSHORE ELEMENTARY (FY 24/25 Trimming)</t>
  </si>
  <si>
    <t>2024 - EASTWOOD ELEMENTARY (FY 24/25 Removal)</t>
  </si>
  <si>
    <t>2024 - EASTWOOD ELEMENTARY (FY 24/25 Trimming)</t>
  </si>
  <si>
    <t>2024 - IRVINE HIGH SCHOOL (Planting)</t>
  </si>
  <si>
    <t>2024 - IRVINE HIGH SCHOOL - (Removals)</t>
  </si>
  <si>
    <t>2024 - PORTOLA SPRINGS ELEMENTARY (FY 24/25 Removals)</t>
  </si>
  <si>
    <t>2024 - PORTOLA SPRINGS ELEMENTARY (FY 24/25 Trimming)</t>
  </si>
  <si>
    <t>2024 - VENADO MIDDLE SCHOOL (FY 24/25 Trimming)</t>
  </si>
  <si>
    <t>2024 - VENADO MIDDLE SCHOOL - (Olive Planting)</t>
  </si>
  <si>
    <t>2024 - VENADO MIDDLE SCHOOL - (Palo Verde Removals)</t>
  </si>
  <si>
    <t>2024 - VENADO MIDDLE SCHOOL - (Removals)</t>
  </si>
  <si>
    <t>DUE 7/30 2024 (Removal) Mariners Church - (ID 316)</t>
  </si>
  <si>
    <t>DUE 7/30 2024 - Mariners Church - (2024 Revised Palm Trimming)</t>
  </si>
  <si>
    <t>NOT A FULL DAY 2024 - Goddard Corporate O.A. (2 Missed Carrotwoods due to parked car)</t>
  </si>
  <si>
    <t>2024 (Aug/Sep) Mira Costa Villas-(Revised 3 Year Plan)</t>
  </si>
  <si>
    <t>2024 (Oct/Dec) Mira Costa Villas-(Revised 3 Year Plan)</t>
  </si>
  <si>
    <t>2024 - Mira Costa Villas-(2024 Removals)</t>
  </si>
  <si>
    <t>5%? 2025 (Aug/Sep) Mira Costa Villas-(Revised 3 Year Plan)</t>
  </si>
  <si>
    <t>5%? 2025 (Oct/Dec) Mira Costa Villas-(Revised 3 Year Plan)</t>
  </si>
  <si>
    <t>5%? 2026 (Aug/Sep) Mira Costa Villas-(Revised 3 Year Plan)</t>
  </si>
  <si>
    <t>5%? 2026 (Oct/Dec) Mira Costa Villas-(Revised 3 Year Plan)</t>
  </si>
  <si>
    <t>NOT A FULL DAY 2024 - (Jul/Sep &amp; Removals) Huntington Bay - (Removal ID 9-10)</t>
  </si>
  <si>
    <t>2024 (Aug/Sep) Seawind Community Association - (Revised 3 Year Plan)</t>
  </si>
  <si>
    <t>2024 - Seawind Community Association - (Revised 2024 Removals)</t>
  </si>
  <si>
    <t>5%? 2025 (Aug/Sep) Seawind Community Association - (Revised 3 Year Plan)</t>
  </si>
  <si>
    <t>5%? 2025 (Oct/Dec) Seawind Community Association - (Revised 3 Year Plan)</t>
  </si>
  <si>
    <t>5%? 2026 (Aug/Sep) Seawind Community Association - (Revised 3 Year Plan)</t>
  </si>
  <si>
    <t>2024 - Planting at McDowell Park</t>
  </si>
  <si>
    <t>2024 - Stump Grinding &amp; Planting at 8303 PALAIS RD</t>
  </si>
  <si>
    <t>2024 - OAK CREEK ELEMENTARY - (Magnolia Planting)</t>
  </si>
  <si>
    <t>2024 (Aug/Sep &amp; Removals) Seacove Place HOA - (LS Walk 07/15; Deliverables)</t>
  </si>
  <si>
    <t>2024 (July) Woodbury East Comm. - (July Svc Requests)</t>
  </si>
  <si>
    <t>2024 - Woodbury East Comm. - (Removal ID 151)</t>
  </si>
  <si>
    <t>2024 (July) Windsong Community Association-(LS Walk 07.22; Deliverables)</t>
  </si>
  <si>
    <t>2024 (July &amp; Removals) 1650 N. Kraemer - (24 Recommendations)</t>
  </si>
  <si>
    <t>Platinum Management Group</t>
  </si>
  <si>
    <t>2024 (Oct/Dec) Indian Hill-(3 Year Plan)</t>
  </si>
  <si>
    <t>NOT A FULL DAY 2024 - Legado HOA (Comp Bid for Crown Reduction)</t>
  </si>
  <si>
    <t>PERMIT? 2024 (Removals) Niguel Villas Association-(2024/25 Removals)</t>
  </si>
  <si>
    <t>2024 (Jul/Sep &amp; Removal) Greenbriar Neighborhood - (Revised 3 Year Plan)</t>
  </si>
  <si>
    <t>2024 (Oct/Dec) Greenbriar Neighborhood - (Revised 3 Year Plan)</t>
  </si>
  <si>
    <t>2024 (Apr/Jun &amp; Removal) The Groves Homeowners Inc.- (Revised 24/25 Recommendations)</t>
  </si>
  <si>
    <t>2025 (Jan/Mar) The Groves HOA- (Revised 24/25 Recommendations)</t>
  </si>
  <si>
    <t>NOT A FULL DAY 2024 - Casitas Capistrano 2 - (Removal ID 18-19)</t>
  </si>
  <si>
    <t>NOT A FULL DAY 2024 - La Mirage HOA-(WO 128476 Removals)</t>
  </si>
  <si>
    <t>5%? 2025 (Apr/Jun) Tristania Neighborhood Association - (3 Year Plan)</t>
  </si>
  <si>
    <t>5%? 2025 (Oct/Dec) Tristania Neighborhood Association - (3 Year Plan)</t>
  </si>
  <si>
    <t>5%? 2026 (Apr/Jun) Tristania Neighborhood Association - (3 Year Plan)</t>
  </si>
  <si>
    <t>2024 - J-2 Palms - (need 75ft boom)</t>
  </si>
  <si>
    <t>2024 - Third Mutual | Removal at 3022 CLE SONORA</t>
  </si>
  <si>
    <t>2024 (Removal) Tustin Ranch Shadowbrook HOA - (Removal ID 23)</t>
  </si>
  <si>
    <t>2024 - Altamar HOA - (GO-BACK)(3) missed trees</t>
  </si>
  <si>
    <t>2024 - The Oaks at Lake Forest HOA-(Removal ID 15)</t>
  </si>
  <si>
    <t>PERMIT 2024 (Apr/Jun) Tustin Ranch Shadowbrook HOA -(Carrotwood Trimming)</t>
  </si>
  <si>
    <t>PERMIT 2024 (Jul/Aug) Tustin Ranch Shadowbrook HOA - (Behind 2060 Cherokee)</t>
  </si>
  <si>
    <t>2024 (Aug/Sep &amp; Removal) The Cape Series in Aliso Viejo-(3 Year Plan)</t>
  </si>
  <si>
    <t>2024 (Aug/Sep) Laguna Altura-(Palms Treatment for Fusarium Suppression)</t>
  </si>
  <si>
    <t>2024 (Oct/Dec) Laguna Altura-(Palms Treatment for Fusarium Suppression)</t>
  </si>
  <si>
    <t>2024 (Removal) Bella Rosa Cost Center (Northwood Estates) - (ID 233)</t>
  </si>
  <si>
    <t>NOT A FULL DAY 2024 (Removal) Bella Rosa Cost Center (Northwood Estates) - (ID 216)</t>
  </si>
  <si>
    <t>[TREATMENT] 2024 (Aug/Sep) Laguna Audubon 1 - (WO 35127; Pine Treatment)</t>
  </si>
  <si>
    <t>NOT A FULL DAY 2024 (Removal) Park Aliso Villas-(REVISED Evaluation Inspection on Trees)</t>
  </si>
  <si>
    <t>[TREATMENT] 2024 (Aug/Sep) Tristania Neighborhood- (Pine Treatment; 137 Augustine)</t>
  </si>
  <si>
    <t>2024 - CP West Hills: Campus (2024 Removals)</t>
  </si>
  <si>
    <t>2024 (Aug/Sep) Chris Morris Residence (3 Year $0 Go-Ahead)</t>
  </si>
  <si>
    <t>2024 - Parkside Property HOA-(CI Palm; Active Birds Nest)</t>
  </si>
  <si>
    <t>(NOV) 2024 (Oct/Dec) MacArthur Business Center (Revised 2025 Recs)</t>
  </si>
  <si>
    <t>2024 - (JUL/AUG) Bayside Center (Olive Trimming)</t>
  </si>
  <si>
    <t>2024 - (JUL/AUG) The Bluffs (Olive Trimming)</t>
  </si>
  <si>
    <t>2024 - (July/Aug) Newport Coast (Olive Trimming)</t>
  </si>
  <si>
    <t>2024 - (July/Aug) Newport Hills (Olive Trimming)</t>
  </si>
  <si>
    <t>2024 - (SEP/NOV) Bayside Center (Fall Trimming)</t>
  </si>
  <si>
    <t>2024 - (SEP/NOV) Campus Plaza (Fall Trimming)</t>
  </si>
  <si>
    <t>2024 - (SEP/NOV) Corona Del Mar Plaza (Fall Trimming)</t>
  </si>
  <si>
    <t>2024 - (SEP/NOV) Crossroads (Fall Trimming)</t>
  </si>
  <si>
    <t>2024 - (SEP/NOV) Crystal Cove Shopping Center (Fall Trimming)</t>
  </si>
  <si>
    <t>2024 - (SEP/NOV) Culver Plaza Shopping Center (Fall Trimming)</t>
  </si>
  <si>
    <t>2024 - (SEP/NOV) Cypress Village Shopping Center (Fall Trimming)</t>
  </si>
  <si>
    <t>2024 - (SEP/NOV) Eastbluff Village Center (Fall Trimming)</t>
  </si>
  <si>
    <t>2024 - (SEP/NOV) Harbor View Center (Fall Trimming)</t>
  </si>
  <si>
    <t>2024 - (SEP/NOV) Harvard Auto Plaza (Fall Trimming)</t>
  </si>
  <si>
    <t>2024 - (SEP/NOV) Harvard Place (Fall Trimming)</t>
  </si>
  <si>
    <t>2024 - (SEP/NOV) Newport Coast Shopping Center (Fall Trimming)</t>
  </si>
  <si>
    <t>2024 - (SEP/NOV) Newport Hills Center (Fall Trimming)</t>
  </si>
  <si>
    <t>2024 - (SEP/NOV) Newport North Shopping Center (Fall Trimming)</t>
  </si>
  <si>
    <t>2024 - (SEP/NOV) Northpark Plaza (Fall Trimming)</t>
  </si>
  <si>
    <t>2024 - (SEP/NOV) Orchard Hills Village Center (Fall Trimming)</t>
  </si>
  <si>
    <t>2024 - (SEP/NOV) Parkview Center (Fall Trimming)</t>
  </si>
  <si>
    <t>2024 - (SEP/NOV) The Bluffs Shopping Center (Fall Trimming)</t>
  </si>
  <si>
    <t>2024 - (SEP/NOV) The Square (Fall Trimming)</t>
  </si>
  <si>
    <t>2024 - (SEP/NOV) University Park Center (Fall Trimming)</t>
  </si>
  <si>
    <t>2024 - (SEP/NOV) Venture Park (Fall Trimming)</t>
  </si>
  <si>
    <t>2024 - (SEP/NOV) Walnut Village Center (Fall Trimming)</t>
  </si>
  <si>
    <t>2024 - (SEP/NOV) Westcliff Plaza (Fall Trimming)</t>
  </si>
  <si>
    <t>2024 - (SEP/NOV) Westpark Plaza (Fall Trimming)</t>
  </si>
  <si>
    <t>2024 - (SEP/NOV) Woodbury Town Center (Fall Trimming)</t>
  </si>
  <si>
    <t>2024 - Alton Square (Olive Trimming)</t>
  </si>
  <si>
    <t>2024 - Crossroads (Olive Trimming)</t>
  </si>
  <si>
    <t>2024 - Cypress Village (Olive Trimming)</t>
  </si>
  <si>
    <t>2024 - Newport North (Olive Trimming)</t>
  </si>
  <si>
    <t>2024 - Northpark Plaza (Olive Trimming)</t>
  </si>
  <si>
    <t>2024 - Oak Creek (Olive Trimming)</t>
  </si>
  <si>
    <t>2024 - Orchard Hills Village (Olive Trimming)</t>
  </si>
  <si>
    <t>2024 - Parkview Center (Olive Trimming)</t>
  </si>
  <si>
    <t>2024 - Walnut Village Center (Olive Trimming)</t>
  </si>
  <si>
    <t>2024 - Woodbridge Village Center (Olive Trimming)</t>
  </si>
  <si>
    <t>2024 - Woodbury Town Center (Olive Trimming)</t>
  </si>
  <si>
    <t>NEED PERMIT 2024 (Apr/Jun) Monarch Bay-(PCH South Crew Rental)</t>
  </si>
  <si>
    <t>NOT A FULL DAY 2024 - Pacific Ridge HOA-(WO 36741 Removal ID 274)</t>
  </si>
  <si>
    <t>2024 - WR52244 | United Mutual | Buildings 830-913 6yr (CI Pines $395)</t>
  </si>
  <si>
    <t>2024 - WR52244 | United Mutual | Buildings 830-913 6yr (Deferred)</t>
  </si>
  <si>
    <t>2024 - WR52244 | United Mutual | Buildings 830-913 6yr (Unit Price)</t>
  </si>
  <si>
    <t>2024 - WR52244 | United Mutual | Removal at 905 RONDA SEVILLA</t>
  </si>
  <si>
    <t>2024 - WR52245 | Third Mutual | Gate 11 6yr. (Deferred)</t>
  </si>
  <si>
    <t>2024 - WR52245 | Third Mutual | Gate 11 6yr. (Unit Price)</t>
  </si>
  <si>
    <t>2024 - WR52251 | United Mutual | Buildings 830-913 4yr (Deferred)</t>
  </si>
  <si>
    <t>2024 - WR52251 | United Mutual | Buildings 830-913 4yr (Unit Price)</t>
  </si>
  <si>
    <t>2024 - WR52252 | United Mutual | 906 RONDA SEVILLA (Deferred)</t>
  </si>
  <si>
    <t>2024 - WR52252 | United Mutual | Buildings 830-913 (3yr Unit Price)</t>
  </si>
  <si>
    <t>2024 - WR52253 | United Mutual | Buildings 830-913 5yr</t>
  </si>
  <si>
    <t>2024 - WR52256 | Third Mutual | Gate 11 2yr. (Mulberries)</t>
  </si>
  <si>
    <t>2024 - WR52259 | United Mutual | Buildings 98-110 (Canary Pines)</t>
  </si>
  <si>
    <t>2024 (Aug/Sep &amp; Removal) The Vineyards at Foothill Ranch-(3 Year Plan)</t>
  </si>
  <si>
    <t>2024 - Altamar HOA (GO-BACK)(3) missed trees</t>
  </si>
  <si>
    <t>2024 (Aug/Sep) Brindisi (3 Year Plan)</t>
  </si>
  <si>
    <t>2024 (Oct/Dec) Tiburon HOA - Aliso Viejo (WO 12406-8833 2024 Snapshot)</t>
  </si>
  <si>
    <t>2024 - Brindisi - (Revised 2024 Removals)</t>
  </si>
  <si>
    <t>2024 - Finisterra On The Lakes - (Removal ID 89-90)</t>
  </si>
  <si>
    <t>2024 - Santa Ana Collection - (Removal ID's 1-2)</t>
  </si>
  <si>
    <t>2024 - Tiburon HOA - Aliso Viejo-(WO 12406-8822 Removal ID 1)</t>
  </si>
  <si>
    <t>2024 - Cypress Village Master Association (2024 Additional Removals)</t>
  </si>
  <si>
    <t>2024 - The Groves (Removal ID 215; Behind Space 378)</t>
  </si>
  <si>
    <t>2024 (Aug/Sep) 130 Vantis, LLC - (Mexican Fan Palm Trimming)</t>
  </si>
  <si>
    <t>2024 - Trimming at 6176 JEFFREY MARK ST</t>
  </si>
  <si>
    <t>2024 - District 4-2 (PALMS)</t>
  </si>
  <si>
    <t>2024 - District 4-3 (PALMS)</t>
  </si>
  <si>
    <t>2024 - Planting at 8448 WINSTON RD</t>
  </si>
  <si>
    <t>Diversified Association Management</t>
  </si>
  <si>
    <t>2024 (Removals) Lakeglen Maintenance Association- (ID 1-5)</t>
  </si>
  <si>
    <t>(S) 2024 - (APR/JUN) 620 NCD (FY 24/25 Tree Maintenance)</t>
  </si>
  <si>
    <t>(S) 2024 - (JUL/SEP) Pacific Financial Plaza (FY 24/25 Tree Maintenance)</t>
  </si>
  <si>
    <t>(S) 2024 - (OCT/DEC) 500, 520, 550 NCD (FY 24/25 Tree Maintenance)</t>
  </si>
  <si>
    <t>(S) 2024 - (OCT/DEC) 600,610 NCD (FY 24/25 Tree Maintenance)</t>
  </si>
  <si>
    <t>(S) 2024 - (OCT/DEC) 620 NCD (FY 24/25 Tree Maintenance)</t>
  </si>
  <si>
    <t>(S) 2024 - (OCT/DEC) 650 NCD (FY 24-25 Tree Maintenance)</t>
  </si>
  <si>
    <t>(S) 2024 - (OCT/DEC) Pacific Financial Plaza (FY 24/25 Tree Maintenance)</t>
  </si>
  <si>
    <t>(S) 2025 - (APR/JUN) 500, 520, 550 NCD (FY 24/25 Tree Maintenance)</t>
  </si>
  <si>
    <t>(S) 2025 - (APR/JUN) 600,610 NCD (FY 24/25 Tree Maintenance)</t>
  </si>
  <si>
    <t>(S) 2025 - (APR/JUN) 650 NCD (FY 24-25 Tree Maintenance)</t>
  </si>
  <si>
    <t>(S) 2025 - (JAN/MAR) Pacific Financial Plaza (FY 24/25 Tree Maintenance)</t>
  </si>
  <si>
    <t>(S) 2024 - (OCT/DEC) KPC Summit - ( 3 Year Plan)</t>
  </si>
  <si>
    <t>(S) 2024 - (REMOVALS) KPC Summit - (2024 Removals)</t>
  </si>
  <si>
    <t>(S) 2024 - (AUG/SEP) Aliso Viejo (RWC) Reservoir (FY 23/24 Trimming)</t>
  </si>
  <si>
    <t>(S) 2024 - (JAN/MAR) La Paz Reservoir Pump Station (FY 23/24 Trimming)</t>
  </si>
  <si>
    <t>[FALL] NOT A FULL DAY 2024 - Legado HOA (Comp Bid for Crown Reduction)</t>
  </si>
  <si>
    <t>2024 - The Groves HOA - (Removal ID 215; Behind Space 378)</t>
  </si>
  <si>
    <t>2024 - Trimming at Irvine Center Dr (medians)</t>
  </si>
  <si>
    <t>2024 - Trimming at Irvine Center Dr (south)</t>
  </si>
  <si>
    <t>2024 - Rancho Veracruz Condominium Assoc. - (WO XN3660475)</t>
  </si>
  <si>
    <t>VERIFY NEST 2024 - Rancho Veracruz Condominium Association - (Removal ID 18; Birds Nest Interference)</t>
  </si>
  <si>
    <t>[TREATMENT] 2024 (July) Northwood Courtside - (Eucalyptus Inspection Removal &amp; Treatments)</t>
  </si>
  <si>
    <t>2024 - Harborwalk at Dana Point HOA-(Client Requested Removals)</t>
  </si>
  <si>
    <t>EUC PERMIT 2024 (Removal) Northwood Courtside - (Eucalyptus Inspection Removal &amp; Treatments)</t>
  </si>
  <si>
    <t>2024 - Beshore Residence - (Removal ID 6)</t>
  </si>
  <si>
    <t>2024 - Removal and planting at Sports Park</t>
  </si>
  <si>
    <t>2024 (Removals) Lakeglen Maintenance Association- (ID 1-5)CO 23404</t>
  </si>
  <si>
    <t>2024 (Jul/Sep) Jamboree Center (FY 24/25 Tree Maintenance)</t>
  </si>
  <si>
    <t>2025 (Jan/Mar) Jamboree Center (FY 24/25 Tree Maintenance)</t>
  </si>
  <si>
    <t>2024 - Beachwalk HOA (BWAL) - (Removal ID 101)</t>
  </si>
  <si>
    <t>(S) 2024 - (OCT/DEC) KPC Summit - ( 3 Year Plan)CO 23402</t>
  </si>
  <si>
    <t>2024 - (AUG/SEP) Altamar HOA (GO-BACK)(3) missed trees CO23393</t>
  </si>
  <si>
    <t>2024 (Removals) Niguel Villas Association - (LS Walk Deliverables)</t>
  </si>
  <si>
    <t>2024 - Canyon View (Removal ID 7; 17 Whispering Pines)</t>
  </si>
  <si>
    <t>2024 - Canyon View Maintenance - (Revised 2024 Removals)</t>
  </si>
  <si>
    <t>2024 - Crown reduction 11573 MANILA DR</t>
  </si>
  <si>
    <t>2024 - Removal at MANILA DR</t>
  </si>
  <si>
    <t>2024 - Annual Ficus Trimming (2024)</t>
  </si>
  <si>
    <t>2024 - Pacific Island Drive Res. (Various Shrub Trimming)</t>
  </si>
  <si>
    <t>2024 - Harvard Square Maintenance - (Sample and Lab Report)</t>
  </si>
  <si>
    <t>2024 - Pacific Shores HOA - (Removal ID 128)</t>
  </si>
  <si>
    <t>2024 - Eucalyptus park</t>
  </si>
  <si>
    <t>2024 - Evergreen park</t>
  </si>
  <si>
    <t>2024 - GRID 19 (Palms) 2024</t>
  </si>
  <si>
    <t>2024 - Sycamore Park</t>
  </si>
  <si>
    <t>2024 - Trimming on Rabaul Dr</t>
  </si>
  <si>
    <t>2024 - Willow Park</t>
  </si>
  <si>
    <t>2024 - Supplemental Trimming at 2915 CASSIA ST</t>
  </si>
  <si>
    <t>2024 (Removal) Eastbrook Community HOA - (21682 Alderbrook; ID 71)</t>
  </si>
  <si>
    <t>2024 (Jul/Sep) 680 NCD (FY 24/25 Tree Maintenance)</t>
  </si>
  <si>
    <t>2025 (Jan/Mar) 680 NCD (FY 24/25 Tree Maintenance)</t>
  </si>
  <si>
    <t>[TREATMENT] 2024 (Aug/Sep) Willow Glen Serrano HOA - (Treatment for Bark Beetle)</t>
  </si>
  <si>
    <t>2024 - Monarch Bay (Crew Rental Behind #236)</t>
  </si>
  <si>
    <t>2024 (Aug &amp; Removal) Canyon View Estates Community - (Revised 3 Year Plan)</t>
  </si>
  <si>
    <t>2024 (Sep/Dec) Canyon View Estates Community - (Revised 3 Year Plan)</t>
  </si>
  <si>
    <t>2024 - Villavante Community Association (3 Via Encanto Removals)</t>
  </si>
  <si>
    <t>2025 (Aug) Canyon View Estates Community - (Revised 3 Year Plan)</t>
  </si>
  <si>
    <t>5%? 2026 (Aug) Canyon View Estates Community - (Revised 3 Year Plan)</t>
  </si>
  <si>
    <t>2024 - Casafina HOA- (Removals; ID 13, 17, 18)</t>
  </si>
  <si>
    <t>2024 (Nov/Dec) Faire Harbour HOA (FHA) - (3 Year Plan)</t>
  </si>
  <si>
    <t>NOT A FULL DAY 2024 - Woodbridge Seasons Maintenance - (26 Springflower)</t>
  </si>
  <si>
    <t>2024 - ELDO 2 Removals</t>
  </si>
  <si>
    <t>2024 - Brookhurst Jr High (Crape Myrtle Removals)</t>
  </si>
  <si>
    <t>2024 (Aug/Sept) CP West Hills: Roscoe (Fall Trimming)</t>
  </si>
  <si>
    <t>2024 - CP West Hills: Roscoe (2024 Removals)</t>
  </si>
  <si>
    <t>2024 - Aquarium Parking ( Dact Palms)</t>
  </si>
  <si>
    <t>2024 - Grid 14 (Balboa Island) - Palms</t>
  </si>
  <si>
    <t>2024 - GRID 17 (Balboa Peninsula) - Palms</t>
  </si>
  <si>
    <t>2024 (Oct/Dec) Tannenwood Village HOA - (3 Year Plan)</t>
  </si>
  <si>
    <t>2024 - Longwood Greens HOA - (Removal ID 4)</t>
  </si>
  <si>
    <t>2024 - Longwood Greens HOA - (Removal ID's 1-3)</t>
  </si>
  <si>
    <t>2025 (Oct/Dec) Tannenwood Village HOA - (3 Year Plan)</t>
  </si>
  <si>
    <t>2026 (Oct/Dec) Tannenwood Village HOA - (3 Year Plan)</t>
  </si>
  <si>
    <t>2024 (Aug/Sept) Mariners Church Huntington Beach - (Palm Trimming Recs)</t>
  </si>
  <si>
    <t>2024 (Oct/Dec) Painter Business Park OA - (24/25 Recommendations)</t>
  </si>
  <si>
    <t>2024 - Las Palmas HOA-(Palms Blocked by Cars)</t>
  </si>
  <si>
    <t>2024 (Oct/Dec) Canyon Fairway-(3 Year Plan)</t>
  </si>
  <si>
    <t>2024 - Canyon Fairway-(2024 Removals)</t>
  </si>
  <si>
    <t>2024 - Anaheim UHSD: PLACEHOLDER (November - December)</t>
  </si>
  <si>
    <t>2025 - Anaheim UHSD: PLACEHOLDER (January - February)</t>
  </si>
  <si>
    <t>2024 (Oct/Dec) Brisa Neighborhood Association - (3 Year Plan)</t>
  </si>
  <si>
    <t>2024 - C-2 (Broadleaves)</t>
  </si>
  <si>
    <t>2024 - D-1 (broadleaves)</t>
  </si>
  <si>
    <t>2024 - D-2 (Broadleaves)</t>
  </si>
  <si>
    <t>2024 - E-1 (broadleaves)</t>
  </si>
  <si>
    <t>2024 - F-1 (broadleaves)</t>
  </si>
  <si>
    <t>2024 - H-1 (broadleaves)</t>
  </si>
  <si>
    <t>2024 - J-1 (broadleaves)</t>
  </si>
  <si>
    <t>2024 (Aug/Dec &amp; Removal) Pacific Hills HOA (PACH) - (August Svc Requests)</t>
  </si>
  <si>
    <t>2024 - Bella Ventana Maint Corp. (BVE) - (Removal ID 173-174)</t>
  </si>
  <si>
    <t>2025 (Apr/Jun) Bella Ventana Maint Corp. (BVE) - (3 Year Plan)</t>
  </si>
  <si>
    <t>5%? 2026 (Apr/Jun) Bella Ventana Maint Corp. (BVE) - (3 Year Plan)</t>
  </si>
  <si>
    <t>5%? 2027 (Apr/Jun) Bella Ventana Maint Corp. (BVE) - (3 Year Plan)</t>
  </si>
  <si>
    <t>5%? 2027 (Jan/Mar) Bella Ventana Maint Corp. (BVE) - (3 Year Plan)</t>
  </si>
  <si>
    <t>NOT A FULL DAY 2024 (Removal) Woodbury East Community Association - (ID 152)</t>
  </si>
  <si>
    <t>[TREATMENT] 2024 - Tustin Ranch Estates - (Treatment)</t>
  </si>
  <si>
    <t>2024 (Oct/Dec) Tustin Ranch Estates - (2024/25 Recommendations)</t>
  </si>
  <si>
    <t>2024 (Sep) Tustin Ranch Shadowbrook HOA - (Missed Carrotwood due to Beehive)</t>
  </si>
  <si>
    <t>2025 (Jan/Mar) Tustin Ranch Estates (2024/25 Recommendations)</t>
  </si>
  <si>
    <t>2024 (Oct/Dec &amp; Removals) (OCFA) Trabuco Rose</t>
  </si>
  <si>
    <t>2024 - Greenmeadows West HOA - (Removal ID 17-18)</t>
  </si>
  <si>
    <t>2024 (Aug/Sep) Marinita Townhomes Association - (LS Walk Deliverables)</t>
  </si>
  <si>
    <t>2024 (Oct/Dec) Sedona Association - (3 Year Plan)</t>
  </si>
  <si>
    <t>2025 (Oct/Dec) Sedona Association - (3 Year Plan)</t>
  </si>
  <si>
    <t>University of California Irvine</t>
  </si>
  <si>
    <t>NOT A FULL DAY 2024 (Oct/Dec) UCI – Infant Toddler Center (Mulberry Trimming)</t>
  </si>
  <si>
    <t>CITY SUBBTOTAL</t>
  </si>
  <si>
    <t>NON-CITY SUBBTOTAL</t>
  </si>
  <si>
    <t>2024 (Oct/Dec) Santa Barbara HOA - (Treatment for Trees on Talisman)</t>
  </si>
  <si>
    <t>2024 - Annual Ficus Trimming (Revised 9/25)</t>
  </si>
  <si>
    <t>2024 - Stump Removal &amp; Planting on Champman Av</t>
  </si>
  <si>
    <t>2024 - MacLeith Residence - (2024 Recs)</t>
  </si>
  <si>
    <t>2024 - The Village Cottages-(Removal ID's 24-25)</t>
  </si>
  <si>
    <t>2025 (Oct/Dec) Westminster Village HOA - (5092 Kingscross Trimming)</t>
  </si>
  <si>
    <t>2024 - Channel Clearance at QUAIL HILL TRAIL</t>
  </si>
  <si>
    <t>2024 - Soil Injections on Barranca</t>
  </si>
  <si>
    <t>2024 - (JAN/MAR) Brookhurst Jr High (FY 24/25 Trimming)</t>
  </si>
  <si>
    <t>2024 - (JAN/MAR) Dale Jr High (FY 24/25 Trimming)</t>
  </si>
  <si>
    <t>2024 - (JAN/MAR) Loara High School (FY 24/25 Trimming)</t>
  </si>
  <si>
    <t>2024 - (JAN/MAR) Savanna High School (FY 24/25 Trimming)</t>
  </si>
  <si>
    <t>2024 - (OCT/DEC) Ball Jr High (FY 24/25 Trimming)</t>
  </si>
  <si>
    <t>2024 - (OCT/DEC) District Office (FY 24/25 Trimming)</t>
  </si>
  <si>
    <t>2024 - (OCT/DEC) Hope School (FY 24/25 Trimming)</t>
  </si>
  <si>
    <t>2024 - (OCT/DEC) Kennedy Highschool (FY 24/25 Trimming)</t>
  </si>
  <si>
    <t>2024 - (OCT/DEC) Magnolia High School (FY 24/25 Trimming)</t>
  </si>
  <si>
    <t>2024 - (OCT/DEC) Trident Education Center (FY 24/25 Trimming)</t>
  </si>
  <si>
    <t>2024 - (OCT/DEC) Walker Jr. High (FY 24/25 Trimming)</t>
  </si>
  <si>
    <t>2024 - (AUG/SEP) Pacific Hills East - (Opt. 1 Side Trim; ID 49)</t>
  </si>
  <si>
    <t>2024 - (Removal) Pacific Hills East - (ID 9; WO 1225939)</t>
  </si>
  <si>
    <t>2024 - (OCT/DEC) Mission Sunrise Ridge - (25031 Meadowbrook; Side Trim)</t>
  </si>
  <si>
    <t>Preferred Real Estate Group</t>
  </si>
  <si>
    <t>2024 - (OCT/DEC &amp; Removal ) Old Town Irvine</t>
  </si>
  <si>
    <t>(N) 2025 - (Oct/Dec) Westminster Village HOA - (5092 Kingscross Trimming)</t>
  </si>
  <si>
    <t>2024 - (Removals) Tierra Vista HOA - (ID 29-30)</t>
  </si>
  <si>
    <t>PERMIT??2024 - (OCT/DEC) Tierra Vista HOA</t>
  </si>
  <si>
    <t>2024 - IRVINE HIGH SCHOOL (FY 24/25 Removals)</t>
  </si>
  <si>
    <t>2024 - IRVINE HIGH SCHOOL (FY 24/25 Trimming)</t>
  </si>
  <si>
    <t>2024 - Santiago Hills Elementary (FY 24/25 Trimming)</t>
  </si>
  <si>
    <t>2024 - University High School (FY 24/25 Trimming)</t>
  </si>
  <si>
    <t>2024 - WR53439 | Homeowner Request | Removal at 3200-B VIA BUENA VISTA</t>
  </si>
  <si>
    <t>2024 - Monticello Community Association - (8 Incomplete Trees)</t>
  </si>
  <si>
    <t>NOT A FULL DAY 2025 - (Removals) La Montana Maint. Corp - (2025 Eucalyptus Removals)</t>
  </si>
  <si>
    <t>2024 (Apr/Jun) Stonetree Manor (PRO455-10877) - (Interior 1-2 Trimming)</t>
  </si>
  <si>
    <t>2024 - Stonetree Manor (PRO455-10877) - (Removals 2-4)</t>
  </si>
  <si>
    <t>2024 (Jul/Dec &amp; Removal) Caserta Neighborhood Association - (2024 Recs)</t>
  </si>
  <si>
    <t>2024 (Oct/Dec) Azelea Neighborhood Association - (3 Year Plan)</t>
  </si>
  <si>
    <t>2024 (Oct/Dec) Windflower Community Association-(3 Year Plan)</t>
  </si>
  <si>
    <t>2024 - Bowen Court Maintenance Association - (ID 2; 9 Arboretum)</t>
  </si>
  <si>
    <t>2024(Aug/Sep &amp; Removals) Truewind Community Association - (24 Recommendations)</t>
  </si>
  <si>
    <t>2025 (Apr/Jun) Windflower Community Association-(3 Year Plan)</t>
  </si>
  <si>
    <t>2025 (Jan/Mar) Azelea Neighborhood Association - (3 Year Plan)</t>
  </si>
  <si>
    <t>2025 (Oct/Dec &amp; Removal) Indigo at Portola Springs - (4 Year Plan)</t>
  </si>
  <si>
    <t>5%? 2025 (Oct/Dec) Azelea Neighborhood Association - (3 Year Plan)</t>
  </si>
  <si>
    <t>5%? 2026 (Apr/Jun) Windflower Community Association-(3 Year Plan)</t>
  </si>
  <si>
    <t>5%? 2026 (Jul/Sep) Windflower Community Association-(3 Year Plan)</t>
  </si>
  <si>
    <t>5%? 2026 (Oct/Dec) Azelea Neighborhood Association - (3 Year Plan)</t>
  </si>
  <si>
    <t>5%? 2026 (Oct/Dec) Indigo at Portola Springs - (4 Year Plan)</t>
  </si>
  <si>
    <t>5%? 2026 (Oct/Dec) Windflower Community Association-(3 Year Plan)</t>
  </si>
  <si>
    <t>5%? 2027 (Apr/Jun) Windflower Community Association-(3 Year Plan)</t>
  </si>
  <si>
    <t>5%? 2027 (Oct/Dec) Indigo at Portola Springs - (4 Year Plan)</t>
  </si>
  <si>
    <t>Boyd Management</t>
  </si>
  <si>
    <t>2024 (Removal) Newport Marina Villas - (Additional Removals)</t>
  </si>
  <si>
    <t>2024 (Removals) Newport Marina Villas - (Cypress Italian Removals)</t>
  </si>
  <si>
    <t>2024 (Oct/Dec) 7361 - 7471 Doig Drive (Building C) - (3 Year Plan)</t>
  </si>
  <si>
    <t>2024 (Oct/Dec) 7422-7472 Orangewood Ave. Bldgs. A&amp;B - (3 Year Plan)</t>
  </si>
  <si>
    <t>2024 - B-4 Palms - (Remaining)</t>
  </si>
  <si>
    <t>CSUF Housing</t>
  </si>
  <si>
    <t>2024 (Oct/Dec) CSUF Housing (FY 24/25 Trimming)</t>
  </si>
  <si>
    <t>2024 - CSUF Housing (FY 24/25 Removals)</t>
  </si>
  <si>
    <t>2024 - Oak Creek Village - ((2) Missed African Sumacs in AREA 6)</t>
  </si>
  <si>
    <t>2024 - LAKESIDE MIDDLE SCHOOL - (Aleppo Pine Removal)</t>
  </si>
  <si>
    <t>2025 (Apr/Jun) Portarosa</t>
  </si>
  <si>
    <t>2025 (Oct/Dec) Portarosa</t>
  </si>
  <si>
    <t>2026 (Apr/Jun) Portarosa</t>
  </si>
  <si>
    <t>2026 (Oct/Dec) Portarosa</t>
  </si>
  <si>
    <t>2024 (Oct/Dec &amp; Removals) LB South &amp; Downey LLC - (Revised Recommendations)</t>
  </si>
  <si>
    <t>2024 - WR53523 | Third Mutual | Removals - Buildings 3321-3322 VIA CARRIZO</t>
  </si>
  <si>
    <t>[TREATMENT] 2024 (Oct/Dec) Garden Homes - (Crape Myrtle Treatment)</t>
  </si>
  <si>
    <t>2024 (Oct/Dec) Garden Homes Maintenance Association - (WO XN4371474)</t>
  </si>
  <si>
    <t>2024 (Oct/Dec) The Oaks at Lake Forest HOA-(LS Walk 09/27; Deliverables)</t>
  </si>
  <si>
    <t>2025 (Jan/Mar) Pinehurst Estates - (24/25 Recommendations)</t>
  </si>
  <si>
    <t>NOT A FULL DAY 2024 (Removals) Oxford Court HOA - (ID 255, 257)</t>
  </si>
  <si>
    <t>2024 (Oct/Dec) Casafina HOA - (2024 Add'tl Trimming)</t>
  </si>
  <si>
    <t>2024 (Removal/Root Prune) Whispering Hills Comm. - (WO 12407-4384)</t>
  </si>
  <si>
    <t>2024 (Oct/Jan) Vista de Oro Homeowners Association-(Tristanias Side Trimming Rec's)</t>
  </si>
  <si>
    <t>2024 (Removal) Cypress Village Master Assoc. - (ID 632-633; 72 Field Poppy)</t>
  </si>
  <si>
    <t>Shady Canyon Golf Club</t>
  </si>
  <si>
    <t>[MONDAY] 2024 (Oct/Dec) Shady Canyon - Golf Course - (Sycamore Trimming)</t>
  </si>
  <si>
    <t>NOT A FULL DAY 2024 - Bowen Court Maintenance Association - (ID 2; 9 Arboretum)</t>
  </si>
  <si>
    <t>2024 - Emergency at PLAVAN PARK</t>
  </si>
  <si>
    <t>2024 - Flag removal at West Newport Park</t>
  </si>
  <si>
    <t>2024 - Trim at 7260 Syracuse</t>
  </si>
  <si>
    <t>2024 - (Aug/Sep) Crosspointe Village HOA - (Missed Sycamores due to parked cars)</t>
  </si>
  <si>
    <t>2024 - NOVEMBER (Removals &amp; Planting)</t>
  </si>
  <si>
    <t>2024 - August Planting List (Remaining Sites)</t>
  </si>
  <si>
    <t>2024 (SLR &amp; Removals) Northpark Maintenance HOA - (Deliverables per Walk)</t>
  </si>
  <si>
    <t>Dynamic Property Group</t>
  </si>
  <si>
    <t>2025 - (JAN/FEB) Newport Glen Townhomes Association - (3 Year Plan)</t>
  </si>
  <si>
    <t>2024 - Oak Creek Village Maintenance (Removal ID 214-215)</t>
  </si>
  <si>
    <t>2024 - (Oct/Dec) Fountain Valley Facility (FY 24/25 Tree Maintenance)</t>
  </si>
  <si>
    <t>2024 (Oct/Dec &amp; Removals) Grandview Crest Homeowner Association-(WO XN4242019 Rec's)</t>
  </si>
  <si>
    <t>2024 (Oct/Dec) Concordia West Community Association - (3 Year Plan)</t>
  </si>
  <si>
    <t>2024 (Oct/Dec) Concordia West Community Association - (ID 16-17)</t>
  </si>
  <si>
    <t>2024 (Oct/Dec) Bella Rosa Cost Center (Northwood Estates) - (Pepper Trimming)</t>
  </si>
  <si>
    <t>2024 (Removal) Bella Rosa Cost Center - (ID 234; WO XN19015244)</t>
  </si>
  <si>
    <t>2024 (Removal) Northwood Estates - (ID 215-217)</t>
  </si>
  <si>
    <t>Ray Roberts Realty</t>
  </si>
  <si>
    <t>2024 - (OCT/DEC) 10711-10727 Walnut Ave - (24 Recommendations)</t>
  </si>
  <si>
    <t>2024 - (AUG/SEP) Alondra Corporate Center - (Shoemaker Entrance Recs)</t>
  </si>
  <si>
    <t>2024 - (Removals) Los Alamitos Business Park (Ficus, Shrub &amp; Stump Removals)</t>
  </si>
  <si>
    <t>2024 - (JAN/MAR) Bayside Center (Winter Trimming: Coastal)</t>
  </si>
  <si>
    <t>2024 -(JAN/MAR) Corona Del Mar Plaza (Winter Trimming: Coastal)</t>
  </si>
  <si>
    <t>2024 -(JAN/MAR) Crystal Cove Shopping Center (Winter Trimming: Coastal)</t>
  </si>
  <si>
    <t>2024 -(JAN/MAR) Eastbluff Village Center (Winter Trimming: Coastal)</t>
  </si>
  <si>
    <t>2024 -(JAN/MAR) Newport Coast Shopping Center (Winter Trimming: Coastal)</t>
  </si>
  <si>
    <t>2024 -(JAN/MAR) Newport Hills Center (Winter Trimming: Coastal)</t>
  </si>
  <si>
    <t>2024 -(JAN/MAR) Newport North Shopping Center (Winter Trimming: Coastal)</t>
  </si>
  <si>
    <t>2024 -(JAN/MAR) The Bluffs Shopping Center (Winter Trimming: Coastal)</t>
  </si>
  <si>
    <t>2024 -( REMOVE) Rancho Dominguez Townhome - (WO XN4354500)</t>
  </si>
  <si>
    <t>2025 -(JAN/MAR)Bermuda Street Condo - (2025 Recommendations)</t>
  </si>
  <si>
    <t>2024 (Oct/Dec) Vista Pointe Ridge-(Revised Side Trim IDs 277-278)</t>
  </si>
  <si>
    <t>2024 (Removals) Vista Pointe Ridge-(Revised LS Walk 06/28 ID's 273-275)</t>
  </si>
  <si>
    <t>2025 -(APR/JUN &amp; JUL/SEP) Promenade at Seagate - (2025 Recommendations)</t>
  </si>
  <si>
    <t>2024 -(OCT/DEC)The Summit at Newport Ridge - (Entrance Trimming)</t>
  </si>
  <si>
    <t>NOT A FULL DAY 2024 - Silverleaf Neighborhood Association - (Removal ID 3)</t>
  </si>
  <si>
    <t>2024 - Somerset park (Limb Removals)</t>
  </si>
  <si>
    <t>2024 - Pacific Hills HOA (PACH)-(Removal ID 186 27410 Laurelton)</t>
  </si>
  <si>
    <t>2024 - Pacific Hills HOA (PACH)-(Selective Limb Removal 27099 Pacific Terrace)</t>
  </si>
  <si>
    <t>2025 (Apr/Jun) La Mancha in Mission Viejo-(2 Year Competitive Bid)</t>
  </si>
  <si>
    <t>2025 (Aug/Sep) Orleans HOA (T152)-(Revised 3 Year Plan)</t>
  </si>
  <si>
    <t>2025 (Jan/Mar) La Mancha in Mission Viejo-(2 Year Competitive Bid)</t>
  </si>
  <si>
    <t>2025 (Jan/Mar) Orleans HOA (T152)-(Revised 3 Year Plan)</t>
  </si>
  <si>
    <t>5%? 2026 (Apr/Jun) La Mancha in Mission Viejo-(2 Year Competitive Bid)</t>
  </si>
  <si>
    <t>5%? 2026 (Aug/Sep) Orleans HOA (T152)-(Revised 3 Year Plan)</t>
  </si>
  <si>
    <t>5%? 2026 (Jan/Mar) La Mancha in Mission Viejo-(2 Year Competitive Bid)</t>
  </si>
  <si>
    <t>5%? 2026 (Jan/Mar) Orleans HOA (T152)-(Revised 3 Year Plan)</t>
  </si>
  <si>
    <t>5%? 2027 (Aug/Sep) Orleans HOA (T152)-(Revised 3 Year Plan)</t>
  </si>
  <si>
    <t>5%? 2027 (Jan/Mar) Orleans HOA (T152)-(Revised 3 Year Plan)</t>
  </si>
  <si>
    <t>Goodman Properties</t>
  </si>
  <si>
    <t>2024 -(OCT/DEC)GLC SFS Bldg. 2 - (Missed trees due to parked cars)</t>
  </si>
  <si>
    <t>2025 -(JAN/MAR) Alton Marketplace (Winter Trimming: Spectrum)</t>
  </si>
  <si>
    <t>2025 -(JAN/MAR) Alton Retail Center (Winter Trimming: Spectrum)</t>
  </si>
  <si>
    <t>2025 -(JAN/MAR) Alton Square (Winter Trimming: Spectrum)</t>
  </si>
  <si>
    <t>2025 -(JAN/MAR) Campus Plaza (Winter Trimming: University)</t>
  </si>
  <si>
    <t>2025 -(JAN/MAR) Crossroads (Winter Trimming: University)</t>
  </si>
  <si>
    <t>2025 -(JAN/MAR) Culver Plaza Shopping Center (Winter Trimming: Foothill)</t>
  </si>
  <si>
    <t>2025 -(JAN/MAR) Cypress Village Shopping Center (Winter Trimming: Foothill)</t>
  </si>
  <si>
    <t>2025 -(JAN/MAR) Harvard Place (Winter Trimming: University)</t>
  </si>
  <si>
    <t>2025 -(JAN/MAR) Lakeside (Winter Trimming: Spectrum)</t>
  </si>
  <si>
    <t>2025 -(JAN/MAR) Los Olivos Marketplace 1 (Winter Trimming: Spectrum)</t>
  </si>
  <si>
    <t>2025 -(JAN/MAR) Los Olivos Marketplace 2 (Winter Trimming: Spectrum)</t>
  </si>
  <si>
    <t>2025 -(JAN/MAR) Northpark Plaza (Winter Trimming: Foothill)</t>
  </si>
  <si>
    <t>2025 -(JAN/MAR) Oak Creek Shopping Center (Winter Trimming: Spectrum)</t>
  </si>
  <si>
    <t>2025 -(JAN/MAR) Orchard Hills Village Center (Winter Trimming: Foothill)</t>
  </si>
  <si>
    <t>2025 -(JAN/MAR) Parkview Center (Winter Trimming: University)</t>
  </si>
  <si>
    <t>2025 -(JAN/MAR) Quail Hill Shopping Center (Winter Trimming: Spectrum)</t>
  </si>
  <si>
    <t>2025 -(JAN/MAR) Sand Canyon Plaza (Winter Trimming: Spectrum)</t>
  </si>
  <si>
    <t>2025 -(JAN/MAR) The Square (Winter Trimming: University)</t>
  </si>
  <si>
    <t>2025 -(JAN/MAR) Westpark Plaza (Winter Trimming: University)</t>
  </si>
  <si>
    <t>2025 -(JAN/MAR) Woodbridge Village Center (Winter Trimming: Spectrum)</t>
  </si>
  <si>
    <t>2025 -(JAN/MAR) Woodbury Town Center (Winter Trimming: Foothill)</t>
  </si>
  <si>
    <t>2025 (Apr/Jun) Tustin Ranch Shadowbrook HOA - (Revised 2024 Recs)</t>
  </si>
  <si>
    <t>2024 - Tijeras Creek Villas Maintenance Corporation-(Tristania (Brisbane Box) Removals)</t>
  </si>
  <si>
    <t>NEED PERMIT 2025 (Apr/Jun) Canyon Point Maintenance Corp.- (3 Year Plan)</t>
  </si>
  <si>
    <t>NEED PERMIT 2025 (Oct/Dec) Canyon Point Maintenance Corp.- (3 Year Plan)</t>
  </si>
  <si>
    <t>NEED PERMIT 5%? 2026 (Apr/Jun) Canyon Point Maintenance Corp.- (3 Year Plan)</t>
  </si>
  <si>
    <t>NEED PERMIT 5%? 2026 (Oct/Dec) Canyon Point Maintenance Corp.- (3 Year Plan)</t>
  </si>
  <si>
    <t>NEED PERMIT 5%? 2027 (Apr/Jun) Canyon Point Maintenance Corp.- (3 Year Plan)</t>
  </si>
  <si>
    <t>NEED PERMIT 5%? 2027 (Oct/Dec) Canyon Point Maintenance Corp.- (3 Year Plan)</t>
  </si>
  <si>
    <t>NOT A FULL DAY 2024 (Removal) Harvard Square Maintenance - (WO 12410-6033, Removal ID 47)</t>
  </si>
  <si>
    <t>NOT A FULL DAY 2024 - Sheridan Maintenance Association-(WO 12410-8143 Removals)</t>
  </si>
  <si>
    <t>2024 - Wilderness HOA - (ID 88 Stump Grinding)</t>
  </si>
  <si>
    <t>NOT A FULL DAY 2024 - Villamira HOA (2024 Removals 81 &amp; 82)</t>
  </si>
  <si>
    <t>2024 (Oct/Dec) Tierra Vista HOA - (Missed Carrotwood due to Decorations)</t>
  </si>
  <si>
    <t>2024 -(Removal)Alondra Corporate Center - (Removal ID 4)</t>
  </si>
  <si>
    <t>2025 -(Removal)Chelsea Place HOA - (Removal ID 74)</t>
  </si>
  <si>
    <t>2024 - Trimming at Barranca Pkwy (medians)</t>
  </si>
  <si>
    <t>2024 - Trimming at Barranca Pkwy (north)</t>
  </si>
  <si>
    <t>2024 - Trimming at Barranca Pkwy (south)</t>
  </si>
  <si>
    <t>2024 - Trimming at Valley Oak Dr (medians)</t>
  </si>
  <si>
    <t>2024 - Trimming at Valley Oak Dr (west)</t>
  </si>
  <si>
    <t>2024 - Removals for Planting List (Received 5/29/24)</t>
  </si>
  <si>
    <t>2024 (OCT/DEC) CSULB (Beachside Winter Trim)</t>
  </si>
  <si>
    <t>PERMIT / NOT A FULL DAY 2024 (Oct/Dec) Crestline HOA-(Revised WO XN1231644 Approval)</t>
  </si>
  <si>
    <t>NEED PERMIT 2024 (Oct/Dec) Parkside Property Owners Association-(Palms Canary Island Date 2nd Trim)</t>
  </si>
  <si>
    <t>2025(JAN/MAR) Mar Vista Elementary (Service Request Trimming)</t>
  </si>
  <si>
    <t>2024 (Oct/Dec) Pacific Hills HOA (PACH)-(WO 1247799 Selective Limb Removal)</t>
  </si>
  <si>
    <t>2024 (Oct/Dec) Pacific Hills HOA (PACH)-(WO 1248577 Side Trim Rec's)</t>
  </si>
  <si>
    <t>2024 - Glenwood Terrace-(WO 1245696 Removal ID 14)</t>
  </si>
  <si>
    <t>2024 - Pacific Hills HOA (PACH)-(WO 1247315 Root Barrier Installation)</t>
  </si>
  <si>
    <t>2025 (Apr/Jun) MacArthur Court (FY 24-25 Tree Maintenance)</t>
  </si>
  <si>
    <t>2025 (Jan/Mar) MacArthur Court (FY 24-25 Tree Maintenance)</t>
  </si>
  <si>
    <t>2024 (Removal) Woodbridge Parkway Maint. Assoc. -(WO XN4076133)</t>
  </si>
  <si>
    <t>2024 (Removal)- (OCFA) Deer Canyon (GSTS Removals)</t>
  </si>
  <si>
    <t>2024 (Oct/Dec &amp; Removals) Ridgemont Community Association (C625)-(Revise Interior 1-2 Add'tl Trim/Removals)</t>
  </si>
  <si>
    <t>2024 (Oct/Dec) Mission Sunrise Ridge-(WO 12410-9937 Side Trim)</t>
  </si>
  <si>
    <t>NEED PERMIT 2025 (Apr/Jun) Bayridge Park HOA - (3 Year Plan)</t>
  </si>
  <si>
    <t>NEED PERMIT 2025 (Jan/Mar &amp; Removals) Bayridge Park HOA - (3 Year Plan)</t>
  </si>
  <si>
    <t>NEED PERMIT 5%? 2026 (Apr/Jun) Bayridge Park HOA - (3 Year Plan)</t>
  </si>
  <si>
    <t>NEED PERMIT 5%? 2026 (Jan/Mar &amp; Removals) Bayridge Park HOA - (3 Year Plan)</t>
  </si>
  <si>
    <t>NEED PERMIT 5%? 2027 (Apr/Jun) Bayridge Park HOA - (3 Year Plan)</t>
  </si>
  <si>
    <t>NEED PERMIT 5%? 2027 (Jan/Mar) Bayridge Park HOA - (3 Year Plan)</t>
  </si>
  <si>
    <t>NOT A FULL DAY 2025 (Removal) Mesa Vista North- (Pine Removal ID 162)</t>
  </si>
  <si>
    <t>2024 (Nov) Spectrum Crossroads (SPCR) - (2024 Fall Trimming - Discounted))</t>
  </si>
  <si>
    <t>2024 ( OCT/DEC) Concorde Place - CERRITOS - (Park Clean up)</t>
  </si>
  <si>
    <t>2025 (Removal) Evergreen Country Villas - (Removal ID 37)</t>
  </si>
  <si>
    <t>2024 - Caserta Neighborhood Association - (2) MED Acacia – Shoestring, blocked by cars)</t>
  </si>
  <si>
    <t>2024 - Luna Neighborhood Association - (Missed Magnolia due to Xmas Lights)</t>
  </si>
  <si>
    <t>2024 (Removals) CSULB (FM Winter Removal)</t>
  </si>
  <si>
    <t>2024 - SR Trim at 1606 SANTIAGO DR</t>
  </si>
  <si>
    <t>2024 - Supplemental trimming at 36 Montecito Dr.</t>
  </si>
  <si>
    <t>2024 - Trimming at 12292 Fieldgate St</t>
  </si>
  <si>
    <t>2025 - Stump Grinding at 11561 Santa Rosalia St</t>
  </si>
  <si>
    <t>2025 ( JAN/MAR) Laurel Elementary (Service Request Trimming)</t>
  </si>
  <si>
    <t>2025 (Jan/Mar) Campus Plaza (Winter Trimming: University)</t>
  </si>
  <si>
    <t>2025 (Jan/Mar) Corona Del Mar Plaza (CI Palm Trimming)</t>
  </si>
  <si>
    <t>2025 (Jan/Mar) Crystal Cove (CI Palm Trimming)</t>
  </si>
  <si>
    <t>2025 (Jan/Mar) Newport Coast (CI Palm Trimming)</t>
  </si>
  <si>
    <t>2025 (Jan/Mar) The Bluffs (CI Palm Trimming)</t>
  </si>
  <si>
    <t>2025 (Jan/Mar) Venture Park (Winter Trimming: University)</t>
  </si>
  <si>
    <t>2025 - (JAN/MAR) Corona Del Mar Plaza (Winter Trimming: Coastal)</t>
  </si>
  <si>
    <t>2025 - (JAN/MAR) Eastbluff Village Center (Winter Trimming: Coastal)</t>
  </si>
  <si>
    <t>2025 - (JAN/MAR) Newport Coast Shopping Center (Winter Trimming: Coastal)</t>
  </si>
  <si>
    <t>2025 - (JAN/MAR) Newport Hills Center (Winter Trimming: Coastal)</t>
  </si>
  <si>
    <t>2025 - (JAN/MAR) Newport North Shopping Center (Winter Trimming: Coastal)</t>
  </si>
  <si>
    <t>Nexus Smart Communities</t>
  </si>
  <si>
    <t>2024 (Oct/Dec) Carefree El Toro Owners Association-(Sycamores by Pool)</t>
  </si>
  <si>
    <t>2024 (Removal) Newport Crest HOA - (ID 610; WO XN4275439)</t>
  </si>
  <si>
    <t>2025 (Removals) San Simeon-(2024 Add'tl Removals)</t>
  </si>
  <si>
    <t>2025(Apr/Jun) Westminster Village HOA - (3 Year Plan)</t>
  </si>
  <si>
    <t>2025(Aug/Sep) Westminster Village HOA - (3 Year Plan)</t>
  </si>
  <si>
    <t>2025(Jan/Mar) Westminster Village HOA - (3 Year Plan)</t>
  </si>
  <si>
    <t>2025(Oct/Dec) Westminster Village HOA - (3 Year Plan)</t>
  </si>
  <si>
    <t>PERMIT?? 2025 (JAN/MAR) Concorde Place -(3 Year Plan)</t>
  </si>
  <si>
    <t>PERMIT?? 2025 (JUL/SEP) Concorde Place -(3 Year Plan)</t>
  </si>
  <si>
    <t>PERMIT?? 5%?? 2025 (APR/JUN) Concorde Place -(3 Year Plan)</t>
  </si>
  <si>
    <t>PERMIT?? 5%??? 2027 (APR/JUN) Concorde Place -(3 Year Plan)</t>
  </si>
  <si>
    <t>PERMIT?? 5%??? 2027 (JAN/MAR) Concorde Place -(3 Year Plan)</t>
  </si>
  <si>
    <t>PERMIT?? 5%??? 2027 (JUL/SEP) Concorde Place -(3 Year Plan)</t>
  </si>
  <si>
    <t>2025 - Pacific Gateway Business Center - (2025 Comp Bid)</t>
  </si>
  <si>
    <t>2025 (AprJun) Northpark Maintenance HOA (Street Trees) - (2025 Approved Recs)</t>
  </si>
  <si>
    <t>2025 (JanMar) Northpark Maintenance HOA (Street Trees) - (2025 Approved Recs)</t>
  </si>
  <si>
    <t>2025 (JulSep) Northpark Maintenance HOA (Street Trees) - (2025 Approved Recs)</t>
  </si>
  <si>
    <t>2025 -(Removal) Northpark Maintenance HOA (Street Trees) - (ID 358-360)</t>
  </si>
  <si>
    <t>2025 (JanMar) Colony Crest de Ville - (Coral tree in front of 5619 Crest de Ville)</t>
  </si>
  <si>
    <t>NOT A FULL DAY 2024 (Rem) Woodbury East Community Association - (ID 154; 115 Slendor)</t>
  </si>
  <si>
    <t>2025 (AprJun) Newport Crest HOA - (3 Year Plan)</t>
  </si>
  <si>
    <t>2025 (JulSep) Newport Crest HOA - (3 Year Plan)</t>
  </si>
  <si>
    <t>2025 (Removals) Newport Crest - (2025 Removals)</t>
  </si>
  <si>
    <t>2024 (OctDec) The Arbours Service Corporation-(WO 12411-0981 Palm Trimming)</t>
  </si>
  <si>
    <t>2025 (AprJun) Harvard Square Maintenance - (2 Year Plan)</t>
  </si>
  <si>
    <t>2025 (AprJun) Tijeras Creek Villas Maintenance Corporation-(3 Year Plan)</t>
  </si>
  <si>
    <t>2025 (JanMar) Brindisi-(3 Year Plan)</t>
  </si>
  <si>
    <t>2025 (OctDec) Harvard Square Maintenance - (2 Year Plan)</t>
  </si>
  <si>
    <t>2025 (Removal) Pacific Ranch HOA - (Removal ID 169)</t>
  </si>
  <si>
    <t>2025 - (Removal) Pacific Ranch HOA - (Removal ID 171)</t>
  </si>
  <si>
    <t>2025 - (REMOVAL) Pacific Ranch HOA - (WO 12409-4031, Removal ID 168)</t>
  </si>
  <si>
    <t>2026 (AprJun) Harvard Square Maintenance - (2 Year Plan)</t>
  </si>
  <si>
    <t>2026 (OctDec) Harvard Square Maintenance - (2 Year Plan)</t>
  </si>
  <si>
    <t>2027 (JanMar) Harvard Square Maintenance - (2 Year Plan)</t>
  </si>
  <si>
    <t>5%? 2026 (AprJun) Tijeras Creek Villas Maintenance Corporation-(3 Year Plan)</t>
  </si>
  <si>
    <t>5%? 2027 (AprJun) Tijeras Creek Villas Maintenance Corporation-(3 Year Plan)</t>
  </si>
  <si>
    <t>5%? 2027 (JanMar) Tijeras Creek Villas Maintenance Corporation-(3 Year Plan)</t>
  </si>
  <si>
    <t>5%? 2025 (OctJan) San Simeon-(Revised 3 Year Plan)</t>
  </si>
  <si>
    <t>5%? 2026 (OctJan) San Simeon-(Revised 3 Year Plan)</t>
  </si>
  <si>
    <t>2024 - Mira Costa Villas-(Revised Removal IDs 12-19)</t>
  </si>
  <si>
    <t>2025 (AprJun) Villamira HOA-(Revised 3 Year Plan)</t>
  </si>
  <si>
    <t>Stonekastle Community Management</t>
  </si>
  <si>
    <t>2024 (OctDec) Mission Point Community Association-(Missed Trees Blocked by Cars)</t>
  </si>
  <si>
    <t>2025 (AprJun) Evergreen Country Villas - (2025 Recommendations)</t>
  </si>
  <si>
    <t>2025 (OctDec) Evergreen Country Villas - (2025 Recommendations)</t>
  </si>
  <si>
    <t>2025 - PERMIT?? 5%?? (APR/JUN) Concorde Place -(3 Year Plan) CO 23670</t>
  </si>
  <si>
    <t>2025 (AprJun) The Ridge In Mission Viejo (PRO82-18077)-(3 Year Plan)</t>
  </si>
  <si>
    <t>Acacia</t>
  </si>
  <si>
    <t>2025 (JanMar) 1249 E Katella Avenue - (25 Recommendations)</t>
  </si>
  <si>
    <t>2025 - Date St (PALMS)</t>
  </si>
  <si>
    <t>2025 - Katella Ave (PALMS)</t>
  </si>
  <si>
    <t>2025 (Jan/Mar) University Center (Winter Trimming: University)</t>
  </si>
  <si>
    <t>2025 (Removal) Pacific Ranch HOA - (Removal ID 170)</t>
  </si>
  <si>
    <t>2025 (JanMar)(Removal) Concord Place HOA - CERRITOS - (Removal IDs 66-70)</t>
  </si>
  <si>
    <t>PERMIT?? 5% 2027 (JAN/MAR) Concorde Place -(3 Year Plan)</t>
  </si>
  <si>
    <t>2025 - Trimming at San Diego Creek (east)</t>
  </si>
  <si>
    <t>2025 - Trimming at San Diego Creek (west)</t>
  </si>
  <si>
    <t>2025 - Trimming on Barranca (medians)</t>
  </si>
  <si>
    <t>2025 - Trimming on Barranca (south) - Remaining</t>
  </si>
  <si>
    <t>2025 (Removal) Gateway Americana One - (WO XN4695379, Removal ID 6)</t>
  </si>
  <si>
    <t>2025 (Removal) Newport Crest HOA - (Approved Removals HOLD ON SCHEDULING)</t>
  </si>
  <si>
    <t>2025 (Root Prune) Mesa Vista North-(WO12412-6969 Removal ID 220)</t>
  </si>
  <si>
    <t>POST=NEED PERMIT 2025 (Apr/Jun) Bayridge Park HOA - (3 Year Plan)</t>
  </si>
  <si>
    <t>2025 (AprJun) Wilderness HOA - (Revised Treatment Recs)</t>
  </si>
  <si>
    <t>2025 (Removals) Wilderness HOA - (2025 Removals)</t>
  </si>
  <si>
    <t>2025 (Removals) Wilderness HOA - (Fence Damage Removals)</t>
  </si>
  <si>
    <t>2025 (Removals) Wilderness HOA - (Stump Removals)</t>
  </si>
  <si>
    <t>C/O?? === 2024 - Mira Costa Villas-(Revised Removal IDs 12-19)</t>
  </si>
  <si>
    <t>PERMIT?=2025 (AprJun) Laurel Point Townhomes Association - (3 Year Plan)</t>
  </si>
  <si>
    <t>PERMIT?=2025 (OctDec) Laurel Point Townhomes Association - (3 Year Plan)</t>
  </si>
  <si>
    <t>2025 - Serrano Woods HOA - (Stump Grind 24488 Copper Cliff Ct)</t>
  </si>
  <si>
    <t>2025 (OctDec) 11640 Harrell - (3 Year Plan)</t>
  </si>
  <si>
    <t>2025 (OctDec) 12300 Riverside - (3 Year Plan)</t>
  </si>
  <si>
    <t>2025 - Trailing Vine - (Removal ID 65-69)</t>
  </si>
  <si>
    <t>2024 - Removals on Kennelly</t>
  </si>
  <si>
    <t>2025 - Beach Blvd (PALMS)</t>
  </si>
  <si>
    <t>HOLD=2025 (JanMar) Colony Crest de Ville - (Coral tree in front of 5619 Crest de Ville)</t>
  </si>
  <si>
    <t>2024 (OctDec &amp; Removal) Villavante Community Association-(2024 Rec's)</t>
  </si>
  <si>
    <t>NEED PIC 2025 (Root Prune) Mesa Vista North-(WO12412-6969 Removal ID 220)</t>
  </si>
  <si>
    <t>HOLD=2025 (Removals) Wilderness HOA - (Fence Damage Removals)</t>
  </si>
  <si>
    <t>HOLD=2025 (Removals) Wilderness HOA - (Stump Removals)</t>
  </si>
  <si>
    <t>NOT A FULL DAY 2025 - Serrano Woods HOA - (Stump Grind 24488 Copper Cliff Ct)</t>
  </si>
  <si>
    <t>NOT A FULL DAY 2025 (FebMar) Crestline HOA (Several WO Requests)</t>
  </si>
  <si>
    <t>2025 - Removal at 28262 ZARZA (bird nest) - AREA 4</t>
  </si>
  <si>
    <t>2025 - ALISO VIEJO RANCH (CA Peppers &amp; Eucalyptus)</t>
  </si>
  <si>
    <t>2025 (AprJun) Buckingham Heights Business Park - (Revised 2025 Recs)</t>
  </si>
  <si>
    <t>2025 (JanMar) Buckingham Heights Business Park - (Revised 2025 Recs)</t>
  </si>
  <si>
    <t>2025 (Root Prune) The Cottages Community Association-(LS walk 11/15 Deliverables)</t>
  </si>
  <si>
    <t>2025 - Trimming on Valley Oak Dr. (east)</t>
  </si>
  <si>
    <t>2025 - Trimming on Valley Oak Dr. (med)</t>
  </si>
  <si>
    <t>2025 - Trimming on Valley Oak Dr. (west)</t>
  </si>
  <si>
    <t>2025 - Grid 3 (Buffalo Hills)(Broadleaves)</t>
  </si>
  <si>
    <t>2025 (AugSep) Cortile Maintenance Association-(3 Year Plan)</t>
  </si>
  <si>
    <t>2025 (JanMar) Cortile Maintenance Association-(3 Year Plan)</t>
  </si>
  <si>
    <t>2025 (Removals) Oxford Academy (Brazilian Pepper Removals)</t>
  </si>
  <si>
    <t>2025 (AprJun &amp; Removals) Santa Barbara HOA - (Mtg Deliverables)</t>
  </si>
  <si>
    <t>2025 (JanMar &amp; Removals) Lake Forest (Woods) - (H.O Request Rec's)</t>
  </si>
  <si>
    <t>2025 (JanMar) Whispering Hills Community Association-(WO 12501-7884 SLR ID 260)</t>
  </si>
  <si>
    <t>2025 - Whispering Hills Community Association (WO 12412-5229 Removal ID 325)</t>
  </si>
  <si>
    <t>2025 (Removal) Westminster Village HOA - (Removal ID 45-46)</t>
  </si>
  <si>
    <t>2024 (JanMar) Rainbird Distribution Center - (2025 Recommendations)</t>
  </si>
  <si>
    <t>2025 - White Oak HOA - (Remaining Pines)</t>
  </si>
  <si>
    <t>2025 (JanMar) Evergreen at Rise - (Revised 3 Year Plan)</t>
  </si>
  <si>
    <t>2025 (H) Silverleaf Neighborhood Association - (Removal ID 4)</t>
  </si>
  <si>
    <t>2025 (JanMar) (H) Silverleaf Neighborhood Association - (133 Excursion)</t>
  </si>
  <si>
    <t>2025 - Windflower Community Association-(25 Add'tl Removals)</t>
  </si>
  <si>
    <t>2025 (H) Northpark Maintenance (JanMar &amp; Removal)-(Wind Row Trees) - (2025 Recs)</t>
  </si>
  <si>
    <t>2025 (H) Campanilla Community Association-(Approved Removals)</t>
  </si>
  <si>
    <t>2025 (H)(Removal) Westminster Village HOA - (Removal ID 48)</t>
  </si>
  <si>
    <t>NOT A FULL DAY 2025 (H) Northpark Maintenance HOA (Street Trees) - (ID 368)</t>
  </si>
  <si>
    <t>City of San Clemente</t>
  </si>
  <si>
    <t>2025 - BEACH TRAIL NORTH &amp; SOUTH OF PIER</t>
  </si>
  <si>
    <t>NEED PERMIT 2025 (H) Northpark Maintenance (JanMar &amp; Removal)-(Wind Row Trees) - (2025 Recs)</t>
  </si>
  <si>
    <t>GRG Management Services</t>
  </si>
  <si>
    <t>2025 (C)(JanMar)2759-2799 Temple Ave - (2025 Recommendations)</t>
  </si>
  <si>
    <t>2025 - (H) Cypress Village Master Association - (2025 Removals)</t>
  </si>
  <si>
    <t>2025 - (JUL/AUG) Newport Coast (Olive Trimming: Coastal)</t>
  </si>
  <si>
    <t>2025(C)(AprJun)Alton Marketplace (Spring Trimming: Spectrum)</t>
  </si>
  <si>
    <t>2025(C)(AprJun)Alton Retail Center (Spring Trimming: Spectrum)</t>
  </si>
  <si>
    <t>2025(C)(AprJun)Bayside Center (Spring Trimming: Coastal)</t>
  </si>
  <si>
    <t>2025(C)(AprJun)Campus Plaza (Spring Trimming: University)</t>
  </si>
  <si>
    <t>2025(C)(AprJun)Crossroads (Spring Trimming: University)</t>
  </si>
  <si>
    <t>2025(C)(AprJun)Crystal Cove (Spring Trimming: Coastal)</t>
  </si>
  <si>
    <t>2025(C)(AprJun)Culver Plaza (Spring Trimming: Foothill)</t>
  </si>
  <si>
    <t>2025(C)(AprJun)Cypress Village (Spring Trimming: Foothill)</t>
  </si>
  <si>
    <t>2025(C)(AprJun)Eastbluff Village Center (Spring Trimming: Coastal)</t>
  </si>
  <si>
    <t>2025(C)(AprJun)Harbor View Center (Spring Trimming: Coastal)</t>
  </si>
  <si>
    <t>2025(C)(AprJun)Harvard Auto Plaza (Spring Trimming: University)</t>
  </si>
  <si>
    <t>2025(C)(AprJun)Harvard Place (Spring Trimming: University)</t>
  </si>
  <si>
    <t>2025(C)(AprJun)Lakeside (Spring Trimming: Spectrum)</t>
  </si>
  <si>
    <t>2025(C)(AprJun)Los Olivos Marketplace 1 (Spring Trimming: Spectrum)</t>
  </si>
  <si>
    <t>2025(C)(AprJun)Los Olivos Marketplace 2 (Spring Trimming: Spectrum)</t>
  </si>
  <si>
    <t>2025(C)(AprJun)Newport Coast (Spring Trimming: Coastal)</t>
  </si>
  <si>
    <t>2025(C)(AprJun)Newport Hills Center (Spring Trimming: Coastal)</t>
  </si>
  <si>
    <t>2025(C)(AprJun)Newport North (Spring Trimming: Coastal)</t>
  </si>
  <si>
    <t>2025(C)(AprJun)Northpark Plaza (Spring Trimming: Foothill)</t>
  </si>
  <si>
    <t>2025(C)(AprJun)Orchard Hills Village (Spring Trimming: Foothill)</t>
  </si>
  <si>
    <t>2025(C)(AprJun)Quail Hill Shopping Center (Spring Trimming: Spectrum)</t>
  </si>
  <si>
    <t>2025(C)(AprJun)Sand Canyon Plaza (Spring Trimming: Spectrum)</t>
  </si>
  <si>
    <t>2025(C)(AprJun)The Bluffs (Spring Trimming: Coastal)</t>
  </si>
  <si>
    <t>2025(C)(AprJun)The Square (Spring Trimming: University)</t>
  </si>
  <si>
    <t>2025(C)(AprJun)University Center (Spring Trimming: University)</t>
  </si>
  <si>
    <t>2025(C)(AprJun)Venture Park (Spring Trimming: University)</t>
  </si>
  <si>
    <t>2025(C)(AprJun)Walnut Village Center (Spring Trimming: Foothill)</t>
  </si>
  <si>
    <t>2025(C)(AprJun)Westpark Plaza (spring Trimming: University)</t>
  </si>
  <si>
    <t>2025(JulAug)Alton Square (Olive Trimming)</t>
  </si>
  <si>
    <t>2025(JulAug)Bayside Center (Olive Trimming: Coastal)</t>
  </si>
  <si>
    <t>2025(JulAug)Crossroads (Olive Trimming: University)</t>
  </si>
  <si>
    <t>2025(JulAug)Crystal Cove (Olive Trimming: Coastal)</t>
  </si>
  <si>
    <t>2025(JulAug)Culver Plaza (Olive Trimming: Foothill)</t>
  </si>
  <si>
    <t>2025(JulAug)Cypress Village (Olive Trimming: Foothill)</t>
  </si>
  <si>
    <t>2025(JulAug)Eastbluff Village Center (Olive Trimming: Coastal)</t>
  </si>
  <si>
    <t>2025(JulAug)Los Olivos 1 (OliveTrimming: Spectrum)</t>
  </si>
  <si>
    <t>2025(JulAug)Los Olivos 2 (Olive Trimming: Spectrum)</t>
  </si>
  <si>
    <t>2025(JulAug)Newport Hills Center (Olive Trimming: Coastal)</t>
  </si>
  <si>
    <t>2025(JulAug)Newport North (Olive Trimming: Coastal)</t>
  </si>
  <si>
    <t>2025(JulAug)Northpark Plaza (Olive Trimming: Foothill)</t>
  </si>
  <si>
    <t>2025(JulAug)Oak Creek (Olive Trimming: Spectrum)</t>
  </si>
  <si>
    <t>2025(JulAug)Orchard Hills Village (Olive Trimming: Foothill)</t>
  </si>
  <si>
    <t>2025(JulAug)Parkview Center (OliveTrimming: University)</t>
  </si>
  <si>
    <t>2025(JulAug)Quail Hill (Olive Trimming: Spectrum)</t>
  </si>
  <si>
    <t>2025(JulAug)Sand Canyon (Olive Trimming: Spectrum)</t>
  </si>
  <si>
    <t>2025(JulAug)The Bluffs (Olive Trimming: Coastal)</t>
  </si>
  <si>
    <t>2025(JulAug)Walnut Village (Olive Trimming: Foothill)</t>
  </si>
  <si>
    <t>2025(JulAug)Woodbridge Village (Olive Trimming: Spectrum)</t>
  </si>
  <si>
    <t>2025(JulAug)Woodbury Town Center (Olive Trimming: Foothill)</t>
  </si>
  <si>
    <t>2025(JanMar)Pacific Gateway Business Center - (2025 Recommendations)</t>
  </si>
  <si>
    <t>Brian Taber</t>
  </si>
  <si>
    <t>2025(AprJun &amp; Removals)2100 Ritchey Street -(2025 Recs)</t>
  </si>
  <si>
    <t>2025(AprJun)Northpark Maintenance HOA- (2025 Podocarpus Trimming)</t>
  </si>
  <si>
    <t>2025(Removal)Northpark Maintenance HOA - (Removal ID 369)</t>
  </si>
  <si>
    <t>NEED REMOVAL PERMIT 2025 - (REMOVALS) Trailwood Maintenance - (Removal ID 35, 47, 57, 70)</t>
  </si>
  <si>
    <t>HOLD=2025(Removals)City Place Parking Lot (Vine Removals)</t>
  </si>
  <si>
    <t>2025(JanMay)Pacific Ranch HOA - (SLR Pine - Canary Island)</t>
  </si>
  <si>
    <t>2025(June)Pacific Ranch HOA - (SLR Melaleuca)</t>
  </si>
  <si>
    <t>2025(Removal)Pacific Ranch HOA - (Removal ID 186)</t>
  </si>
  <si>
    <t>2025(Removal)Pacific Ranch HOA - (Removal ID 187)</t>
  </si>
  <si>
    <t>2025(AprJun)The Woods - (2025 Recommendations)</t>
  </si>
  <si>
    <t>2025(Removals)The Woods - (Removal ID 1-2)</t>
  </si>
  <si>
    <t>2025 - (Removal) Collage Maintenance Corporation - (Bird Nest; ID 20)</t>
  </si>
  <si>
    <t>2025 - (OCT/DEC) Belterazza HOA - (Crape Myrtle Snapshot)</t>
  </si>
  <si>
    <t>2025 - (AUG/SEP) Sage Maintenance Association - (3 Year Plan)</t>
  </si>
  <si>
    <t>2025 - (JAN/MAR) Sage Maintenance Association - (3 Year Plan)</t>
  </si>
  <si>
    <t>5% 2026 - (AUG/SEP) Sage Maintenance Association - (3 Year Plan)</t>
  </si>
  <si>
    <t>5% 2027 - (AUG/SEP) Sage Maintenance Association - (3 Year Plan)</t>
  </si>
  <si>
    <t>2025(AprJun)(Removal)2201 E. Carson St. - (2025 Recs)</t>
  </si>
  <si>
    <t>2025 - (JAN/MAR) La Mancha in Mission Viejo - (26591 + 26596 Verbena)</t>
  </si>
  <si>
    <t>2025 - (JAN/MAR) La Mancha in Mission Viejo - (WO 1249925; 26641 Dorothea)</t>
  </si>
  <si>
    <t>2025 - (JAN/MAR) La Mancha in Mission Viejo - (WO 12594612; 26572 El Toboso)</t>
  </si>
  <si>
    <t>2025 - (REMOVAL) La Mancha in Mission Viejo - (26503 Lucinda Removal ID 93)</t>
  </si>
  <si>
    <t>2025 - (REMOVAL) Oak Creek Village Maintenance Master (OCR) - (WO 1272082 Removal ID 147-148)</t>
  </si>
  <si>
    <t>2025 - (JAN/MAR) Pacific Park Villas - (Jacaranda Trimming)</t>
  </si>
  <si>
    <t>2025 - (Removal) Woodbury East Community Association - (WO 52584; 71 Splendor)</t>
  </si>
  <si>
    <t>2025 - (REMOVAL) Mesa Vista North - (ID 163 Pine Aleppo)</t>
  </si>
  <si>
    <t>2025 - (JAN/APR) Rancho Dominguez Townhome Association - (2025 Recs)</t>
  </si>
  <si>
    <t>2025 - (OCT/JAN) Rancho Dominguez Townhome Association - (25/26 Recs)</t>
  </si>
  <si>
    <t>2025 - (Removal) Villavante Community Association - (4 Via Encanto)</t>
  </si>
  <si>
    <t>25/26 - (AUG/SEP) Green Glen Neighborhood Association - (2025.26 Trimming Rec's)</t>
  </si>
  <si>
    <t>25/26 - (JAN/MAR) Green Glen Neighborhood Association - (2025.26 Trimming Rec's)</t>
  </si>
  <si>
    <t>2025(JanMar)Cabo del Mar (PRO3-18077) - (3 Year Plan)</t>
  </si>
  <si>
    <t>2025(Removal)Cabo del Mar (PRO3-18077) - (Removal ID 18)</t>
  </si>
  <si>
    <t>2025 - MAX BERG PLAZA PARK (All Trees)</t>
  </si>
  <si>
    <t>2025 - Removal and Planting along BEACH TRAIL</t>
  </si>
  <si>
    <t>3 days notice 2025 - Removal at AVENIDA GRANADA (Casa Romantica)</t>
  </si>
  <si>
    <t>2025(JulAug)Crystal Cove (Olive Trimming: Coastal) - CO #23944</t>
  </si>
  <si>
    <t>2025 - Costa Mira Park (All Trees)</t>
  </si>
  <si>
    <t>(S) 2025 - (Removal) Collage Maintenance Corporation - (Bird Nest; ID 20)</t>
  </si>
  <si>
    <t>(S) 2025 - (OCT/DEC) Belterazza HOA - (Crape Myrtle Snapshot)</t>
  </si>
  <si>
    <t>(S) 2024 - Caserta Neighborhood Association - (2) MED Acacia – Shoestring, blocked by cars)</t>
  </si>
  <si>
    <t>(S) 2025 - (APR/JUN) Palm Terrace - (Mexican Fan - Palm Bird Nest)</t>
  </si>
  <si>
    <t>(S) 2025 - (APR/JUN) Flores Los Alisos - (Missed Palm Bird Nest)</t>
  </si>
  <si>
    <t>(S) 2025 - (REMOVAL) Oak Creek Village Maintenance Master (OCR) - (WO 1272082 Removal ID 147-148)</t>
  </si>
  <si>
    <t>2025(AprJun)Woodbury Town Center (Spring Trimming: Foothill)</t>
  </si>
  <si>
    <t>2025(Removal)Cypress Village (Eucalyptus Removal)</t>
  </si>
  <si>
    <t>(S) 2025 - (APR/JUN) 600,610 Newport Center Drive - (Missed tree due to birds nest)</t>
  </si>
  <si>
    <t>(S) 2025 - (Removal) Woodbury East Community Association - (WO 52584; 71 Splendor)</t>
  </si>
  <si>
    <t>REMOVAL PERMIT (S) 2025 - (REMOVALS) Trailwood Maintenance - (Removal ID 35, 47, 57, 70)</t>
  </si>
  <si>
    <t>2025(AprJun)(Removal)Walnut Drive Business Center - (3 Year Plan)</t>
  </si>
  <si>
    <t>2025 - La Paz Reservoir (Planting)</t>
  </si>
  <si>
    <t>(S) 2025 - (APR/JUN) Tustin Ranch Shadowbrook HOA - (13674 Comanche)</t>
  </si>
  <si>
    <t>(S) 2025 - (REMOVAL) Woodbridge Parkway - (ID 540; 38 Heathergreen)</t>
  </si>
  <si>
    <t>(S) 2025 - (APR/JUN) Fawn Glen HOA - (Missed Trees Olive &amp; Tipu)</t>
  </si>
  <si>
    <t>(S) 2025 - (JAN/MAR) Las Flores II - (3 Year Plan Revised)</t>
  </si>
  <si>
    <t>(S) 2025 - (Removal) Sheridan Maintenance Assoc. - (Stump ID 17; WO 1722)</t>
  </si>
  <si>
    <t>(S) 2025 - (REMOVAL) Tuscany at Foothill Ranch - (WO 12501-0753; ID 7)</t>
  </si>
  <si>
    <t>(S) 2025 - (REMOVALS) Las Flores II - (2025 Removal ID's 1-84)</t>
  </si>
  <si>
    <t>(S) 2025 - (REMOVALS) Whispering Hills Community Association-(WO 12503-0395 Removals)</t>
  </si>
  <si>
    <t>(S) 2026 - (JAN/MAR) Las Flores II - (3 Year Plan Revised)</t>
  </si>
  <si>
    <t>(S) 2027 - (JAN/MAR) Las Flores II - (3 Year Plan Revised)</t>
  </si>
  <si>
    <t>(S) 2025 - (REMOVAL) Mira Costa Villas - (ID 20)</t>
  </si>
  <si>
    <t>(N) 2025 - (REMOVALS) Cypress Village Master Association - (2025 Removals)</t>
  </si>
  <si>
    <t>(S) 2025 - (AUG/SEP) Green Glen Neighborhood Association - (2025.26 Trimming Rec's)</t>
  </si>
  <si>
    <t>(S) 2026 - (JAN/MAR) Green Glen Neighborhood Association - (2025.26 Trimming Rec's)</t>
  </si>
  <si>
    <t>(N) 2025 - (JanMar)(Removal) Concord Place HOA - CERRITOS - (Removal IDs 66-70)</t>
  </si>
  <si>
    <t>2025 - San Luis Rey Park (All Trees)</t>
  </si>
  <si>
    <t>2025 - Dactylifera Palm Tree Petiole Reconstruction</t>
  </si>
  <si>
    <t>2025(Removal)Woodbridge Village Center (Pine Removal)</t>
  </si>
  <si>
    <t>2026(AprJun)The Summit at Newport Ridge - (3 Year Plan)</t>
  </si>
  <si>
    <t>2026(OctDec)The Summit at Newport Ridge - (3 Year Plan)</t>
  </si>
  <si>
    <t>2027(AprJun)The Summit at Newport Ridge - (3 Year Plan)</t>
  </si>
  <si>
    <t>2027(OctDec)The Summit at Newport Ridge - (3 Year Plan)</t>
  </si>
  <si>
    <t>NEED PERMIT=2025(JanMar)Wimbledon Village Association - (Remainder of Jan/Mar Work)</t>
  </si>
  <si>
    <t>La Tremolina Maintenance Association</t>
  </si>
  <si>
    <t>2025(AprJun)(Removal)La Tremolina Maintenance Assoc - (Revised 2025 Recommendations)</t>
  </si>
  <si>
    <t>2025(AprJun)Promontory Pointe HOA - (3 Year Plan)</t>
  </si>
  <si>
    <t>2025(Removals)Promontory Pointe HOA - (Removal ID 2 &amp; 3)</t>
  </si>
  <si>
    <t>[TREATMENT] 2025 - (APR/JUN) Ridgemont Community Association C625) - (WO 12408-9332 Paropsine Treatment)</t>
  </si>
  <si>
    <t>2025(AprJun)Barranca Business Park-(3 Year Plan)</t>
  </si>
  <si>
    <t>2025(Removal)Barranca Business Park - (2025 Removals)Revised</t>
  </si>
  <si>
    <t>ProActive Professional Management</t>
  </si>
  <si>
    <t>2027(JanMar)Tustin Verdes HOA - (3 Year Plan)</t>
  </si>
  <si>
    <t>(S) 2025 - (APR/JUN) Laguna Audubon 1 - (Palm - Mexican Fan (Active Squirrel Nest)</t>
  </si>
  <si>
    <t>The Bilak Companies Dolmar, Inc.</t>
  </si>
  <si>
    <t>2025(AprJun)Torrance Crossroads - (Skipped tree due to bird nest)</t>
  </si>
  <si>
    <t>(S) 2025 - (REMOVAL) Northpark Monterey Community Association - (ID 153)</t>
  </si>
  <si>
    <t>(S) 2025 - (REMOVALS) Northpark Monterey - (ID 140-141 - Revised)</t>
  </si>
  <si>
    <t>2025 - RICHARD T STEED PARK</t>
  </si>
  <si>
    <t>(S) 2025 - (APR/JUN) Santa Barbara HOA - (Missed Olive &amp; Sumac due to birds nest and parked car)</t>
  </si>
  <si>
    <t>2026(AprJun)Brookview Condominium OA - (3 Year Plan)</t>
  </si>
  <si>
    <t>2027(AprJun)Brookview Condominium OA - (3 Year Plan)</t>
  </si>
  <si>
    <t>2025(AprJun)(Removal)5200 Airport Drive - (2025 Recommendations)</t>
  </si>
  <si>
    <t>2025(JanMar)Vintage at Old Town - (Missed Tristania due to parked car)</t>
  </si>
  <si>
    <t>2025(JanMar)Greenwood Center GP - (2025 Recommendations)</t>
  </si>
  <si>
    <t>5%?=2025(OctDec)La Verne Business Park (Phase I) - (3 Year Plan)</t>
  </si>
  <si>
    <t>2025(AprJun)Mariners Church - (2025 Apr/Jun Trimming)</t>
  </si>
  <si>
    <t>(S) 2025 - (APR/JUN) The Oaks at Lake Forest HOA - (Ficus Nitida Bird Nest)</t>
  </si>
  <si>
    <t>2025(FebApr)Rancho Dominguez Townhome Association - (WO XN4958466)</t>
  </si>
  <si>
    <t>2025(MayJun)Meadowcreek Community Assoc - (Missed tree due to parked car)</t>
  </si>
  <si>
    <t>[TREATMENT] 2025 - (APR/JUN) Whispering Hills Community Association - (ID 333; Treatment)</t>
  </si>
  <si>
    <t>(S) 2025 - (APR) Spectrum Crossroads - (2025 Recommendations)</t>
  </si>
  <si>
    <t>(S) 2025 - (NOV) Spectrum Crossroads - (2025 Recommendations)</t>
  </si>
  <si>
    <t>2025(Aug)Tustin Ranch Plaza - (2025 Revised Recommendations)</t>
  </si>
  <si>
    <t>2025(Nov)Tustin Ranch Plaza - (2025 Revised Recommendations)</t>
  </si>
  <si>
    <t>NOT A FULL DAY=2025(May)The Corinthian Center (TCC) - (2025 Recommendations)</t>
  </si>
  <si>
    <t>2025(RemovalID# 45)Evergreen Country Villas - (Removal ID 45)</t>
  </si>
  <si>
    <t>2025 - San Clemente City Yard</t>
  </si>
  <si>
    <t>[PLACEHOLDER]2025(JanMar)University Community Association - (UCA) - (3 Year Placeholder)</t>
  </si>
  <si>
    <t>2025 - Removal at 147 AVENIDA DEL MAR</t>
  </si>
  <si>
    <t>2025 - Removals at CALLE DEL CERRO</t>
  </si>
  <si>
    <t>(S) 2025 - (APR/JUN) Eastbrook Community HOA - (Palm Bird Nest)</t>
  </si>
  <si>
    <t>(S) 2025 - (Removal) La Mancha in Mission Viejo - (ID 93 Stump Grinding)</t>
  </si>
  <si>
    <t>(S) 2025 - (Jul/Aug) Walnut Village (Olive Trimming: Foothill)</t>
  </si>
  <si>
    <t>2025(JulAug)Corona Del Mar Plaza (Olive Trimming: Coastal)</t>
  </si>
  <si>
    <t>(S) 2025 - (REMOVAL) Trailwood Maintenance Assoc. - (ID 47; Missed tree due to birds nest)</t>
  </si>
  <si>
    <t>(S) 2025 - (REMOVAL) Village Park Community - (ID 95)</t>
  </si>
  <si>
    <t>(S) 2025 - (REMOVAL) La Paz Reservoir Pump Station - (ID 801)</t>
  </si>
  <si>
    <t>(S) 2025 - (APR/JUN) Canyon Point Maintenance Corp. - (Missed Trees)</t>
  </si>
  <si>
    <t>(S) 2025 - (JAN/MAR) Las Flores II - (Palm Mexican Active Bird Nest)</t>
  </si>
  <si>
    <t>(S) 2025 - (Removal) California Renaissance - (WO 12504-1887; ID 21)</t>
  </si>
  <si>
    <t>(S) 2025 - (Removals) California Renaissance - (WO 12504-1887 IDs 2; 19-20)</t>
  </si>
  <si>
    <t>2025(Removals)Pacific Shores HOA - (Removal IDs 175-179)</t>
  </si>
  <si>
    <t>(S) 2025 - (APR/JUN) Pointe Niguel - (Revised 2025 Recommendations)</t>
  </si>
  <si>
    <t>(S) 2025 - (OCT/DEC) Pointe Niguel - (Revised 2025 Recommendations)</t>
  </si>
  <si>
    <t>(S) 2025 - (APR/JUN) St. Tropez Condominium - (Missed Brachychiton due to Birds Nest)</t>
  </si>
  <si>
    <t>(S) 2025 - (Removal) Vista Pointe Ridge - (LS Walk 02.21; ID 307)</t>
  </si>
  <si>
    <t>2025(Stump Grinding ID2)The Woods - (Stump Grinding ID 2)</t>
  </si>
  <si>
    <t>2025(Removals)Concorde Place - CERRITOS - (Removals IDs 71-72)</t>
  </si>
  <si>
    <t>(S) 2025 - (APR/JUN) Airport Tower - (2025 Recommendations)</t>
  </si>
  <si>
    <t>(S) 2025 - (AUG/SEP) Airport Tower - (2025 Recommendations)</t>
  </si>
  <si>
    <t>(S) 2026 - (APR/JUN) The Ridge In Mission Viejo (PRO82-18077) - (4 Year Plan)</t>
  </si>
  <si>
    <t>(S) 2026 - (JAN/MAR) The Ridge In Mission Viejo (PRO82-18077) - (4 Year Plan)</t>
  </si>
  <si>
    <t>(N) 2025 - (Jan/Mar) Vintage at Old Town - (Missed Tristania due to parked car)</t>
  </si>
  <si>
    <t>NEED PERMIT (N) 2025 - (Jan/Mar) Wimbledon Village Association - (Remainder of Jan/Mar Work)</t>
  </si>
  <si>
    <t>HOLD== (N) 2025 - (JanMar) Colony Crest de Ville - (Coral tree in front of 5619 Crest de Ville)</t>
  </si>
  <si>
    <t>(N) 2025 - (Jul/Aug) Bayside Center (Olive Trimming: Coastal)</t>
  </si>
  <si>
    <t>(N) 2025 - (Jul/Aug) Corona Del Mar Plaza (Olive Trimming: Coastal)</t>
  </si>
  <si>
    <t>(N) 2025 - (Jul/Aug) Crystal Cove (Olive Trimming: Coastal) - CO #23944</t>
  </si>
  <si>
    <t>(N) 2025 - (Jul/Aug) Eastbluff Village Center (Olive Trimming: Coastal)</t>
  </si>
  <si>
    <t>(N) 2025 - (JUL/AUG) Newport Coast (Olive Trimming: Coastal)</t>
  </si>
  <si>
    <t>(N) 2025 - (Jul/Aug) The Bluffs (Olive Trimming: Coastal)</t>
  </si>
  <si>
    <t>(N) 2025 -HOLD (Apr/Jun) Eastbluff Village Center (Spring Trimming: Coastal)</t>
  </si>
  <si>
    <t>(S) 2025 - (Jul/Aug) Alton Square (Olive Trimming: Spectrum)</t>
  </si>
  <si>
    <t>(S) 2025 - (Jul/Aug) Culver Plaza (Olive Trimming: Foothill)</t>
  </si>
  <si>
    <t>(S) 2025 - (Jul/Aug) Los Olivos 1 (OliveTrimming: Spectrum)</t>
  </si>
  <si>
    <t>(S) 2025 - (Jul/Aug) Los Olivos 2 (Olive Trimming: Spectrum)</t>
  </si>
  <si>
    <t>(S) 2025 - (Jul/Aug) Northpark Plaza (Olive Trimming: Foothill)</t>
  </si>
  <si>
    <t>(S) 2025 - (Jul/Aug) Orchard Hills Village (Olive Trimming: Foothill)</t>
  </si>
  <si>
    <t>(S) 2025 - (Jul/Aug) Quail Hill (Olive Trimming: Spectrum)</t>
  </si>
  <si>
    <t>(S) 2025 - (Jul/Aug) Woodbridge Village (Olive Trimming: Spectrum)</t>
  </si>
  <si>
    <t>2025 - Lakeside (Applied Credit)</t>
  </si>
  <si>
    <t>J.C. Ultimate Property Management, Inc.</t>
  </si>
  <si>
    <t>2025 (AprJune)(Removal) Lakewood Village Townhomes - (2025 Revised Recs)</t>
  </si>
  <si>
    <t>(N) 2025 - (Feb/Apr) Rancho Dominguez Townhome Association - (WO XN4958466)</t>
  </si>
  <si>
    <t>(N) 2025 - (MayJun)Meadowcreek Community Assoc - (Missed tree due to parked car)</t>
  </si>
  <si>
    <t>(S) 2025 - (APR/JUN) Terrace View Community Assoc. (California Terrace) - (Palm Active Bird Nest)</t>
  </si>
  <si>
    <t>(S) 2025 - (Removal) Woodside Irvine HOA - (Removal ID 233)</t>
  </si>
  <si>
    <t>NOT A FULL DAY=(N) 2025 - (May) The Corinthian Center (TCC) - (2025 Recommendations)</t>
  </si>
  <si>
    <t>(N) 2025 - (Apr/Jun) Torrance Crossroads - (Skipped tree due to bird nest)</t>
  </si>
  <si>
    <t>(N) 2025 - (JanMar) (Removal) Concord Place HOA - CERRITOS - (Removal IDs 66-70)</t>
  </si>
  <si>
    <t>(N) 2025 - (Removals) Concorde Place - CERRITOS - (Removals IDs 71-72)</t>
  </si>
  <si>
    <t>2025 (Removal) Dale Jr High (Stump Grinding)</t>
  </si>
  <si>
    <t>2025 (Removals) Northpark Maintenance HOA-(Wind Row Trees) - (Remaining Removals Bird Nests)</t>
  </si>
  <si>
    <t>(S) 2025 - (REMOVALS) La Mancha in Mission Viejo - (Revised April LS Walk Deliverables)</t>
  </si>
  <si>
    <t>(S) 2025 - PORTOLA HIGH SCHOOL (Removals)</t>
  </si>
  <si>
    <t>(S) 2025 - PORTOLA HIGH SCHOOL (Trimming)</t>
  </si>
  <si>
    <t>(S) 2026 - (APR/JUN) Agave - (4 Year Plan)</t>
  </si>
  <si>
    <t>(S) 2026 - (JAN/MAR) Agave - (4 Year Plan)</t>
  </si>
  <si>
    <t>[TREATMENT] 2025 - (APR/JUN) Agave - (2025 Treatment Plan)</t>
  </si>
  <si>
    <t>[TREATMENT] 2025 - (OCT/DEC) Agave - (2025 Treatment Plan)</t>
  </si>
  <si>
    <t>5% (S) 2027 - (APR/JUN) Agave - (4 Year Plan)</t>
  </si>
  <si>
    <t>5% (S) 2028 - (APR/JUN) Agave - (4 Year Plan)</t>
  </si>
  <si>
    <t>5% (S) 2028 - (JAN/MAR) Agave - (4 Year Plan)</t>
  </si>
  <si>
    <t>2025 (Removal) Granada Park Cerritos HOA - (Removal ID 40)</t>
  </si>
  <si>
    <t>2025 (AprJun) Promontory Pointe HOA - (Trees unable to be trimmed)</t>
  </si>
  <si>
    <t>(S) 2025 - (AUG/SEP) Niguel Villas Association - (4 Year Plan)</t>
  </si>
  <si>
    <t>(S) 2025 - (OCT/DEC) Niguel Villas Association - (4 Year Plan)</t>
  </si>
  <si>
    <t>(S) 2025 - (APR/JUN) Palm Gardens Community Association - (Pepper; Missed Parked Car)</t>
  </si>
  <si>
    <t>(S) 2025 - (REMOVAL) Vista de Oro Homeowners Association - (ID 72)</t>
  </si>
  <si>
    <t>2028 (JanMar) Huntington Landmark - (Revised 4 Year Plan)</t>
  </si>
  <si>
    <t>2028 (OctDec) Huntington Landmark - (3 Year Plan)</t>
  </si>
  <si>
    <t>2025 (OctDec) Gateway Corporate Center Master - (2025 Oct/Dec Recs)</t>
  </si>
  <si>
    <t>(S) 2025 - (Removal) UCI – Early Childhood Education Center (ID 201913; Tristania)</t>
  </si>
  <si>
    <t>(N) 2025 - (Apr/Jun) Bowen Court Maintenance Association - (ID 1-3)</t>
  </si>
  <si>
    <t>HOLD=2025 (AprJun)(Removal) 802 E. Ocean Blvd Parking (Cypress Removals)</t>
  </si>
  <si>
    <t>2025 (Removals) Pacific Ranch HOA - (Removal ID 143-144)</t>
  </si>
  <si>
    <t>2025(AprJun)Cambridge Lane Maintenance Association - (3 Year Plan)</t>
  </si>
  <si>
    <t>2025(Removals)Cambridge Lane Maintenance Association - (2025 Removals)</t>
  </si>
  <si>
    <t>2025 (Root Prune) Northpark Maintenance(Street Trees) - (108 Spring Valley)</t>
  </si>
  <si>
    <t>NEED PERMIT (N) 2025 - (Jan/Mar) Wimbledon Village Association - (Remainder of Jan/Mar Work) CO 24068</t>
  </si>
  <si>
    <t>(S) 2025 - (MAR/MAY) Oak Creek Village Maintenance Master - (ID 233-234)</t>
  </si>
  <si>
    <t>(S) 2025 - (Removal) Rancho Viejo 2 - (ID 2)</t>
  </si>
  <si>
    <t>(S) 2025 - (APR/JUN) Mission Sunrise Ridge - (WO 12503-1190; Side Trim)</t>
  </si>
  <si>
    <t>(S) 2025 - (Removal) Mission Sunrise Ridge - (WO 12504-3467; ID 234)</t>
  </si>
  <si>
    <t>2025(Removal)Pacific Ranch HOA - (Removal ID 147)</t>
  </si>
  <si>
    <t>(S) 2025 - (APR/JUN) Pointe Niguel - (5 Tristanias Active Bird Nests)</t>
  </si>
  <si>
    <t>2025 (Apr) Tustin Ranch Plaza (TRP) - (Palms missed by birds nest)</t>
  </si>
  <si>
    <t>2025(AprJun)Alondra Corporate Center - (2025 Recs)</t>
  </si>
  <si>
    <t>(N)2025(Removal)University Community Association -(ID 1982)</t>
  </si>
  <si>
    <t>(N)2025(AprMay)Baldwin Hills Crenshaw Plaza - (Revised 2025 Recs)</t>
  </si>
  <si>
    <t>2025 - Removal at 11281 Santa Rosalia</t>
  </si>
  <si>
    <t>(N)NEED PERMIT=2025(Jan/Mar) Wimbledon Village Association - (Remainder of Jan/Mar Work) CO 24068</t>
  </si>
  <si>
    <t>(N) HOLD=2025 - (JanMar) Colony Crest de Ville - (Coral tree in front of 5619 Crest de Ville)</t>
  </si>
  <si>
    <t>(S) 2025 - (SEP/NOV) Culver Plaza Shopping Center - (FY 25/26: Fall Trimming)</t>
  </si>
  <si>
    <t>(S) 2025 - (SEP/NOV) Cypress Village Shopping Center - (FY 25/26: Fall Trimming)</t>
  </si>
  <si>
    <t>(S) 2025 - (SEP/NOV) Walnut Village Center (Foothill) (FY 25/26 Fall Trimming)</t>
  </si>
  <si>
    <t>(S) 2025 - (SEP/NOV) Woodbury Town Center (Foothill) (FY 25/26 Fall Trimming)</t>
  </si>
  <si>
    <t>(N) NEED PERMIT=2025 (Removal) Granada Park Cerritos HOA - (Removal ID 40)</t>
  </si>
  <si>
    <t>(S) 2025 - (APR/JUN) La Vista At Laguna Niguel - (Carrotwood; Bldg 26)</t>
  </si>
  <si>
    <t>(S) 2025 - (Removal) Villa Pacifica Homeowners Association - (ID 1; Aleppo Pine)</t>
  </si>
  <si>
    <t>(N) NEED PERMIT=Cypress Village Master Association</t>
  </si>
  <si>
    <t>(S) 2025 - (July &amp; Removals) Villamira HOA - (2025.26 Removals &amp; SLR)</t>
  </si>
  <si>
    <t>[TREATMENT] 2025 - (AUG/SEP) Villamira HOA - (Treat 13 Eucalyptus for Paropsine Bettle)</t>
  </si>
  <si>
    <t>[TREATMENT] 2026 - (JAN/MAR) Villamira HOA - (Treat 36 Ficus Rubiginosa for fruit suppression)</t>
  </si>
  <si>
    <t>(N)2025(AprJun)The Groves Homeowners Inc. - (Revised 3 Year Plan)</t>
  </si>
  <si>
    <t>(N)2025(JanMar)The Groves Homeowners Inc. - (Revised 3 Year Plan)</t>
  </si>
  <si>
    <t>(N)NEED PERMIT=2025(Removals)The Groves Homeowners Inc. - (2 Year Removal Plan)</t>
  </si>
  <si>
    <t>(N) NEED PERMIT= (Removal) Concord Place HOA - CERRITOS - (Removal IDs 66-70)</t>
  </si>
  <si>
    <t>(N) NEED PERMIT=2025(Removals) Concorde Place - CERRITOS - (Removals IDs 71-72)</t>
  </si>
  <si>
    <t>2025 - Trimming at Culverdale Residential</t>
  </si>
  <si>
    <t>(S) 2025 - (APR/JUN) Celadon Neighborhood Association - (333 Magnet)</t>
  </si>
  <si>
    <t>2025 - Grid 15 (Lido Isle) - Palms</t>
  </si>
  <si>
    <t>(S) 2025 - (Apr/Jun) Lake Forest (Woods) - (24691 Shadowfax Dr)</t>
  </si>
  <si>
    <t>2025(Removals)Wimbledon Village Association - (Removal ID18-19)</t>
  </si>
  <si>
    <t>(S) 2025 - (APR/JUN) Pacific Hills HOA (PACH) - (Option 2; Palm-Mexican Trimming)</t>
  </si>
  <si>
    <t>(N)2025 (Apr Jun) MacLeith Residence -(2025 Palm Trimming)</t>
  </si>
  <si>
    <t>(S) 2025 - (Removal) Laguna Hills Office Park - (ID 6)</t>
  </si>
  <si>
    <t>(S) 2025 - (Stump) Palm Gardens Community Association - (21872 Bahamas, ID 307)</t>
  </si>
  <si>
    <t>(S) 2025 - (APR/JUN) Laguna Audubon 1 - (WO 65043 ID 77 Side Trim)</t>
  </si>
  <si>
    <t>(N)2025 (Removal-Stump)The Woods - (Stump Grind ID 1)</t>
  </si>
  <si>
    <t>(N)2025 (Apr Jun) The Groves Homeowners Inc. - (ID 223-224)</t>
  </si>
  <si>
    <t>NEED PERMIT ==(N) 2025 - (Jan/Mar) The Groves Homeowners Inc. - (Revised 3 Year Plan)</t>
  </si>
  <si>
    <t>2025 - PLANTING 6-25-25</t>
  </si>
  <si>
    <t>2025 - Various Stump Grinding</t>
  </si>
  <si>
    <t>(S) 2025 - (Apr/Jun &amp; Removal) Pacific Hills HOA (PACH) - (WO 1278298)</t>
  </si>
  <si>
    <t>(S) 2025 - (Removal) Pacific Hills HOA (PACH) - (LS Walk 06.16; ID 208)</t>
  </si>
  <si>
    <t>(N) 2025 - (Apr/Jun) MacLeith Residence - (2025 Palm Trimming)</t>
  </si>
  <si>
    <t>(S) 2025 - (Oct/Dec) Garden Homes - (WO XN5270068)</t>
  </si>
  <si>
    <t>(S) 2025 - (AUG/SEP) Camden Square - (Palm Mexican Fan Trimming)</t>
  </si>
  <si>
    <t>(S) 2025 - (JUL/SEP) Vista Pointe Ridge - (Revised 2025 Trimming)</t>
  </si>
  <si>
    <t>(N) 2025 - (Stump Grinding) The Woods - (ID 1)</t>
  </si>
  <si>
    <t>(N) DO NOT BILL=2025 (AugSep) UCA -(AugJun 2025/26)</t>
  </si>
  <si>
    <t>(N) 2025 - (Sep/Oct &amp; Removals) Trellis Court Neighborhood Assoc. - (Revised 3 Year Plan)</t>
  </si>
  <si>
    <t>2025 - Gene Autry &amp; Citrus - (3) Palms</t>
  </si>
  <si>
    <t>2025 - Orangewood Ave (Magnolias)</t>
  </si>
  <si>
    <t>2025 - Remove/ Plant (1) Tipu - Harbor Blvd</t>
  </si>
  <si>
    <t>2025 - Trimming on Oragnewood Ave (Magnolia)</t>
  </si>
  <si>
    <t>2025 - Trimming at Calle Del Cerro</t>
  </si>
  <si>
    <t>NEED PAPERWORK 2025 - Chapman Ave (All Trees)</t>
  </si>
  <si>
    <t>NEED PAPERWORK 2025 - Standford Ave (Palms)</t>
  </si>
  <si>
    <t>(N) 2025 (Root Prune) Village Park Community -(Root Barrier Recommendations)</t>
  </si>
  <si>
    <t>(S) 2025 - (APR/JUN) Pacific Ridge HOA - (Selective Limb Removal, 28 Flintstone)</t>
  </si>
  <si>
    <t>(S) 2025 - (Removal) Pacific Ridge HOA - (5 Thornbird; ID 123)</t>
  </si>
  <si>
    <t>[TREATMENT] 2025 (AprJun) Village Park Community - (Eucalyptus Treatment)</t>
  </si>
  <si>
    <t>(S) 2025 - (Apr/Jun &amp; Removal) Tijeras Creek Villas Maintenance Corporation - (Revised WO 12503-7621)</t>
  </si>
  <si>
    <t>(S) 2025 - (Removals) Silverstone HOA - (2025 Removals)</t>
  </si>
  <si>
    <t>(S) 2026 - (JAN/APR) Silverstone HOA - (3 Year Plan)</t>
  </si>
  <si>
    <t>(S) 2027 - (JAN/APR) Silverstone HOA - (3 Year Plan)</t>
  </si>
  <si>
    <t>(S) 2028 - (JAN/APR) Silverstone HOA - (3 Year Plan)</t>
  </si>
  <si>
    <t>(S) 2025 - (APR/JUN) Talega Gallery Community Association - (Apr/Jun Snapshot)</t>
  </si>
  <si>
    <t>(N) 2025 (July &amp; Removal) Casitas Californias Townhouses Association - (Punch List Recs)</t>
  </si>
  <si>
    <t>(S) 2025 - (Aug/Sep &amp; Oct/Dec) Towne Centre Lake Forest OA - (2025 Competitive Bid)</t>
  </si>
  <si>
    <t>(N) 2025 (July) Anaheim High School (Service Request Trimming)</t>
  </si>
  <si>
    <t>(N) 2025 (July) Katella High School (Service Request Trimming)</t>
  </si>
  <si>
    <t>(N) 2025 (July) Savanna High School (Service Request Trimming)</t>
  </si>
  <si>
    <t>(N) 2025 (July) South Junior High School (Service Request Trimming)</t>
  </si>
  <si>
    <t>(N) 2025 (July) Sycamore Jr High (Service Request Trimming)</t>
  </si>
  <si>
    <t>(N) 2025 (July)(Removal) Brookhurst Jr High (Service Request Trimming)</t>
  </si>
  <si>
    <t>(N) 2025 (July)(Removal) Magnolia High School (Service Request Trimming &amp; Removals)</t>
  </si>
  <si>
    <t>(N) 2025 (Removal) Walker Jr. High (Service Request Removals)</t>
  </si>
  <si>
    <t>2025 - Removal at 100 NEWPORT BLVD PARKING LOT</t>
  </si>
  <si>
    <t>2025 - Removal at 215 32ND ST</t>
  </si>
  <si>
    <t>2025 - Removal at 300 GOLDENROD AVE</t>
  </si>
  <si>
    <t>2025 - Removal at 4701 BALBOA BLVD /W</t>
  </si>
  <si>
    <t>2025 - Removal at 901 CHESTNUT PL</t>
  </si>
  <si>
    <t>2025 - SR at 600 DOVER DR</t>
  </si>
  <si>
    <t>2025 - SR Trim at FIRE STATION 4</t>
  </si>
  <si>
    <t>(S) 2025 - COLLEGE PARK ELEMENTARY SCHOOL - (FY 25/26 Trimming)</t>
  </si>
  <si>
    <t>(S) 2025 - DEERFIELD ELEMENTARY - (FY 25/26 Trimming)</t>
  </si>
  <si>
    <t>(S) 2025 - JEFFERY TRAIL MIDDLE SCHOOL - (FY 25/26 Trimming)</t>
  </si>
  <si>
    <t>Coastal Management &amp; Consulting</t>
  </si>
  <si>
    <t>(S) 2025 - (APR/JUN) Turtle Rock Ridge Garden Homes - (WO 2916-1)</t>
  </si>
  <si>
    <t>(S) 2025 - (Removals) Turtle Rock Ridge Garden Homes - (Removal ID 1, 8, 18)</t>
  </si>
  <si>
    <t>(S) 2025 - (JUN/AUG) Oak Creek Village - (ID 235; 1 Sutton)</t>
  </si>
  <si>
    <t>(S) 2025 - (APR/JUN) La Montana Maint. Corp. - (3 Year Plan)</t>
  </si>
  <si>
    <t>[TREATMENT] (S) 2025 - (Aug/Sep) The Oaks at Lake Forest HOA - (Treat 32 Eucalyptus Along Serrano)</t>
  </si>
  <si>
    <t>(S) 2025 - (Apr/Jun &amp; Removal) Canyon Point Maintenance Corp. - (Revised WO 12506-2336 Trimming Recs)</t>
  </si>
  <si>
    <t>Walters Management</t>
  </si>
  <si>
    <t>(N) 2025 (AprJun) The Highlands Maintenance Corporation - (Apr/Jun Trimming)</t>
  </si>
  <si>
    <t>(N) 2025 (Removal) The Highlands Maintenance Corporation - (Removal ID 8)</t>
  </si>
  <si>
    <t>NEED PAPERWORK 2025 - Hedge Trim &amp; Removals at Citrusglen Park</t>
  </si>
  <si>
    <t>2025 - Trimming at Old City Hall</t>
  </si>
  <si>
    <t>2025 - Trimming at Paseo De La Serenata</t>
  </si>
  <si>
    <t>(N) (Removal ID 129) Wilderness HOA - (Revised Removal ID 129)</t>
  </si>
  <si>
    <t>(N) 2025 (Removal ID 128) Wilderness HOA</t>
  </si>
  <si>
    <t>2025 - Removal at 1815 BUTTONSHELL LN</t>
  </si>
  <si>
    <t>2025 - Removal at 1817 SEADRIFT DR</t>
  </si>
  <si>
    <t>2025 - Removal at 2037 OCEAN BLVD</t>
  </si>
  <si>
    <t>2025 - Removal at 21200 NEWPORT COAST DR</t>
  </si>
  <si>
    <t>2025 - Removal at 2501 NEWPORT HILLS DR /E</t>
  </si>
  <si>
    <t>2025 - Removal at 2632 ALTA VISTA DR</t>
  </si>
  <si>
    <t>2025 - Removal at 3801 PACIFIC COAST HWY /E</t>
  </si>
  <si>
    <t>2025 - Removal at 405 IRIS AVE</t>
  </si>
  <si>
    <t>2025 - Removal at 601 ALDEAN PL</t>
  </si>
  <si>
    <t>2025 - Removal at 703 LARKSPUR AVE</t>
  </si>
  <si>
    <t>2025 - Removal at BEGONIA PARK (Palm)</t>
  </si>
  <si>
    <t>2025 - Removal at IRVINE TERRACE PARK (Pear)</t>
  </si>
  <si>
    <t>2025 - Removals at 1507 BAYADERE TER</t>
  </si>
  <si>
    <t>2025 - Service Request 27 PT LOMA DR</t>
  </si>
  <si>
    <t>2025 - Service Request at 434 SAN BERNARDINO AVE</t>
  </si>
  <si>
    <t>2025 - Service Request at SPYGLASS HILL PARK (Ash)</t>
  </si>
  <si>
    <t>NEED PAPERWORK 2025 - Removal at 10631 WESTERN</t>
  </si>
  <si>
    <t>(N) 2026 (OctDec) Painter Business Park OA - (3 Year Plan)</t>
  </si>
  <si>
    <t>(N) 2026 (July) Huntington Landmark (2026 July Palm 2nd Trim for Pool Area)</t>
  </si>
  <si>
    <t>(N) 2025 - (AUG/SEP) UCA - (June Service Requests)Revised</t>
  </si>
  <si>
    <t>(N) 2025 - (OCT/DEC) UCA - (June Service Requests)Revised</t>
  </si>
  <si>
    <t>(N) 2025 - (Removals) UCA - (Ron's June Assessment Pt.2)</t>
  </si>
  <si>
    <t>(N) 2025 - (Planting) Beshore Residence - ($0 Go-Ahead to Install 36in Elm)</t>
  </si>
  <si>
    <t>(S) 2027 - (AUG/SEP) Carissa Neighorbood Association - (3 Year Plan)</t>
  </si>
  <si>
    <t>(S) 2027 - (OCT/DEC) Carissa Neighorbood Association - (4 Year Plan)</t>
  </si>
  <si>
    <t>(S) 2028 - (AUG/SEP) Carissa Neighorbood Association - (3 Year Plan)</t>
  </si>
  <si>
    <t>(S) 2028 - (OCT/DEC) Carissa Neighorbood Association - (4 Year Plan)</t>
  </si>
  <si>
    <t>(N) 2025 (AprJun) St. Augustine I - (3 Year Plan)</t>
  </si>
  <si>
    <t>[TREATMENT] (N) 2025 - (JUL/SEP) Mariners Church - (Eucalyptus Treatment)</t>
  </si>
  <si>
    <t>(S) 2025 - (AUG/SEP) Parkside Property Owners Association - (Lexington Go Back ID 13)</t>
  </si>
  <si>
    <t>(S) 2025 - (AUG/SEP) Parkside Property Owners Association - (Parkside Master Chinese Pistache)</t>
  </si>
  <si>
    <t>(S) 2025 - (OCT/DEC) Woodbridge Parkway Maint. Assoc.- ID 572; WO XN5527388)</t>
  </si>
  <si>
    <t>Pacific Development Group</t>
  </si>
  <si>
    <t>(N) 2025 - (Apr/Jun) Pacific Development - Torrance - (2025 Recs)</t>
  </si>
  <si>
    <t>(N) 2025 - (OCT/DEC) Pacific Development - Torrance - (2025 Recs)</t>
  </si>
  <si>
    <t>(N) 2025 - (APR/JUN) Garden House Association - (3 Year Plan)</t>
  </si>
  <si>
    <t>(N) 2025 - (Removal) Garden House Association - (Removal ID 1)</t>
  </si>
  <si>
    <t>(S) 2025 - (Removal) Sheridan Maintenance Association - (WO 12506-3141 Removal ID 18)</t>
  </si>
  <si>
    <t>(N) 2025 (Removal) Huntington Landmark - (Removal ID 96)</t>
  </si>
  <si>
    <t>2025 - Huntington Landmark - (Ficus Building Clearance)</t>
  </si>
  <si>
    <t>2025 - Huntington Landmark - (Removal ID 106)</t>
  </si>
  <si>
    <t>TREATMENT (N) 2025 (AugSep) Huntington Landmark - (Ficus Treatment)</t>
  </si>
  <si>
    <t>TREATMENT (N) 2025 (AugSep) Huntington Landmark - (Pine Stone Treatment)</t>
  </si>
  <si>
    <t>(S) 2025 - (Removals &amp; Apr/Jun) Tuscany at Foothill Ranch - (Several WO Rec's)</t>
  </si>
  <si>
    <t>(S) 2025 - (Removals) Canyons Edge Community Association - (Revised LS Walk Removal Deliverables)</t>
  </si>
  <si>
    <t>2025 - Trimming at Irvine Animal Center</t>
  </si>
  <si>
    <t>2025 - Trimming at Jeffrey Rd (med) - Remaining</t>
  </si>
  <si>
    <t>2025 - Trimming on Barranca (south)- Remaining</t>
  </si>
  <si>
    <t>5%? (S) 2026 - (AUG/SEP) Irvine Wildflower HOA - (3 Year Plan)</t>
  </si>
  <si>
    <t>5%? (S) 2027 - (AUG/SEP) Irvine Wildflower HOA - (3 Year Plan)</t>
  </si>
  <si>
    <t>2025 - C-3 Palms</t>
  </si>
  <si>
    <t>2025 - D-3 Palms</t>
  </si>
  <si>
    <t>2025 - D-4 Palms</t>
  </si>
  <si>
    <t>2025 - E-4 Palms</t>
  </si>
  <si>
    <t>2025 - E-5 Palms</t>
  </si>
  <si>
    <t>2025 - F-4 Palms</t>
  </si>
  <si>
    <t>2025 - F-5 Palms</t>
  </si>
  <si>
    <t>2025 - H-3 Palms</t>
  </si>
  <si>
    <t>2025 - Palm Skinning at NEWPORT BLVD</t>
  </si>
  <si>
    <t>2025 - Removal at 2900 FIFTH AVE</t>
  </si>
  <si>
    <t>(N) 2025 - (Removal) Ocean View Elementary - (ID 6)</t>
  </si>
  <si>
    <t>(S) 2025 - (JUNE) Willow Glen Serrano HOA - (4 Year Plan)</t>
  </si>
  <si>
    <t>5%? (S) 2026 - (JUNE) Willow Glen Serrano HOA - (4 Year Plan)</t>
  </si>
  <si>
    <t>5%? (S) 2026 - (OCT/DEC) Willow Glen Serrano HOA - (4 Year Plan)</t>
  </si>
  <si>
    <t>5%? (S) 2027 - (JUNE) Willow Glen Serrano HOA - (4 Year Plan)</t>
  </si>
  <si>
    <t>5%? (S) 2028 - (JUNE) Willow Glen Serrano HOA - (4 Year Plan)</t>
  </si>
  <si>
    <t>5%? (S) 2028 - (OCT/DEC) Willow Glen Serrano HOA - (4 Year Plan)</t>
  </si>
  <si>
    <t>(S) 2025 - (Removals &amp; Aug/Sep) Woodbridge Parkway - (2025 Additional Recs)</t>
  </si>
  <si>
    <t>(S) 2025 - (Removals) Palm Gardens Community Association (Revised Jacaranda Removals)</t>
  </si>
  <si>
    <t>(N) 2025 - (AUG/SEP) Huntington Landmark - (Ficus Building Clearance)</t>
  </si>
  <si>
    <t>(N) 2025 - (OCT/DEC) Huntington Landmark - (Safety Prune IDs 97-100)</t>
  </si>
  <si>
    <t>(N) 2025 - (REMOVAL) Huntington Landmark - (ID 106)</t>
  </si>
  <si>
    <t>(S) 2025 - (Removal &amp; Aug/Sep) Woodbridge Seasons Maintenance (LS Walk Deliverables)</t>
  </si>
  <si>
    <t>[TREATMENT] (S) 2025 - (JUL/SEP) Serrano Woods HOA - (Add'tl 17 Paropsine Beetle Treatment)</t>
  </si>
  <si>
    <t>(S) 2025 - (Removal) Village Park Community (Pine; ID 43)</t>
  </si>
  <si>
    <t>(S) 2025 - (Removals) Village Park Community (Various Removals)</t>
  </si>
  <si>
    <t>(S) 2025 - (AUG/SEP &amp; Removal) The Oaks at Lake Forest HOA - (Trim &amp; Removal Deliverables)</t>
  </si>
  <si>
    <t>[TREATMENT] (S) 2025 - (AUG/SEP) The Old Trabuco Highlands - (Eucalyptus Paropsine Beetle Treatment)</t>
  </si>
  <si>
    <t>(N) 2025 - (APR/JUN) Garden House Association - (Missed tree blocked by car)</t>
  </si>
  <si>
    <t>(S) 2025 - (Removals) Sedona Association - (ID 4-5; Pine Removals)</t>
  </si>
  <si>
    <t>Tidemark Real Estate Services</t>
  </si>
  <si>
    <t>(S) 2025 - (Root Pruning) Laguna Niguel Business Center (Liquidambar ID 10)</t>
  </si>
  <si>
    <t>2025 - City of San Clemente (CI Palm Removals)</t>
  </si>
  <si>
    <t>2025 - Mothers Beach (Palm Removal)</t>
  </si>
  <si>
    <t>2025 - Queen Mary (Palms/ Selective Broadleaves)</t>
  </si>
  <si>
    <t>2025 - Trimming on W Paseo De Cristobal (100 &amp; 200 Blocks)</t>
  </si>
  <si>
    <t>[TREATMENT] (S) 2025 - (AUG/SEP) La Mancha in Mission Viejo - (Revised Eucalyptus Paropsine Treatment)</t>
  </si>
  <si>
    <t>(S) 2025 - (SEP/NOV) Campus Plaza (Fall Trimming: University)</t>
  </si>
  <si>
    <t>(S) 2025 - PLAZA VISTA K-8 SCHOOL - (FY 25/26 Trimming)</t>
  </si>
  <si>
    <t>(S) 2025 - (Removal) Village Park Community - (ID 356)</t>
  </si>
  <si>
    <t>more work (S) 2025 - (APR/JUN) Bowen Court Maintenance Association - (Revised Cypress Trimming)</t>
  </si>
  <si>
    <t>(N) 2025 - Promontory Pointe HOA - (9/5 CREW RENTAL)</t>
  </si>
  <si>
    <t>(S) 2025 - (OCT/DEC) Garden Homes Maintenance Association - (14 Mill Creek) (Revised)</t>
  </si>
  <si>
    <t>(S) 2025 - (OCT/DEC) Indian Hill (Revised 3 Year Plan)</t>
  </si>
  <si>
    <t>(N) 2025 - (Removals) Campobello HOA - (ID 48, 54-55)</t>
  </si>
  <si>
    <t>(S) 2025 - (Aug/Sep &amp; Oct/Dec) Vantis Maintenance Corporation (Revised WO XN23501095 4 Year Plan)</t>
  </si>
  <si>
    <t>(N) 2025 - (Removals) Cypress Village Master Association - (2025 Euc Removals)</t>
  </si>
  <si>
    <t>(S) 2025 - (Stump Grinding) Woodside Irvine HOA - (ID 121)</t>
  </si>
  <si>
    <t>[TREATMENT] (S) 2025 - (JUL/SEP) Vista Pointe Ridge - (Soil Sample)</t>
  </si>
  <si>
    <t>2025 - Trimming at City Hall</t>
  </si>
  <si>
    <t>2025 - Grid 9 (All Trees)</t>
  </si>
  <si>
    <t>(S) 2025 - (Removals) Flores Los Alisos - (ID 5 &amp; 7)</t>
  </si>
  <si>
    <t>(N) 2025 - (Removal) Huntington Seacliff School - (ID 9)</t>
  </si>
  <si>
    <t>(S) 2025 - EARLY CHILDHOOD LEARNING CENTER - (FY 25/26 Trimming)</t>
  </si>
  <si>
    <t>(S) 2025 - (JUL/SEP) Bowen Court Maintenance Association - ($0 Go-Ahead)</t>
  </si>
  <si>
    <t>(N) 2025 - (AUG/SEP) LB South Street LLC - (Revised 2025 Recs)</t>
  </si>
  <si>
    <t>(S) 2025 - (AUG/SEP) The Vineyards at Foothill Ranch - (WO XN5533239; 3 Year Plan)</t>
  </si>
  <si>
    <t>(S) 2025 - (Removals) The Old Trabuco Highlands (4 Year Plan)</t>
  </si>
  <si>
    <t>(S) 2026 - (APR/JUN) Vista de Oro Homeowners Association - (3 Year Plan)</t>
  </si>
  <si>
    <t>(S) 2026 - (OCT/JAN) Vista de Oro Homeowners Association - (3 Year Plan)</t>
  </si>
  <si>
    <t>5%? (S) 2027 - (APR/JUN) Vista de Oro Homeowners Association - (3 Year Plan)</t>
  </si>
  <si>
    <t>5%? (S) 2027 - (OCT/JAN) Vista de Oro Homeowners Association - (3 Year Plan)</t>
  </si>
  <si>
    <t>5%? (S) 2028 - (APR/JUN) Vista de Oro Homeowners Association - (3 Year Plan)</t>
  </si>
  <si>
    <t>5%? (S) 2028 - (OCT/JAN) Vista de Oro Homeowners Association - (3 Year Plan)</t>
  </si>
  <si>
    <t>(S) 2025 - (AUG/SEP) Dana Bluffs Homeowners Association (Eucalyptus Paropsine Treatment)</t>
  </si>
  <si>
    <t>(S) 2025 - (AUG/SEP) Dana Bluffs Homeowners Association (Revise Various Cut Bushes Crew Rental)</t>
  </si>
  <si>
    <t>(S) 2025 - (Removals &amp; Oct/Dec) Dana Bluffs Homeowners Association (Fuel Mods Trimming &amp; Removals)</t>
  </si>
  <si>
    <t>(S) 2025 - (OCT/DEC) Alicia Center Company Honali (2025 Palm Trimming)</t>
  </si>
  <si>
    <t>(N) 2025 - Anaheim High School (FY 24/25 Trimming)</t>
  </si>
  <si>
    <t>(N) 2025 - Ball Jr High (FY 25/26 Tree Maintenance)</t>
  </si>
  <si>
    <t>(N) 2025 - Brookhurst Jr High (FY 25/26 Trimming)</t>
  </si>
  <si>
    <t>(N) 2025 - Cypress High School (FY 25/26 Tree Maintenance)</t>
  </si>
  <si>
    <t>(N) 2025 - Dale Jr High (FY 25/26 Tree Maintenance)</t>
  </si>
  <si>
    <t>(N) 2025 - District Office (FY 25/26 Tree Maintenance)</t>
  </si>
  <si>
    <t>(N) 2025 - Hope School (FY 25/26 Tree Maintenance)</t>
  </si>
  <si>
    <t>(N) 2025 - Katella High School (FY 25/26 Tree Maintenance)</t>
  </si>
  <si>
    <t>(N) 2025 - Kennedy Highschool (FY 25/26 Tree Maintenance)</t>
  </si>
  <si>
    <t>(N) 2025 - Lexington Jr High (FY 25/26 Tree Maintenance)</t>
  </si>
  <si>
    <t>(N) 2025 - Loara High School (FY 25/26 Tree Maintenance)</t>
  </si>
  <si>
    <t>(N) 2025 - Magnolia High School (FY 25/26 Tree Maintenance)</t>
  </si>
  <si>
    <t>(N) 2025 - Orangeview Jr. High (FY 25/26 Tree Maintenance)</t>
  </si>
  <si>
    <t>(N) 2025 - Oxford Academy (FY 25/26 Tree Maintenance)</t>
  </si>
  <si>
    <t>(N) 2025 - Savanna High School (FY 25/26 Tree Maintenance)</t>
  </si>
  <si>
    <t>(N) 2025 - South Junior High School (FY 25/26 Tree Maintenance)</t>
  </si>
  <si>
    <t>(N) 2025 - Sycamore Jr High (FY 25/26 Tree Maintenance)</t>
  </si>
  <si>
    <t>(N) 2025 - Trident Education Center (FY 25/26 Tree Maintenance)</t>
  </si>
  <si>
    <t>(N) 2025 - Walker Jr. High (FY 25/26 Tree Maintenance)</t>
  </si>
  <si>
    <t>(N) 2025 - Western High School (FY 25/26 Tree Maintenance)</t>
  </si>
  <si>
    <t>(S) 2025 - (AUG/SEP) Irvine Wildflower HOA - (Missed trees due to parked cars)</t>
  </si>
  <si>
    <t>(S) 2025 - (OCT/DEC) Good Shepherd Lutheran Church - (3 Year Plan)</t>
  </si>
  <si>
    <t>[TREATMENT] (S) 2026 - (JUNE) Willow Glen Serrano HOA - (Paropsine Annual Treatment Plan)</t>
  </si>
  <si>
    <t>(S) 2025 - (Sep) Tustin Ranch Shadowbrook HOA - (WO XN5678207)</t>
  </si>
  <si>
    <t>(N) 2025 - (Removal) Casitas Californias Townhouses Assoc - (ID 1)</t>
  </si>
  <si>
    <t>2025 - D-4 (Broadleaves)</t>
  </si>
  <si>
    <t>2025 - E-5 (Broadleaves)</t>
  </si>
  <si>
    <t>2025 - G-3 (Broadleaves)</t>
  </si>
  <si>
    <t>2025 - G-6 (Broadleaves)</t>
  </si>
  <si>
    <t>2025 - F-5 (Broadleaves)</t>
  </si>
  <si>
    <t>2025 - F-6 (Broadleaves)</t>
  </si>
  <si>
    <t>2025 - G-4 (Broadleaves)</t>
  </si>
  <si>
    <t>2025 - G-5 (Broadleaves)</t>
  </si>
  <si>
    <t>2025 - H-3 (Broadleaves)</t>
  </si>
  <si>
    <t>(S) 2025 - (Removals) Village Park Community - (2025 Removals)</t>
  </si>
  <si>
    <t>[TREATMENT] (N) 2025 - (OCT/DEC) Fullerton College - (Treatment Bid)</t>
  </si>
  <si>
    <t>[TREATMENT] (N) 2026 - (JAN/MAR) Fullerton College - (Treatment Bid)</t>
  </si>
  <si>
    <t>(S) 2025 - (Oct/Dec) Parkside Property Owners Association - (Pine Eldarica Corrective Prune)</t>
  </si>
  <si>
    <t>(S) 2026 - (APR/JUN) Woodbridge Parkway Maint. Assoc. - (3 Year Plan)</t>
  </si>
  <si>
    <t>(S) 2026 - (Jan/Mar &amp; Removals) Woodbridge Parkway Maint. Assoc. - (3 Year Plan)</t>
  </si>
  <si>
    <t>(S) 2026 - (OCT/DEC) Woodbridge Parkway Maint. Assoc. - (3 Year Plan)</t>
  </si>
  <si>
    <t>(S) 2027 - (Apr/Jun &amp; Removals) Woodbridge Parkway Maint. Assoc. - (3 Year Plan)</t>
  </si>
  <si>
    <t>(S) 2027 - (OCT/DEC) Woodbridge Parkway Maint. Assoc. - (3 Year Plan)</t>
  </si>
  <si>
    <t>(S) 2028 - (APR/JUN) Woodbridge Parkway Maint. Assoc. - (3 Year Plan)</t>
  </si>
  <si>
    <t>(S) 2028 - (JAN/MAR) Woodbridge Parkway Maint. Assoc. - (3 Year Plan)</t>
  </si>
  <si>
    <t>(S) 2028 - (OCT/DEC) Woodbridge Parkway Maint. Assoc. - (3 Year Plan)</t>
  </si>
  <si>
    <t>HOLD (S) 2025 - (AUG/SEP &amp; Removal) The Oaks at Lake Forest HOA - (Trim &amp; Removal Deliverables)</t>
  </si>
  <si>
    <t>(S) 2025 - (Removal) California Renaissance (ID 24)</t>
  </si>
  <si>
    <t>(N) 2025 - (AUG/SEP) Huntington Landmark - (Additional Trimming Recs)</t>
  </si>
  <si>
    <t>(N) 2025 - (AUG/SEP) Huntington Landmark - (Crown Reduce ID 116)</t>
  </si>
  <si>
    <t>(N) 2025 - (Removal) Huntington Landmark - (ID 16)</t>
  </si>
  <si>
    <t>(N) 2025 - (Removal) Huntington Landmark - (Priority 3 Silk Oak ID 110)</t>
  </si>
  <si>
    <t>(N) 2025 - (Removals) Huntington Landmark - (Priority 1 Silk Oak Removals)</t>
  </si>
  <si>
    <t>(N) 2025 - (Removals) Huntington Landmark - (Priority 2 Silk Oak Removals)</t>
  </si>
  <si>
    <t>[TREATMENT] (N) 2025 - (AUG/SEP) Signal Hill Collections HOA - (Cypress Treatment)</t>
  </si>
  <si>
    <t>(S) 2025 - (Removals) 130 Vantis, LLC - (Revised 2025 Removals)</t>
  </si>
  <si>
    <t>(N) 2025 - (AUG/SEP) UCA - (Ron's Zone 2 Tree Assessment- August)</t>
  </si>
  <si>
    <t>(S) 2025 - (Oct/Dec &amp; Removal) UCA - (Removal ID 1775 and Trim ID 1859)</t>
  </si>
  <si>
    <t>(S) 2025 - (Removal) UCA - (GSTS ID 220/UCA ID 330)</t>
  </si>
  <si>
    <t>(S) 2025 - (Removals) Brian Taber Residence's - (Palm Bulk Removals)</t>
  </si>
  <si>
    <t>(N) 2025 - (OCT/DEC) Tustin Ranch Shadowbrook HOA - (WO XN5781238)</t>
  </si>
  <si>
    <t>(N) 2025 - (Removals) La Montana Maint. Corp. - (2025 Removals)</t>
  </si>
  <si>
    <t>(N) 2025 - (Sep) Tustin Ranch Shadowbrook HOA - (WO XN5678207)</t>
  </si>
  <si>
    <t>(S) 2025 - (AUG/SEP) Rancho Monterey (3 Year Plan)</t>
  </si>
  <si>
    <t>(S) 2025 - (JAN/MAR) Rancho Monterey (3 Year Plan)</t>
  </si>
  <si>
    <t>(S) 2025 - (Removals) HOA - (3 Year Removal Plan)</t>
  </si>
  <si>
    <t>(S) 2025 - (JAN/MAY) Presidential Heights II - (3 Year Plan)</t>
  </si>
  <si>
    <t>(S) 2025 - (JUNE) Presidential Heights II - (3 Year Plan)</t>
  </si>
  <si>
    <t>(S) 2025 - (OCT/DEC) Whispering Hills Community Association (WO 12509-3895 SLR)</t>
  </si>
  <si>
    <t>(S) 2025 - (Removals) Sansovino Neighborhood Corporation - (Removal IDs 15-21)</t>
  </si>
  <si>
    <t>(S) 2025 - (SEP) Skyview Community Association - (Limb Removal Over House)</t>
  </si>
  <si>
    <t>(N) 2025 - (Oct/Dec &amp; Removals) Huntington Landmark - (L/S Deliverables)</t>
  </si>
  <si>
    <t>(S) 2025 - (Removal) Seacove Place HOA - (ID 48)</t>
  </si>
  <si>
    <t>(S) 2025 - (Removal) Vista de Oro Homeowners Association (WO 73302 ID 75)</t>
  </si>
  <si>
    <t>(S) 2025 - (Removal) Vista de Oro Homeowners Association (WO 73304 ID 76)</t>
  </si>
  <si>
    <t>(S) 2025 - (Removals) Seacove Place HOA - (Revised Various Removals)</t>
  </si>
  <si>
    <t>[TREATMENT] (N) 2026 - (APR/JUN) Aragon Maintenance HOA - (Spring Cypress Treatment)</t>
  </si>
  <si>
    <t>(S) 2025 - (AUG/SEP) Dana Bluffs Homeowners Association (V-Ditch Crew Rental)</t>
  </si>
  <si>
    <t>2025 - Alamitos Heights Park (Poplar Removal)</t>
  </si>
  <si>
    <t>2025 - Alamitos Heights Parks (Years of Growth Trimming)</t>
  </si>
  <si>
    <t>2025 - Coral Treatment (Basin 7-72ND Park)</t>
  </si>
  <si>
    <t>(S) 2025 - (OCT/DEC) Tustin Ranch Shadowbrook HOA - (WO XN5781238)</t>
  </si>
  <si>
    <t>(S) 2025 - (Removals) La Montana Maint. Corp. - (2025 Removals)</t>
  </si>
  <si>
    <t>(S) 2025 - (Removal) UCA - (ID 1775)</t>
  </si>
  <si>
    <t>Sample Prune (S) 2025 - (Oct/Dec) San Simeon Maintenance Association - (2025 Recs)</t>
  </si>
  <si>
    <t>(N) 2025 - (Removal) Emery Elementary (ID 8; Client Requested Removals)</t>
  </si>
  <si>
    <t>(N) 2025 - (Removals) Emery Elementary (GSTS Recommended Removal)</t>
  </si>
  <si>
    <t>(N) 2025 - CSULB (Parking Lot Planting)</t>
  </si>
  <si>
    <t>(S) 2025 - (Removal) Lake Forest (Woods) - (ID 308)</t>
  </si>
  <si>
    <t>(N) 2025 - (OCT/DEC) Somerset Cottages I (SCO1) - (3 Year Plan)</t>
  </si>
  <si>
    <t>(S) 2025 - SIERRA VISTA MIDDLE SCHOOL - (FY 25/26 Trimming)</t>
  </si>
  <si>
    <t>(S) 2025 - WESTWOOD TRAINING CENTER - (FY 25/26 Trimming)</t>
  </si>
  <si>
    <t>(N) 2025 - (AUG/SEP) La Verne Business Park (Phase 2) - (Additional Oak Trimming Recs)</t>
  </si>
  <si>
    <t>(N) 2025 - (OCT/DEC) The Pike Garage (Laz Parking) - (2025 Reccommendations)</t>
  </si>
  <si>
    <t>(N) 2025 - (Removal) Coyote Hills Bluffs HOA (ID 223)</t>
  </si>
  <si>
    <t>(N) 2025 - (Removal) Coyote Hills Bluffs HOA (ID 51)</t>
  </si>
  <si>
    <t>(N) 2025 - (Removals) Coyote Hills Bluffs HOA - (2025 Removals)</t>
  </si>
  <si>
    <t>(N) 2026 - (JAN/MAR) Coyote Hills Bluffs HOA - (2026 Recommendations)</t>
  </si>
  <si>
    <t>[TREATMENT] (N) 2025 - (AUG/SEP) Coyote Hills Bluffs HOA (Eucalyptus Paropsine Treatment)</t>
  </si>
  <si>
    <t>[TREATMENT] (N) 2026 - (APR/JUN) Coyote Hills Bluffs HOA - (2026 Eucalyptus Treatment)</t>
  </si>
  <si>
    <t>[TREATMENT] (N) 2026 - (OCT/DEC) Coyote Hills Bluffs HOA - (2026 Eucalyptus Treatment)</t>
  </si>
  <si>
    <t>(N) 2025 - (OCT/DEC) Promontory Pointe HOA - (Revised Fall Trimming)</t>
  </si>
  <si>
    <t>(N) 2025 - (Removal) Park Terrace Village - (ID 4)</t>
  </si>
  <si>
    <t>(N) 2025 - (Removal) Park Terrace Village - (ID 5)</t>
  </si>
  <si>
    <t>(N) 2026 - (APR/JUN) Newport Crest HOA - (2026 Recommendations)</t>
  </si>
  <si>
    <t>(N) 2026 - (JAN/MAR) Newport Crest HOA - (2026 Recommendations)</t>
  </si>
  <si>
    <t>(N) 2026 - (JUL/SEP) Newport Crest HOA - (2026 Recommendations)</t>
  </si>
  <si>
    <t>(S) 2025 - (Jan/Mar &amp; Aug/Sep) Briarcliff HOA - (4-Year Tree Maintenance Plan)</t>
  </si>
  <si>
    <t>(S) 2025 - (Removals) Briarcliff HOA - (2025 Removals)</t>
  </si>
  <si>
    <t>(S) 2025 - (Removals) The Vineyards at Foothill Ranch - (2025 Removals)</t>
  </si>
  <si>
    <t>(S) 2025 - (Removals) Rancho Monterey (2025 Removals)</t>
  </si>
  <si>
    <t>(S) 2026 - (JAN/MAR) Rancho Monterey (3 Year Plan)</t>
  </si>
  <si>
    <t>(N) 2025 - (AUG/SEP) Smoketree HOA - ANAHEIM - (25/26 Recommendations)</t>
  </si>
  <si>
    <t>(S) 2025 - (Jan/Mar &amp; Aug/Sep) Greystone HOA (2025 Snapshot)</t>
  </si>
  <si>
    <t>(N) 2025 - (Oct/Dec &amp; Removals) Tennis Estates - (2025 Recommendations)</t>
  </si>
  <si>
    <t>(S) 2025 - (OCT/DEC) San Remo Rec Center (3 Year Comp Bid)</t>
  </si>
  <si>
    <t>SCHEDULE IN SPRING (N) 2026 - (OCT/DEC) Signal Hill Collections HOA - (2025 Recommendations)</t>
  </si>
  <si>
    <t>[TREATMENT] (S) 2025 - (JUL/SEP) Serrano Woods HOA (Sycamores PSHB Treatment)</t>
  </si>
  <si>
    <t>2025 - Planting on Venta Spur Trail</t>
  </si>
  <si>
    <t>2025 - Palms at West Paseo De Cristobal</t>
  </si>
  <si>
    <t>2025 - Trimming at 1715 Calle Alcatraz</t>
  </si>
  <si>
    <t>2025 - Trimming at 211 Calle Marina</t>
  </si>
  <si>
    <t>2025 - Removal at Santa Gertrudes Cir</t>
  </si>
  <si>
    <t>2025 - Removal at Toucan Ave</t>
  </si>
  <si>
    <t>2025 - Grid 8 (All Trees)</t>
  </si>
  <si>
    <t>2025 - Grid 8 (Coronet Park)</t>
  </si>
  <si>
    <t>(S) 2025 - (Removal) Northpark Maintenance HOA (Street Trees) - (ID 379)</t>
  </si>
  <si>
    <t>(S) 2026 - (Jan/Mar &amp; Removals) Northpark Maintenance Wind Row - (2026 Recommendations)</t>
  </si>
  <si>
    <t>(S) 2026 - (Jan/Feb) Newport Glen Townhomes - (25/26 Recomendations)</t>
  </si>
  <si>
    <t>(S) 2025 - (Removal) Oak Creek Village Maintenance Master (OCR) (ID 237)</t>
  </si>
  <si>
    <t>(S) 2025 - (Removal) Pacific Hills East (ID 71)</t>
  </si>
  <si>
    <t>(S) 2025 - (Removal) Pacific Hills East - (68 Cantata Recs; ID 70)</t>
  </si>
  <si>
    <t>(S) 2025 - (Removal) Pacific Hills HOA (PACH) - (ID 217)</t>
  </si>
  <si>
    <t>(S) 2025 - (Removals) Pacific Hills East - (IDs 42 &amp; 50)</t>
  </si>
  <si>
    <t>(S) 2025 - (SEP/NOV) Bayside Center (Pine Tree Crown Reduction)</t>
  </si>
  <si>
    <t>(S) 2025 - IRVINE HIGH SCHOOL - (FY 25/26 Trimming)</t>
  </si>
  <si>
    <t>(S) 2026 - (JAN/MAR) Rancho Monterey (3 Year Plan) (CO 24357)</t>
  </si>
  <si>
    <t>(S) 2025 - (APR/JUN) Sheridan Maintenance - Revised (4 Year Plan)</t>
  </si>
  <si>
    <t>(S) 2025 - (AUG/OCT) Villas at Aliso Viejo - (24/25 Recommendations)</t>
  </si>
  <si>
    <t>(S) 2025 - (Aug/Sep) Newport Palisades (Add'tl 2025 Trimming Recs)</t>
  </si>
  <si>
    <t>(S) 2025 - (OCT/DEC) Sheridan Maintenance - Revised (4 Year Plan)</t>
  </si>
  <si>
    <t>(S) 2025 - (Removals) Newport Palisades (Close to Bldg Removals)</t>
  </si>
  <si>
    <t>(S) 2025 - (Removals) Newport Palisades (Cypress Removals)</t>
  </si>
  <si>
    <t>(S) 2025 - (OCT/DEC) Talega Gallery Community Association</t>
  </si>
  <si>
    <t>(S) 2025 - (Removals) Cypress Village Master Association - (2025 Euc Removals)</t>
  </si>
  <si>
    <t>(N) 2025 - (Stump Grinding) Concorde Place - CERRITOS - (Stump Removals)</t>
  </si>
  <si>
    <t>2025 - Citywide Planting (OCT)</t>
  </si>
  <si>
    <t>(S) 2026 - (APR/JUN) Sheridan Maintenance - Revised (4 Year Plan)</t>
  </si>
  <si>
    <t>(S) 2025 - (Oct/Dec &amp; Removals) UCA - (Ron's Zone 1 Assessment- November)</t>
  </si>
  <si>
    <t>(S) 2026 - (APR/JUL) UCA - (3 Year Plan)</t>
  </si>
  <si>
    <t>8% (S) 2026 - (AUG/SEP) UCA - (3 Year Plan)</t>
  </si>
  <si>
    <t>8% (S) 2026 - (OCT/DEC) UCA - (3 Year Plan)</t>
  </si>
  <si>
    <t>8% (S) 2027 - (APR/JUN) UCA - (3 Year Plan)</t>
  </si>
  <si>
    <t>8% (S) 2027 - (AUG/SEP) UCA - (3 Year Plan)</t>
  </si>
  <si>
    <t>8% (S) 2027 - (OCT/DEC) UCA - (3 Year Plan)</t>
  </si>
  <si>
    <t>(N) 2025 - (OCT/DEC) Casitas Californias Townhouses Association - (ID 18-19 Cut Off Limbs)</t>
  </si>
  <si>
    <t>2025 - Trimming at University Dr. (north)</t>
  </si>
  <si>
    <t>(S) 2025 - (Removal) Northpark Maintenance HOA (Street Trees) - (ID 380)</t>
  </si>
  <si>
    <t>(S) 2025 - (OCT/DEC) Monarch Bay - (4 Year Plan)</t>
  </si>
  <si>
    <t>8% (S) 2026 - (OCT/DEC) Monarch Bay - (4 Year Plan)</t>
  </si>
  <si>
    <t>8% (S) 2027 - (OCT/DEC) Monarch Bay - (4 Year Plan)</t>
  </si>
  <si>
    <t>8% (S) 2028 - (OCT/DEC) Monarch Bay - (4 Year Plan)</t>
  </si>
  <si>
    <t>[TREATMENT] (S) 2025 - (OCT/DEC) Tustin Ranch Shadowbrook HOA (Eucalyptus Annual Paropsine Beetle)</t>
  </si>
  <si>
    <t>(N) 2025 - (OCT/DEC) Tustin Verdes HOA - (ID 3, Silk Oak)</t>
  </si>
  <si>
    <t>(S) 2025 - (Removal) Serrano Woods HOA - (ID 118; RFC &amp; Stump Grind)</t>
  </si>
  <si>
    <t>2025 - Trimming at University Dr. (medians)</t>
  </si>
  <si>
    <t>2025 - Trimming at University Dr. (south)</t>
  </si>
  <si>
    <t>2025 - Trimming at TONY LAM PARK</t>
  </si>
  <si>
    <t>(S) 2025 - (Removals) Casafina HOA - (2025 Removals)</t>
  </si>
  <si>
    <t>(S) 2026 - (APR/JUN) Casafina HOA - (3 Year Plan)</t>
  </si>
  <si>
    <t>(S) 2026 - (AUG/SEP) Casafina HOA - (3 Year Plan)</t>
  </si>
  <si>
    <t>(S) 2026 - (JAN/MAR) Casafina HOA - (3 Year Plan)</t>
  </si>
  <si>
    <t>(S) 2026 - (OCT/DEC) Casafina HOA - (3 Year Plan)</t>
  </si>
  <si>
    <t>8% (S) 2027 - (APR/JUN) Casafina HOA - (3 Year Plan)</t>
  </si>
  <si>
    <t>8% (S) 2027 - (AUG/SEP) Casafina HOA - (3 Year Plan)</t>
  </si>
  <si>
    <t>8% (S) 2027 - (JAN/MAR) Casafina HOA - (3 Year Plan)</t>
  </si>
  <si>
    <t>8% (S) 2027 - (OCT/DEC) Casafina HOA - (3 Year Plan)</t>
  </si>
  <si>
    <t>HOLD (N) 2025 - (OCT/DEC) Tustin Verdes HOA - (ID 3, Silk Oak)</t>
  </si>
  <si>
    <t>(S) 2026 - (APR/JUN) Stonetree Manor - (PRO455-10877) - (3 Year Plan)</t>
  </si>
  <si>
    <t>(S) 2026 - (OCT/DEC) Stonetree Manor (PRO455-10877) - (3 Year Plan)</t>
  </si>
  <si>
    <t>8% (S) 2027 - (APR/JUN) Stonetree Manor (PRO455-10877) - (3 Year Plan)</t>
  </si>
  <si>
    <t>8% (S) 2027 - (OCT/DEC) Stonetree Manor (PRO455-10877) - (3 Year Plan)</t>
  </si>
  <si>
    <t>8% (S) 2028 - (APR/JUN) Stonetree Manor (PRO455-10877) - (3 Year Plan)</t>
  </si>
  <si>
    <t>Brown and Company Mgmt. Services</t>
  </si>
  <si>
    <t>8% (S) 2026 - (OCT/DEC) Sycamore Plaza - (4 Year Plan)</t>
  </si>
  <si>
    <t>8% (S) 2027 - (OCT/DEC) Sycamore Plaza - (4 Year Plan)</t>
  </si>
  <si>
    <t>8% (S) 2028 - (OCT/DEC) Sycamore Plaza - (4 Year Plan)</t>
  </si>
  <si>
    <t>(S) 2025 - (Oct/Dec &amp; Removals) Crestline HOA - (WO Recommendations)</t>
  </si>
  <si>
    <t>2025 - Remove and Crown Thin at Alamitos Bay</t>
  </si>
  <si>
    <t>[TREATMENT] (S) 2025 - (JUL/SEP) Chandon HOA (Ficus Treatment Plan)</t>
  </si>
  <si>
    <t>[TREATMENT] (S) 2026 - (APR/JUN) Chandon HOA (Ficus Treatment Plan)</t>
  </si>
  <si>
    <t>[TREATMENT] (S) 2026 - (JAN/MAR) Chandon HOA (Ficus Treatment Plan)</t>
  </si>
  <si>
    <t>(S) 2026 - (JAN/MAR) Northpark Maint HOA - (Eucalyptus Trimming)</t>
  </si>
  <si>
    <t>NEED PERMIT (S) 2025 - (REMOVALS) Northpark Maintenance HOA - (Dudek Removals - Priority 2)</t>
  </si>
  <si>
    <t>NEED PERMIT (S) 2025 - (REMOVALS) Northpark Maintenance HOA - (Dudek Removal Recs- Priority 1)</t>
  </si>
  <si>
    <t>TREATMENT (S) 2025 - (AUG/SEP) Village Park Community-(Nutrition Treatment)</t>
  </si>
  <si>
    <t>(S) 2025 - (OCT/DEC) Rocking Horse Ridge HOA (RHO) - (Crown Reduction Recs)</t>
  </si>
  <si>
    <t>(S) 2025 - (Removal) Northpark Monterey Community HOA - (2025 Removals)</t>
  </si>
  <si>
    <t>(S) 2025 - (Oct/Dec &amp; Removal) Mirador at Rancho Niguel - (2025 Recommendations)</t>
  </si>
  <si>
    <t>(S) 2025 - (OCT/DEC) UCA - (Ron's Zone 1 Assessment- November)</t>
  </si>
  <si>
    <t>(S) 2025 - (Removals) UCA - (Ron's Zone 1 Assessment- November)</t>
  </si>
  <si>
    <t>2026 - Removal at Gene Autry</t>
  </si>
  <si>
    <t>(S) 2025 - (Oct/Dec &amp; Removal) The Arbours Service Corporation (2025 Recommendations)</t>
  </si>
  <si>
    <t>(S) 2025 - (Oct/Dec) Valencia HOA - (Revised 3 Year Plan) (CO 23725)</t>
  </si>
  <si>
    <t>(S) 2025 - (Removals) Valencia Condominiums Association - (Revised 2025 Add'tl Removals)</t>
  </si>
  <si>
    <t>City of Irvine (CI Palm Contract)</t>
  </si>
  <si>
    <t>2024 - Palm Watering/Monitoring (9)</t>
  </si>
  <si>
    <t>(N) 2025 - CSULB (Lot G3 Planting)</t>
  </si>
  <si>
    <t>[TREATMENT] (S) 2025 - (OCT/JAN) Crestline HOA - (Treatment Recs)</t>
  </si>
  <si>
    <t>(S) 2026 - (APR/JUN) Northpark Maint. HOA (Street Trees) - (ID 381 Trimming)</t>
  </si>
  <si>
    <t>(S) 2026 - (Removal) Northpark Maint. HOA (Street Trees) - (ID 382)</t>
  </si>
  <si>
    <t>(S) 2026 - (APR/JUN) Ashford Place Maintenance Association (2 Year Plan)</t>
  </si>
  <si>
    <t>schedule late Jan (S) 2025 - (Oct/Dec &amp; Removals) Ashford Place Maintenance Association - (2 Year Plan)</t>
  </si>
  <si>
    <t>(N) 2025 - Fullerton Community College (2025 Tree Maintenance)</t>
  </si>
  <si>
    <t>(S) 2025 - (Oct/Dec &amp; Removal) Northwood Villas Maintenance Corporation (WO's Srvs, ID 52-53)</t>
  </si>
  <si>
    <t>(S) 2025 - (Oct/Dec &amp; Removals) La Mancha in Mission Viejo - (Removals and Safety Trimming)</t>
  </si>
  <si>
    <t>(S) 2026 - (JAN/MAR) La Mancha in Mission Viejo - (SLR ID 85)</t>
  </si>
  <si>
    <t>(S) 2025 - (Removal) Valencia Condominiums Association - (ID 64)</t>
  </si>
  <si>
    <t>(S) 2026 - (APR/JUN) Laguna Altura - (Revised 2026 Recommendations)</t>
  </si>
  <si>
    <t>(S) 2026 - (APR/JUN) Valencia Condominiums Association - (Revised 4 Year Plan)</t>
  </si>
  <si>
    <t>(S) 2026 - (AUG/SEP) Laguna Altura - (Revised 2026 Recommendations)</t>
  </si>
  <si>
    <t>(S) 2026 - (JAN/MAR) Laguna Altura - (Revised 2026 Recommendations)</t>
  </si>
  <si>
    <t>(S) 2026 - (JAN/MAR) Valencia Condominiums Association - (Revised 4 Year Plan)</t>
  </si>
  <si>
    <t>(S) 2026 - (OCT/DEC) Valencia Condominiums Association - (Revised 4 Year Plan)</t>
  </si>
  <si>
    <t>8%? (S) 2027 - (APR/JUN) Valencia Condominiums Association - (Revised 4 Year Plan)</t>
  </si>
  <si>
    <t>8%? (S) 2027 - (JAN/MAR) Valencia Condominiums Association - (Revised 4 Year Plan)</t>
  </si>
  <si>
    <t>8%? (S) 2028 - (JAN/MAR) Valencia Condominiums Association - (Revised 4 Year Plan)</t>
  </si>
  <si>
    <t>8%? 2028 - (APR/JUN) Valencia Condominiums Association - (Revised 4 Year Plan)</t>
  </si>
  <si>
    <t>(S) 2026 - (Oct/Dec &amp; Removal) Vista Del Cerro HOA - (Revised 2025 Oct/Dec)</t>
  </si>
  <si>
    <t>(S) 2025 - UCI - Extended Day Center (2025 Tree Maintenance)</t>
  </si>
  <si>
    <t>(S) 2025 - UCI – Children's Center (2025 Tree Maintenance)</t>
  </si>
  <si>
    <t>(S) 2025 - UCI – Early Childhood Education (2025 Tree Maintenance)</t>
  </si>
  <si>
    <t>(S) 2025 - UCI – Infant Toddler Center (2025 Tree Maintenance)</t>
  </si>
  <si>
    <t>2024 - Palm Watering/Monitoring (11)</t>
  </si>
  <si>
    <t>(S) 2026 - (APR/JUN) Casitas de Alipaz - (3 Year Trimming Plan)</t>
  </si>
  <si>
    <t>(S) 2026 - (JAN/MAR) Casitas de Alipaz - (3 Year Trimming Plan)</t>
  </si>
  <si>
    <t>2026 - Limb Removal at Rotary Centennial Park</t>
  </si>
  <si>
    <t>2026 - Trim at Cherry Park</t>
  </si>
  <si>
    <t>2026 - Trim at Los Cerritos Park</t>
  </si>
  <si>
    <t>2026 - Grid 19 Broadleaves</t>
  </si>
  <si>
    <t>2025 - Pacific Ranch HOA - (WO XN5705114, Removal ID 231)</t>
  </si>
  <si>
    <t>2025 - Pacific Ranch HOA - (WO XN5951519, ID 238)</t>
  </si>
  <si>
    <t>2025 - Pacific Ranch HOA - (WO XN6072001, ID 240-241)</t>
  </si>
  <si>
    <t>5%? (S) 2026 - (Oct/Jan) San Simeon (Tract 15167) - (Revised 3 Year Plan) (CO 23973)</t>
  </si>
  <si>
    <t>(S) 2026 - (Removal) Northpark Maintenance HOA (Street Trees) - (ID 380)</t>
  </si>
  <si>
    <t>2026 - (REMOVAL) University Community Association - (UCA) - (Removal ID 973)</t>
  </si>
  <si>
    <t>[TREATMENT] (S) 2026 - (AprJun) Crestline HOA</t>
  </si>
  <si>
    <t>2026 - Trim Mexican Fan Palms</t>
  </si>
  <si>
    <t>2026 - Removal at 2391 Orchid Hill (front 1)</t>
  </si>
  <si>
    <t>2026 - Removal at 604 Jasmine Ave</t>
  </si>
  <si>
    <t>2026 - Removal at 711 Poinsettia Ave</t>
  </si>
  <si>
    <t>2026 - Stump Grinding at 600 St James Place</t>
  </si>
  <si>
    <t>order tree 2026 - Planting at 20800 VISTA RIDGE RD (Olive)</t>
  </si>
  <si>
    <t>(S) 2025 - (OCT/DEC) Pacific Hills HOA (PACH) - (Monthly Walk Deliverables)</t>
  </si>
  <si>
    <t>(S) 2026 - (JAN/MAR) Pacific Hills HOA (PACH)</t>
  </si>
  <si>
    <t>(S) 2026 - Pacific Hills HOA (PACH) - (Removal ID 218 &amp; SLR)</t>
  </si>
  <si>
    <t>(S) 2026 - (JAN/MAR) Campus Plaza (Winter Trimming: University)</t>
  </si>
  <si>
    <t>(S) 2026 - (JAN/MAR) Crossroads (CI Palms: University)</t>
  </si>
  <si>
    <t>(S) 2026 - (JAN/MAR) Crossroads (Winter Trimming: University)</t>
  </si>
  <si>
    <t>(S) 2026 - (JAN/MAR) Harvard Place (CI Palms: University)</t>
  </si>
  <si>
    <t>(S) 2026 - (JAN/MAR) Harvard Place (Winter Trimming: University)</t>
  </si>
  <si>
    <t>(S) 2026 - (JAN/MAR) Parkview Center (Winter Trimming: University)</t>
  </si>
  <si>
    <t>(S) 2026 - (JAN/MAR) The Square (Winter Trimming: University)</t>
  </si>
  <si>
    <t>(S) 2026 - (JAN/MAR) University Center (Winter Trimming: University)</t>
  </si>
  <si>
    <t>(S) 2026 - (JAN/MAR) Venture Park (Winter Trimming: University)</t>
  </si>
  <si>
    <t>(S) 2026 - (JAN/MAR) Westpark Plaza (Winter Trimming: University)</t>
  </si>
  <si>
    <t>2026 - (APR/JUN) WoodLake Santa Ana HOA - (2026 Recs)</t>
  </si>
  <si>
    <t>2026 - (JAN/MAR) WoodLake Santa Ana HOA - (2026 Recs)</t>
  </si>
  <si>
    <t>% (S) 2027 - (APR/JUN) Altamar HOA - (3 Year Plan)</t>
  </si>
  <si>
    <t>% (S) 2027 - (OCT/DEC) Altamar HOA - (3 Year Plan)</t>
  </si>
  <si>
    <t>% (S) 2028 - (APR/JUN) Altamar HOA - (3 Year Plan)</t>
  </si>
  <si>
    <t>(S) 2026 - (APR/JUN) Altamar HOA - (3 Year Plan)</t>
  </si>
  <si>
    <t>(S) 2026 - (Removal) Woodbridge Parkway Maint. - (WO XN6126337: ID 575)</t>
  </si>
  <si>
    <t>2026 - La Mancha Townhome Association, Inc. - (ID 172 Treatment)</t>
  </si>
  <si>
    <t>2026 - Tustin Ranch Estates-(Removal ID 19)</t>
  </si>
  <si>
    <t>NOT FULL DAY(N) 2026 - (JAN/MAR) Briarcliff HOA - (WO XN6192642; Trimming)</t>
  </si>
  <si>
    <t>(S) 2026 - Indian Hill - (Removal, ID 6, 16 Sparrow)</t>
  </si>
  <si>
    <t>2026 - Indian Hill-(Removals, ID 19, ID 20)</t>
  </si>
  <si>
    <t>[TREATMENT] (S) 2026 - (APR/JUN) Laguna Altura - (Revised 2026 Various Treatments)</t>
  </si>
  <si>
    <t>[TREATMENT] (S) 2026 - (JAN/MAR) Laguna Altura - (Revised 2026 Various Treatments)</t>
  </si>
  <si>
    <t>2026 - (JAN/MAR) Presidio Community Association - (BC ID 37-39)</t>
  </si>
  <si>
    <t>(S) 2026 - Irvine Spectrum Center - (Untie 2 Palms)</t>
  </si>
  <si>
    <t>% 2027 - (APR/JUN) The Highlands Maintenance Corporation - (3 Year Plan)</t>
  </si>
  <si>
    <t>% 2027 - (JAN/MAR) The Highlands Maintenance Corporation - (3 Year Plan)</t>
  </si>
  <si>
    <t>% 2028 - (APR/JUN) The Highlands Maintenance Corporation - (3 Year Plan)</t>
  </si>
  <si>
    <t>% 2028 - (JAN/MAR) The Highlands Maintenance Corporation - (3 Year Plan)</t>
  </si>
  <si>
    <t>2026 - (APR/JUN) The Highlands Maintenance Corporation - (3 Year Plan)</t>
  </si>
  <si>
    <t>2026 - (JAN/MAR) The Highlands Maintenance Corporation - (3 Year Plan)</t>
  </si>
  <si>
    <t>2026 - Citywide Ficus Trimming</t>
  </si>
  <si>
    <t>2026 - Neighborhood Park Planting</t>
  </si>
  <si>
    <t>2026 - Streetscape Planting</t>
  </si>
  <si>
    <t>2026 - Trimming at Barranca (+Redhill)</t>
  </si>
  <si>
    <t>2026 - Trimming at Jamboree (east)</t>
  </si>
  <si>
    <t>2026 - Trimming at Knollcrest Park</t>
  </si>
  <si>
    <t>2026 - Trimming at Laguna Canyon Rd (medians)</t>
  </si>
  <si>
    <t>2026 - Trimming at Laguna Canyon Rd (south)</t>
  </si>
  <si>
    <t>2026 - Trimming at Lake Forest Dr (medians)</t>
  </si>
  <si>
    <t>2026 - Trimming at Lake Forest Dr (north)</t>
  </si>
  <si>
    <t>2026 - Trimming at Lake Forest Dr (south)</t>
  </si>
  <si>
    <t>2026 - Trimming at Los Olivos Park</t>
  </si>
  <si>
    <t>2026 - Trimming at Quail Hill Pkwy (medians)</t>
  </si>
  <si>
    <t>2026 - Trimming at Quail Hill Pkwy (north)</t>
  </si>
  <si>
    <t>2026 - Trimming at Quail Hill Pkwy (south)</t>
  </si>
  <si>
    <t>2026 - Trimming at Sand Canyon (east)</t>
  </si>
  <si>
    <t>2026 - Trimming at Sand Canyon (west)</t>
  </si>
  <si>
    <t>2026 - Trimming at Von Karmen</t>
  </si>
  <si>
    <t>HOLD 2025 - Grid 8 (All Trees)</t>
  </si>
  <si>
    <t>2026 - Trim Californian fan Palms</t>
  </si>
  <si>
    <t>2026 - Removal at 516 Marigold Ave</t>
  </si>
  <si>
    <t>2026 - Turtle Rock Ridge Garden Homes-(Site Walk Recommendations)</t>
  </si>
  <si>
    <t>2026 - (JAN/MAR) Chandon HOA - (2026 Recommendations)</t>
  </si>
  <si>
    <t>2026 - (JAN/MAR) Chandon HOA-(Client request; Trim 6 trees)</t>
  </si>
  <si>
    <t>2026 - (JUL/SEP) Chandon HOA - (2026 Recommendations)</t>
  </si>
  <si>
    <t>2026 - (TREATMENT) (APR/JUN) Chandon HOA - (Euc Treatment behind 113 Chandon)</t>
  </si>
  <si>
    <t>2026 - Chandon HOA - (2026 Removals)</t>
  </si>
  <si>
    <t>2026 - Chandon HOA - (Giant Bird of Paradise Removals)</t>
  </si>
  <si>
    <t>2026 - (AprJun) Northpark Maintenance HOA (Street Trees) - (2026 Approved Work)</t>
  </si>
  <si>
    <t>2026 - (JanMar) Northpark Maintenance HOA (Street Trees) - (2026 Approved Work)</t>
  </si>
  <si>
    <t>2026 - (JulSep) Northpark Maintenance HOA (Street Trees) - (2026 Approved Work)</t>
  </si>
  <si>
    <t>2026 - (OctDec) Northpark Maintenance HOA (Street Trees) - (2026 Approved Work)</t>
  </si>
  <si>
    <t>2026 - Northpark Maintenance Assoc - (Trimming for Solar Panels)</t>
  </si>
  <si>
    <t>2026 - Monarch Bay - (Permit Fee)</t>
  </si>
  <si>
    <t>2026 - Waterford Pointe Homeowners Association - (Removal ID 1-2)</t>
  </si>
  <si>
    <t>2026 (Jan/Mar) - Mattie Lou Maxwell (FY 25/26 Tree Maintenance)</t>
  </si>
  <si>
    <t>2026 - Skyview Community Association - (Removal ID 37)</t>
  </si>
  <si>
    <t>2026 - Whispering Hills - (Trimming and Removals Bid)</t>
  </si>
  <si>
    <t>% 2027 - (APR/JUN) Laguna Audubon 1 - (3 Year Plan)</t>
  </si>
  <si>
    <t>% 2028 - (APR/JUN) Laguna Audubon 1 - (3 Year Plan)</t>
  </si>
  <si>
    <t>% 2028 - (JAN/MAR) Laguna Audubon 1 - (3 Year Plan)</t>
  </si>
  <si>
    <t>% 2029 - (JAN/MAR) Laguna Audubon 1 - (3 Year Plan)</t>
  </si>
  <si>
    <t>2026 - (APR/JUN) Laguna Audubon 1 - (3 Year Plan)</t>
  </si>
  <si>
    <t>2026 - (JAN/MAR) (TREATMENT) Huntington Landmark - (Olive Treatment)</t>
  </si>
  <si>
    <t>2026 - (TREATMENT) (APR/JUN) Laguna Audubon 1 - (2026 Eucalyptus Treatment)</t>
  </si>
  <si>
    <t>2026 - Laguna Audubon 1 - (Removal ID 32-33)</t>
  </si>
  <si>
    <t>2027 - (JAN/MAR) Laguna Audubon 1 - (3 Year Plan)</t>
  </si>
  <si>
    <t>2026 - (JAN/MAR) Park Aliso Villas -(Revised: 3 Year Plan)</t>
  </si>
  <si>
    <t>2026 - San Simeon (Tract 15167) - (2 Mondrian Trimming)</t>
  </si>
  <si>
    <t>2026 - (PLACEHOLDER) Big Canyon Townhomes Association - (WO XN1612807, PLACEHOLDER)</t>
  </si>
  <si>
    <t>2026 - (JAN/MAR) 2600 Michelson - (2026 Recommendations)</t>
  </si>
  <si>
    <t>2026 - Stump grinding at Marina Green Parking lot</t>
  </si>
  <si>
    <t>2026 - Stump Grinding from emergencies</t>
  </si>
  <si>
    <t>2026 - Grid 6 (Broadmoor) - Broadleaves</t>
  </si>
  <si>
    <t>2026 - Grid 7 ( Harbor View Hills) - Broadleaves</t>
  </si>
  <si>
    <t>2026 - Removal at 2032 Shipway Lane (Front 1 )</t>
  </si>
  <si>
    <t>2026 - (AprJun) Northpark Maintenance HOA (Street Trees) - (2026 Approved Work)CO 24509</t>
  </si>
  <si>
    <t>2026 - Northpark Maintenance HOA (Street Trees)- (2/5 EMERGENCY)</t>
  </si>
  <si>
    <t>2026 - Granada Park - (Phased Removal Plan)Revised</t>
  </si>
  <si>
    <t>2027 - Granada Park - (Phased Removal Plan)Revised</t>
  </si>
  <si>
    <t>2026 - Carefree El Toro Owners Association - (Removal ID 12)</t>
  </si>
  <si>
    <t>2026 - (Removals and SLR) Pacific Shores HOA - (Removals IDs 230-237)</t>
  </si>
  <si>
    <t>2026 - (Treatment) (JAN/MAR) Presidio HOA-Discounted (Olive Treatment)</t>
  </si>
  <si>
    <t>2026 - (JAN/MAR) Vantis Maintenance Corporation - (56 Meridian Drive )</t>
  </si>
  <si>
    <t>2026 - (JanMar &amp; Removals) Canyon Crest-(WO 86320, 2026 Pine Trim &amp; Removals)</t>
  </si>
  <si>
    <t>2026 - Talega Gallery - (Tissue Sample for Palm)</t>
  </si>
  <si>
    <t>2026 - Residential Tree Planting</t>
  </si>
  <si>
    <t>2026 - January Planting List (Received on 1/28/26)</t>
  </si>
  <si>
    <t>2026 - Citywide Elms</t>
  </si>
  <si>
    <t>2026 - SR Trim on Crescent</t>
  </si>
  <si>
    <t>2026 - Grid 5 ( Fashion Island) Broadleaves</t>
  </si>
  <si>
    <t>2026 - Removal at Eastbluff Park (Park 177 )</t>
  </si>
  <si>
    <t>2025 - Ziani HOA (Cypress Treatment Bid)</t>
  </si>
  <si>
    <t>% 2027 - (OCT/DEC) The Vine at Portola Springs - (3 Year Plan)</t>
  </si>
  <si>
    <t>% 2028 - (OCT/DEC) The Vine at Portola Springs - (3 Year Plan)</t>
  </si>
  <si>
    <t>2026 - (OCT/DEC) The Vine at Portola Springs - (3 Year Plan)</t>
  </si>
  <si>
    <t>2026 - The Vine at Portola Springs - (Removal ID 69)</t>
  </si>
  <si>
    <t>Moog Aircraft Group</t>
  </si>
  <si>
    <t>2026 (Removal) - Moog Aircraft Group (Jacaranda Removal)</t>
  </si>
  <si>
    <t>2026 - (JAN/MAR) Altamar HOA - (Coral Crown Reduction)</t>
  </si>
  <si>
    <t>2026 - (OCT/DEC) Tustin Barcelona HOA- (2026 Recommendations)</t>
  </si>
  <si>
    <t>2026 - (REMOVALS) Tustin Barcelona HOA -(WO XN5646739; ID 8-9)</t>
  </si>
  <si>
    <t>2026 - Tustin Barcelona HOA-(2026 Removals)</t>
  </si>
  <si>
    <t>2026 - (APR/JUN) Talega Gallery Community Association - (3 Year Plan)</t>
  </si>
  <si>
    <t>2026 - Trimming at MacArthur and Sky</t>
  </si>
  <si>
    <t>2026 - Trimming on Alton and Beckman</t>
  </si>
  <si>
    <t>2026 - Planting at 20800 Vista Ridge Rd (Olive)</t>
  </si>
  <si>
    <t>2026 - Brea Canyon Villas-(Stump Grind ID 50)</t>
  </si>
  <si>
    <t>2026 - (REMOVAL) Crestline HOA-(WO XN1671683, 25981 Atherton)</t>
  </si>
  <si>
    <t>2026 - Removal at 2224 windward Ln.</t>
  </si>
  <si>
    <t>2026 (Crew Rental) - Corona Del Mar Plaza (Tie Palm: ID No. 3)</t>
  </si>
  <si>
    <t>2026 - Garden Homes - (Trees missed due to birds nest)</t>
  </si>
  <si>
    <t>2026 - Villavante Community Association - (Removal IDs 118-120)</t>
  </si>
  <si>
    <t>2026 - Woodbridge Parkway Maint. Assoc. - (Removal ID 582)</t>
  </si>
  <si>
    <t>% 2027 - (APR/JUN) St. Tropez Condominium Association - (3 Year Plan)</t>
  </si>
  <si>
    <t>% 2027 - (JAN/MAR) St. Tropez Condominium Association - (3 Year Plan)</t>
  </si>
  <si>
    <t>% 2028 - (APR/JUN) St. Tropez Condominium Association - (3 Year Plan)</t>
  </si>
  <si>
    <t>% 2028 - (JAN/MAR) St. Tropez Condominium Association - (3 Year Plan)</t>
  </si>
  <si>
    <t>2026 - (APR/JUN) St. Tropez Condominium Association - (3 Year Plan)</t>
  </si>
  <si>
    <t>2026 - (JAN/MAY) Presidential Heights II (25/26 Recommendations)</t>
  </si>
  <si>
    <t>2026 - (APR/JUN) Laguna Audubon 1 - (WO 90115 Side Trim)</t>
  </si>
  <si>
    <t>2026 - (REMOVAL) Sea Ridge Condominiums - (WO 75412; ID 7)</t>
  </si>
  <si>
    <t>2026 - (JAN/MAR) Cortile Maintenance Association - (Camphor Treatment)</t>
  </si>
  <si>
    <t>2026 - CP West Hills: Campus (2026 Tree Maintenance)</t>
  </si>
  <si>
    <t>2026 - CPWH: Campus (Parking Perimeter 1 Trimming &amp; Removals)</t>
  </si>
  <si>
    <t>2026 - Treatment at La Capilla Park(Pine)</t>
  </si>
  <si>
    <t>2026 - Heartwell Park - (Eucalyptus Treatment)</t>
  </si>
  <si>
    <t>2026 - Removal at Sleepy Hollow</t>
  </si>
  <si>
    <t>2026 - Removal at 911 E. Balboa Blvd</t>
  </si>
  <si>
    <t>2026 - Removals at 1441 Sandcastle Dr</t>
  </si>
  <si>
    <t>2026 (Apr/Jun &amp; Removals) - Altamar HOA - (3 Year Plan)</t>
  </si>
  <si>
    <t>2027 (Apr/Jun)- Altamar HOA - (3 Year Plan)</t>
  </si>
  <si>
    <t>2027 (Oct/Dec) - Altamar HOA - (3 Year Plan)</t>
  </si>
  <si>
    <t>2028 (Apr/Jun) Altamar HOA - (3 Year Plan)</t>
  </si>
  <si>
    <t>2026 - (JAN/MAR) Alta Finisterra Condominium - (25/26 Recommendations)</t>
  </si>
  <si>
    <t>2026 - Alta Finisterra Condominium - (25/26 Removals)</t>
  </si>
  <si>
    <t>2026 - Irvine Spectrum Center - (2026 Ficus Trimming)</t>
  </si>
  <si>
    <t>% 2027 - (APR/JUN) Lantana Neighborhood Association - (3 Year Plan)</t>
  </si>
  <si>
    <t>% 2028 - Lantana Neighborhood Association - (3 Year Plan)</t>
  </si>
  <si>
    <t>2026 - (APR/JUN) Lantana Neighborhood Association - (3 Year Plan)</t>
  </si>
  <si>
    <t>2026 - (TREATMENT: APR/JUN) Lantana Neighborhood Association - (Treatment Recs)</t>
  </si>
  <si>
    <t>2026 - (TREATMENT: AUG/SEP) Lantana Neighborhood Association - (Treatment Recs)</t>
  </si>
  <si>
    <t>2026 - Lantana Neighborhood Association - (Removal ID 3 &amp; 5)</t>
  </si>
  <si>
    <t>2026 - Trimming on Orange Ave</t>
  </si>
  <si>
    <t>City of Industry</t>
  </si>
  <si>
    <t>2026 - City of Industry (Priority 1: Last Trimmed &lt;2023)</t>
  </si>
  <si>
    <t>2026 - Trim at 14th Street</t>
  </si>
  <si>
    <t>2026 - Removal at 8001 San Joaquin Hills Road (slope 42 )</t>
  </si>
  <si>
    <t>2026 - (REMOVAL) Pacific Hills HOA (PACH) - (WO 1272277, ID 200)</t>
  </si>
  <si>
    <t>[TREATMENT] 2026 - (APR/JUN) Laguna Altura - (Sycamore and Tristania Treatments)</t>
  </si>
  <si>
    <t>[TREATMENT] 2026 - (OCT/DEC) Laguna Altura - (Sycamore and Tristania Treatments)</t>
  </si>
  <si>
    <t>8% (S) 2026 - (JANMAR) The Village Cottages - (Revised 3 Year Plan)(CO 23977)</t>
  </si>
  <si>
    <t>2026 (Oct/Dec) - Lux Community Association - (3 Year Plan)</t>
  </si>
  <si>
    <t>2027 (Oct/Dec) Lux Community Association - (3 Year Plan)</t>
  </si>
  <si>
    <t>2028 (Oct/Dec) Lux Community Association - (3 Year Plan)</t>
  </si>
  <si>
    <t>2026 (Removal) - Casta Del Sol HOA (Sycamore Removal: ID #4184)</t>
  </si>
  <si>
    <t>2026 - Grid 20 Broadleaves</t>
  </si>
  <si>
    <t>2026 - Grid 4 ( Spyglass Hills)</t>
  </si>
  <si>
    <t>2026 - March planting list</t>
  </si>
  <si>
    <t>2026 - Removal at 2401 Port Carlisle Pl</t>
  </si>
  <si>
    <t>2026 - Removal at Oasis senior center</t>
  </si>
  <si>
    <t>2026 - Stump grind at 2652 Vista Del Oro</t>
  </si>
  <si>
    <t>2026 - Stump grind at Civic center</t>
  </si>
  <si>
    <t>2026 - (APR/JUN) Agave Community Association - (2026 Arbutus Trimming)</t>
  </si>
  <si>
    <t>2026 - (JAN/MAR) Molina Healthcare, Inc. - (4 Year Plan)</t>
  </si>
  <si>
    <t>2026 - (JUL/SEP) Molina Healthcare, Inc. - (4 Year Plan)</t>
  </si>
  <si>
    <t>2026 - Molina Healthcare, Inc. - (2026 Nesting Survey)</t>
  </si>
  <si>
    <t>2026 - (JAN/MAR) The Oaks at Lake Forest HOA-(Selective Limb Removal)</t>
  </si>
  <si>
    <t>2026 - The Oaks at Lake Forest HOA - (Removal ID 37)</t>
  </si>
  <si>
    <t>2026 - Woodbridge Parkway Maint. Assoc. - (Removal ID 544)</t>
  </si>
  <si>
    <t>2026 - Woodbridge Parkway Maint. Assoc.- (ID 558)</t>
  </si>
  <si>
    <t>(S) 2026 - (JAN/MAR) Las Flores II - (3 Year Plan Revised) (CO 24637)</t>
  </si>
  <si>
    <t>2026 - (APR/JUN) Citrus Lane Community Association - (Treatment Rec)</t>
  </si>
  <si>
    <t>2026 - Laguna Altura - (Podocarpus Trimming)</t>
  </si>
  <si>
    <t>2026 - Scott Griffith's Residence - ($0 Go-Ahead for Palms)</t>
  </si>
  <si>
    <t>2026 - Woodbridge Shore Maintenance Assoc - (2026 Removals)</t>
  </si>
  <si>
    <t>2026 - (JAN/MAR) Cabo del Mar (PRO3-18077) - (3 Year Plan)</t>
  </si>
  <si>
    <t>2026 - Removals at Iglesia Park</t>
  </si>
  <si>
    <t>2026 - Planting at Jamboree Rd</t>
  </si>
  <si>
    <t>2026 - Residential Planting</t>
  </si>
  <si>
    <t>2026 - Ivy Removal at El Camino</t>
  </si>
  <si>
    <t>2026 - Queen Palm Trim at Talega Park</t>
  </si>
  <si>
    <t>2026 - Trimming on Ave Antonio (100 Block)</t>
  </si>
  <si>
    <t>2026 - (AprJun) Creekside Village - (2026 Recommendations)</t>
  </si>
  <si>
    <t>2026 - (JanMar)Creekside Village - (2026 Recommendations)</t>
  </si>
  <si>
    <t>2026 - Trim Koelreuteria on Katella Ave</t>
  </si>
  <si>
    <t>2026 - Trim on Katella (Harbor to 5 frwy)</t>
  </si>
  <si>
    <t>2026 - Trim at Facilities Civic center</t>
  </si>
  <si>
    <t>2026 - Pine Treatment at Channel View Park</t>
  </si>
  <si>
    <t>2026 - Removals at 3912 Inlet Isle Dr</t>
  </si>
  <si>
    <t>2026 - Remove and Grind at 1742 Centella Pl ( front 1 )</t>
  </si>
  <si>
    <t>2026 - (JanMar Treatment)The Cascades (20-30 Enterprise) - (CA Palm Treatment)</t>
  </si>
  <si>
    <t>Gothic Landscape Maintenance</t>
  </si>
  <si>
    <t>2026 - CZ Master - Coto De Caza - (Streets and Medians)</t>
  </si>
  <si>
    <t>2026 - CZ Master - Coto De Caza -(Oak Ridge)</t>
  </si>
  <si>
    <t>2026 - CZ Master - Coto De Caza- (Greystone Villas)</t>
  </si>
  <si>
    <t>2026 - (Apr/Jun) Oak Creek Shopping Center (Crew Rental: 04/01/2026)</t>
  </si>
  <si>
    <t>2026 - (Apr/Jun) Placeholder: Irvine Company Retail (Spring Trimming)</t>
  </si>
  <si>
    <t>2026 - (Jul/Aug) Placeholder: Irvine Company Retail (Summer Trimming)</t>
  </si>
  <si>
    <t>2026 - (Sep/Nov) Placeholder: Irvine Company Retail (Fall Trimming)</t>
  </si>
  <si>
    <t>2026 - Bayridge Park HOA - (Removal ID 99)</t>
  </si>
  <si>
    <t>2026 - Pacific Ranch HOA - (WO XN6404647, Eucalyptus Treatment)</t>
  </si>
  <si>
    <t>2026 - Celeste Neighborhood - (Removals ID 1-4)</t>
  </si>
  <si>
    <t>2026 (Removal) - CSULB - Eucalyptus Removals (Active Birds Nest)</t>
  </si>
  <si>
    <t>2026 - Removals on Johnson/Radecki</t>
  </si>
  <si>
    <t>2026 - Channel View Park (Pine Treatment)</t>
  </si>
  <si>
    <t>2026 - Clean up at 319 Heliotrope Ave(Deadwood Slope)</t>
  </si>
  <si>
    <t>2026 - Remove and grind at 2300 La Linda Pl (side 1)</t>
  </si>
  <si>
    <t>2026 - Remove and Grind at 248 Hazel Dr. ( front 2 )</t>
  </si>
  <si>
    <t>2026 - Remove and Grind at 722 W. Balboa Blvd.</t>
  </si>
  <si>
    <t>2026 - TFS &amp; Sound CI Palms on Marguerite (5th - Ocean)</t>
  </si>
  <si>
    <t>2026 (Apr/Jun) - Alton Retail Center (Spring Trimming: Spectrum)</t>
  </si>
  <si>
    <t>2026 (Apr/Jun) - Bayside Center (Spring Trimming: Coastal)</t>
  </si>
  <si>
    <t>2026 (Apr/Jun) - Cypress Village Shopping Center (Spring Trimming: Foothill)</t>
  </si>
  <si>
    <t>2026 (Apr/Jun) - Harbor View Center (Spring Trimming: Coastal)</t>
  </si>
  <si>
    <t>2026 (Apr/Jun) - Newport Coast (Spring Trimming: Coastal)</t>
  </si>
  <si>
    <t>2026 (Apr/Jun) - Newport Hills Center (Spring Trimming: Coastal)</t>
  </si>
  <si>
    <t>2026 (Apr/Jun) - Newport North (Spring Trimming: Coastal)</t>
  </si>
  <si>
    <t>2026 (Apr/Jun) - Northpark Plaza (Spring Trimming: Foothill)</t>
  </si>
  <si>
    <t>2026 (Apr/Jun) - Woodbury Town Center (Spring Trimming: Foothill)</t>
  </si>
  <si>
    <t>2026 - (APR/JUN) Campanilla Community Association - (4 Year Plan)</t>
  </si>
  <si>
    <t>2026 - Park Terrace Village - (Removal ID 6; WO XN6420749)</t>
  </si>
  <si>
    <t>2026 - Canyon View Condominium Assoc.- (Building Clearance)</t>
  </si>
  <si>
    <t>2026 - Valencia HOA - (Go Back: Active Bird Nest)</t>
  </si>
  <si>
    <t>% 2027 - (Oct/Dec)Caserta II Neighborhood Association - (3 Year Plan)</t>
  </si>
  <si>
    <t>% 2028 - (Oct/Dec)Caserta II Neighborhood Association - (3 Year Plan)</t>
  </si>
  <si>
    <t>2026 - The Groves Homeowners Inc. - (Park Removals, ID 225-227)</t>
  </si>
  <si>
    <t>2026 - Airport Tower - (Cypress Treatment)</t>
  </si>
  <si>
    <t>2026 - The Highlands Maintenance Corporation - (ID 32)</t>
  </si>
  <si>
    <t>2026 - Palm Trimming at Vista Hermosa Sports Park (Revised)</t>
  </si>
  <si>
    <t>(S) 2026 - (APR/JUN) Le St. Tropez HOA - (Revised WO XN1407636 3 Year Plan) (CO 24709)</t>
  </si>
  <si>
    <t>(S) 2026 - (Apr/Jun) Rancho San Juan Community Association - (3 Year Plan) (CO 24658)</t>
  </si>
  <si>
    <t>2026 - Trimming at Courreges Park</t>
  </si>
  <si>
    <t>2026 - Trimming at Fulton Park</t>
  </si>
  <si>
    <t>2026 - Trimming at Westmont Park</t>
  </si>
  <si>
    <t>2026 - Alder Removal at 919 Radecki Ct</t>
  </si>
  <si>
    <t>2026 - Pepper Removal at Railroad St</t>
  </si>
  <si>
    <t>2026 - Drop Crotch reduction at 901 Chestnut Pl</t>
  </si>
  <si>
    <t>2026 - Palm Tree Skinning at Newport Blvd</t>
  </si>
  <si>
    <t>2026 - Palm Tree Skinning at Newport Shores</t>
  </si>
  <si>
    <t>2026 - Removal at 22000 Newport Coast Dr.</t>
  </si>
  <si>
    <t>2026 - Lake Forest (Neighborhoods) - (Removal ID 66)</t>
  </si>
  <si>
    <t>2026 (Apr/Jun) - Alton Marketplace (Spring Trimming: Spectrum)</t>
  </si>
  <si>
    <t>2026 (Apr/Jun) - Corona Del Mar Plaza (Spring Trimming: Coastal)</t>
  </si>
  <si>
    <t>2026 (Apr/Jun) - Crossroads (Spring Trimming: Central Irvine)</t>
  </si>
  <si>
    <t>2026 (Apr/Jun) - Crystal Cove (Spring Trimming: Coastal)</t>
  </si>
  <si>
    <t>2026 (Apr/Jun) - Culver Plaza (Spring Trimming: Central Irvine)</t>
  </si>
  <si>
    <t>2026 (Apr/Jun) - Harvard Auto Plaza (Spring Trimming: University)</t>
  </si>
  <si>
    <t>2026 (Apr/Jun) - Harvard Place (Spring Trimming: University)</t>
  </si>
  <si>
    <t>2026 (Apr/Jun) - Los Olivos 2 (Spring Trimming: Spectrum)</t>
  </si>
  <si>
    <t>2026 (Apr/Jun) - Orchard Hills Village (Spring Trimming: Foothill)</t>
  </si>
  <si>
    <t>2026 (Apr/Jun) - Quail Hill Shopping Center (Spring Trimming: Spectrum)</t>
  </si>
  <si>
    <t>2026 (Apr/Jun) - Sand Canyon Plaza (Spring Trimming: Spectrum)</t>
  </si>
  <si>
    <t>2026 (Apr/Jun) - The Bluffs (Spring Trimming: Coastal)</t>
  </si>
  <si>
    <t>2026 (Apr/Jun) - The Square (Spring Trimming: University)</t>
  </si>
  <si>
    <t>2026 (Apr/Jun) - Venture Park (Spring Trimming: University)</t>
  </si>
  <si>
    <t>2026 (Apr/Jun) - Walnut Village Center (Spring Trimming: Central Irvine)</t>
  </si>
  <si>
    <t>2026 (Apr/Jun) - Westpark Plaza (Spring Trimming: Central)</t>
  </si>
  <si>
    <t>2026 - Los Olivos 1 (Spring Trimming: Spectrum)</t>
  </si>
  <si>
    <t>2026 - Northpark Plaza (Date Palm Sounding: Foothill)</t>
  </si>
  <si>
    <t>2026 - University Center (University)</t>
  </si>
  <si>
    <t>2026 - Irvine Spectrum Center - (Palm Treatment)</t>
  </si>
  <si>
    <t>2026 - La Verne Business Park (Phase I) - (Removal ID 258-259)</t>
  </si>
  <si>
    <t>Metrovest Management</t>
  </si>
  <si>
    <t>2026 - La Verne Business Center -($0 Go-Ahead)</t>
  </si>
  <si>
    <t>2026 - Vantis Maintenance Corporation - (WO XN26286790, (36 Colonial Way)</t>
  </si>
  <si>
    <t>2026 - (Apr/Jun) Mira Costa Villas - (WO 4954, Eucalyptus Treatment)</t>
  </si>
  <si>
    <t>2026 - Grid 16 (Westcliff) Broadleaves</t>
  </si>
  <si>
    <t>2026 - (APR/JUN) Eastbrook Community HOA - (Missed trees due to bird nests)</t>
  </si>
  <si>
    <t>2026 - Northpark Maintenance - (Cherry Carolina Removals)</t>
  </si>
  <si>
    <t>2026 (Apr/Jun) - Campus Plaza (University)</t>
  </si>
  <si>
    <t>2026 (Jul/Aug) - Alton Square (Summer Trimming: Central Irvine)</t>
  </si>
  <si>
    <t>2026 (Jul/Aug) - Harvard Place (Summer Trimming: University)</t>
  </si>
  <si>
    <t>2026 (Jul/Aug) - Los Olivos 1 (Summer Trimming: Spectrum)</t>
  </si>
  <si>
    <t>2026 (Jul/Aug) - Bayside Center (Summer Trimming: Coastal)</t>
  </si>
  <si>
    <t>2026 (Jul/Aug) - Corona Del Mar Plaza (Summer Trimming: Coastal)</t>
  </si>
  <si>
    <t>2026 (Jul/Aug) - Crossroads (Summer Trimming: Central Irvine)</t>
  </si>
  <si>
    <t>2026 (Jul/Aug) - Crystal Cove (Summer Trimming: Coastal)</t>
  </si>
  <si>
    <t>2026 (Jul/Aug) - Culver Plaza (Spring Trimming: Central Irvine)</t>
  </si>
  <si>
    <t>2026 (Jul/Aug) - Eastbluff Village Center (Summer Trimming: Coastal)</t>
  </si>
  <si>
    <t>2026 (Jul/Aug) - Los Olivos 2 (Summer Trimming: Spectrum)</t>
  </si>
  <si>
    <t>2026 (Jul/Aug) - Newport Coast (Summer Trimming: Coastal)</t>
  </si>
  <si>
    <t>2026 (Jul/Aug) - Newport Hills Center (Summer Trimming: Coastal)</t>
  </si>
  <si>
    <t>2026 (Jul/Aug) - Newport North (Spring Trimming: Coastal)</t>
  </si>
  <si>
    <t>2026 (Jul/Aug) - Northpark Plaza (Summer Trimming: Foothill)</t>
  </si>
  <si>
    <t>2026 (Jul/Aug) - Parkview Center (Summer Trimming: Central Irvine)</t>
  </si>
  <si>
    <t>2026 (Jul/Aug) - Quail Hill Center (Summer Trimming: Spectrum)</t>
  </si>
  <si>
    <t>2026 (Jul/Aug) - Walnut Village Center (Summer Trimming: Central Irvine)</t>
  </si>
  <si>
    <t>2026 (Jul/Aug) - Woodbridge Village (Summer Trimming: Central)</t>
  </si>
  <si>
    <t>2026 (Jul/Aug) - Woodbury Town Center (Summer Trimming: Foothill)</t>
  </si>
  <si>
    <t>2026 (Jul/Sep) - Cypress Village (Summer Trimming: Foothill)</t>
  </si>
  <si>
    <t>2026 (Jul/Sep) - Orchard Hills Village (Summer Trimming: Foothill)</t>
  </si>
  <si>
    <t>2026 (July/Aug) - The Bluffs (Summer Trimming: Coastal)</t>
  </si>
  <si>
    <t>2026 - Oak Creek (Summer Trimming: Central Irvine)</t>
  </si>
  <si>
    <t>2026 - PLACEHOLDER: Central Irvine Collection (Fall 26/27)</t>
  </si>
  <si>
    <t>2026 - PLACEHOLDER: Coastal Collection (Fall 26/27)</t>
  </si>
  <si>
    <t>2026 - PLACEHOLDER: Foothill Collection (Fall 26/27)</t>
  </si>
  <si>
    <t>2026 - PLACEHOLDER: Spectrum Collection (Fall 26/27)</t>
  </si>
  <si>
    <t>2026 - PLACEHOLDER: University Collection (Fall 26/27)</t>
  </si>
  <si>
    <t>2026 - Irvine Spectrum Center- (Trees missed due to birds nest)</t>
  </si>
  <si>
    <t>2026 - (APR/JUN) The Oaks at Lake Forest HOA - (2026 Recommendations)</t>
  </si>
  <si>
    <t>2026 - (OCT/DEC) The Oaks at Lake Forest HOA - (2026 Recommendations)</t>
  </si>
  <si>
    <t>2026 - (APR/JUN) Vista Pointe Ridge - (SLR and Removal)</t>
  </si>
  <si>
    <t>2026 - (Nov) Spectrum Crossroads - (2026 Recommendations)</t>
  </si>
  <si>
    <t>2026 - White Oak HOA - (Trees missed due to birds nest)</t>
  </si>
  <si>
    <t>2026 - Citywide Tree Limbs (5/4-5/10)</t>
  </si>
  <si>
    <t>2026 - Orangeview Jr. High (GPS) - (Removal ID 26)</t>
  </si>
  <si>
    <t>2026 - Chris Morris Residence - ($0 Go-Ahead for Olive and Magnolia Trimming)</t>
  </si>
  <si>
    <t>2026 - Trim at Grid C-2(Broadleaves only)</t>
  </si>
  <si>
    <t>2026 - Trim at Grid D-1(Broadleaves only)</t>
  </si>
  <si>
    <t>2026 - Trim at Grid D-2(Broadleaves only)</t>
  </si>
  <si>
    <t>2026 - Trim at Grid H-2(Broadleaves only)</t>
  </si>
  <si>
    <t>2026 - Trim at Grid J-1(Broadleaves only)</t>
  </si>
  <si>
    <t>2026 - Trim Cypress-Italian at B-6 Nature Trail</t>
  </si>
  <si>
    <t>2026 - Remove and grind at 804 Azusa ave</t>
  </si>
  <si>
    <t>2026 - Trim at Azusa Way</t>
  </si>
  <si>
    <t>2026 - Remove and Grind at 618 Orchid Ave</t>
  </si>
  <si>
    <t>2026 - Ivy removal at 1736 Antigua Way</t>
  </si>
  <si>
    <t>2026 - Removals at 110 Park Ave (median 5,6)</t>
  </si>
  <si>
    <t>2026 - Remove and Grind at 1000 Park Ave</t>
  </si>
  <si>
    <t>2026 - Remove and Grind at 1801 Spyglass Rd</t>
  </si>
  <si>
    <t>2026 - Remove and Grind at 2 Buffalo Hills Pk park 110</t>
  </si>
  <si>
    <t>2026 - Remove and Grind at 401 Newport Blvd</t>
  </si>
  <si>
    <t>TREATMENT 2026 (APR/JUN) Citrus Lane Community Association - (Treatment Rec)</t>
  </si>
  <si>
    <t>2026 - Removal at 1950 Vista del Oro (front 17 )</t>
  </si>
  <si>
    <t>2026 - Remove and grind at 1100 park Ave ( med 13 )</t>
  </si>
  <si>
    <t>2026 - Remove and grind at 1700 Port Abbey</t>
  </si>
  <si>
    <t>2026 - Remove and grind at 1707 Port Sheffield</t>
  </si>
  <si>
    <t>2026 - Remove and Grind at 1736 Highland Dr.</t>
  </si>
  <si>
    <t>2026 - Service request at 494 62nd St</t>
  </si>
  <si>
    <t>2026 (Apr/Jun) - California Palms Industrial - (2026 Recommendations)</t>
  </si>
  <si>
    <t>2026 - (Trimming &amp; Removals) Buckingham Heights Business Park -(3 Year Plan)</t>
  </si>
  <si>
    <t>2026 - Centerpointe La Palma - (11 &amp; 13 Trees missed due to Beehive)</t>
  </si>
  <si>
    <t>2026 (Apr/Jun) - Newport Hills Center (Coastal)</t>
  </si>
  <si>
    <t>2026 - Campobello HOA - (Removals ID 59 &amp; 62)</t>
  </si>
  <si>
    <t>2026 - St. Tropez Condominium- ($0 GOAhead Torrey Pine)</t>
  </si>
  <si>
    <t>2026 (RPW Treatment) - UCI - Extended Day Center (Sycamore Treatment)</t>
  </si>
  <si>
    <t>2026 - Zone 2 Trimming - (Remaining)</t>
  </si>
  <si>
    <t>2026 - Crown thin and selective Limb Citywide Corals</t>
  </si>
  <si>
    <t>2026 - Grid 5 Palms (Fashion Islands)</t>
  </si>
  <si>
    <t>2026 - Remove and Flush cut at 22001 Newport Coast Dr</t>
  </si>
  <si>
    <t>2026 - Remove and Grind at 1761 Port Hemley Cr.</t>
  </si>
  <si>
    <t>2026 - Remove and Grind at 1808 Port Tiffin Pl</t>
  </si>
  <si>
    <t>2026 - Remove and grind at 2297 Redlands Rd( front 1)</t>
  </si>
  <si>
    <t>2026 - Remove and Grind at 301 Seaward Rd (front 1)</t>
  </si>
  <si>
    <t>2026 - Remove and grind at 510 Park Ave(med 6)</t>
  </si>
  <si>
    <t>2026 - Remove and Grind at Bayside Park (Park 59)</t>
  </si>
  <si>
    <t>2026 - Chandon HOA - (Removal ID 42-43)</t>
  </si>
  <si>
    <t>2026 - Northpark Maintenance HOA (Street Trees) - (Removal ID 76)</t>
  </si>
  <si>
    <t>2026 (Apr/Jun) - Westpark Plaza (Bird Nest Go Back)</t>
  </si>
  <si>
    <t>2026 - WoodLake Santa Ana HOA - (Removal ID 39)</t>
  </si>
  <si>
    <t>2026 - (APR/MAY) Valencia Maintenance Association (2026 Treatment Recs)</t>
  </si>
  <si>
    <t>2026 - (JULY) La Cuesta Cove HOA - (2026 Recommendations)</t>
  </si>
  <si>
    <t>2026 - Pacific Ranch HOA - (WO XN6438290, Removal ID 262)</t>
  </si>
  <si>
    <t>2026 - Ashton HOA - (Palm Removal ID 212)</t>
  </si>
  <si>
    <t>2026 - (APR/JUN) Seacove Place HOA - (Coral Treatment)</t>
  </si>
  <si>
    <t>2026 - The Groves Homeowners Inc. - (Permit Fee)</t>
  </si>
  <si>
    <t>2026 - (APR/JUN) Concorde Place - CERRITOS - (Pear - Bradford missed due to parked cars)</t>
  </si>
  <si>
    <t>2026 - White Oak HOA - (Removal ID 137)</t>
  </si>
  <si>
    <t>2026 - Treatment at Nature Trail (Eucalyptus)</t>
  </si>
  <si>
    <t>2026 - Cleaning and Trimming at 358 Dahlia Pl</t>
  </si>
  <si>
    <t>2026 - Remove and Grind at 1736 Antigua Way</t>
  </si>
  <si>
    <t>2026 - Remove and Grind at 706 Jasmine Ave</t>
  </si>
  <si>
    <t>2026 - Remove and Grind at Arroyo Park (park 25)</t>
  </si>
  <si>
    <t>2026 - Service Request at 100 Block Garnet Ave</t>
  </si>
  <si>
    <t>2026 - Baker Ranch HOA - (Revised SBA Removals)</t>
  </si>
  <si>
    <t>2026 - (JAN/MAR &amp; Removals) LB South Street LLC - (2026 Recommendations)</t>
  </si>
  <si>
    <t>2026 - Rocking Horse Ridge HOA - (Removal ID 25,26, 28)</t>
  </si>
  <si>
    <t>2026 - Mission Sunrise Ridge - (WO 12505-7987; Removal ID 235)</t>
  </si>
  <si>
    <t>2027 - (Jan/Mar) Amalfi Hills Community Association - (3 Year Plan)</t>
  </si>
  <si>
    <t>2027 - (Jul/Sep) Amalfi Hills Community Association - (3 Year Plan)</t>
  </si>
  <si>
    <t>2027 - (May/Jun) Amalfi Hills Community Association - (3 Year Plan)</t>
  </si>
  <si>
    <t>2028 - (Jan/Apr)Amalfi Hills Community Association - (3 Year Plan)</t>
  </si>
  <si>
    <t>2028 - (May/Apr)Amalfi Hills Community Association - (3 Year Plan)</t>
  </si>
  <si>
    <t>2029 - (Jan/Apr)Amalfi Hills Community Association - (3 Year Plan)</t>
  </si>
  <si>
    <t>2029 - (Jul/Sep)Amalfi Hills Community Association - (3 Year Plan)</t>
  </si>
  <si>
    <t>2029 - (May/Jun) Amalfi Hills Community Association - (3 Year Plan)</t>
  </si>
  <si>
    <t>2026 - (APR/JUN) The Remington Apartments - (2026 Recs)</t>
  </si>
  <si>
    <t>2026 - Niguel Vista - (2026 Removals)</t>
  </si>
  <si>
    <t>2026 - (OCT/DEC) Muse at Cadence - (3 Year Plan)</t>
  </si>
  <si>
    <t>2026 - Remove and Grind at 1300 Park Ave.( med 6)</t>
  </si>
  <si>
    <t>2026 - Remove and Grind at 1829 Glenwood Ln</t>
  </si>
  <si>
    <t>2026 - Remove and Grind at Arroyo Park (park 115,133,186)</t>
  </si>
  <si>
    <t>2026 - Baker Ranch HOA - (Promenade Park Removals)</t>
  </si>
  <si>
    <t>2026 - Baker Ranch HOA - (Revised Arbors Park Removals)</t>
  </si>
  <si>
    <t>2026 - Baker Ranch HOA - (Revised GSTS Removals)</t>
  </si>
  <si>
    <t>2026 - Baker Ranch HOA - (Revised Slope Removals)</t>
  </si>
  <si>
    <t>2026 - Baker Ranch HOA - (Slopes and Meridians)</t>
  </si>
  <si>
    <t>2026 - Baker Ranch HOA- (Revised SBA - Peake Removals)</t>
  </si>
  <si>
    <t>2026 - The Villas at Rancho San Joaquin - (Removal ID 43)</t>
  </si>
  <si>
    <t>2026 - Laguna Audubon 1 - (WO 95937, Removal ID 80)</t>
  </si>
  <si>
    <t>2026 - (Aug/Sep) Yale Estates - (2026 Comp Bid)</t>
  </si>
  <si>
    <t>2026 - (Apr/Jun) Tuscany at Foothill Ranch - (25-26 Trimming Recs)</t>
  </si>
  <si>
    <t>2026 - Tuscany at Foothill Ranch - (Removal ID 61)</t>
  </si>
  <si>
    <t>2026 - Residential Tree Planting (Need Asset #78020)</t>
  </si>
  <si>
    <t>2026 - UCA - ($0GOAHEAD DO NOT BILL CLIENT)</t>
  </si>
  <si>
    <t>2026 - Trim Grid C-2 Palms</t>
  </si>
  <si>
    <t>2026 - Trim Grid D-2 Palms</t>
  </si>
  <si>
    <t>2026 - Trim Grid D-3 Palms</t>
  </si>
  <si>
    <t>2026 - Trim Grid E-1 Palms</t>
  </si>
  <si>
    <t>2026 - Trim Grid F-1 Palms</t>
  </si>
  <si>
    <t>2026 - Trim Grid G-2 Palms</t>
  </si>
  <si>
    <t>2026 - Trim Grid H-2 Palms</t>
  </si>
  <si>
    <t>2026 - Trim Grid J-1 Palms</t>
  </si>
  <si>
    <t>2026 - Remove and Grind at Bonita Creek Park</t>
  </si>
  <si>
    <t>2026 - Remove fc at 23000 newport Coast Dr</t>
  </si>
  <si>
    <t>2026 - SR at 1824 Port Kimberly</t>
  </si>
  <si>
    <t>2026 - Stump Grind at Birch and Seaward</t>
  </si>
  <si>
    <t>2026 - Crown thin and STB at Blakey Park</t>
  </si>
  <si>
    <t>2026 - Northpark (Street Trees) - ($0 Go-Ahead DO NOT BILL CLIENT)</t>
  </si>
  <si>
    <t>2026 - (APR/JUN &amp; Removals) Lake Forest (Neighborhoods)</t>
  </si>
  <si>
    <t>2026 - (Apr/Jun) Coto De Caza (Canyon Estates Summer Scope)</t>
  </si>
  <si>
    <t>2026 - (Apr/Jun) Coto De Caza (Glenmere Summer Scope)</t>
  </si>
  <si>
    <t>2026 - (Apr/Jun) Coto De Caza (The Classics Summer Scope)</t>
  </si>
  <si>
    <t>2026 - (APR/JUN &amp; Removal) Coto De Caza (Oak Knoll - Summer Scope)</t>
  </si>
  <si>
    <t>2026 - (Apr/Jun &amp; Removal) Coto De Caza - (The Arbours Summer Scope)</t>
  </si>
  <si>
    <t>2026 - (APR/JUN) Coto De Caza (Little Duffer Tot Lot - Summer Scope)</t>
  </si>
  <si>
    <t>2026 - (APR/JUN) Coto De Caza (Oak View Summer Scope)</t>
  </si>
  <si>
    <t>2026 - (APR/JUN) Coto De Caza (The Trails Summer Scope)</t>
  </si>
  <si>
    <t>2026 - (APR/JUN) Coto De Caza (Tiara Summer Scope)</t>
  </si>
  <si>
    <t>Shea Properties</t>
  </si>
  <si>
    <t>2026 - Vantis Commercial OA - (Missed Palms due to Bees)</t>
  </si>
  <si>
    <t>2026 - Moulton Ranch III - (2026 Treatment Recs)</t>
  </si>
  <si>
    <t>2026 - Grid 1 Palms</t>
  </si>
  <si>
    <t>2026 - Grid 10 Palms</t>
  </si>
  <si>
    <t>2026 - Grid 13 Palms</t>
  </si>
  <si>
    <t>2026 - Grid 14 Palms</t>
  </si>
  <si>
    <t>2026 - Grid 15 Palms</t>
  </si>
  <si>
    <t>2026 - Grid 16 Palms</t>
  </si>
  <si>
    <t>2026 - Grid 17 Palms</t>
  </si>
  <si>
    <t>2026 - Grid 19 Palms</t>
  </si>
  <si>
    <t>2026 - Grid 2 Palms</t>
  </si>
  <si>
    <t>2026 - Grid 20 Palms</t>
  </si>
  <si>
    <t>2026 - Grid 21 Palms</t>
  </si>
  <si>
    <t>2026 - Grid 22 Palms</t>
  </si>
  <si>
    <t>2026 - Grid 23 Palms</t>
  </si>
  <si>
    <t>2026 - Grid 25 Palms</t>
  </si>
  <si>
    <t>2026 - Grid 26 Palms</t>
  </si>
  <si>
    <t>2026 - Grid 27 Palms</t>
  </si>
  <si>
    <t>2026 - Grid 28 Palms</t>
  </si>
  <si>
    <t>2026 - Grid 35 Palms</t>
  </si>
  <si>
    <t>2026 - Grid 36 Palms</t>
  </si>
  <si>
    <t>2026 - Grid 41 Palms</t>
  </si>
  <si>
    <t>2026 - Grid 46 Palms</t>
  </si>
  <si>
    <t>2026 - Grid 47 Palms</t>
  </si>
  <si>
    <t>2026 - Grid 48 Palms</t>
  </si>
  <si>
    <t>2026 - Grid 8 Palms</t>
  </si>
  <si>
    <t>2026 - Grid 9 Palms</t>
  </si>
  <si>
    <t>2026 - Remove and Grind at Bonita Creek (park 58)</t>
  </si>
  <si>
    <t>2026 - Service Request at Channel Place Park</t>
  </si>
  <si>
    <t>2026 - Shorecliffs Beach Club HOA - (Removals ID 1-13)</t>
  </si>
  <si>
    <t>2026 - (Apr/Jun) The Villas Community Association (RSJ) - (2026-2027 Recs)</t>
  </si>
  <si>
    <t>2027 - (Apr/Jun) The Villas Community Association (RSJ) - (2026-2027 Recs)</t>
  </si>
  <si>
    <t>2027 - (Jan/Mar)The Villas Community Association (RSJ) - (2026-2027 Recs)</t>
  </si>
  <si>
    <t>2026 - (Aug/Sep Quarter 3 Treatment $0 Go-Ahead) Pullman Associates (65) - (Approved Olive Treatment Quarter 3 &amp;4)</t>
  </si>
  <si>
    <t>2026 - (Nov/Dec Quarter 4 Treatment $0 Go-Ahead)Pullman Associates (65) - (Approved Olive Treatment Quarter 3 &amp;4)</t>
  </si>
  <si>
    <t>2026 - Trim B-4 Palms</t>
  </si>
  <si>
    <t>2026 - Trim B-5 Palms</t>
  </si>
  <si>
    <t>2026 - Trim B-6 Palms</t>
  </si>
  <si>
    <t>2026 - Trim B-7 Palms</t>
  </si>
  <si>
    <t>2026 - Trim C-5 Palms</t>
  </si>
  <si>
    <t>2026 - Trim C-6 Palms</t>
  </si>
  <si>
    <t>2026 - Trim C-7 Palms</t>
  </si>
  <si>
    <t>2026 - Trim D-5 Palms</t>
  </si>
  <si>
    <t>2026 - Trim D-6 Palms</t>
  </si>
  <si>
    <t>2026 - Trim D-7 Palms</t>
  </si>
  <si>
    <t>2026 - Trim E-6 Palms</t>
  </si>
  <si>
    <t>2026 - Trim E-7 Palms</t>
  </si>
  <si>
    <t>2026 - Trim Grid F-4 Palms</t>
  </si>
  <si>
    <t>2026 - Trim Grid F-5 Palms</t>
  </si>
  <si>
    <t>2026 - (APR/JUN) (Northpark Street Trees) - (Additional Peppers in Area L)</t>
  </si>
  <si>
    <t>2026 - Pacific Hills HOA (PACH) - (Removals ID 230-232) Revised</t>
  </si>
  <si>
    <t>2026 - Valencia Maintenance Association - (ID 65)</t>
  </si>
  <si>
    <t>2026 - (July) San Remo Villa HOA - (Rec Center Cost Center)</t>
  </si>
  <si>
    <t>(S) 2026 - (Jul/Sep) Windflower Community Association - (3 Year Plan) (CO 24796)</t>
  </si>
  <si>
    <t>2026 - NEW Trim Grid J-1 Palms</t>
  </si>
  <si>
    <t>2026 - CR at Coastal Peak Park</t>
  </si>
  <si>
    <t>2026 - Remove and FC at 7200 Ridge Park (slope 443)</t>
  </si>
  <si>
    <t>2026 - Remove and Grind at 1001 PCH /E</t>
  </si>
  <si>
    <t>2026 - Remove and Grind at 35 Montecito Dr</t>
  </si>
  <si>
    <t>2026 - Remove and Grind at 901 Chestnut</t>
  </si>
  <si>
    <t>2026 -Palm Tree Skinning at Newport Blvd</t>
  </si>
  <si>
    <t>2026 - Sea Summit Parks (Pico, Del Sol, Canyon View)</t>
  </si>
  <si>
    <t>2026 - Trimming at 115 Ave Princesa</t>
  </si>
  <si>
    <t>2026 - Trimming at 910 Calle Negocio</t>
  </si>
  <si>
    <t>2026 - Trimming at Beach &amp; Pier Bowl (Palms)</t>
  </si>
  <si>
    <t>2026 - Trimming at Beach Club &amp; North Beach Lot</t>
  </si>
  <si>
    <t>2026 - Trimming at Community Center</t>
  </si>
  <si>
    <t>2026 - Trimming at De Estrella</t>
  </si>
  <si>
    <t>2026 - Trimming at Esplanade (100-200)</t>
  </si>
  <si>
    <t>2026 - Trimming at Los Molinos (Palms)</t>
  </si>
  <si>
    <t>2026 - Trimming at Ole Vista (Palms)</t>
  </si>
  <si>
    <t>2026 - Trimming at VHS Park</t>
  </si>
  <si>
    <t>2026 - Trimming at W Ave Valencia (100-200)</t>
  </si>
  <si>
    <t>2026 - Trimming at W Paseo De Cristobal (100-300)</t>
  </si>
  <si>
    <t>2026 - Trimming El Camino Real (Palms)</t>
  </si>
  <si>
    <t>2026 - Trimming Los Molinos (Ficus #7387)</t>
  </si>
  <si>
    <t>2026 - Trimming Max Berg Park (Palms and Ficus )</t>
  </si>
  <si>
    <t>2026 - (APR/JUN) The Oaks at Lake Forest HOA - (Oak Treatment)</t>
  </si>
  <si>
    <t>2026 - (Apr/Jun) Bayport Jeronimo Assoc., LP (52) - (Eucalyptus Treatment)</t>
  </si>
  <si>
    <t>2026 - Colony Commerce Center - (2026 Removals)</t>
  </si>
  <si>
    <t>Centennial</t>
  </si>
  <si>
    <t>% 2027 - (APR/JUN) Bella Terra Mall (3 Year Plan)</t>
  </si>
  <si>
    <t>% 2027 - (APR/JUN) Bella Terra Pad (3 Year Plan)</t>
  </si>
  <si>
    <t>% 2027 - (APR/JUN) Bella Terra Park (3 Year Plan)</t>
  </si>
  <si>
    <t>% 2027 - (OCT/DEC) Bella Terra Mall (3 Year Plan)</t>
  </si>
  <si>
    <t>% 2027 - (OCT/DEC) Bella Terra Pad (3 Year Plan)</t>
  </si>
  <si>
    <t>% 2027 - (OCT/DEC) Bella Terra Park (3 Year Plan)</t>
  </si>
  <si>
    <t>% 2028 - (APR/JUN) Bella Terra Mall (3 Year Plan)</t>
  </si>
  <si>
    <t>% 2028 - (APR/JUN) Bella Terra Pad (3 Year Plan)</t>
  </si>
  <si>
    <t>% 2028 - (APR/JUN) Bella Terra Park (3 Year Plan)</t>
  </si>
  <si>
    <t>% 2028 - (OCT/DEC) Bella Terra Mall (3 Year Plan)</t>
  </si>
  <si>
    <t>% 2028 - (OCT/DEC) Bella Terra Pad (3 Year Plan)</t>
  </si>
  <si>
    <t>% 2028 - (OCT/DEC) Bella Terra Park (3 Year Plan)</t>
  </si>
  <si>
    <t>2026 - (APR/JUN) Bella Terra Pad (3 Year Plan)</t>
  </si>
  <si>
    <t>2026 - (APR/JUN) Bella Terra Pad - (Pineappling Bid) Revised</t>
  </si>
  <si>
    <t>2026 - (APR/JUN) Bella Terra Pad - (Sounding Bid) Revised</t>
  </si>
  <si>
    <t>2026 - (APR/JUN) Bella Terra Park (3 Year Plan)</t>
  </si>
  <si>
    <t>2026 - (APR/JUN) Bella Terra Park - (Pineappling Bid) Revised</t>
  </si>
  <si>
    <t>2026 - (APR/JUN) Bella Terra Park - (Sounding Bid) Revised</t>
  </si>
  <si>
    <t>2026 - (OCT/DEC) Bella Terra Pad (3 Year Plan)</t>
  </si>
  <si>
    <t>2026 - (OCT/DEC) Bella Terra Park (3 Year Plan)</t>
  </si>
  <si>
    <t>2026 - Pepper Removal at Arenth</t>
  </si>
  <si>
    <t>2026 - Removals at Grand and Arenth Ave</t>
  </si>
  <si>
    <t>2026 - CR at Spyglass Hill Reservoir Park (slope)</t>
  </si>
  <si>
    <t>2026 - Stump grind at 1801 Port Charles</t>
  </si>
  <si>
    <t>2026 - Stump grind at Irvine Terrace Park</t>
  </si>
  <si>
    <t>2026 - (JULY) Irvine Spectrum Center - (Palm Trimming)</t>
  </si>
  <si>
    <t>2026 - (APR/JUN) Bristol Industry Center - (Remaining Euc Trimming)</t>
  </si>
  <si>
    <t>2026 - Tustin Ranch Community II - (WO XN6440718, 3 Year Plan)</t>
  </si>
  <si>
    <t>2026 - Easley Estates (1115) Dan's Residence - (7/7-7/9 CREW RENTAL)</t>
  </si>
  <si>
    <t>2026 - (OCT/DEC) Bella Terra Mall (3 Year Plan)</t>
  </si>
  <si>
    <t>2026 - Grid 14 ( Balboa Island) Palms</t>
  </si>
  <si>
    <t>2026 - (AUG/SEP) Mirador at Rancho Niguel Association - (Loquat Treatment)</t>
  </si>
  <si>
    <t>2026 - Remove and Grind at 1710 Port Barmouth Pl</t>
  </si>
  <si>
    <t>2026 - Remove and Grind at 800 Park Ave</t>
  </si>
  <si>
    <t>2026 - Service Request at 603 Carnation Ave</t>
  </si>
  <si>
    <t>2026 - Trimming at Los Mares (palms) - Medians</t>
  </si>
  <si>
    <t>2026 - District 4-4</t>
  </si>
  <si>
    <t>2026 - Santiago Hills Elementary School (Trimming &amp; Removal)</t>
  </si>
  <si>
    <t>2026 - Springbrook Elementary (Trimming)</t>
  </si>
  <si>
    <t>2026 - (Aug/Sep) Campanilla Community Association - (Rhus Trimming)</t>
  </si>
  <si>
    <t>2026 - (Aug/Sep) The Vineyards at Foothill Ranch - (26/27 Trimming Recs)</t>
  </si>
  <si>
    <t>2026 - The Oaks at Lake Forest HOA - (Removal IDs 49-51)</t>
  </si>
  <si>
    <t>2026 - Canyon View Estates Community - (Removal ID 7)</t>
  </si>
  <si>
    <t>2026 - Canyon View Estates Community - (Removals &amp; Trimming)</t>
  </si>
  <si>
    <t>2026 - The Groves - (Ficus Benjamina's Skipped due to Bird Nest)</t>
  </si>
  <si>
    <t>2026 - The Groves Homeowners - (Removal IDs 193, 233, &amp; 236) Discounted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</si>
</sst>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6">
    <xf numFmtId="0" fontId="0" fillId="0" borderId="0" xfId="0"/>
    <xf numFmtId="3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1" fillId="2" borderId="1" xfId="0" applyFont="1" applyFill="1" applyBorder="1"/>
    <xf numFmtId="0" fontId="1" fillId="0" borderId="2" xfId="0" applyFont="1" applyBorder="1" applyAlignment="1">
      <alignment horizontal="right"/>
    </xf>
    <xf numFmtId="164" fontId="1" fillId="2" borderId="1" xfId="0" applyNumberFormat="1" applyFont="1" applyFill="1" applyBorder="1"/>
    <xf numFmtId="164" fontId="0" fillId="0" borderId="1" xfId="0" applyNumberFormat="1" applyBorder="1"/>
    <xf numFmtId="164" fontId="1" fillId="0" borderId="2" xfId="0" applyNumberFormat="1" applyFont="1" applyBorder="1"/>
    <xf numFmtId="0" fontId="0" fillId="0" borderId="0" xfId="0" applyAlignment="1">
      <alignment horizontal="right"/>
    </xf>
    <xf numFmtId="0" fontId="0" fillId="2" borderId="1" xfId="0" applyFill="1" applyBorder="1"/>
    <xf numFmtId="164" fontId="0" fillId="2" borderId="1" xfId="0" applyNumberFormat="1" applyFill="1" applyBorder="1"/>
    <xf numFmtId="0" fontId="2" fillId="0" borderId="2" xfId="0" applyFont="1" applyBorder="1" applyAlignment="1">
      <alignment horizontal="right"/>
    </xf>
    <xf numFmtId="164" fontId="2" fillId="0" borderId="2" xfId="0" applyNumberFormat="1" applyFont="1" applyBorder="1"/>
    <xf numFmtId="3" fontId="0" fillId="0" borderId="1" xfId="0" applyNumberFormat="1" applyBorder="1"/>
    <xf numFmtId="0" fontId="1" fillId="0" borderId="0" xfId="0" applyFont="1" applyAlignment="1">
      <alignment horizontal="right"/>
    </xf>
    <xf numFmtId="3" fontId="1" fillId="0" borderId="0" xfId="0" applyNumberFormat="1" applyFont="1"/>
    <xf numFmtId="164" fontId="1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3" fontId="2" fillId="0" borderId="2" xfId="0" applyNumberFormat="1" applyFont="1" applyBorder="1"/>
    <xf numFmtId="3" fontId="2" fillId="0" borderId="0" xfId="0" applyNumberFormat="1" applyFont="1"/>
    <xf numFmtId="4" fontId="0" fillId="0" borderId="0" xfId="0" applyNumberFormat="1"/>
    <xf numFmtId="4" fontId="0" fillId="0" borderId="1" xfId="0" applyNumberFormat="1" applyBorder="1"/>
    <xf numFmtId="4" fontId="1" fillId="2" borderId="1" xfId="0" applyNumberFormat="1" applyFont="1" applyFill="1" applyBorder="1"/>
    <xf numFmtId="4" fontId="2" fillId="0" borderId="0" xfId="0" applyNumberFormat="1" applyFont="1"/>
    <xf numFmtId="0" fontId="3" fillId="0" borderId="2" xfId="0" applyFont="1" applyBorder="1" applyAlignment="1">
      <alignment horizontal="right"/>
    </xf>
    <xf numFmtId="3" fontId="3" fillId="0" borderId="2" xfId="0" applyNumberFormat="1" applyFont="1" applyBorder="1"/>
    <xf numFmtId="164" fontId="3" fillId="0" borderId="2" xfId="0" applyNumberFormat="1" applyFont="1" applyBorder="1"/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4" fontId="1" fillId="2" borderId="1" xfId="1" applyNumberFormat="1" applyFont="1" applyFill="1" applyBorder="1"/>
    <xf numFmtId="164" fontId="3" fillId="0" borderId="0" xfId="1" applyNumberFormat="1" applyFont="1"/>
    <xf numFmtId="164" fontId="0" fillId="0" borderId="0" xfId="1" applyNumberFormat="1" applyFont="1"/>
    <xf numFmtId="164" fontId="0" fillId="0" borderId="1" xfId="1" applyNumberFormat="1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1" applyFont="1"/>
    <xf numFmtId="44" fontId="0" fillId="0" borderId="0" xfId="0" applyNumberFormat="1"/>
    <xf numFmtId="44" fontId="0" fillId="0" borderId="1" xfId="1" applyFont="1" applyBorder="1"/>
    <xf numFmtId="0" fontId="1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theme" Target="theme/theme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styles" Target="styles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microsoft.com/office/2017/10/relationships/person" Target="persons/person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calcChain" Target="calcChain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0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3.bin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5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6.bin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7.bin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8.bin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9.bin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0.bin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EBBEF-BF3E-46AF-8B65-4A2CCB544E17}">
  <sheetPr codeName="Sheet1"/>
  <dimension ref="A1:E49"/>
  <sheetViews>
    <sheetView workbookViewId="0">
      <selection activeCell="I12" sqref="I12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85.5703125" bestFit="1" customWidth="1"/>
    <col min="4" max="4" width="3" bestFit="1" customWidth="1"/>
    <col min="5" max="5" width="8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191055</v>
      </c>
      <c r="C2" t="s">
        <v>6</v>
      </c>
      <c r="D2" t="s">
        <v>3</v>
      </c>
      <c r="E2" s="1">
        <v>2795</v>
      </c>
    </row>
    <row r="3" spans="1:5" x14ac:dyDescent="0.25">
      <c r="A3" t="s">
        <v>7</v>
      </c>
      <c r="B3">
        <v>185666</v>
      </c>
      <c r="C3" t="s">
        <v>8</v>
      </c>
      <c r="D3" t="s">
        <v>3</v>
      </c>
      <c r="E3" s="1">
        <v>21552</v>
      </c>
    </row>
    <row r="4" spans="1:5" x14ac:dyDescent="0.25">
      <c r="A4" t="s">
        <v>9</v>
      </c>
      <c r="B4">
        <v>202132</v>
      </c>
      <c r="C4" t="s">
        <v>10</v>
      </c>
      <c r="D4" t="s">
        <v>3</v>
      </c>
      <c r="E4" s="1">
        <v>3005</v>
      </c>
    </row>
    <row r="5" spans="1:5" x14ac:dyDescent="0.25">
      <c r="A5" t="s">
        <v>9</v>
      </c>
      <c r="B5">
        <v>202127</v>
      </c>
      <c r="C5" t="s">
        <v>11</v>
      </c>
      <c r="D5" t="s">
        <v>3</v>
      </c>
      <c r="E5" s="1">
        <v>1565</v>
      </c>
    </row>
    <row r="6" spans="1:5" x14ac:dyDescent="0.25">
      <c r="A6" t="s">
        <v>9</v>
      </c>
      <c r="B6">
        <v>202129</v>
      </c>
      <c r="C6" t="s">
        <v>12</v>
      </c>
      <c r="D6" t="s">
        <v>3</v>
      </c>
      <c r="E6" s="1">
        <v>1260</v>
      </c>
    </row>
    <row r="7" spans="1:5" x14ac:dyDescent="0.25">
      <c r="A7" t="s">
        <v>13</v>
      </c>
      <c r="B7">
        <v>199490</v>
      </c>
      <c r="C7" t="s">
        <v>14</v>
      </c>
      <c r="D7" t="s">
        <v>3</v>
      </c>
      <c r="E7" s="1">
        <v>1980</v>
      </c>
    </row>
    <row r="8" spans="1:5" x14ac:dyDescent="0.25">
      <c r="A8" t="s">
        <v>15</v>
      </c>
      <c r="B8">
        <v>184138</v>
      </c>
      <c r="C8" t="s">
        <v>16</v>
      </c>
      <c r="D8" t="s">
        <v>3</v>
      </c>
      <c r="E8" s="1">
        <v>7020</v>
      </c>
    </row>
    <row r="9" spans="1:5" x14ac:dyDescent="0.25">
      <c r="A9" t="s">
        <v>15</v>
      </c>
      <c r="B9">
        <v>202185</v>
      </c>
      <c r="C9" t="s">
        <v>17</v>
      </c>
      <c r="D9" t="s">
        <v>3</v>
      </c>
      <c r="E9" s="1">
        <v>13025</v>
      </c>
    </row>
    <row r="10" spans="1:5" x14ac:dyDescent="0.25">
      <c r="A10" t="s">
        <v>15</v>
      </c>
      <c r="B10">
        <v>202169</v>
      </c>
      <c r="C10" t="s">
        <v>18</v>
      </c>
      <c r="D10" t="s">
        <v>3</v>
      </c>
      <c r="E10" s="1">
        <v>13950</v>
      </c>
    </row>
    <row r="11" spans="1:5" x14ac:dyDescent="0.25">
      <c r="A11" t="s">
        <v>15</v>
      </c>
      <c r="B11">
        <v>202171</v>
      </c>
      <c r="C11" t="s">
        <v>19</v>
      </c>
      <c r="D11" t="s">
        <v>3</v>
      </c>
      <c r="E11" s="1">
        <v>8400</v>
      </c>
    </row>
    <row r="12" spans="1:5" x14ac:dyDescent="0.25">
      <c r="A12" t="s">
        <v>15</v>
      </c>
      <c r="B12">
        <v>202172</v>
      </c>
      <c r="C12" t="s">
        <v>20</v>
      </c>
      <c r="D12" t="s">
        <v>3</v>
      </c>
      <c r="E12" s="1">
        <v>9325</v>
      </c>
    </row>
    <row r="13" spans="1:5" x14ac:dyDescent="0.25">
      <c r="A13" t="s">
        <v>15</v>
      </c>
      <c r="B13">
        <v>202175</v>
      </c>
      <c r="C13" t="s">
        <v>21</v>
      </c>
      <c r="D13" t="s">
        <v>3</v>
      </c>
      <c r="E13" s="1">
        <v>11175</v>
      </c>
    </row>
    <row r="14" spans="1:5" x14ac:dyDescent="0.25">
      <c r="A14" t="s">
        <v>15</v>
      </c>
      <c r="B14">
        <v>202178</v>
      </c>
      <c r="C14" t="s">
        <v>22</v>
      </c>
      <c r="D14" t="s">
        <v>3</v>
      </c>
      <c r="E14" s="1">
        <v>12100</v>
      </c>
    </row>
    <row r="15" spans="1:5" x14ac:dyDescent="0.25">
      <c r="A15" t="s">
        <v>15</v>
      </c>
      <c r="B15">
        <v>202182</v>
      </c>
      <c r="C15" t="s">
        <v>23</v>
      </c>
      <c r="D15" t="s">
        <v>3</v>
      </c>
      <c r="E15" s="1">
        <v>12100</v>
      </c>
    </row>
    <row r="16" spans="1:5" x14ac:dyDescent="0.25">
      <c r="A16" t="s">
        <v>24</v>
      </c>
      <c r="B16">
        <v>202719</v>
      </c>
      <c r="C16" t="s">
        <v>25</v>
      </c>
      <c r="D16" t="s">
        <v>3</v>
      </c>
      <c r="E16" s="1">
        <v>2666</v>
      </c>
    </row>
    <row r="17" spans="1:5" x14ac:dyDescent="0.25">
      <c r="A17" t="s">
        <v>26</v>
      </c>
      <c r="B17">
        <v>202894</v>
      </c>
      <c r="C17" t="s">
        <v>27</v>
      </c>
      <c r="D17" t="s">
        <v>3</v>
      </c>
      <c r="E17" s="1">
        <v>1285</v>
      </c>
    </row>
    <row r="18" spans="1:5" x14ac:dyDescent="0.25">
      <c r="A18" t="s">
        <v>26</v>
      </c>
      <c r="B18">
        <v>198568</v>
      </c>
      <c r="C18" t="s">
        <v>28</v>
      </c>
      <c r="D18" t="s">
        <v>3</v>
      </c>
      <c r="E18" s="1">
        <v>3500</v>
      </c>
    </row>
    <row r="19" spans="1:5" x14ac:dyDescent="0.25">
      <c r="A19" t="s">
        <v>26</v>
      </c>
      <c r="B19">
        <v>199292</v>
      </c>
      <c r="C19" t="s">
        <v>29</v>
      </c>
      <c r="D19" t="s">
        <v>3</v>
      </c>
      <c r="E19">
        <v>395</v>
      </c>
    </row>
    <row r="20" spans="1:5" x14ac:dyDescent="0.25">
      <c r="A20" t="s">
        <v>30</v>
      </c>
      <c r="B20">
        <v>198151</v>
      </c>
      <c r="C20" t="s">
        <v>31</v>
      </c>
      <c r="D20" t="s">
        <v>3</v>
      </c>
      <c r="E20">
        <v>895</v>
      </c>
    </row>
    <row r="21" spans="1:5" x14ac:dyDescent="0.25">
      <c r="A21" t="s">
        <v>32</v>
      </c>
      <c r="B21">
        <v>202262</v>
      </c>
      <c r="C21" t="s">
        <v>33</v>
      </c>
      <c r="D21" t="s">
        <v>3</v>
      </c>
      <c r="E21" s="1">
        <v>9990</v>
      </c>
    </row>
    <row r="22" spans="1:5" x14ac:dyDescent="0.25">
      <c r="A22" t="s">
        <v>34</v>
      </c>
      <c r="B22">
        <v>202457</v>
      </c>
      <c r="C22" t="s">
        <v>35</v>
      </c>
      <c r="D22" t="s">
        <v>3</v>
      </c>
      <c r="E22" s="1">
        <v>1080</v>
      </c>
    </row>
    <row r="23" spans="1:5" x14ac:dyDescent="0.25">
      <c r="A23" t="s">
        <v>36</v>
      </c>
      <c r="B23">
        <v>199393</v>
      </c>
      <c r="C23" t="s">
        <v>37</v>
      </c>
      <c r="D23" t="s">
        <v>3</v>
      </c>
      <c r="E23" s="1">
        <v>5865</v>
      </c>
    </row>
    <row r="24" spans="1:5" x14ac:dyDescent="0.25">
      <c r="A24" t="s">
        <v>38</v>
      </c>
      <c r="B24">
        <v>202933</v>
      </c>
      <c r="C24" t="s">
        <v>39</v>
      </c>
      <c r="D24" t="s">
        <v>3</v>
      </c>
      <c r="E24" s="1">
        <v>9755</v>
      </c>
    </row>
    <row r="25" spans="1:5" x14ac:dyDescent="0.25">
      <c r="A25" t="s">
        <v>38</v>
      </c>
      <c r="B25">
        <v>198118</v>
      </c>
      <c r="C25" t="s">
        <v>40</v>
      </c>
      <c r="D25" t="s">
        <v>3</v>
      </c>
      <c r="E25" s="1">
        <v>2085</v>
      </c>
    </row>
    <row r="26" spans="1:5" x14ac:dyDescent="0.25">
      <c r="A26" t="s">
        <v>38</v>
      </c>
      <c r="B26">
        <v>199697</v>
      </c>
      <c r="C26" t="s">
        <v>41</v>
      </c>
      <c r="D26" t="s">
        <v>3</v>
      </c>
      <c r="E26" s="1">
        <v>2903</v>
      </c>
    </row>
    <row r="27" spans="1:5" x14ac:dyDescent="0.25">
      <c r="A27" t="s">
        <v>38</v>
      </c>
      <c r="B27">
        <v>202647</v>
      </c>
      <c r="C27" t="s">
        <v>42</v>
      </c>
      <c r="D27" t="s">
        <v>3</v>
      </c>
      <c r="E27" s="1">
        <v>2065</v>
      </c>
    </row>
    <row r="28" spans="1:5" x14ac:dyDescent="0.25">
      <c r="A28" t="s">
        <v>43</v>
      </c>
      <c r="B28">
        <v>200899</v>
      </c>
      <c r="C28" t="s">
        <v>44</v>
      </c>
      <c r="D28" t="s">
        <v>3</v>
      </c>
      <c r="E28">
        <v>52</v>
      </c>
    </row>
    <row r="29" spans="1:5" x14ac:dyDescent="0.25">
      <c r="A29" t="s">
        <v>45</v>
      </c>
      <c r="B29">
        <v>198570</v>
      </c>
      <c r="C29" t="s">
        <v>46</v>
      </c>
      <c r="D29" t="s">
        <v>3</v>
      </c>
      <c r="E29" s="1">
        <v>3870</v>
      </c>
    </row>
    <row r="30" spans="1:5" x14ac:dyDescent="0.25">
      <c r="A30" t="s">
        <v>45</v>
      </c>
      <c r="B30">
        <v>198714</v>
      </c>
      <c r="C30" t="s">
        <v>47</v>
      </c>
      <c r="D30" t="s">
        <v>3</v>
      </c>
      <c r="E30" s="1">
        <v>7629</v>
      </c>
    </row>
    <row r="31" spans="1:5" x14ac:dyDescent="0.25">
      <c r="A31" t="s">
        <v>48</v>
      </c>
      <c r="B31">
        <v>199709</v>
      </c>
      <c r="C31" t="s">
        <v>49</v>
      </c>
      <c r="D31" t="s">
        <v>3</v>
      </c>
      <c r="E31" s="1">
        <v>13505</v>
      </c>
    </row>
    <row r="32" spans="1:5" x14ac:dyDescent="0.25">
      <c r="A32" t="s">
        <v>50</v>
      </c>
      <c r="B32">
        <v>191739</v>
      </c>
      <c r="C32" t="s">
        <v>51</v>
      </c>
      <c r="D32" t="s">
        <v>3</v>
      </c>
      <c r="E32">
        <v>410</v>
      </c>
    </row>
    <row r="33" spans="1:5" x14ac:dyDescent="0.25">
      <c r="A33" t="s">
        <v>52</v>
      </c>
      <c r="B33">
        <v>190219</v>
      </c>
      <c r="C33" t="s">
        <v>53</v>
      </c>
      <c r="D33" t="s">
        <v>3</v>
      </c>
      <c r="E33" s="1">
        <v>3280</v>
      </c>
    </row>
    <row r="34" spans="1:5" x14ac:dyDescent="0.25">
      <c r="A34" t="s">
        <v>54</v>
      </c>
      <c r="B34">
        <v>199224</v>
      </c>
      <c r="C34" t="s">
        <v>55</v>
      </c>
      <c r="D34" t="s">
        <v>3</v>
      </c>
      <c r="E34" s="1">
        <v>20835</v>
      </c>
    </row>
    <row r="35" spans="1:5" x14ac:dyDescent="0.25">
      <c r="A35" t="s">
        <v>56</v>
      </c>
      <c r="B35">
        <v>191640</v>
      </c>
      <c r="C35" t="s">
        <v>57</v>
      </c>
      <c r="D35" t="s">
        <v>3</v>
      </c>
      <c r="E35" s="1">
        <v>3565</v>
      </c>
    </row>
    <row r="36" spans="1:5" x14ac:dyDescent="0.25">
      <c r="A36" t="s">
        <v>56</v>
      </c>
      <c r="B36">
        <v>191640</v>
      </c>
      <c r="C36" t="s">
        <v>58</v>
      </c>
      <c r="D36" t="s">
        <v>3</v>
      </c>
      <c r="E36" s="1">
        <v>5540</v>
      </c>
    </row>
    <row r="37" spans="1:5" x14ac:dyDescent="0.25">
      <c r="A37" t="s">
        <v>56</v>
      </c>
      <c r="B37">
        <v>191637</v>
      </c>
      <c r="C37" t="s">
        <v>59</v>
      </c>
      <c r="D37" t="s">
        <v>3</v>
      </c>
      <c r="E37" s="1">
        <v>14705</v>
      </c>
    </row>
    <row r="38" spans="1:5" x14ac:dyDescent="0.25">
      <c r="A38" t="s">
        <v>56</v>
      </c>
      <c r="B38">
        <v>191637</v>
      </c>
      <c r="C38" t="s">
        <v>60</v>
      </c>
      <c r="D38" t="s">
        <v>3</v>
      </c>
      <c r="E38" s="1">
        <v>5440</v>
      </c>
    </row>
    <row r="39" spans="1:5" x14ac:dyDescent="0.25">
      <c r="A39" t="s">
        <v>61</v>
      </c>
      <c r="B39">
        <v>202988</v>
      </c>
      <c r="C39" t="s">
        <v>62</v>
      </c>
      <c r="D39" t="s">
        <v>3</v>
      </c>
      <c r="E39" s="1">
        <v>2487</v>
      </c>
    </row>
    <row r="40" spans="1:5" x14ac:dyDescent="0.25">
      <c r="A40" t="s">
        <v>61</v>
      </c>
      <c r="B40">
        <v>202069</v>
      </c>
      <c r="C40" t="s">
        <v>63</v>
      </c>
      <c r="D40" t="s">
        <v>3</v>
      </c>
      <c r="E40" s="1">
        <v>51941</v>
      </c>
    </row>
    <row r="41" spans="1:5" x14ac:dyDescent="0.25">
      <c r="A41" t="s">
        <v>61</v>
      </c>
      <c r="B41">
        <v>202000</v>
      </c>
      <c r="C41" t="s">
        <v>64</v>
      </c>
      <c r="D41" t="s">
        <v>3</v>
      </c>
      <c r="E41">
        <v>483</v>
      </c>
    </row>
    <row r="42" spans="1:5" x14ac:dyDescent="0.25">
      <c r="A42" t="s">
        <v>61</v>
      </c>
      <c r="B42">
        <v>203133</v>
      </c>
      <c r="C42" t="s">
        <v>65</v>
      </c>
      <c r="D42" t="s">
        <v>3</v>
      </c>
      <c r="E42">
        <v>648</v>
      </c>
    </row>
    <row r="43" spans="1:5" x14ac:dyDescent="0.25">
      <c r="A43" t="s">
        <v>26</v>
      </c>
      <c r="B43">
        <v>168993</v>
      </c>
      <c r="C43" t="s">
        <v>66</v>
      </c>
      <c r="D43" t="s">
        <v>3</v>
      </c>
      <c r="E43" s="1">
        <v>2250</v>
      </c>
    </row>
    <row r="44" spans="1:5" x14ac:dyDescent="0.25">
      <c r="A44" t="s">
        <v>43</v>
      </c>
      <c r="B44">
        <v>191272</v>
      </c>
      <c r="C44" t="s">
        <v>67</v>
      </c>
      <c r="D44" t="s">
        <v>3</v>
      </c>
      <c r="E44" s="1">
        <v>12004</v>
      </c>
    </row>
    <row r="45" spans="1:5" x14ac:dyDescent="0.25">
      <c r="A45" t="s">
        <v>43</v>
      </c>
      <c r="B45">
        <v>191268</v>
      </c>
      <c r="C45" t="s">
        <v>68</v>
      </c>
      <c r="D45" t="s">
        <v>3</v>
      </c>
      <c r="E45" s="1">
        <v>33899</v>
      </c>
    </row>
    <row r="47" spans="1:5" x14ac:dyDescent="0.25">
      <c r="A47" t="s">
        <v>69</v>
      </c>
    </row>
    <row r="48" spans="1:5" x14ac:dyDescent="0.25">
      <c r="A48" t="s">
        <v>70</v>
      </c>
      <c r="B48" t="s">
        <v>71</v>
      </c>
    </row>
    <row r="49" spans="1:3" x14ac:dyDescent="0.25">
      <c r="A49" s="2">
        <v>42527</v>
      </c>
      <c r="B49" s="2">
        <v>42527</v>
      </c>
      <c r="C49" t="s">
        <v>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7507-1BC5-456B-8CF0-1FFA6B38915D}">
  <sheetPr codeName="Sheet2"/>
  <dimension ref="A1:D8"/>
  <sheetViews>
    <sheetView workbookViewId="0">
      <selection activeCell="C37" sqref="C37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71.7109375" bestFit="1" customWidth="1"/>
    <col min="4" max="4" width="10.14062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222556</v>
      </c>
      <c r="C2" s="4" t="s">
        <v>74</v>
      </c>
      <c r="D2" s="9">
        <v>7630</v>
      </c>
    </row>
    <row r="3" spans="1:4" x14ac:dyDescent="0.25">
      <c r="A3" s="4" t="s">
        <v>13</v>
      </c>
      <c r="B3" s="4">
        <v>223677</v>
      </c>
      <c r="C3" s="4" t="s">
        <v>75</v>
      </c>
      <c r="D3" s="9">
        <v>3921</v>
      </c>
    </row>
    <row r="4" spans="1:4" x14ac:dyDescent="0.25">
      <c r="A4" s="4" t="s">
        <v>76</v>
      </c>
      <c r="B4" s="4">
        <v>215603</v>
      </c>
      <c r="C4" s="4" t="s">
        <v>77</v>
      </c>
      <c r="D4" s="9">
        <v>585</v>
      </c>
    </row>
    <row r="5" spans="1:4" x14ac:dyDescent="0.25">
      <c r="A5" s="4" t="s">
        <v>38</v>
      </c>
      <c r="B5" s="4">
        <v>221373</v>
      </c>
      <c r="C5" s="4" t="s">
        <v>78</v>
      </c>
      <c r="D5" s="9">
        <v>17505</v>
      </c>
    </row>
    <row r="6" spans="1:4" x14ac:dyDescent="0.25">
      <c r="A6" s="4" t="s">
        <v>38</v>
      </c>
      <c r="B6" s="4">
        <v>222102</v>
      </c>
      <c r="C6" s="4" t="s">
        <v>79</v>
      </c>
      <c r="D6" s="9">
        <v>10665</v>
      </c>
    </row>
    <row r="7" spans="1:4" x14ac:dyDescent="0.25">
      <c r="A7" s="4" t="s">
        <v>38</v>
      </c>
      <c r="B7" s="4">
        <v>223618</v>
      </c>
      <c r="C7" s="4" t="s">
        <v>80</v>
      </c>
      <c r="D7" s="9">
        <v>1685</v>
      </c>
    </row>
    <row r="8" spans="1:4" x14ac:dyDescent="0.25">
      <c r="B8" s="5"/>
      <c r="C8" s="7" t="s">
        <v>73</v>
      </c>
      <c r="D8" s="10">
        <f>SUM(D2:D7)</f>
        <v>41991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0A44-ABBA-4D7A-947C-7DC8C85C9E2D}">
  <sheetPr codeName="Sheet3"/>
  <dimension ref="A1:D6"/>
  <sheetViews>
    <sheetView workbookViewId="0">
      <selection sqref="A1:D6"/>
    </sheetView>
  </sheetViews>
  <sheetFormatPr defaultRowHeight="15" x14ac:dyDescent="0.25"/>
  <cols>
    <col min="1" max="1" width="26.5703125" bestFit="1" customWidth="1"/>
    <col min="2" max="2" width="8.7109375" bestFit="1" customWidth="1"/>
    <col min="3" max="3" width="71.7109375" bestFit="1" customWidth="1"/>
    <col min="4" max="4" width="10.140625" style="3" bestFit="1" customWidth="1"/>
  </cols>
  <sheetData>
    <row r="1" spans="1:4" x14ac:dyDescent="0.25">
      <c r="A1" s="12" t="s">
        <v>0</v>
      </c>
      <c r="B1" s="12" t="s">
        <v>1</v>
      </c>
      <c r="C1" s="12" t="s">
        <v>2</v>
      </c>
      <c r="D1" s="13" t="s">
        <v>4</v>
      </c>
    </row>
    <row r="2" spans="1:4" x14ac:dyDescent="0.25">
      <c r="A2" s="4" t="s">
        <v>5</v>
      </c>
      <c r="B2" s="4">
        <v>222556</v>
      </c>
      <c r="C2" s="4" t="s">
        <v>74</v>
      </c>
      <c r="D2" s="9">
        <v>7630</v>
      </c>
    </row>
    <row r="3" spans="1:4" x14ac:dyDescent="0.25">
      <c r="A3" s="4" t="s">
        <v>13</v>
      </c>
      <c r="B3" s="4">
        <v>223677</v>
      </c>
      <c r="C3" s="4" t="s">
        <v>75</v>
      </c>
      <c r="D3" s="9">
        <v>3921</v>
      </c>
    </row>
    <row r="4" spans="1:4" x14ac:dyDescent="0.25">
      <c r="A4" s="4" t="s">
        <v>81</v>
      </c>
      <c r="B4" s="4">
        <v>224542</v>
      </c>
      <c r="C4" s="4" t="s">
        <v>82</v>
      </c>
      <c r="D4" s="9">
        <v>958</v>
      </c>
    </row>
    <row r="5" spans="1:4" x14ac:dyDescent="0.25">
      <c r="A5" s="4" t="s">
        <v>76</v>
      </c>
      <c r="B5" s="4">
        <v>215603</v>
      </c>
      <c r="C5" s="4" t="s">
        <v>77</v>
      </c>
      <c r="D5" s="9">
        <v>585</v>
      </c>
    </row>
    <row r="6" spans="1:4" x14ac:dyDescent="0.25">
      <c r="C6" s="11" t="s">
        <v>83</v>
      </c>
      <c r="D6" s="3">
        <f>SUM(D2:D5)</f>
        <v>13094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FD8D-E211-430F-8E44-AE7136E6E91A}">
  <sheetPr codeName="Sheet4"/>
  <dimension ref="A1:D18"/>
  <sheetViews>
    <sheetView workbookViewId="0">
      <selection activeCell="C27" sqref="C27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71.7109375" bestFit="1" customWidth="1"/>
    <col min="4" max="4" width="10.14062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222556</v>
      </c>
      <c r="C2" s="4" t="s">
        <v>74</v>
      </c>
      <c r="D2" s="9">
        <v>7630</v>
      </c>
    </row>
    <row r="3" spans="1:4" x14ac:dyDescent="0.25">
      <c r="A3" s="4" t="s">
        <v>5</v>
      </c>
      <c r="B3" s="4">
        <v>224161</v>
      </c>
      <c r="C3" s="4" t="s">
        <v>84</v>
      </c>
      <c r="D3" s="9">
        <v>595</v>
      </c>
    </row>
    <row r="4" spans="1:4" x14ac:dyDescent="0.25">
      <c r="A4" s="4" t="s">
        <v>13</v>
      </c>
      <c r="B4" s="4">
        <v>223677</v>
      </c>
      <c r="C4" s="4" t="s">
        <v>75</v>
      </c>
      <c r="D4" s="9">
        <v>3921</v>
      </c>
    </row>
    <row r="5" spans="1:4" x14ac:dyDescent="0.25">
      <c r="A5" s="4" t="s">
        <v>81</v>
      </c>
      <c r="B5" s="4">
        <v>224942</v>
      </c>
      <c r="C5" s="4" t="s">
        <v>85</v>
      </c>
      <c r="D5" s="9">
        <v>495</v>
      </c>
    </row>
    <row r="6" spans="1:4" x14ac:dyDescent="0.25">
      <c r="A6" s="4" t="s">
        <v>76</v>
      </c>
      <c r="B6" s="4">
        <v>215603</v>
      </c>
      <c r="C6" s="4" t="s">
        <v>77</v>
      </c>
      <c r="D6" s="9">
        <v>585</v>
      </c>
    </row>
    <row r="7" spans="1:4" x14ac:dyDescent="0.25">
      <c r="A7" s="4" t="s">
        <v>86</v>
      </c>
      <c r="B7" s="4">
        <v>225032</v>
      </c>
      <c r="C7" s="4" t="s">
        <v>87</v>
      </c>
      <c r="D7" s="9">
        <v>458</v>
      </c>
    </row>
    <row r="8" spans="1:4" x14ac:dyDescent="0.25">
      <c r="A8" s="4" t="s">
        <v>86</v>
      </c>
      <c r="B8" s="4">
        <v>224999</v>
      </c>
      <c r="C8" s="4" t="s">
        <v>88</v>
      </c>
      <c r="D8" s="9">
        <v>4538</v>
      </c>
    </row>
    <row r="9" spans="1:4" x14ac:dyDescent="0.25">
      <c r="A9" s="4" t="s">
        <v>86</v>
      </c>
      <c r="B9" s="4">
        <v>224992</v>
      </c>
      <c r="C9" s="4" t="s">
        <v>89</v>
      </c>
      <c r="D9" s="9">
        <v>4596</v>
      </c>
    </row>
    <row r="10" spans="1:4" x14ac:dyDescent="0.25">
      <c r="A10" s="4" t="s">
        <v>86</v>
      </c>
      <c r="B10" s="4">
        <v>224998</v>
      </c>
      <c r="C10" s="4" t="s">
        <v>90</v>
      </c>
      <c r="D10" s="9">
        <v>1833</v>
      </c>
    </row>
    <row r="11" spans="1:4" x14ac:dyDescent="0.25">
      <c r="A11" s="4" t="s">
        <v>86</v>
      </c>
      <c r="B11" s="4">
        <v>225002</v>
      </c>
      <c r="C11" s="4" t="s">
        <v>91</v>
      </c>
      <c r="D11" s="9">
        <v>2210</v>
      </c>
    </row>
    <row r="12" spans="1:4" x14ac:dyDescent="0.25">
      <c r="A12" s="4" t="s">
        <v>86</v>
      </c>
      <c r="B12" s="4">
        <v>225009</v>
      </c>
      <c r="C12" s="4" t="s">
        <v>92</v>
      </c>
      <c r="D12" s="9">
        <v>2777</v>
      </c>
    </row>
    <row r="13" spans="1:4" x14ac:dyDescent="0.25">
      <c r="A13" s="4" t="s">
        <v>86</v>
      </c>
      <c r="B13" s="4">
        <v>225011</v>
      </c>
      <c r="C13" s="4" t="s">
        <v>93</v>
      </c>
      <c r="D13" s="9">
        <v>2085</v>
      </c>
    </row>
    <row r="14" spans="1:4" x14ac:dyDescent="0.25">
      <c r="A14" s="4" t="s">
        <v>86</v>
      </c>
      <c r="B14" s="4">
        <v>225015</v>
      </c>
      <c r="C14" s="4" t="s">
        <v>94</v>
      </c>
      <c r="D14" s="9">
        <v>4241</v>
      </c>
    </row>
    <row r="15" spans="1:4" x14ac:dyDescent="0.25">
      <c r="A15" s="4" t="s">
        <v>86</v>
      </c>
      <c r="B15" s="4">
        <v>225021</v>
      </c>
      <c r="C15" s="4" t="s">
        <v>95</v>
      </c>
      <c r="D15" s="9">
        <v>3349</v>
      </c>
    </row>
    <row r="16" spans="1:4" x14ac:dyDescent="0.25">
      <c r="A16" s="4" t="s">
        <v>86</v>
      </c>
      <c r="B16" s="4">
        <v>225027</v>
      </c>
      <c r="C16" s="4" t="s">
        <v>96</v>
      </c>
      <c r="D16" s="9">
        <v>3233</v>
      </c>
    </row>
    <row r="17" spans="1:4" x14ac:dyDescent="0.25">
      <c r="A17" s="4" t="s">
        <v>38</v>
      </c>
      <c r="B17" s="4">
        <v>224933</v>
      </c>
      <c r="C17" s="4" t="s">
        <v>97</v>
      </c>
      <c r="D17" s="9">
        <v>31824</v>
      </c>
    </row>
    <row r="18" spans="1:4" x14ac:dyDescent="0.25">
      <c r="C18" s="14" t="s">
        <v>83</v>
      </c>
      <c r="D18" s="15">
        <f>SUM(D2:D17)</f>
        <v>74370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8C99-B9BC-4B63-B5E4-50C889FB2681}">
  <sheetPr codeName="Sheet5"/>
  <dimension ref="A3:D12"/>
  <sheetViews>
    <sheetView view="pageBreakPreview" zoomScaleNormal="100" zoomScaleSheetLayoutView="100" workbookViewId="0">
      <selection activeCell="A23" sqref="A2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71.7109375" bestFit="1" customWidth="1"/>
    <col min="4" max="4" width="8.7109375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6" t="s">
        <v>4</v>
      </c>
    </row>
    <row r="4" spans="1:4" x14ac:dyDescent="0.25">
      <c r="A4" s="4" t="s">
        <v>5</v>
      </c>
      <c r="B4" s="4">
        <v>222556</v>
      </c>
      <c r="C4" s="4" t="s">
        <v>74</v>
      </c>
      <c r="D4" s="16">
        <v>7630</v>
      </c>
    </row>
    <row r="5" spans="1:4" x14ac:dyDescent="0.25">
      <c r="A5" s="4" t="s">
        <v>98</v>
      </c>
      <c r="B5" s="4">
        <v>225363</v>
      </c>
      <c r="C5" s="4" t="s">
        <v>99</v>
      </c>
      <c r="D5" s="16">
        <v>2190</v>
      </c>
    </row>
    <row r="6" spans="1:4" x14ac:dyDescent="0.25">
      <c r="A6" s="4" t="s">
        <v>98</v>
      </c>
      <c r="B6" s="4">
        <v>225361</v>
      </c>
      <c r="C6" s="4" t="s">
        <v>100</v>
      </c>
      <c r="D6" s="4">
        <v>265</v>
      </c>
    </row>
    <row r="7" spans="1:4" x14ac:dyDescent="0.25">
      <c r="A7" s="4" t="s">
        <v>98</v>
      </c>
      <c r="B7" s="4">
        <v>225360</v>
      </c>
      <c r="C7" s="4" t="s">
        <v>101</v>
      </c>
      <c r="D7" s="16">
        <v>3690</v>
      </c>
    </row>
    <row r="8" spans="1:4" x14ac:dyDescent="0.25">
      <c r="A8" s="4" t="s">
        <v>13</v>
      </c>
      <c r="B8" s="4">
        <v>223677</v>
      </c>
      <c r="C8" s="4" t="s">
        <v>75</v>
      </c>
      <c r="D8" s="16">
        <v>3921</v>
      </c>
    </row>
    <row r="9" spans="1:4" x14ac:dyDescent="0.25">
      <c r="A9" s="4" t="s">
        <v>76</v>
      </c>
      <c r="B9" s="4">
        <v>215603</v>
      </c>
      <c r="C9" s="4" t="s">
        <v>77</v>
      </c>
      <c r="D9" s="4">
        <v>585</v>
      </c>
    </row>
    <row r="10" spans="1:4" x14ac:dyDescent="0.25">
      <c r="A10" s="4" t="s">
        <v>102</v>
      </c>
      <c r="B10" s="4">
        <v>225206</v>
      </c>
      <c r="C10" s="4" t="s">
        <v>103</v>
      </c>
      <c r="D10" s="4">
        <v>0</v>
      </c>
    </row>
    <row r="11" spans="1:4" x14ac:dyDescent="0.25">
      <c r="A11" s="4" t="s">
        <v>38</v>
      </c>
      <c r="B11" s="4">
        <v>225335</v>
      </c>
      <c r="C11" s="4" t="s">
        <v>104</v>
      </c>
      <c r="D11" s="4">
        <v>60</v>
      </c>
    </row>
    <row r="12" spans="1:4" x14ac:dyDescent="0.25">
      <c r="C12" s="17" t="s">
        <v>73</v>
      </c>
      <c r="D12" s="18">
        <f>SUM(D4:D11)</f>
        <v>18341</v>
      </c>
    </row>
  </sheetData>
  <pageMargins left="0.7" right="0.7" top="0.75" bottom="0.75" header="0.3" footer="0.3"/>
  <pageSetup scale="90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7670-F290-410F-AF6D-C7E2F634DA0E}">
  <sheetPr codeName="Sheet6"/>
  <dimension ref="A3:D19"/>
  <sheetViews>
    <sheetView view="pageBreakPreview" zoomScaleNormal="100" zoomScaleSheetLayoutView="100" workbookViewId="0">
      <selection activeCell="C25" sqref="C25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77.28515625" bestFit="1" customWidth="1"/>
    <col min="4" max="4" width="11.14062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5</v>
      </c>
      <c r="B4" s="4">
        <v>222556</v>
      </c>
      <c r="C4" s="4" t="s">
        <v>74</v>
      </c>
      <c r="D4" s="9">
        <v>7630</v>
      </c>
    </row>
    <row r="5" spans="1:4" x14ac:dyDescent="0.25">
      <c r="A5" s="4" t="s">
        <v>13</v>
      </c>
      <c r="B5" s="4">
        <v>225510</v>
      </c>
      <c r="C5" s="4" t="s">
        <v>105</v>
      </c>
      <c r="D5" s="9">
        <v>3821</v>
      </c>
    </row>
    <row r="6" spans="1:4" x14ac:dyDescent="0.25">
      <c r="A6" s="4" t="s">
        <v>13</v>
      </c>
      <c r="B6" s="4">
        <v>225566</v>
      </c>
      <c r="C6" s="4" t="s">
        <v>106</v>
      </c>
      <c r="D6" s="9">
        <v>11936</v>
      </c>
    </row>
    <row r="7" spans="1:4" x14ac:dyDescent="0.25">
      <c r="A7" s="4" t="s">
        <v>13</v>
      </c>
      <c r="B7" s="4">
        <v>223677</v>
      </c>
      <c r="C7" s="4" t="s">
        <v>75</v>
      </c>
      <c r="D7" s="9">
        <v>3921</v>
      </c>
    </row>
    <row r="8" spans="1:4" x14ac:dyDescent="0.25">
      <c r="A8" s="4" t="s">
        <v>13</v>
      </c>
      <c r="B8" s="4">
        <v>225490</v>
      </c>
      <c r="C8" s="4" t="s">
        <v>107</v>
      </c>
      <c r="D8" s="9">
        <v>4493</v>
      </c>
    </row>
    <row r="9" spans="1:4" x14ac:dyDescent="0.25">
      <c r="A9" s="4" t="s">
        <v>108</v>
      </c>
      <c r="B9" s="4">
        <v>222975</v>
      </c>
      <c r="C9" s="4" t="s">
        <v>109</v>
      </c>
      <c r="D9" s="9">
        <v>6390</v>
      </c>
    </row>
    <row r="10" spans="1:4" x14ac:dyDescent="0.25">
      <c r="A10" s="4" t="s">
        <v>108</v>
      </c>
      <c r="B10" s="4">
        <v>222972</v>
      </c>
      <c r="C10" s="4" t="s">
        <v>110</v>
      </c>
      <c r="D10" s="9">
        <v>5250</v>
      </c>
    </row>
    <row r="11" spans="1:4" x14ac:dyDescent="0.25">
      <c r="A11" s="4" t="s">
        <v>111</v>
      </c>
      <c r="B11" s="4">
        <v>226103</v>
      </c>
      <c r="C11" s="4" t="s">
        <v>112</v>
      </c>
      <c r="D11" s="9">
        <v>62194</v>
      </c>
    </row>
    <row r="12" spans="1:4" x14ac:dyDescent="0.25">
      <c r="A12" s="4" t="s">
        <v>113</v>
      </c>
      <c r="B12" s="4">
        <v>221763</v>
      </c>
      <c r="C12" s="4" t="s">
        <v>114</v>
      </c>
      <c r="D12" s="9">
        <v>13200</v>
      </c>
    </row>
    <row r="13" spans="1:4" x14ac:dyDescent="0.25">
      <c r="A13" s="4" t="s">
        <v>113</v>
      </c>
      <c r="B13" s="4">
        <v>221762</v>
      </c>
      <c r="C13" s="4" t="s">
        <v>115</v>
      </c>
      <c r="D13" s="9">
        <v>16358</v>
      </c>
    </row>
    <row r="14" spans="1:4" x14ac:dyDescent="0.25">
      <c r="A14" s="4" t="s">
        <v>26</v>
      </c>
      <c r="B14" s="4">
        <v>225759</v>
      </c>
      <c r="C14" s="4" t="s">
        <v>116</v>
      </c>
      <c r="D14" s="9">
        <v>1590</v>
      </c>
    </row>
    <row r="15" spans="1:4" x14ac:dyDescent="0.25">
      <c r="A15" s="4" t="s">
        <v>76</v>
      </c>
      <c r="B15" s="4">
        <v>215603</v>
      </c>
      <c r="C15" s="4" t="s">
        <v>77</v>
      </c>
      <c r="D15" s="9">
        <v>585</v>
      </c>
    </row>
    <row r="16" spans="1:4" x14ac:dyDescent="0.25">
      <c r="A16" s="4" t="s">
        <v>102</v>
      </c>
      <c r="B16" s="4">
        <v>225206</v>
      </c>
      <c r="C16" s="4" t="s">
        <v>103</v>
      </c>
      <c r="D16" s="9">
        <v>0</v>
      </c>
    </row>
    <row r="17" spans="1:4" x14ac:dyDescent="0.25">
      <c r="A17" s="4" t="s">
        <v>38</v>
      </c>
      <c r="B17" s="4">
        <v>225885</v>
      </c>
      <c r="C17" s="4" t="s">
        <v>117</v>
      </c>
      <c r="D17" s="9">
        <v>10800</v>
      </c>
    </row>
    <row r="18" spans="1:4" x14ac:dyDescent="0.25">
      <c r="A18" s="4" t="s">
        <v>61</v>
      </c>
      <c r="B18" s="4">
        <v>222281</v>
      </c>
      <c r="C18" s="4" t="s">
        <v>118</v>
      </c>
      <c r="D18" s="9">
        <v>0</v>
      </c>
    </row>
    <row r="19" spans="1:4" x14ac:dyDescent="0.25">
      <c r="C19" s="17" t="s">
        <v>73</v>
      </c>
      <c r="D19" s="19">
        <f>SUM(D4:D18)</f>
        <v>148168</v>
      </c>
    </row>
  </sheetData>
  <pageMargins left="0.7" right="0.7" top="0.75" bottom="0.75" header="0.3" footer="0.3"/>
  <pageSetup scale="85" orientation="landscape" r:id="rId1"/>
  <headerFooter>
    <oddHeader>&amp;C&amp;"Arial Black,Regular"&amp;14SALES REPORT
&amp;10APPROVED WORK AWAITING SCHEDULE</oddHeader>
    <oddFooter>&amp;L&amp;Z&amp;F&amp;R&amp;D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C7F3-A6E9-4336-B692-270C30195B1F}">
  <sheetPr codeName="Sheet7"/>
  <dimension ref="A3:D17"/>
  <sheetViews>
    <sheetView workbookViewId="0">
      <selection activeCell="C19" sqref="C19"/>
    </sheetView>
  </sheetViews>
  <sheetFormatPr defaultRowHeight="15" x14ac:dyDescent="0.25"/>
  <cols>
    <col min="1" max="1" width="28.140625" bestFit="1" customWidth="1"/>
    <col min="2" max="2" width="8.7109375" bestFit="1" customWidth="1"/>
    <col min="3" max="3" width="71.7109375" bestFit="1" customWidth="1"/>
    <col min="4" max="4" width="10.14062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5</v>
      </c>
      <c r="B4" s="4">
        <v>222949</v>
      </c>
      <c r="C4" s="4" t="s">
        <v>119</v>
      </c>
      <c r="D4" s="9">
        <v>24555</v>
      </c>
    </row>
    <row r="5" spans="1:4" x14ac:dyDescent="0.25">
      <c r="A5" s="4" t="s">
        <v>5</v>
      </c>
      <c r="B5" s="4">
        <v>222556</v>
      </c>
      <c r="C5" s="4" t="s">
        <v>74</v>
      </c>
      <c r="D5" s="9">
        <v>7630</v>
      </c>
    </row>
    <row r="6" spans="1:4" x14ac:dyDescent="0.25">
      <c r="A6" s="4" t="s">
        <v>5</v>
      </c>
      <c r="B6" s="4">
        <v>222813</v>
      </c>
      <c r="C6" s="4" t="s">
        <v>120</v>
      </c>
      <c r="D6" s="9">
        <v>2085</v>
      </c>
    </row>
    <row r="7" spans="1:4" x14ac:dyDescent="0.25">
      <c r="A7" s="4" t="s">
        <v>9</v>
      </c>
      <c r="B7" s="4">
        <v>226160</v>
      </c>
      <c r="C7" s="4" t="s">
        <v>121</v>
      </c>
      <c r="D7" s="9">
        <v>3940</v>
      </c>
    </row>
    <row r="8" spans="1:4" x14ac:dyDescent="0.25">
      <c r="A8" s="4" t="s">
        <v>9</v>
      </c>
      <c r="B8" s="4">
        <v>226157</v>
      </c>
      <c r="C8" s="4" t="s">
        <v>122</v>
      </c>
      <c r="D8" s="9">
        <v>3140</v>
      </c>
    </row>
    <row r="9" spans="1:4" x14ac:dyDescent="0.25">
      <c r="A9" s="4" t="s">
        <v>9</v>
      </c>
      <c r="B9" s="4">
        <v>226154</v>
      </c>
      <c r="C9" s="4" t="s">
        <v>123</v>
      </c>
      <c r="D9" s="9">
        <v>5515</v>
      </c>
    </row>
    <row r="10" spans="1:4" x14ac:dyDescent="0.25">
      <c r="A10" s="4" t="s">
        <v>13</v>
      </c>
      <c r="B10" s="4">
        <v>226285</v>
      </c>
      <c r="C10" s="4" t="s">
        <v>124</v>
      </c>
      <c r="D10" s="9">
        <v>10384</v>
      </c>
    </row>
    <row r="11" spans="1:4" x14ac:dyDescent="0.25">
      <c r="A11" s="4" t="s">
        <v>13</v>
      </c>
      <c r="B11" s="4">
        <v>225566</v>
      </c>
      <c r="C11" s="4" t="s">
        <v>106</v>
      </c>
      <c r="D11" s="9">
        <v>11936</v>
      </c>
    </row>
    <row r="12" spans="1:4" x14ac:dyDescent="0.25">
      <c r="A12" s="4" t="s">
        <v>13</v>
      </c>
      <c r="B12" s="4">
        <v>223677</v>
      </c>
      <c r="C12" s="4" t="s">
        <v>75</v>
      </c>
      <c r="D12" s="9">
        <v>3921</v>
      </c>
    </row>
    <row r="13" spans="1:4" x14ac:dyDescent="0.25">
      <c r="A13" s="4" t="s">
        <v>13</v>
      </c>
      <c r="B13" s="4">
        <v>225490</v>
      </c>
      <c r="C13" s="4" t="s">
        <v>107</v>
      </c>
      <c r="D13" s="9">
        <v>4493</v>
      </c>
    </row>
    <row r="14" spans="1:4" x14ac:dyDescent="0.25">
      <c r="A14" s="4" t="s">
        <v>108</v>
      </c>
      <c r="B14" s="4">
        <v>222972</v>
      </c>
      <c r="C14" s="4" t="s">
        <v>110</v>
      </c>
      <c r="D14" s="9">
        <v>5250</v>
      </c>
    </row>
    <row r="15" spans="1:4" x14ac:dyDescent="0.25">
      <c r="A15" s="4" t="s">
        <v>76</v>
      </c>
      <c r="B15" s="4">
        <v>215603</v>
      </c>
      <c r="C15" s="4" t="s">
        <v>77</v>
      </c>
      <c r="D15" s="9">
        <v>585</v>
      </c>
    </row>
    <row r="16" spans="1:4" x14ac:dyDescent="0.25">
      <c r="A16" s="4" t="s">
        <v>102</v>
      </c>
      <c r="B16" s="4">
        <v>225206</v>
      </c>
      <c r="C16" s="4" t="s">
        <v>103</v>
      </c>
      <c r="D16" s="9">
        <v>0</v>
      </c>
    </row>
    <row r="17" spans="2:4" x14ac:dyDescent="0.25">
      <c r="B17" s="5"/>
      <c r="C17" s="14" t="s">
        <v>83</v>
      </c>
      <c r="D17" s="15">
        <f>SUM(D4:D16)</f>
        <v>83434</v>
      </c>
    </row>
  </sheetData>
  <pageMargins left="0.7" right="0.7" top="0.75" bottom="0.75" header="0.3" footer="0.3"/>
  <pageSetup orientation="landscape" r:id="rId1"/>
  <headerFooter>
    <oddHeader>&amp;C&amp;"Arial Black,Regular"&amp;14SALES REPORT
&amp;10APPROVED WORK AWAITING SCHEDULE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BBA7-706C-46EC-A27F-01639F7E0113}">
  <sheetPr codeName="Sheet8"/>
  <dimension ref="A3:D29"/>
  <sheetViews>
    <sheetView view="pageBreakPreview" zoomScaleNormal="100" zoomScaleSheetLayoutView="100" workbookViewId="0">
      <selection activeCell="G9" sqref="G9"/>
    </sheetView>
  </sheetViews>
  <sheetFormatPr defaultRowHeight="15" x14ac:dyDescent="0.25"/>
  <cols>
    <col min="1" max="1" width="31" bestFit="1" customWidth="1"/>
    <col min="2" max="2" width="8.7109375" bestFit="1" customWidth="1"/>
    <col min="3" max="3" width="71.7109375" bestFit="1" customWidth="1"/>
    <col min="4" max="4" width="11.14062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5</v>
      </c>
      <c r="B4" s="4">
        <v>222556</v>
      </c>
      <c r="C4" s="4" t="s">
        <v>74</v>
      </c>
      <c r="D4" s="9">
        <v>7630</v>
      </c>
    </row>
    <row r="5" spans="1:4" x14ac:dyDescent="0.25">
      <c r="A5" s="4" t="s">
        <v>125</v>
      </c>
      <c r="B5" s="4">
        <v>226444</v>
      </c>
      <c r="C5" s="4" t="s">
        <v>126</v>
      </c>
      <c r="D5" s="9">
        <v>1695</v>
      </c>
    </row>
    <row r="6" spans="1:4" x14ac:dyDescent="0.25">
      <c r="A6" s="4" t="s">
        <v>9</v>
      </c>
      <c r="B6" s="4">
        <v>226433</v>
      </c>
      <c r="C6" s="4" t="s">
        <v>127</v>
      </c>
      <c r="D6" s="9">
        <v>1740</v>
      </c>
    </row>
    <row r="7" spans="1:4" x14ac:dyDescent="0.25">
      <c r="A7" s="4" t="s">
        <v>9</v>
      </c>
      <c r="B7" s="4">
        <v>226446</v>
      </c>
      <c r="C7" s="4" t="s">
        <v>128</v>
      </c>
      <c r="D7" s="9">
        <v>1970</v>
      </c>
    </row>
    <row r="8" spans="1:4" x14ac:dyDescent="0.25">
      <c r="A8" s="4" t="s">
        <v>9</v>
      </c>
      <c r="B8" s="4">
        <v>226458</v>
      </c>
      <c r="C8" s="4" t="s">
        <v>129</v>
      </c>
      <c r="D8" s="9">
        <v>570</v>
      </c>
    </row>
    <row r="9" spans="1:4" x14ac:dyDescent="0.25">
      <c r="A9" s="4" t="s">
        <v>9</v>
      </c>
      <c r="B9" s="4">
        <v>226454</v>
      </c>
      <c r="C9" s="4" t="s">
        <v>130</v>
      </c>
      <c r="D9" s="9">
        <v>2010</v>
      </c>
    </row>
    <row r="10" spans="1:4" x14ac:dyDescent="0.25">
      <c r="A10" s="4" t="s">
        <v>9</v>
      </c>
      <c r="B10" s="4">
        <v>226450</v>
      </c>
      <c r="C10" s="4" t="s">
        <v>131</v>
      </c>
      <c r="D10" s="9">
        <v>2530</v>
      </c>
    </row>
    <row r="11" spans="1:4" x14ac:dyDescent="0.25">
      <c r="A11" s="4" t="s">
        <v>9</v>
      </c>
      <c r="B11" s="4">
        <v>226435</v>
      </c>
      <c r="C11" s="4" t="s">
        <v>132</v>
      </c>
      <c r="D11" s="9">
        <v>1835</v>
      </c>
    </row>
    <row r="12" spans="1:4" x14ac:dyDescent="0.25">
      <c r="A12" s="4" t="s">
        <v>9</v>
      </c>
      <c r="B12" s="4">
        <v>226462</v>
      </c>
      <c r="C12" s="4" t="s">
        <v>133</v>
      </c>
      <c r="D12" s="9">
        <v>805</v>
      </c>
    </row>
    <row r="13" spans="1:4" x14ac:dyDescent="0.25">
      <c r="A13" s="4" t="s">
        <v>9</v>
      </c>
      <c r="B13" s="4">
        <v>226464</v>
      </c>
      <c r="C13" s="4" t="s">
        <v>134</v>
      </c>
      <c r="D13" s="9">
        <v>1230</v>
      </c>
    </row>
    <row r="14" spans="1:4" x14ac:dyDescent="0.25">
      <c r="A14" s="4" t="s">
        <v>9</v>
      </c>
      <c r="B14" s="4">
        <v>226472</v>
      </c>
      <c r="C14" s="4" t="s">
        <v>135</v>
      </c>
      <c r="D14" s="9">
        <v>675</v>
      </c>
    </row>
    <row r="15" spans="1:4" x14ac:dyDescent="0.25">
      <c r="A15" s="4" t="s">
        <v>9</v>
      </c>
      <c r="B15" s="4">
        <v>226519</v>
      </c>
      <c r="C15" s="4" t="s">
        <v>136</v>
      </c>
      <c r="D15" s="9">
        <v>2040</v>
      </c>
    </row>
    <row r="16" spans="1:4" x14ac:dyDescent="0.25">
      <c r="A16" s="4" t="s">
        <v>9</v>
      </c>
      <c r="B16" s="4">
        <v>226517</v>
      </c>
      <c r="C16" s="4" t="s">
        <v>137</v>
      </c>
      <c r="D16" s="9">
        <v>2620</v>
      </c>
    </row>
    <row r="17" spans="1:4" x14ac:dyDescent="0.25">
      <c r="A17" s="4" t="s">
        <v>9</v>
      </c>
      <c r="B17" s="4">
        <v>226515</v>
      </c>
      <c r="C17" s="4" t="s">
        <v>138</v>
      </c>
      <c r="D17" s="9">
        <v>3525</v>
      </c>
    </row>
    <row r="18" spans="1:4" x14ac:dyDescent="0.25">
      <c r="A18" s="4" t="s">
        <v>9</v>
      </c>
      <c r="B18" s="4">
        <v>226514</v>
      </c>
      <c r="C18" s="4" t="s">
        <v>139</v>
      </c>
      <c r="D18" s="9">
        <v>2805</v>
      </c>
    </row>
    <row r="19" spans="1:4" x14ac:dyDescent="0.25">
      <c r="A19" s="4" t="s">
        <v>9</v>
      </c>
      <c r="B19" s="4">
        <v>226513</v>
      </c>
      <c r="C19" s="4" t="s">
        <v>140</v>
      </c>
      <c r="D19" s="9">
        <v>3655</v>
      </c>
    </row>
    <row r="20" spans="1:4" x14ac:dyDescent="0.25">
      <c r="A20" s="4" t="s">
        <v>9</v>
      </c>
      <c r="B20" s="4">
        <v>226521</v>
      </c>
      <c r="C20" s="4" t="s">
        <v>141</v>
      </c>
      <c r="D20" s="9">
        <v>1490</v>
      </c>
    </row>
    <row r="21" spans="1:4" x14ac:dyDescent="0.25">
      <c r="A21" s="4" t="s">
        <v>9</v>
      </c>
      <c r="B21" s="4">
        <v>226770</v>
      </c>
      <c r="C21" s="4" t="s">
        <v>142</v>
      </c>
      <c r="D21" s="9">
        <v>3475</v>
      </c>
    </row>
    <row r="22" spans="1:4" x14ac:dyDescent="0.25">
      <c r="A22" s="4" t="s">
        <v>143</v>
      </c>
      <c r="B22" s="4">
        <v>226295</v>
      </c>
      <c r="C22" s="4" t="s">
        <v>144</v>
      </c>
      <c r="D22" s="9">
        <v>64370</v>
      </c>
    </row>
    <row r="23" spans="1:4" x14ac:dyDescent="0.25">
      <c r="A23" s="4" t="s">
        <v>13</v>
      </c>
      <c r="B23" s="4">
        <v>226285</v>
      </c>
      <c r="C23" s="4" t="s">
        <v>124</v>
      </c>
      <c r="D23" s="9">
        <v>10384</v>
      </c>
    </row>
    <row r="24" spans="1:4" x14ac:dyDescent="0.25">
      <c r="A24" s="4" t="s">
        <v>13</v>
      </c>
      <c r="B24" s="4">
        <v>225566</v>
      </c>
      <c r="C24" s="4" t="s">
        <v>106</v>
      </c>
      <c r="D24" s="9">
        <v>11936</v>
      </c>
    </row>
    <row r="25" spans="1:4" x14ac:dyDescent="0.25">
      <c r="A25" s="4" t="s">
        <v>13</v>
      </c>
      <c r="B25" s="4">
        <v>225495</v>
      </c>
      <c r="C25" s="4" t="s">
        <v>145</v>
      </c>
      <c r="D25" s="9">
        <v>8585</v>
      </c>
    </row>
    <row r="26" spans="1:4" x14ac:dyDescent="0.25">
      <c r="A26" s="4" t="s">
        <v>13</v>
      </c>
      <c r="B26" s="4">
        <v>223677</v>
      </c>
      <c r="C26" s="4" t="s">
        <v>75</v>
      </c>
      <c r="D26" s="9">
        <v>3921</v>
      </c>
    </row>
    <row r="27" spans="1:4" x14ac:dyDescent="0.25">
      <c r="A27" s="4" t="s">
        <v>13</v>
      </c>
      <c r="B27" s="4">
        <v>225490</v>
      </c>
      <c r="C27" s="4" t="s">
        <v>107</v>
      </c>
      <c r="D27" s="9">
        <v>4493</v>
      </c>
    </row>
    <row r="28" spans="1:4" x14ac:dyDescent="0.25">
      <c r="A28" s="4" t="s">
        <v>76</v>
      </c>
      <c r="B28" s="4">
        <v>215603</v>
      </c>
      <c r="C28" s="4" t="s">
        <v>77</v>
      </c>
      <c r="D28" s="9">
        <v>585</v>
      </c>
    </row>
    <row r="29" spans="1:4" x14ac:dyDescent="0.25">
      <c r="C29" s="20" t="s">
        <v>73</v>
      </c>
      <c r="D29" s="21">
        <f>SUM(D4:D28)</f>
        <v>146574</v>
      </c>
    </row>
  </sheetData>
  <pageMargins left="0.7" right="0.7" top="0.75" bottom="0.75" header="0.3" footer="0.3"/>
  <pageSetup scale="99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1AB0B-2811-4FF7-87DF-5EFE5A584D20}">
  <sheetPr codeName="Sheet9"/>
  <dimension ref="A3:D18"/>
  <sheetViews>
    <sheetView view="pageBreakPreview" zoomScaleNormal="100" zoomScaleSheetLayoutView="100" workbookViewId="0">
      <selection activeCell="C25" sqref="C25"/>
    </sheetView>
  </sheetViews>
  <sheetFormatPr defaultRowHeight="15" x14ac:dyDescent="0.25"/>
  <cols>
    <col min="1" max="1" width="26.5703125" bestFit="1" customWidth="1"/>
    <col min="2" max="2" width="8.7109375" bestFit="1" customWidth="1"/>
    <col min="3" max="3" width="71.7109375" bestFit="1" customWidth="1"/>
    <col min="4" max="4" width="8.7109375" bestFit="1" customWidth="1"/>
  </cols>
  <sheetData>
    <row r="3" spans="1:4" x14ac:dyDescent="0.25">
      <c r="A3" s="12" t="s">
        <v>0</v>
      </c>
      <c r="B3" s="12" t="s">
        <v>1</v>
      </c>
      <c r="C3" s="12" t="s">
        <v>2</v>
      </c>
      <c r="D3" s="12" t="s">
        <v>4</v>
      </c>
    </row>
    <row r="4" spans="1:4" x14ac:dyDescent="0.25">
      <c r="A4" s="4" t="s">
        <v>5</v>
      </c>
      <c r="B4" s="4">
        <v>222556</v>
      </c>
      <c r="C4" s="4" t="s">
        <v>74</v>
      </c>
      <c r="D4" s="16">
        <v>7630</v>
      </c>
    </row>
    <row r="5" spans="1:4" x14ac:dyDescent="0.25">
      <c r="A5" s="4" t="s">
        <v>9</v>
      </c>
      <c r="B5" s="4">
        <v>226454</v>
      </c>
      <c r="C5" s="4" t="s">
        <v>130</v>
      </c>
      <c r="D5" s="16">
        <v>2010</v>
      </c>
    </row>
    <row r="6" spans="1:4" x14ac:dyDescent="0.25">
      <c r="A6" s="4" t="s">
        <v>9</v>
      </c>
      <c r="B6" s="4">
        <v>226435</v>
      </c>
      <c r="C6" s="4" t="s">
        <v>132</v>
      </c>
      <c r="D6" s="16">
        <v>1835</v>
      </c>
    </row>
    <row r="7" spans="1:4" x14ac:dyDescent="0.25">
      <c r="A7" s="4" t="s">
        <v>9</v>
      </c>
      <c r="B7" s="4">
        <v>226464</v>
      </c>
      <c r="C7" s="4" t="s">
        <v>134</v>
      </c>
      <c r="D7" s="16">
        <v>1230</v>
      </c>
    </row>
    <row r="8" spans="1:4" x14ac:dyDescent="0.25">
      <c r="A8" s="4" t="s">
        <v>9</v>
      </c>
      <c r="B8" s="4">
        <v>226519</v>
      </c>
      <c r="C8" s="4" t="s">
        <v>136</v>
      </c>
      <c r="D8" s="16">
        <v>2040</v>
      </c>
    </row>
    <row r="9" spans="1:4" x14ac:dyDescent="0.25">
      <c r="A9" s="4" t="s">
        <v>9</v>
      </c>
      <c r="B9" s="4">
        <v>226517</v>
      </c>
      <c r="C9" s="4" t="s">
        <v>137</v>
      </c>
      <c r="D9" s="16">
        <v>2620</v>
      </c>
    </row>
    <row r="10" spans="1:4" x14ac:dyDescent="0.25">
      <c r="A10" s="4" t="s">
        <v>9</v>
      </c>
      <c r="B10" s="4">
        <v>226514</v>
      </c>
      <c r="C10" s="4" t="s">
        <v>139</v>
      </c>
      <c r="D10" s="16">
        <v>2805</v>
      </c>
    </row>
    <row r="11" spans="1:4" x14ac:dyDescent="0.25">
      <c r="A11" s="4" t="s">
        <v>9</v>
      </c>
      <c r="B11" s="4">
        <v>226513</v>
      </c>
      <c r="C11" s="4" t="s">
        <v>140</v>
      </c>
      <c r="D11" s="16">
        <v>3655</v>
      </c>
    </row>
    <row r="12" spans="1:4" x14ac:dyDescent="0.25">
      <c r="A12" s="4" t="s">
        <v>9</v>
      </c>
      <c r="B12" s="4">
        <v>226521</v>
      </c>
      <c r="C12" s="4" t="s">
        <v>141</v>
      </c>
      <c r="D12" s="16">
        <v>1490</v>
      </c>
    </row>
    <row r="13" spans="1:4" x14ac:dyDescent="0.25">
      <c r="A13" s="4" t="s">
        <v>9</v>
      </c>
      <c r="B13" s="4">
        <v>226770</v>
      </c>
      <c r="C13" s="4" t="s">
        <v>142</v>
      </c>
      <c r="D13" s="16">
        <v>3475</v>
      </c>
    </row>
    <row r="14" spans="1:4" x14ac:dyDescent="0.25">
      <c r="A14" s="4" t="s">
        <v>13</v>
      </c>
      <c r="B14" s="4">
        <v>226285</v>
      </c>
      <c r="C14" s="4" t="s">
        <v>124</v>
      </c>
      <c r="D14" s="16">
        <v>10384</v>
      </c>
    </row>
    <row r="15" spans="1:4" x14ac:dyDescent="0.25">
      <c r="A15" s="4" t="s">
        <v>13</v>
      </c>
      <c r="B15" s="4">
        <v>225566</v>
      </c>
      <c r="C15" s="4" t="s">
        <v>106</v>
      </c>
      <c r="D15" s="16">
        <v>11936</v>
      </c>
    </row>
    <row r="16" spans="1:4" x14ac:dyDescent="0.25">
      <c r="A16" s="4" t="s">
        <v>13</v>
      </c>
      <c r="B16" s="4">
        <v>223677</v>
      </c>
      <c r="C16" s="4" t="s">
        <v>75</v>
      </c>
      <c r="D16" s="16">
        <v>3921</v>
      </c>
    </row>
    <row r="17" spans="1:4" x14ac:dyDescent="0.25">
      <c r="A17" s="4" t="s">
        <v>76</v>
      </c>
      <c r="B17" s="4">
        <v>215603</v>
      </c>
      <c r="C17" s="4" t="s">
        <v>77</v>
      </c>
      <c r="D17" s="4">
        <v>585</v>
      </c>
    </row>
    <row r="18" spans="1:4" x14ac:dyDescent="0.25">
      <c r="C18" s="14" t="s">
        <v>73</v>
      </c>
      <c r="D18" s="22">
        <f>SUM(D4:D17)</f>
        <v>55616</v>
      </c>
    </row>
  </sheetData>
  <pageMargins left="0.7" right="0.7" top="0.75" bottom="0.75" header="0.3" footer="0.3"/>
  <pageSetup scale="105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A264-E856-41DF-995E-6B98009B9E01}">
  <sheetPr codeName="Sheet10"/>
  <dimension ref="A3:D17"/>
  <sheetViews>
    <sheetView view="pageBreakPreview" zoomScaleNormal="100" zoomScaleSheetLayoutView="100" workbookViewId="0">
      <selection activeCell="D27" sqref="D27"/>
    </sheetView>
  </sheetViews>
  <sheetFormatPr defaultRowHeight="15" x14ac:dyDescent="0.25"/>
  <cols>
    <col min="1" max="1" width="29.140625" bestFit="1" customWidth="1"/>
    <col min="2" max="2" width="8.7109375" bestFit="1" customWidth="1"/>
    <col min="3" max="3" width="56.5703125" bestFit="1" customWidth="1"/>
    <col min="4" max="4" width="8.7109375" bestFit="1" customWidth="1"/>
  </cols>
  <sheetData>
    <row r="3" spans="1:4" x14ac:dyDescent="0.25">
      <c r="A3" s="12" t="s">
        <v>0</v>
      </c>
      <c r="B3" s="12" t="s">
        <v>1</v>
      </c>
      <c r="C3" s="12" t="s">
        <v>2</v>
      </c>
      <c r="D3" s="12" t="s">
        <v>4</v>
      </c>
    </row>
    <row r="4" spans="1:4" x14ac:dyDescent="0.25">
      <c r="A4" s="4" t="s">
        <v>7</v>
      </c>
      <c r="B4" s="4">
        <v>220094</v>
      </c>
      <c r="C4" s="4" t="s">
        <v>146</v>
      </c>
      <c r="D4" s="16">
        <v>5724</v>
      </c>
    </row>
    <row r="5" spans="1:4" x14ac:dyDescent="0.25">
      <c r="A5" s="4" t="s">
        <v>147</v>
      </c>
      <c r="B5" s="4">
        <v>224755</v>
      </c>
      <c r="C5" s="4" t="s">
        <v>148</v>
      </c>
      <c r="D5" s="16">
        <v>1395</v>
      </c>
    </row>
    <row r="6" spans="1:4" x14ac:dyDescent="0.25">
      <c r="A6" s="4" t="s">
        <v>147</v>
      </c>
      <c r="B6" s="4">
        <v>225752</v>
      </c>
      <c r="C6" s="4" t="s">
        <v>149</v>
      </c>
      <c r="D6" s="4">
        <v>188</v>
      </c>
    </row>
    <row r="7" spans="1:4" x14ac:dyDescent="0.25">
      <c r="A7" s="4" t="s">
        <v>9</v>
      </c>
      <c r="B7" s="4">
        <v>226435</v>
      </c>
      <c r="C7" s="4" t="s">
        <v>132</v>
      </c>
      <c r="D7" s="16">
        <v>1835</v>
      </c>
    </row>
    <row r="8" spans="1:4" x14ac:dyDescent="0.25">
      <c r="A8" s="4" t="s">
        <v>9</v>
      </c>
      <c r="B8" s="4">
        <v>226464</v>
      </c>
      <c r="C8" s="4" t="s">
        <v>134</v>
      </c>
      <c r="D8" s="16">
        <v>1230</v>
      </c>
    </row>
    <row r="9" spans="1:4" x14ac:dyDescent="0.25">
      <c r="A9" s="4" t="s">
        <v>9</v>
      </c>
      <c r="B9" s="4">
        <v>226517</v>
      </c>
      <c r="C9" s="4" t="s">
        <v>137</v>
      </c>
      <c r="D9" s="16">
        <v>2620</v>
      </c>
    </row>
    <row r="10" spans="1:4" x14ac:dyDescent="0.25">
      <c r="A10" s="4" t="s">
        <v>9</v>
      </c>
      <c r="B10" s="4">
        <v>226514</v>
      </c>
      <c r="C10" s="4" t="s">
        <v>139</v>
      </c>
      <c r="D10" s="16">
        <v>2805</v>
      </c>
    </row>
    <row r="11" spans="1:4" x14ac:dyDescent="0.25">
      <c r="A11" s="4" t="s">
        <v>9</v>
      </c>
      <c r="B11" s="4">
        <v>226513</v>
      </c>
      <c r="C11" s="4" t="s">
        <v>140</v>
      </c>
      <c r="D11" s="16">
        <v>3655</v>
      </c>
    </row>
    <row r="12" spans="1:4" x14ac:dyDescent="0.25">
      <c r="A12" s="4" t="s">
        <v>9</v>
      </c>
      <c r="B12" s="4">
        <v>226521</v>
      </c>
      <c r="C12" s="4" t="s">
        <v>141</v>
      </c>
      <c r="D12" s="16">
        <v>1490</v>
      </c>
    </row>
    <row r="13" spans="1:4" x14ac:dyDescent="0.25">
      <c r="A13" s="4" t="s">
        <v>9</v>
      </c>
      <c r="B13" s="4">
        <v>226770</v>
      </c>
      <c r="C13" s="4" t="s">
        <v>142</v>
      </c>
      <c r="D13" s="16">
        <v>3475</v>
      </c>
    </row>
    <row r="14" spans="1:4" x14ac:dyDescent="0.25">
      <c r="A14" s="4" t="s">
        <v>13</v>
      </c>
      <c r="B14" s="4">
        <v>227321</v>
      </c>
      <c r="C14" s="4" t="s">
        <v>150</v>
      </c>
      <c r="D14" s="16">
        <v>27713</v>
      </c>
    </row>
    <row r="15" spans="1:4" x14ac:dyDescent="0.25">
      <c r="A15" s="4" t="s">
        <v>76</v>
      </c>
      <c r="B15" s="4">
        <v>215603</v>
      </c>
      <c r="C15" s="4" t="s">
        <v>77</v>
      </c>
      <c r="D15" s="4">
        <v>585</v>
      </c>
    </row>
    <row r="16" spans="1:4" x14ac:dyDescent="0.25">
      <c r="A16" s="4" t="s">
        <v>151</v>
      </c>
      <c r="B16" s="4">
        <v>227035</v>
      </c>
      <c r="C16" s="4" t="s">
        <v>152</v>
      </c>
      <c r="D16" s="16">
        <v>4784</v>
      </c>
    </row>
    <row r="17" spans="3:4" x14ac:dyDescent="0.25">
      <c r="C17" s="14" t="s">
        <v>73</v>
      </c>
      <c r="D17" s="23">
        <f>SUM(D4:D16)</f>
        <v>57499</v>
      </c>
    </row>
  </sheetData>
  <pageMargins left="0.7" right="0.7" top="0.75" bottom="0.75" header="0.3" footer="0.3"/>
  <pageSetup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3213-7D2D-43E9-85EA-C826135E72F3}">
  <sheetPr codeName="Sheet11"/>
  <dimension ref="A3:D13"/>
  <sheetViews>
    <sheetView view="pageBreakPreview" zoomScaleNormal="100" zoomScaleSheetLayoutView="100" workbookViewId="0">
      <selection activeCell="C24" sqref="C24"/>
    </sheetView>
  </sheetViews>
  <sheetFormatPr defaultRowHeight="15" x14ac:dyDescent="0.25"/>
  <cols>
    <col min="1" max="1" width="29.140625" bestFit="1" customWidth="1"/>
    <col min="2" max="2" width="8.7109375" bestFit="1" customWidth="1"/>
    <col min="3" max="3" width="68.5703125" bestFit="1" customWidth="1"/>
    <col min="4" max="4" width="9.140625" style="24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26" t="s">
        <v>4</v>
      </c>
    </row>
    <row r="4" spans="1:4" x14ac:dyDescent="0.25">
      <c r="A4" s="4" t="s">
        <v>147</v>
      </c>
      <c r="B4" s="4">
        <v>224755</v>
      </c>
      <c r="C4" s="4" t="s">
        <v>148</v>
      </c>
      <c r="D4" s="25">
        <v>1395</v>
      </c>
    </row>
    <row r="5" spans="1:4" x14ac:dyDescent="0.25">
      <c r="A5" s="4" t="s">
        <v>147</v>
      </c>
      <c r="B5" s="4">
        <v>225752</v>
      </c>
      <c r="C5" s="4" t="s">
        <v>149</v>
      </c>
      <c r="D5" s="25">
        <v>188</v>
      </c>
    </row>
    <row r="6" spans="1:4" x14ac:dyDescent="0.25">
      <c r="A6" s="4" t="s">
        <v>13</v>
      </c>
      <c r="B6" s="4">
        <v>227498</v>
      </c>
      <c r="C6" s="4" t="s">
        <v>153</v>
      </c>
      <c r="D6" s="25">
        <v>302</v>
      </c>
    </row>
    <row r="7" spans="1:4" x14ac:dyDescent="0.25">
      <c r="A7" s="4" t="s">
        <v>24</v>
      </c>
      <c r="B7" s="4">
        <v>227796</v>
      </c>
      <c r="C7" s="4" t="s">
        <v>154</v>
      </c>
      <c r="D7" s="25">
        <v>2240</v>
      </c>
    </row>
    <row r="8" spans="1:4" x14ac:dyDescent="0.25">
      <c r="A8" s="4" t="s">
        <v>24</v>
      </c>
      <c r="B8" s="4">
        <v>227326</v>
      </c>
      <c r="C8" s="4" t="s">
        <v>155</v>
      </c>
      <c r="D8" s="25">
        <v>1176</v>
      </c>
    </row>
    <row r="9" spans="1:4" x14ac:dyDescent="0.25">
      <c r="A9" s="4" t="s">
        <v>24</v>
      </c>
      <c r="B9" s="4">
        <v>227923</v>
      </c>
      <c r="C9" s="4" t="s">
        <v>156</v>
      </c>
      <c r="D9" s="25">
        <v>838</v>
      </c>
    </row>
    <row r="10" spans="1:4" x14ac:dyDescent="0.25">
      <c r="A10" s="4" t="s">
        <v>24</v>
      </c>
      <c r="B10" s="4">
        <v>227272</v>
      </c>
      <c r="C10" s="4" t="s">
        <v>157</v>
      </c>
      <c r="D10" s="25">
        <v>2955</v>
      </c>
    </row>
    <row r="11" spans="1:4" x14ac:dyDescent="0.25">
      <c r="A11" s="4" t="s">
        <v>24</v>
      </c>
      <c r="B11" s="4">
        <v>227264</v>
      </c>
      <c r="C11" s="4" t="s">
        <v>158</v>
      </c>
      <c r="D11" s="25">
        <v>439</v>
      </c>
    </row>
    <row r="12" spans="1:4" x14ac:dyDescent="0.25">
      <c r="A12" s="4" t="s">
        <v>76</v>
      </c>
      <c r="B12" s="4">
        <v>215603</v>
      </c>
      <c r="C12" s="4" t="s">
        <v>77</v>
      </c>
      <c r="D12" s="25">
        <v>585</v>
      </c>
    </row>
    <row r="13" spans="1:4" x14ac:dyDescent="0.25">
      <c r="C13" s="20" t="s">
        <v>73</v>
      </c>
      <c r="D13" s="27">
        <f>SUM(D4:D12)</f>
        <v>10118</v>
      </c>
    </row>
  </sheetData>
  <pageMargins left="0.7" right="0.7" top="0.75" bottom="0.75" header="0.3" footer="0.3"/>
  <pageSetup scale="105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DE1D-09E9-4D0A-A933-36591AB25BDC}">
  <sheetPr codeName="Sheet12"/>
  <dimension ref="A3:D26"/>
  <sheetViews>
    <sheetView view="pageBreakPreview" zoomScale="60" zoomScaleNormal="100" workbookViewId="0">
      <selection activeCell="D31" sqref="D31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87.42578125" bestFit="1" customWidth="1"/>
    <col min="4" max="4" width="8.7109375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6" t="s">
        <v>4</v>
      </c>
    </row>
    <row r="4" spans="1:4" x14ac:dyDescent="0.25">
      <c r="A4" s="4" t="s">
        <v>147</v>
      </c>
      <c r="B4" s="4">
        <v>224755</v>
      </c>
      <c r="C4" s="4" t="s">
        <v>148</v>
      </c>
      <c r="D4" s="16">
        <v>1395</v>
      </c>
    </row>
    <row r="5" spans="1:4" x14ac:dyDescent="0.25">
      <c r="A5" s="4" t="s">
        <v>147</v>
      </c>
      <c r="B5" s="4">
        <v>225752</v>
      </c>
      <c r="C5" s="4" t="s">
        <v>149</v>
      </c>
      <c r="D5" s="4">
        <v>188</v>
      </c>
    </row>
    <row r="6" spans="1:4" x14ac:dyDescent="0.25">
      <c r="A6" s="4" t="s">
        <v>13</v>
      </c>
      <c r="B6" s="4">
        <v>227594</v>
      </c>
      <c r="C6" s="4" t="s">
        <v>159</v>
      </c>
      <c r="D6" s="16">
        <v>3388</v>
      </c>
    </row>
    <row r="7" spans="1:4" x14ac:dyDescent="0.25">
      <c r="A7" s="4" t="s">
        <v>24</v>
      </c>
      <c r="B7" s="4">
        <v>227928</v>
      </c>
      <c r="C7" s="4" t="s">
        <v>160</v>
      </c>
      <c r="D7" s="16">
        <v>4520</v>
      </c>
    </row>
    <row r="8" spans="1:4" x14ac:dyDescent="0.25">
      <c r="A8" s="4" t="s">
        <v>24</v>
      </c>
      <c r="B8" s="4">
        <v>227796</v>
      </c>
      <c r="C8" s="4" t="s">
        <v>154</v>
      </c>
      <c r="D8" s="16">
        <v>2240</v>
      </c>
    </row>
    <row r="9" spans="1:4" x14ac:dyDescent="0.25">
      <c r="A9" s="4" t="s">
        <v>24</v>
      </c>
      <c r="B9" s="4">
        <v>227999</v>
      </c>
      <c r="C9" s="4" t="s">
        <v>161</v>
      </c>
      <c r="D9" s="16">
        <v>2183</v>
      </c>
    </row>
    <row r="10" spans="1:4" x14ac:dyDescent="0.25">
      <c r="A10" s="4" t="s">
        <v>24</v>
      </c>
      <c r="B10" s="4">
        <v>227326</v>
      </c>
      <c r="C10" s="4" t="s">
        <v>155</v>
      </c>
      <c r="D10" s="16">
        <v>1176</v>
      </c>
    </row>
    <row r="11" spans="1:4" x14ac:dyDescent="0.25">
      <c r="A11" s="4" t="s">
        <v>24</v>
      </c>
      <c r="B11" s="4">
        <v>228035</v>
      </c>
      <c r="C11" s="4" t="s">
        <v>162</v>
      </c>
      <c r="D11" s="4">
        <v>788</v>
      </c>
    </row>
    <row r="12" spans="1:4" x14ac:dyDescent="0.25">
      <c r="A12" s="4" t="s">
        <v>24</v>
      </c>
      <c r="B12" s="4">
        <v>228074</v>
      </c>
      <c r="C12" s="4" t="s">
        <v>163</v>
      </c>
      <c r="D12" s="16">
        <v>1448</v>
      </c>
    </row>
    <row r="13" spans="1:4" x14ac:dyDescent="0.25">
      <c r="A13" s="4" t="s">
        <v>24</v>
      </c>
      <c r="B13" s="4">
        <v>227923</v>
      </c>
      <c r="C13" s="4" t="s">
        <v>156</v>
      </c>
      <c r="D13" s="4">
        <v>838</v>
      </c>
    </row>
    <row r="14" spans="1:4" x14ac:dyDescent="0.25">
      <c r="A14" s="4" t="s">
        <v>24</v>
      </c>
      <c r="B14" s="4">
        <v>227272</v>
      </c>
      <c r="C14" s="4" t="s">
        <v>157</v>
      </c>
      <c r="D14" s="16">
        <v>2955</v>
      </c>
    </row>
    <row r="15" spans="1:4" x14ac:dyDescent="0.25">
      <c r="A15" s="4" t="s">
        <v>24</v>
      </c>
      <c r="B15" s="4">
        <v>227264</v>
      </c>
      <c r="C15" s="4" t="s">
        <v>158</v>
      </c>
      <c r="D15" s="4">
        <v>439</v>
      </c>
    </row>
    <row r="16" spans="1:4" x14ac:dyDescent="0.25">
      <c r="A16" s="4" t="s">
        <v>24</v>
      </c>
      <c r="B16" s="4">
        <v>228010</v>
      </c>
      <c r="C16" s="4" t="s">
        <v>164</v>
      </c>
      <c r="D16" s="16">
        <v>5958</v>
      </c>
    </row>
    <row r="17" spans="1:4" x14ac:dyDescent="0.25">
      <c r="A17" s="4" t="s">
        <v>24</v>
      </c>
      <c r="B17" s="4">
        <v>227935</v>
      </c>
      <c r="C17" s="4" t="s">
        <v>165</v>
      </c>
      <c r="D17" s="16">
        <v>3192</v>
      </c>
    </row>
    <row r="18" spans="1:4" x14ac:dyDescent="0.25">
      <c r="A18" s="4" t="s">
        <v>24</v>
      </c>
      <c r="B18" s="4">
        <v>227911</v>
      </c>
      <c r="C18" s="4" t="s">
        <v>166</v>
      </c>
      <c r="D18" s="16">
        <v>8907</v>
      </c>
    </row>
    <row r="19" spans="1:4" x14ac:dyDescent="0.25">
      <c r="A19" s="4" t="s">
        <v>167</v>
      </c>
      <c r="B19" s="4">
        <v>227993</v>
      </c>
      <c r="C19" s="4" t="s">
        <v>168</v>
      </c>
      <c r="D19" s="16">
        <v>9416</v>
      </c>
    </row>
    <row r="20" spans="1:4" x14ac:dyDescent="0.25">
      <c r="A20" s="4" t="s">
        <v>26</v>
      </c>
      <c r="B20" s="4">
        <v>228028</v>
      </c>
      <c r="C20" s="4" t="s">
        <v>169</v>
      </c>
      <c r="D20" s="16">
        <v>2570</v>
      </c>
    </row>
    <row r="21" spans="1:4" x14ac:dyDescent="0.25">
      <c r="A21" s="4" t="s">
        <v>76</v>
      </c>
      <c r="B21" s="4">
        <v>215603</v>
      </c>
      <c r="C21" s="4" t="s">
        <v>77</v>
      </c>
      <c r="D21" s="4">
        <v>585</v>
      </c>
    </row>
    <row r="22" spans="1:4" x14ac:dyDescent="0.25">
      <c r="A22" s="4" t="s">
        <v>38</v>
      </c>
      <c r="B22" s="4">
        <v>228169</v>
      </c>
      <c r="C22" s="4" t="s">
        <v>170</v>
      </c>
      <c r="D22" s="4">
        <v>960</v>
      </c>
    </row>
    <row r="23" spans="1:4" x14ac:dyDescent="0.25">
      <c r="A23" s="4" t="s">
        <v>38</v>
      </c>
      <c r="B23" s="4">
        <v>228168</v>
      </c>
      <c r="C23" s="4" t="s">
        <v>171</v>
      </c>
      <c r="D23" s="4">
        <v>339</v>
      </c>
    </row>
    <row r="24" spans="1:4" x14ac:dyDescent="0.25">
      <c r="A24" s="4" t="s">
        <v>38</v>
      </c>
      <c r="B24" s="4">
        <v>228075</v>
      </c>
      <c r="C24" s="4" t="s">
        <v>172</v>
      </c>
      <c r="D24" s="4">
        <v>895</v>
      </c>
    </row>
    <row r="25" spans="1:4" x14ac:dyDescent="0.25">
      <c r="A25" s="4" t="s">
        <v>48</v>
      </c>
      <c r="B25" s="4">
        <v>222064</v>
      </c>
      <c r="C25" s="4" t="s">
        <v>173</v>
      </c>
      <c r="D25" s="16">
        <v>2670</v>
      </c>
    </row>
    <row r="26" spans="1:4" x14ac:dyDescent="0.25">
      <c r="C26" s="28" t="s">
        <v>73</v>
      </c>
      <c r="D26" s="29">
        <f>SUM(D4:D25)</f>
        <v>57050</v>
      </c>
    </row>
  </sheetData>
  <pageMargins left="0.7" right="0.7" top="0.75" bottom="0.75" header="0.3" footer="0.3"/>
  <pageSetup scale="81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12BD-A685-4D0E-BC4E-88A8F75B8F49}">
  <sheetPr codeName="Sheet13"/>
  <dimension ref="A3:D14"/>
  <sheetViews>
    <sheetView view="pageBreakPreview" zoomScaleNormal="100" zoomScaleSheetLayoutView="100" workbookViewId="0">
      <selection activeCell="N7" sqref="N7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76" bestFit="1" customWidth="1"/>
    <col min="4" max="4" width="12.2851562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98</v>
      </c>
      <c r="B4" s="4">
        <v>226783</v>
      </c>
      <c r="C4" s="4" t="s">
        <v>174</v>
      </c>
      <c r="D4" s="9">
        <v>9665</v>
      </c>
    </row>
    <row r="5" spans="1:4" x14ac:dyDescent="0.25">
      <c r="A5" s="4" t="s">
        <v>147</v>
      </c>
      <c r="B5" s="4">
        <v>224755</v>
      </c>
      <c r="C5" s="4" t="s">
        <v>148</v>
      </c>
      <c r="D5" s="9">
        <v>1395</v>
      </c>
    </row>
    <row r="6" spans="1:4" x14ac:dyDescent="0.25">
      <c r="A6" s="4" t="s">
        <v>147</v>
      </c>
      <c r="B6" s="4">
        <v>225752</v>
      </c>
      <c r="C6" s="4" t="s">
        <v>149</v>
      </c>
      <c r="D6" s="9">
        <v>188</v>
      </c>
    </row>
    <row r="7" spans="1:4" x14ac:dyDescent="0.25">
      <c r="A7" s="4" t="s">
        <v>24</v>
      </c>
      <c r="B7" s="4">
        <v>228035</v>
      </c>
      <c r="C7" s="4" t="s">
        <v>162</v>
      </c>
      <c r="D7" s="9">
        <v>788</v>
      </c>
    </row>
    <row r="8" spans="1:4" x14ac:dyDescent="0.25">
      <c r="A8" s="4" t="s">
        <v>175</v>
      </c>
      <c r="B8" s="4">
        <v>226218</v>
      </c>
      <c r="C8" s="4" t="s">
        <v>176</v>
      </c>
      <c r="D8" s="9">
        <v>3190</v>
      </c>
    </row>
    <row r="9" spans="1:4" x14ac:dyDescent="0.25">
      <c r="A9" s="4" t="s">
        <v>177</v>
      </c>
      <c r="B9" s="4">
        <v>228526</v>
      </c>
      <c r="C9" s="4" t="s">
        <v>178</v>
      </c>
      <c r="D9" s="9">
        <v>745</v>
      </c>
    </row>
    <row r="10" spans="1:4" x14ac:dyDescent="0.25">
      <c r="A10" s="4" t="s">
        <v>76</v>
      </c>
      <c r="B10" s="4">
        <v>215603</v>
      </c>
      <c r="C10" s="4" t="s">
        <v>179</v>
      </c>
      <c r="D10" s="9">
        <v>585</v>
      </c>
    </row>
    <row r="11" spans="1:4" x14ac:dyDescent="0.25">
      <c r="A11" s="4" t="s">
        <v>180</v>
      </c>
      <c r="B11" s="4">
        <v>228456</v>
      </c>
      <c r="C11" s="4" t="s">
        <v>181</v>
      </c>
      <c r="D11" s="9">
        <v>2240</v>
      </c>
    </row>
    <row r="12" spans="1:4" x14ac:dyDescent="0.25">
      <c r="A12" s="4" t="s">
        <v>38</v>
      </c>
      <c r="B12" s="4">
        <v>227017</v>
      </c>
      <c r="C12" s="4" t="s">
        <v>182</v>
      </c>
      <c r="D12" s="9">
        <v>6480</v>
      </c>
    </row>
    <row r="13" spans="1:4" x14ac:dyDescent="0.25">
      <c r="A13" s="4" t="s">
        <v>48</v>
      </c>
      <c r="B13" s="4">
        <v>222064</v>
      </c>
      <c r="C13" s="4" t="s">
        <v>173</v>
      </c>
      <c r="D13" s="9">
        <v>2670</v>
      </c>
    </row>
    <row r="14" spans="1:4" x14ac:dyDescent="0.25">
      <c r="C14" s="28" t="s">
        <v>73</v>
      </c>
      <c r="D14" s="30">
        <f>SUM(D4:D13)</f>
        <v>27946</v>
      </c>
    </row>
  </sheetData>
  <pageMargins left="0.7" right="0.7" top="0.75" bottom="0.75" header="0.3" footer="0.3"/>
  <pageSetup scale="85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85EF-72BE-408B-AAC2-D5F2B3E3CB92}">
  <sheetPr codeName="Sheet14"/>
  <dimension ref="A3:D14"/>
  <sheetViews>
    <sheetView view="pageBreakPreview" zoomScale="60" zoomScaleNormal="100" workbookViewId="0">
      <selection activeCell="C23" sqref="C2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88.42578125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98</v>
      </c>
      <c r="B4" s="4">
        <v>226783</v>
      </c>
      <c r="C4" s="4" t="s">
        <v>183</v>
      </c>
      <c r="D4" s="9">
        <v>9665</v>
      </c>
    </row>
    <row r="5" spans="1:4" x14ac:dyDescent="0.25">
      <c r="A5" s="4" t="s">
        <v>108</v>
      </c>
      <c r="B5" s="4">
        <v>230166</v>
      </c>
      <c r="C5" s="4" t="s">
        <v>184</v>
      </c>
      <c r="D5" s="9">
        <v>16008</v>
      </c>
    </row>
    <row r="6" spans="1:4" x14ac:dyDescent="0.25">
      <c r="A6" s="4" t="s">
        <v>167</v>
      </c>
      <c r="B6" s="4">
        <v>228930</v>
      </c>
      <c r="C6" s="4" t="s">
        <v>185</v>
      </c>
      <c r="D6" s="9">
        <v>8653</v>
      </c>
    </row>
    <row r="7" spans="1:4" x14ac:dyDescent="0.25">
      <c r="A7" s="4" t="s">
        <v>167</v>
      </c>
      <c r="B7" s="4">
        <v>228938</v>
      </c>
      <c r="C7" s="4" t="s">
        <v>186</v>
      </c>
      <c r="D7" s="9">
        <v>4794</v>
      </c>
    </row>
    <row r="8" spans="1:4" x14ac:dyDescent="0.25">
      <c r="A8" s="4" t="s">
        <v>167</v>
      </c>
      <c r="B8" s="4">
        <v>229996</v>
      </c>
      <c r="C8" s="4" t="s">
        <v>187</v>
      </c>
      <c r="D8" s="9">
        <v>4771</v>
      </c>
    </row>
    <row r="9" spans="1:4" x14ac:dyDescent="0.25">
      <c r="A9" s="4" t="s">
        <v>175</v>
      </c>
      <c r="B9" s="4">
        <v>226218</v>
      </c>
      <c r="C9" s="4" t="s">
        <v>188</v>
      </c>
      <c r="D9" s="9">
        <v>3190</v>
      </c>
    </row>
    <row r="10" spans="1:4" x14ac:dyDescent="0.25">
      <c r="A10" s="4" t="s">
        <v>180</v>
      </c>
      <c r="B10" s="4">
        <v>228456</v>
      </c>
      <c r="C10" s="4" t="s">
        <v>189</v>
      </c>
      <c r="D10" s="9">
        <v>2240</v>
      </c>
    </row>
    <row r="11" spans="1:4" x14ac:dyDescent="0.25">
      <c r="A11" s="4" t="s">
        <v>38</v>
      </c>
      <c r="B11" s="4">
        <v>229544</v>
      </c>
      <c r="C11" s="4" t="s">
        <v>190</v>
      </c>
      <c r="D11" s="9">
        <v>24815</v>
      </c>
    </row>
    <row r="12" spans="1:4" x14ac:dyDescent="0.25">
      <c r="A12" s="4" t="s">
        <v>48</v>
      </c>
      <c r="B12" s="4">
        <v>222064</v>
      </c>
      <c r="C12" s="4" t="s">
        <v>173</v>
      </c>
      <c r="D12" s="9">
        <v>2670</v>
      </c>
    </row>
    <row r="13" spans="1:4" x14ac:dyDescent="0.25">
      <c r="A13" s="4" t="s">
        <v>61</v>
      </c>
      <c r="B13" s="4">
        <v>229240</v>
      </c>
      <c r="C13" s="4" t="s">
        <v>191</v>
      </c>
      <c r="D13" s="9">
        <v>45922</v>
      </c>
    </row>
    <row r="14" spans="1:4" x14ac:dyDescent="0.25">
      <c r="C14" s="31" t="s">
        <v>73</v>
      </c>
      <c r="D14" s="32">
        <f>SUM(D4:D13)</f>
        <v>122728</v>
      </c>
    </row>
  </sheetData>
  <pageMargins left="0.7" right="0.7" top="0.75" bottom="0.75" header="0.3" footer="0.3"/>
  <pageSetup scale="79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412A-D991-4518-9C4C-9200FBAFF214}">
  <sheetPr codeName="Sheet15"/>
  <dimension ref="A3:D19"/>
  <sheetViews>
    <sheetView view="pageBreakPreview" zoomScale="60" zoomScaleNormal="100" workbookViewId="0">
      <selection activeCell="A23" sqref="A23"/>
    </sheetView>
  </sheetViews>
  <sheetFormatPr defaultRowHeight="15" x14ac:dyDescent="0.25"/>
  <cols>
    <col min="1" max="1" width="40.5703125" bestFit="1" customWidth="1"/>
    <col min="2" max="2" width="8.7109375" bestFit="1" customWidth="1"/>
    <col min="3" max="3" width="88.42578125" bestFit="1" customWidth="1"/>
    <col min="4" max="4" width="11.14062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192</v>
      </c>
      <c r="B4" s="4">
        <v>230837</v>
      </c>
      <c r="C4" s="4" t="s">
        <v>193</v>
      </c>
      <c r="D4" s="9">
        <v>641</v>
      </c>
    </row>
    <row r="5" spans="1:4" x14ac:dyDescent="0.25">
      <c r="A5" s="4" t="s">
        <v>192</v>
      </c>
      <c r="B5" s="4">
        <v>230832</v>
      </c>
      <c r="C5" s="4" t="s">
        <v>194</v>
      </c>
      <c r="D5" s="9">
        <v>641</v>
      </c>
    </row>
    <row r="6" spans="1:4" x14ac:dyDescent="0.25">
      <c r="A6" s="4" t="s">
        <v>192</v>
      </c>
      <c r="B6" s="4">
        <v>230870</v>
      </c>
      <c r="C6" s="4" t="s">
        <v>195</v>
      </c>
      <c r="D6" s="9">
        <v>1932</v>
      </c>
    </row>
    <row r="7" spans="1:4" x14ac:dyDescent="0.25">
      <c r="A7" s="4" t="s">
        <v>192</v>
      </c>
      <c r="B7" s="4">
        <v>230862</v>
      </c>
      <c r="C7" s="4" t="s">
        <v>196</v>
      </c>
      <c r="D7" s="9">
        <v>1676</v>
      </c>
    </row>
    <row r="8" spans="1:4" x14ac:dyDescent="0.25">
      <c r="A8" s="4" t="s">
        <v>13</v>
      </c>
      <c r="B8" s="4">
        <v>231344</v>
      </c>
      <c r="C8" s="4" t="s">
        <v>197</v>
      </c>
      <c r="D8" s="9">
        <v>1587</v>
      </c>
    </row>
    <row r="9" spans="1:4" x14ac:dyDescent="0.25">
      <c r="A9" s="4" t="s">
        <v>24</v>
      </c>
      <c r="B9" s="4">
        <v>231966</v>
      </c>
      <c r="C9" s="4" t="s">
        <v>198</v>
      </c>
      <c r="D9" s="9">
        <v>65428</v>
      </c>
    </row>
    <row r="10" spans="1:4" x14ac:dyDescent="0.25">
      <c r="A10" s="4" t="s">
        <v>167</v>
      </c>
      <c r="B10" s="4">
        <v>230939</v>
      </c>
      <c r="C10" s="4" t="s">
        <v>199</v>
      </c>
      <c r="D10" s="9">
        <v>2830</v>
      </c>
    </row>
    <row r="11" spans="1:4" x14ac:dyDescent="0.25">
      <c r="A11" s="4" t="s">
        <v>200</v>
      </c>
      <c r="B11" s="4">
        <v>231397</v>
      </c>
      <c r="C11" s="4" t="s">
        <v>201</v>
      </c>
      <c r="D11" s="9">
        <v>2585</v>
      </c>
    </row>
    <row r="12" spans="1:4" x14ac:dyDescent="0.25">
      <c r="A12" s="4" t="s">
        <v>200</v>
      </c>
      <c r="B12" s="4">
        <v>231093</v>
      </c>
      <c r="C12" s="4" t="s">
        <v>202</v>
      </c>
      <c r="D12" s="9">
        <v>19790</v>
      </c>
    </row>
    <row r="13" spans="1:4" x14ac:dyDescent="0.25">
      <c r="A13" s="4" t="s">
        <v>180</v>
      </c>
      <c r="B13" s="4">
        <v>227939</v>
      </c>
      <c r="C13" s="4" t="s">
        <v>203</v>
      </c>
      <c r="D13" s="9">
        <v>2830</v>
      </c>
    </row>
    <row r="14" spans="1:4" x14ac:dyDescent="0.25">
      <c r="A14" s="4" t="s">
        <v>180</v>
      </c>
      <c r="B14" s="4">
        <v>228456</v>
      </c>
      <c r="C14" s="4" t="s">
        <v>189</v>
      </c>
      <c r="D14" s="9">
        <v>2240</v>
      </c>
    </row>
    <row r="15" spans="1:4" x14ac:dyDescent="0.25">
      <c r="A15" s="4" t="s">
        <v>48</v>
      </c>
      <c r="B15" s="4">
        <v>227087</v>
      </c>
      <c r="C15" s="4" t="s">
        <v>204</v>
      </c>
      <c r="D15" s="9">
        <v>630</v>
      </c>
    </row>
    <row r="16" spans="1:4" x14ac:dyDescent="0.25">
      <c r="A16" s="4" t="s">
        <v>48</v>
      </c>
      <c r="B16" s="4">
        <v>231999</v>
      </c>
      <c r="C16" s="4" t="s">
        <v>205</v>
      </c>
      <c r="D16" s="9">
        <v>1318</v>
      </c>
    </row>
    <row r="17" spans="1:4" x14ac:dyDescent="0.25">
      <c r="A17" s="4" t="s">
        <v>206</v>
      </c>
      <c r="B17" s="4">
        <v>226365</v>
      </c>
      <c r="C17" s="4" t="s">
        <v>207</v>
      </c>
      <c r="D17" s="9">
        <v>3089</v>
      </c>
    </row>
    <row r="18" spans="1:4" x14ac:dyDescent="0.25">
      <c r="A18" s="4" t="s">
        <v>208</v>
      </c>
      <c r="B18" s="4">
        <v>191435</v>
      </c>
      <c r="C18" s="4" t="s">
        <v>209</v>
      </c>
      <c r="D18" s="9">
        <v>4590</v>
      </c>
    </row>
    <row r="19" spans="1:4" x14ac:dyDescent="0.25">
      <c r="C19" s="11" t="s">
        <v>73</v>
      </c>
      <c r="D19" s="3">
        <f>SUM(D4:D18)</f>
        <v>111807</v>
      </c>
    </row>
  </sheetData>
  <pageMargins left="0.7" right="0.7" top="0.75" bottom="0.75" header="0.3" footer="0.3"/>
  <pageSetup scale="8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E39F4-B080-4544-8ABA-CD4E13C72D72}">
  <sheetPr codeName="Sheet16"/>
  <dimension ref="A3:D18"/>
  <sheetViews>
    <sheetView view="pageBreakPreview" zoomScale="60" zoomScaleNormal="100" workbookViewId="0">
      <selection activeCell="K63" sqref="K63"/>
    </sheetView>
  </sheetViews>
  <sheetFormatPr defaultRowHeight="15" x14ac:dyDescent="0.25"/>
  <cols>
    <col min="1" max="1" width="40.5703125" bestFit="1" customWidth="1"/>
    <col min="2" max="2" width="8.7109375" bestFit="1" customWidth="1"/>
    <col min="3" max="3" width="84.42578125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192</v>
      </c>
      <c r="B4" s="4">
        <v>230837</v>
      </c>
      <c r="C4" s="4" t="s">
        <v>193</v>
      </c>
      <c r="D4" s="9">
        <v>641</v>
      </c>
    </row>
    <row r="5" spans="1:4" x14ac:dyDescent="0.25">
      <c r="A5" s="4" t="s">
        <v>192</v>
      </c>
      <c r="B5" s="4">
        <v>230832</v>
      </c>
      <c r="C5" s="4" t="s">
        <v>194</v>
      </c>
      <c r="D5" s="9">
        <v>641</v>
      </c>
    </row>
    <row r="6" spans="1:4" x14ac:dyDescent="0.25">
      <c r="A6" s="4" t="s">
        <v>192</v>
      </c>
      <c r="B6" s="4">
        <v>230870</v>
      </c>
      <c r="C6" s="4" t="s">
        <v>195</v>
      </c>
      <c r="D6" s="9">
        <v>1932</v>
      </c>
    </row>
    <row r="7" spans="1:4" x14ac:dyDescent="0.25">
      <c r="A7" s="4" t="s">
        <v>192</v>
      </c>
      <c r="B7" s="4">
        <v>230862</v>
      </c>
      <c r="C7" s="4" t="s">
        <v>196</v>
      </c>
      <c r="D7" s="9">
        <v>1676</v>
      </c>
    </row>
    <row r="8" spans="1:4" x14ac:dyDescent="0.25">
      <c r="A8" s="4" t="s">
        <v>113</v>
      </c>
      <c r="B8" s="4">
        <v>231687</v>
      </c>
      <c r="C8" s="4" t="s">
        <v>210</v>
      </c>
      <c r="D8" s="9">
        <v>3580</v>
      </c>
    </row>
    <row r="9" spans="1:4" x14ac:dyDescent="0.25">
      <c r="A9" s="4" t="s">
        <v>200</v>
      </c>
      <c r="B9" s="4">
        <v>231397</v>
      </c>
      <c r="C9" s="4" t="s">
        <v>201</v>
      </c>
      <c r="D9" s="9">
        <v>2585</v>
      </c>
    </row>
    <row r="10" spans="1:4" x14ac:dyDescent="0.25">
      <c r="A10" s="4" t="s">
        <v>200</v>
      </c>
      <c r="B10" s="4">
        <v>231093</v>
      </c>
      <c r="C10" s="4" t="s">
        <v>202</v>
      </c>
      <c r="D10" s="9">
        <v>19790</v>
      </c>
    </row>
    <row r="11" spans="1:4" x14ac:dyDescent="0.25">
      <c r="A11" s="4" t="s">
        <v>211</v>
      </c>
      <c r="B11" s="4">
        <v>230611</v>
      </c>
      <c r="C11" s="4" t="s">
        <v>212</v>
      </c>
      <c r="D11" s="9">
        <v>670</v>
      </c>
    </row>
    <row r="12" spans="1:4" x14ac:dyDescent="0.25">
      <c r="A12" s="4" t="s">
        <v>180</v>
      </c>
      <c r="B12" s="4">
        <v>227939</v>
      </c>
      <c r="C12" s="4" t="s">
        <v>203</v>
      </c>
      <c r="D12" s="9">
        <v>2830</v>
      </c>
    </row>
    <row r="13" spans="1:4" x14ac:dyDescent="0.25">
      <c r="A13" s="4" t="s">
        <v>48</v>
      </c>
      <c r="B13" s="4">
        <v>227087</v>
      </c>
      <c r="C13" s="4" t="s">
        <v>204</v>
      </c>
      <c r="D13" s="9">
        <v>630</v>
      </c>
    </row>
    <row r="14" spans="1:4" x14ac:dyDescent="0.25">
      <c r="A14" s="4" t="s">
        <v>48</v>
      </c>
      <c r="B14" s="4">
        <v>231999</v>
      </c>
      <c r="C14" s="4" t="s">
        <v>205</v>
      </c>
      <c r="D14" s="9">
        <v>1318</v>
      </c>
    </row>
    <row r="15" spans="1:4" x14ac:dyDescent="0.25">
      <c r="A15" s="4" t="s">
        <v>206</v>
      </c>
      <c r="B15" s="4">
        <v>226365</v>
      </c>
      <c r="C15" s="4" t="s">
        <v>207</v>
      </c>
      <c r="D15" s="9">
        <v>3089</v>
      </c>
    </row>
    <row r="16" spans="1:4" x14ac:dyDescent="0.25">
      <c r="A16" s="4" t="s">
        <v>208</v>
      </c>
      <c r="B16" s="4">
        <v>191435</v>
      </c>
      <c r="C16" s="4" t="s">
        <v>209</v>
      </c>
      <c r="D16" s="9">
        <v>4590</v>
      </c>
    </row>
    <row r="17" spans="1:4" x14ac:dyDescent="0.25">
      <c r="A17" s="4" t="s">
        <v>213</v>
      </c>
      <c r="B17" s="4">
        <v>231299</v>
      </c>
      <c r="C17" s="4" t="s">
        <v>214</v>
      </c>
      <c r="D17" s="9">
        <v>138226</v>
      </c>
    </row>
    <row r="18" spans="1:4" x14ac:dyDescent="0.25">
      <c r="C18" s="31" t="s">
        <v>73</v>
      </c>
      <c r="D18" s="32">
        <f>SUM(D4:D17)</f>
        <v>182198</v>
      </c>
    </row>
  </sheetData>
  <pageMargins left="0.7" right="0.7" top="0.75" bottom="0.75" header="0.3" footer="0.3"/>
  <pageSetup scale="84" orientation="landscape" r:id="rId1"/>
  <headerFooter>
    <oddHeader>&amp;C&amp;"Arial Black,Regular"&amp;14SALES REPORT
&amp;10APPROVED WORK AWAITING SCHEDULE</oddHeader>
    <oddFooter>&amp;L&amp;8&amp;D&amp;R&amp;8&amp;Z&amp;F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26E6-BEE0-4C66-9B99-89D6CF31895A}">
  <sheetPr codeName="Sheet17"/>
  <dimension ref="A3:D25"/>
  <sheetViews>
    <sheetView view="pageBreakPreview" zoomScale="60" zoomScaleNormal="100" workbookViewId="0">
      <selection activeCell="C28" sqref="C28"/>
    </sheetView>
  </sheetViews>
  <sheetFormatPr defaultRowHeight="15" x14ac:dyDescent="0.25"/>
  <cols>
    <col min="1" max="1" width="40.5703125" bestFit="1" customWidth="1"/>
    <col min="2" max="2" width="8.7109375" bestFit="1" customWidth="1"/>
    <col min="3" max="3" width="85.42578125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192</v>
      </c>
      <c r="B4" s="4">
        <v>230973</v>
      </c>
      <c r="C4" s="4" t="s">
        <v>215</v>
      </c>
      <c r="D4" s="9">
        <v>37955</v>
      </c>
    </row>
    <row r="5" spans="1:4" x14ac:dyDescent="0.25">
      <c r="A5" s="4" t="s">
        <v>192</v>
      </c>
      <c r="B5" s="4">
        <v>230837</v>
      </c>
      <c r="C5" s="4" t="s">
        <v>193</v>
      </c>
      <c r="D5" s="9">
        <v>641</v>
      </c>
    </row>
    <row r="6" spans="1:4" x14ac:dyDescent="0.25">
      <c r="A6" s="4" t="s">
        <v>192</v>
      </c>
      <c r="B6" s="4">
        <v>231548</v>
      </c>
      <c r="C6" s="4" t="s">
        <v>216</v>
      </c>
      <c r="D6" s="9">
        <v>641</v>
      </c>
    </row>
    <row r="7" spans="1:4" x14ac:dyDescent="0.25">
      <c r="A7" s="4" t="s">
        <v>192</v>
      </c>
      <c r="B7" s="4">
        <v>230832</v>
      </c>
      <c r="C7" s="4" t="s">
        <v>194</v>
      </c>
      <c r="D7" s="9">
        <v>641</v>
      </c>
    </row>
    <row r="8" spans="1:4" x14ac:dyDescent="0.25">
      <c r="A8" s="4" t="s">
        <v>192</v>
      </c>
      <c r="B8" s="4">
        <v>230870</v>
      </c>
      <c r="C8" s="4" t="s">
        <v>195</v>
      </c>
      <c r="D8" s="9">
        <v>1932</v>
      </c>
    </row>
    <row r="9" spans="1:4" x14ac:dyDescent="0.25">
      <c r="A9" s="4" t="s">
        <v>192</v>
      </c>
      <c r="B9" s="4">
        <v>230862</v>
      </c>
      <c r="C9" s="4" t="s">
        <v>196</v>
      </c>
      <c r="D9" s="9">
        <v>1676</v>
      </c>
    </row>
    <row r="10" spans="1:4" x14ac:dyDescent="0.25">
      <c r="A10" s="4" t="s">
        <v>108</v>
      </c>
      <c r="B10" s="4">
        <v>232454</v>
      </c>
      <c r="C10" s="4" t="s">
        <v>217</v>
      </c>
      <c r="D10" s="9">
        <v>1</v>
      </c>
    </row>
    <row r="11" spans="1:4" x14ac:dyDescent="0.25">
      <c r="A11" s="4" t="s">
        <v>200</v>
      </c>
      <c r="B11" s="4">
        <v>231397</v>
      </c>
      <c r="C11" s="4" t="s">
        <v>201</v>
      </c>
      <c r="D11" s="9">
        <v>2585</v>
      </c>
    </row>
    <row r="12" spans="1:4" x14ac:dyDescent="0.25">
      <c r="A12" s="4" t="s">
        <v>200</v>
      </c>
      <c r="B12" s="4">
        <v>231093</v>
      </c>
      <c r="C12" s="4" t="s">
        <v>202</v>
      </c>
      <c r="D12" s="9">
        <v>19790</v>
      </c>
    </row>
    <row r="13" spans="1:4" x14ac:dyDescent="0.25">
      <c r="A13" s="4" t="s">
        <v>180</v>
      </c>
      <c r="B13" s="4">
        <v>232546</v>
      </c>
      <c r="C13" s="4" t="s">
        <v>218</v>
      </c>
      <c r="D13" s="9">
        <v>3108</v>
      </c>
    </row>
    <row r="14" spans="1:4" x14ac:dyDescent="0.25">
      <c r="A14" s="4" t="s">
        <v>180</v>
      </c>
      <c r="B14" s="4">
        <v>227939</v>
      </c>
      <c r="C14" s="4" t="s">
        <v>203</v>
      </c>
      <c r="D14" s="9">
        <v>2830</v>
      </c>
    </row>
    <row r="15" spans="1:4" x14ac:dyDescent="0.25">
      <c r="A15" s="4" t="s">
        <v>180</v>
      </c>
      <c r="B15" s="4">
        <v>229541</v>
      </c>
      <c r="C15" s="4" t="s">
        <v>219</v>
      </c>
      <c r="D15" s="9">
        <v>1245</v>
      </c>
    </row>
    <row r="16" spans="1:4" x14ac:dyDescent="0.25">
      <c r="A16" s="4" t="s">
        <v>180</v>
      </c>
      <c r="B16" s="4">
        <v>229576</v>
      </c>
      <c r="C16" s="4" t="s">
        <v>220</v>
      </c>
      <c r="D16" s="9">
        <v>2655</v>
      </c>
    </row>
    <row r="17" spans="1:4" x14ac:dyDescent="0.25">
      <c r="A17" s="4" t="s">
        <v>221</v>
      </c>
      <c r="B17" s="4">
        <v>232236</v>
      </c>
      <c r="C17" s="4" t="s">
        <v>222</v>
      </c>
      <c r="D17" s="9">
        <v>1360</v>
      </c>
    </row>
    <row r="18" spans="1:4" x14ac:dyDescent="0.25">
      <c r="A18" s="4" t="s">
        <v>34</v>
      </c>
      <c r="B18" s="4">
        <v>232949</v>
      </c>
      <c r="C18" s="4" t="s">
        <v>223</v>
      </c>
      <c r="D18" s="9">
        <v>2046</v>
      </c>
    </row>
    <row r="19" spans="1:4" x14ac:dyDescent="0.25">
      <c r="A19" s="4" t="s">
        <v>34</v>
      </c>
      <c r="B19" s="4">
        <v>232944</v>
      </c>
      <c r="C19" s="4" t="s">
        <v>224</v>
      </c>
      <c r="D19" s="9">
        <v>511</v>
      </c>
    </row>
    <row r="20" spans="1:4" x14ac:dyDescent="0.25">
      <c r="A20" s="4" t="s">
        <v>45</v>
      </c>
      <c r="B20" s="4">
        <v>232102</v>
      </c>
      <c r="C20" s="4" t="s">
        <v>225</v>
      </c>
      <c r="D20" s="9">
        <v>20750</v>
      </c>
    </row>
    <row r="21" spans="1:4" x14ac:dyDescent="0.25">
      <c r="A21" s="4" t="s">
        <v>206</v>
      </c>
      <c r="B21" s="4">
        <v>226365</v>
      </c>
      <c r="C21" s="4" t="s">
        <v>207</v>
      </c>
      <c r="D21" s="9">
        <v>3089</v>
      </c>
    </row>
    <row r="22" spans="1:4" x14ac:dyDescent="0.25">
      <c r="A22" s="4" t="s">
        <v>151</v>
      </c>
      <c r="B22" s="4">
        <v>232435</v>
      </c>
      <c r="C22" s="4" t="s">
        <v>226</v>
      </c>
      <c r="D22" s="9">
        <v>11980</v>
      </c>
    </row>
    <row r="23" spans="1:4" x14ac:dyDescent="0.25">
      <c r="A23" s="4" t="s">
        <v>208</v>
      </c>
      <c r="B23" s="4">
        <v>191435</v>
      </c>
      <c r="C23" s="4" t="s">
        <v>209</v>
      </c>
      <c r="D23" s="9">
        <v>4590</v>
      </c>
    </row>
    <row r="24" spans="1:4" x14ac:dyDescent="0.25">
      <c r="A24" s="4" t="s">
        <v>180</v>
      </c>
      <c r="B24" s="4">
        <v>231978</v>
      </c>
      <c r="C24" s="4" t="s">
        <v>227</v>
      </c>
      <c r="D24" s="9">
        <v>5438</v>
      </c>
    </row>
    <row r="25" spans="1:4" x14ac:dyDescent="0.25">
      <c r="C25" s="31" t="s">
        <v>228</v>
      </c>
      <c r="D25" s="32">
        <f>SUM(D4:D24)</f>
        <v>125464</v>
      </c>
    </row>
  </sheetData>
  <pageMargins left="0.7" right="0.7" top="0.75" bottom="0.75" header="0.3" footer="0.3"/>
  <pageSetup scale="83" orientation="landscape" r:id="rId1"/>
  <headerFooter>
    <oddHeader>&amp;C&amp;"Arial Black,Regular"&amp;14SALES REPORT
&amp;10APPROVED WORK AWAITING SCHEDULE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19C8-D2F8-4A24-8580-D3537B566EE3}">
  <sheetPr codeName="Sheet18"/>
  <dimension ref="A3:D27"/>
  <sheetViews>
    <sheetView view="pageBreakPreview" zoomScale="60" zoomScaleNormal="100" workbookViewId="0">
      <selection activeCell="C33" sqref="C3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85" bestFit="1" customWidth="1"/>
    <col min="4" max="4" width="11.7109375" style="3" bestFit="1" customWidth="1"/>
  </cols>
  <sheetData>
    <row r="3" spans="1:4" x14ac:dyDescent="0.25">
      <c r="A3" s="12" t="s">
        <v>0</v>
      </c>
      <c r="B3" s="12" t="s">
        <v>1</v>
      </c>
      <c r="C3" s="12" t="s">
        <v>2</v>
      </c>
      <c r="D3" s="13" t="s">
        <v>4</v>
      </c>
    </row>
    <row r="4" spans="1:4" x14ac:dyDescent="0.25">
      <c r="A4" s="4" t="s">
        <v>229</v>
      </c>
      <c r="B4" s="4">
        <v>233265</v>
      </c>
      <c r="C4" s="4" t="s">
        <v>230</v>
      </c>
      <c r="D4" s="9">
        <v>2680</v>
      </c>
    </row>
    <row r="5" spans="1:4" x14ac:dyDescent="0.25">
      <c r="A5" s="4" t="s">
        <v>98</v>
      </c>
      <c r="B5" s="4">
        <v>232776</v>
      </c>
      <c r="C5" s="4" t="s">
        <v>231</v>
      </c>
      <c r="D5" s="9">
        <v>3355</v>
      </c>
    </row>
    <row r="6" spans="1:4" x14ac:dyDescent="0.25">
      <c r="A6" s="4" t="s">
        <v>192</v>
      </c>
      <c r="B6" s="4">
        <v>230973</v>
      </c>
      <c r="C6" s="4" t="s">
        <v>215</v>
      </c>
      <c r="D6" s="9">
        <v>37955</v>
      </c>
    </row>
    <row r="7" spans="1:4" x14ac:dyDescent="0.25">
      <c r="A7" s="4" t="s">
        <v>192</v>
      </c>
      <c r="B7" s="4">
        <v>230837</v>
      </c>
      <c r="C7" s="4" t="s">
        <v>193</v>
      </c>
      <c r="D7" s="9">
        <v>641</v>
      </c>
    </row>
    <row r="8" spans="1:4" x14ac:dyDescent="0.25">
      <c r="A8" s="4" t="s">
        <v>192</v>
      </c>
      <c r="B8" s="4">
        <v>231548</v>
      </c>
      <c r="C8" s="4" t="s">
        <v>216</v>
      </c>
      <c r="D8" s="9">
        <v>641</v>
      </c>
    </row>
    <row r="9" spans="1:4" x14ac:dyDescent="0.25">
      <c r="A9" s="4" t="s">
        <v>192</v>
      </c>
      <c r="B9" s="4">
        <v>230832</v>
      </c>
      <c r="C9" s="4" t="s">
        <v>194</v>
      </c>
      <c r="D9" s="9">
        <v>641</v>
      </c>
    </row>
    <row r="10" spans="1:4" x14ac:dyDescent="0.25">
      <c r="A10" s="4" t="s">
        <v>192</v>
      </c>
      <c r="B10" s="4">
        <v>230870</v>
      </c>
      <c r="C10" s="4" t="s">
        <v>195</v>
      </c>
      <c r="D10" s="9">
        <v>1932</v>
      </c>
    </row>
    <row r="11" spans="1:4" x14ac:dyDescent="0.25">
      <c r="A11" s="4" t="s">
        <v>192</v>
      </c>
      <c r="B11" s="4">
        <v>230862</v>
      </c>
      <c r="C11" s="4" t="s">
        <v>196</v>
      </c>
      <c r="D11" s="9">
        <v>1676</v>
      </c>
    </row>
    <row r="12" spans="1:4" x14ac:dyDescent="0.25">
      <c r="A12" s="4" t="s">
        <v>232</v>
      </c>
      <c r="B12" s="4">
        <v>233381</v>
      </c>
      <c r="C12" s="4" t="s">
        <v>233</v>
      </c>
      <c r="D12" s="9">
        <v>570</v>
      </c>
    </row>
    <row r="13" spans="1:4" x14ac:dyDescent="0.25">
      <c r="A13" s="4" t="s">
        <v>108</v>
      </c>
      <c r="B13" s="4">
        <v>232454</v>
      </c>
      <c r="C13" s="4" t="s">
        <v>217</v>
      </c>
      <c r="D13" s="9">
        <v>1</v>
      </c>
    </row>
    <row r="14" spans="1:4" x14ac:dyDescent="0.25">
      <c r="A14" s="4" t="s">
        <v>234</v>
      </c>
      <c r="B14" s="4">
        <v>233467</v>
      </c>
      <c r="C14" s="4" t="s">
        <v>235</v>
      </c>
      <c r="D14" s="9">
        <v>1447</v>
      </c>
    </row>
    <row r="15" spans="1:4" x14ac:dyDescent="0.25">
      <c r="A15" s="4" t="s">
        <v>24</v>
      </c>
      <c r="B15" s="4">
        <v>233344</v>
      </c>
      <c r="C15" s="4" t="s">
        <v>236</v>
      </c>
      <c r="D15" s="9">
        <v>1421</v>
      </c>
    </row>
    <row r="16" spans="1:4" x14ac:dyDescent="0.25">
      <c r="A16" s="4" t="s">
        <v>81</v>
      </c>
      <c r="B16" s="4">
        <v>233469</v>
      </c>
      <c r="C16" s="4" t="s">
        <v>237</v>
      </c>
      <c r="D16" s="9">
        <v>818</v>
      </c>
    </row>
    <row r="17" spans="1:4" x14ac:dyDescent="0.25">
      <c r="A17" s="4" t="s">
        <v>200</v>
      </c>
      <c r="B17" s="4">
        <v>231397</v>
      </c>
      <c r="C17" s="4" t="s">
        <v>201</v>
      </c>
      <c r="D17" s="9">
        <v>2585</v>
      </c>
    </row>
    <row r="18" spans="1:4" x14ac:dyDescent="0.25">
      <c r="A18" s="4" t="s">
        <v>200</v>
      </c>
      <c r="B18" s="4">
        <v>231093</v>
      </c>
      <c r="C18" s="4" t="s">
        <v>202</v>
      </c>
      <c r="D18" s="9">
        <v>19790</v>
      </c>
    </row>
    <row r="19" spans="1:4" x14ac:dyDescent="0.25">
      <c r="A19" s="4" t="s">
        <v>180</v>
      </c>
      <c r="B19" s="4">
        <v>227939</v>
      </c>
      <c r="C19" s="4" t="s">
        <v>203</v>
      </c>
      <c r="D19" s="9">
        <v>2830</v>
      </c>
    </row>
    <row r="20" spans="1:4" x14ac:dyDescent="0.25">
      <c r="A20" s="4" t="s">
        <v>180</v>
      </c>
      <c r="B20" s="4">
        <v>227386</v>
      </c>
      <c r="C20" s="4" t="s">
        <v>238</v>
      </c>
      <c r="D20" s="9">
        <v>1495</v>
      </c>
    </row>
    <row r="21" spans="1:4" x14ac:dyDescent="0.25">
      <c r="A21" s="4" t="s">
        <v>221</v>
      </c>
      <c r="B21" s="4">
        <v>232236</v>
      </c>
      <c r="C21" s="4" t="s">
        <v>222</v>
      </c>
      <c r="D21" s="9">
        <v>1360</v>
      </c>
    </row>
    <row r="22" spans="1:4" x14ac:dyDescent="0.25">
      <c r="A22" s="4" t="s">
        <v>38</v>
      </c>
      <c r="B22" s="4">
        <v>226822</v>
      </c>
      <c r="C22" s="4" t="s">
        <v>239</v>
      </c>
      <c r="D22" s="9">
        <v>2445</v>
      </c>
    </row>
    <row r="23" spans="1:4" x14ac:dyDescent="0.25">
      <c r="A23" s="4" t="s">
        <v>38</v>
      </c>
      <c r="B23" s="4">
        <v>232803</v>
      </c>
      <c r="C23" s="4" t="s">
        <v>240</v>
      </c>
      <c r="D23" s="9">
        <v>2775</v>
      </c>
    </row>
    <row r="24" spans="1:4" x14ac:dyDescent="0.25">
      <c r="A24" s="4" t="s">
        <v>241</v>
      </c>
      <c r="B24" s="4">
        <v>232906</v>
      </c>
      <c r="C24" s="4" t="s">
        <v>242</v>
      </c>
      <c r="D24" s="9">
        <v>3880</v>
      </c>
    </row>
    <row r="25" spans="1:4" x14ac:dyDescent="0.25">
      <c r="A25" s="4" t="s">
        <v>206</v>
      </c>
      <c r="B25" s="4">
        <v>226365</v>
      </c>
      <c r="C25" s="4" t="s">
        <v>207</v>
      </c>
      <c r="D25" s="9">
        <v>3089</v>
      </c>
    </row>
    <row r="26" spans="1:4" x14ac:dyDescent="0.25">
      <c r="A26" s="4" t="s">
        <v>151</v>
      </c>
      <c r="B26" s="4">
        <v>232435</v>
      </c>
      <c r="C26" s="4" t="s">
        <v>226</v>
      </c>
      <c r="D26" s="9">
        <v>11980</v>
      </c>
    </row>
    <row r="27" spans="1:4" x14ac:dyDescent="0.25">
      <c r="C27" s="31" t="s">
        <v>243</v>
      </c>
      <c r="D27" s="32">
        <f>SUM(D4:D26)</f>
        <v>106007</v>
      </c>
    </row>
  </sheetData>
  <pageMargins left="0.7" right="0.7" top="0.75" bottom="0.75" header="0.3" footer="0.3"/>
  <pageSetup scale="80" orientation="landscape" r:id="rId1"/>
  <headerFooter>
    <oddHeader>&amp;C&amp;"Arial Black,Regular"&amp;14SALES REPORT
&amp;10APPROVED WORK AWAITING SCHEDULE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C9DB-343D-4770-9564-6C007E9EDFBD}">
  <sheetPr codeName="Sheet19"/>
  <dimension ref="A3:D31"/>
  <sheetViews>
    <sheetView view="pageBreakPreview" zoomScale="60" zoomScaleNormal="100" workbookViewId="0">
      <selection sqref="A1:XFD1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85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244</v>
      </c>
      <c r="B4" s="4">
        <v>232166</v>
      </c>
      <c r="C4" s="4" t="s">
        <v>245</v>
      </c>
      <c r="D4" s="9">
        <v>5890</v>
      </c>
    </row>
    <row r="5" spans="1:4" x14ac:dyDescent="0.25">
      <c r="A5" s="4" t="s">
        <v>98</v>
      </c>
      <c r="B5" s="4">
        <v>232776</v>
      </c>
      <c r="C5" s="4" t="s">
        <v>231</v>
      </c>
      <c r="D5" s="9">
        <v>3355</v>
      </c>
    </row>
    <row r="6" spans="1:4" x14ac:dyDescent="0.25">
      <c r="A6" s="4" t="s">
        <v>192</v>
      </c>
      <c r="B6" s="4">
        <v>231548</v>
      </c>
      <c r="C6" s="4" t="s">
        <v>216</v>
      </c>
      <c r="D6" s="9">
        <v>641</v>
      </c>
    </row>
    <row r="7" spans="1:4" x14ac:dyDescent="0.25">
      <c r="A7" s="4" t="s">
        <v>192</v>
      </c>
      <c r="B7" s="4">
        <v>230832</v>
      </c>
      <c r="C7" s="4" t="s">
        <v>194</v>
      </c>
      <c r="D7" s="9">
        <v>641</v>
      </c>
    </row>
    <row r="8" spans="1:4" x14ac:dyDescent="0.25">
      <c r="A8" s="4" t="s">
        <v>192</v>
      </c>
      <c r="B8" s="4">
        <v>230870</v>
      </c>
      <c r="C8" s="4" t="s">
        <v>195</v>
      </c>
      <c r="D8" s="9">
        <v>1932</v>
      </c>
    </row>
    <row r="9" spans="1:4" x14ac:dyDescent="0.25">
      <c r="A9" s="4" t="s">
        <v>192</v>
      </c>
      <c r="B9" s="4">
        <v>230862</v>
      </c>
      <c r="C9" s="4" t="s">
        <v>196</v>
      </c>
      <c r="D9" s="9">
        <v>1676</v>
      </c>
    </row>
    <row r="10" spans="1:4" x14ac:dyDescent="0.25">
      <c r="A10" s="4" t="s">
        <v>108</v>
      </c>
      <c r="B10" s="4">
        <v>232454</v>
      </c>
      <c r="C10" s="4" t="s">
        <v>217</v>
      </c>
      <c r="D10" s="9">
        <v>1</v>
      </c>
    </row>
    <row r="11" spans="1:4" x14ac:dyDescent="0.25">
      <c r="A11" s="4" t="s">
        <v>234</v>
      </c>
      <c r="B11" s="4">
        <v>233467</v>
      </c>
      <c r="C11" s="4" t="s">
        <v>235</v>
      </c>
      <c r="D11" s="9">
        <v>1447</v>
      </c>
    </row>
    <row r="12" spans="1:4" x14ac:dyDescent="0.25">
      <c r="A12" s="4" t="s">
        <v>111</v>
      </c>
      <c r="B12" s="4">
        <v>233799</v>
      </c>
      <c r="C12" s="4" t="s">
        <v>246</v>
      </c>
      <c r="D12" s="9">
        <v>104990</v>
      </c>
    </row>
    <row r="13" spans="1:4" x14ac:dyDescent="0.25">
      <c r="A13" s="4" t="s">
        <v>111</v>
      </c>
      <c r="B13" s="4">
        <v>233894</v>
      </c>
      <c r="C13" s="4" t="s">
        <v>247</v>
      </c>
      <c r="D13" s="9">
        <v>128230</v>
      </c>
    </row>
    <row r="14" spans="1:4" x14ac:dyDescent="0.25">
      <c r="A14" s="4" t="s">
        <v>111</v>
      </c>
      <c r="B14" s="4">
        <v>233796</v>
      </c>
      <c r="C14" s="4" t="s">
        <v>248</v>
      </c>
      <c r="D14" s="9">
        <v>84566</v>
      </c>
    </row>
    <row r="15" spans="1:4" x14ac:dyDescent="0.25">
      <c r="A15" s="4" t="s">
        <v>111</v>
      </c>
      <c r="B15" s="4">
        <v>233909</v>
      </c>
      <c r="C15" s="4" t="s">
        <v>249</v>
      </c>
      <c r="D15" s="9">
        <v>304</v>
      </c>
    </row>
    <row r="16" spans="1:4" x14ac:dyDescent="0.25">
      <c r="A16" s="4" t="s">
        <v>200</v>
      </c>
      <c r="B16" s="4">
        <v>231397</v>
      </c>
      <c r="C16" s="4" t="s">
        <v>201</v>
      </c>
      <c r="D16" s="9">
        <v>2585</v>
      </c>
    </row>
    <row r="17" spans="1:4" x14ac:dyDescent="0.25">
      <c r="A17" s="4" t="s">
        <v>200</v>
      </c>
      <c r="B17" s="4">
        <v>231093</v>
      </c>
      <c r="C17" s="4" t="s">
        <v>202</v>
      </c>
      <c r="D17" s="9">
        <v>19790</v>
      </c>
    </row>
    <row r="18" spans="1:4" x14ac:dyDescent="0.25">
      <c r="A18" s="4" t="s">
        <v>180</v>
      </c>
      <c r="B18" s="4">
        <v>227939</v>
      </c>
      <c r="C18" s="4" t="s">
        <v>203</v>
      </c>
      <c r="D18" s="9">
        <v>2830</v>
      </c>
    </row>
    <row r="19" spans="1:4" x14ac:dyDescent="0.25">
      <c r="A19" s="4" t="s">
        <v>180</v>
      </c>
      <c r="B19" s="4">
        <v>232021</v>
      </c>
      <c r="C19" s="4" t="s">
        <v>250</v>
      </c>
      <c r="D19" s="9">
        <v>2485</v>
      </c>
    </row>
    <row r="20" spans="1:4" x14ac:dyDescent="0.25">
      <c r="A20" s="4" t="s">
        <v>180</v>
      </c>
      <c r="B20" s="4">
        <v>232024</v>
      </c>
      <c r="C20" s="4" t="s">
        <v>251</v>
      </c>
      <c r="D20" s="9">
        <v>11155</v>
      </c>
    </row>
    <row r="21" spans="1:4" x14ac:dyDescent="0.25">
      <c r="A21" s="4" t="s">
        <v>221</v>
      </c>
      <c r="B21" s="4">
        <v>232236</v>
      </c>
      <c r="C21" s="4" t="s">
        <v>222</v>
      </c>
      <c r="D21" s="9">
        <v>1360</v>
      </c>
    </row>
    <row r="22" spans="1:4" x14ac:dyDescent="0.25">
      <c r="A22" s="4" t="s">
        <v>38</v>
      </c>
      <c r="B22" s="4">
        <v>233575</v>
      </c>
      <c r="C22" s="4" t="s">
        <v>252</v>
      </c>
      <c r="D22" s="9">
        <v>1475</v>
      </c>
    </row>
    <row r="23" spans="1:4" x14ac:dyDescent="0.25">
      <c r="A23" s="4" t="s">
        <v>38</v>
      </c>
      <c r="B23" s="4">
        <v>226822</v>
      </c>
      <c r="C23" s="4" t="s">
        <v>239</v>
      </c>
      <c r="D23" s="9">
        <v>2445</v>
      </c>
    </row>
    <row r="24" spans="1:4" x14ac:dyDescent="0.25">
      <c r="A24" s="4" t="s">
        <v>38</v>
      </c>
      <c r="B24" s="4">
        <v>233214</v>
      </c>
      <c r="C24" s="4" t="s">
        <v>253</v>
      </c>
      <c r="D24" s="9">
        <v>15367</v>
      </c>
    </row>
    <row r="25" spans="1:4" x14ac:dyDescent="0.25">
      <c r="A25" s="4" t="s">
        <v>38</v>
      </c>
      <c r="B25" s="4">
        <v>232803</v>
      </c>
      <c r="C25" s="4" t="s">
        <v>240</v>
      </c>
      <c r="D25" s="9">
        <v>2775</v>
      </c>
    </row>
    <row r="26" spans="1:4" x14ac:dyDescent="0.25">
      <c r="A26" s="4" t="s">
        <v>48</v>
      </c>
      <c r="B26" s="4">
        <v>230789</v>
      </c>
      <c r="C26" s="4" t="s">
        <v>254</v>
      </c>
      <c r="D26" s="9">
        <v>2860</v>
      </c>
    </row>
    <row r="27" spans="1:4" x14ac:dyDescent="0.25">
      <c r="A27" s="4" t="s">
        <v>52</v>
      </c>
      <c r="B27" s="4">
        <v>232081</v>
      </c>
      <c r="C27" s="4" t="s">
        <v>255</v>
      </c>
      <c r="D27" s="9">
        <v>1390</v>
      </c>
    </row>
    <row r="28" spans="1:4" x14ac:dyDescent="0.25">
      <c r="A28" s="4" t="s">
        <v>241</v>
      </c>
      <c r="B28" s="4">
        <v>232906</v>
      </c>
      <c r="C28" s="4" t="s">
        <v>242</v>
      </c>
      <c r="D28" s="9">
        <v>3880</v>
      </c>
    </row>
    <row r="29" spans="1:4" x14ac:dyDescent="0.25">
      <c r="A29" s="4" t="s">
        <v>206</v>
      </c>
      <c r="B29" s="4">
        <v>226365</v>
      </c>
      <c r="C29" s="4" t="s">
        <v>207</v>
      </c>
      <c r="D29" s="9">
        <v>3089</v>
      </c>
    </row>
    <row r="30" spans="1:4" x14ac:dyDescent="0.25">
      <c r="A30" s="4" t="s">
        <v>208</v>
      </c>
      <c r="B30" s="4">
        <v>191435</v>
      </c>
      <c r="C30" s="4" t="s">
        <v>209</v>
      </c>
      <c r="D30" s="9">
        <v>4590</v>
      </c>
    </row>
    <row r="31" spans="1:4" x14ac:dyDescent="0.25">
      <c r="C31" s="31" t="s">
        <v>228</v>
      </c>
      <c r="D31" s="32">
        <f>SUM(D4:D30)</f>
        <v>411749</v>
      </c>
    </row>
  </sheetData>
  <pageMargins left="0.7" right="0.7" top="0.75" bottom="0.75" header="0.3" footer="0.3"/>
  <pageSetup scale="80" orientation="landscape" r:id="rId1"/>
  <headerFooter>
    <oddHeader>&amp;C&amp;"Arial Black,Regular"&amp;14SALES REPORT
&amp;10APPROVED WORK AWAITING SCHEDULE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EB98-74ED-4F55-8B3C-7B1A501A818B}">
  <sheetPr codeName="Sheet20"/>
  <dimension ref="A3:D28"/>
  <sheetViews>
    <sheetView view="pageBreakPreview" zoomScale="60" zoomScaleNormal="100" workbookViewId="0">
      <selection activeCell="E33" sqref="E31:E3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84.42578125" bestFit="1" customWidth="1"/>
    <col min="4" max="4" width="18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244</v>
      </c>
      <c r="B4" s="4">
        <v>232166</v>
      </c>
      <c r="C4" s="4" t="s">
        <v>245</v>
      </c>
      <c r="D4" s="9">
        <v>5890</v>
      </c>
    </row>
    <row r="5" spans="1:4" x14ac:dyDescent="0.25">
      <c r="A5" s="4" t="s">
        <v>256</v>
      </c>
      <c r="B5" s="4">
        <v>233876</v>
      </c>
      <c r="C5" s="4" t="s">
        <v>257</v>
      </c>
      <c r="D5" s="9">
        <v>190</v>
      </c>
    </row>
    <row r="6" spans="1:4" x14ac:dyDescent="0.25">
      <c r="A6" s="4" t="s">
        <v>192</v>
      </c>
      <c r="B6" s="4">
        <v>231548</v>
      </c>
      <c r="C6" s="4" t="s">
        <v>216</v>
      </c>
      <c r="D6" s="9">
        <v>641</v>
      </c>
    </row>
    <row r="7" spans="1:4" x14ac:dyDescent="0.25">
      <c r="A7" s="4" t="s">
        <v>192</v>
      </c>
      <c r="B7" s="4">
        <v>230832</v>
      </c>
      <c r="C7" s="4" t="s">
        <v>194</v>
      </c>
      <c r="D7" s="9">
        <v>641</v>
      </c>
    </row>
    <row r="8" spans="1:4" x14ac:dyDescent="0.25">
      <c r="A8" s="4" t="s">
        <v>192</v>
      </c>
      <c r="B8" s="4">
        <v>230870</v>
      </c>
      <c r="C8" s="4" t="s">
        <v>195</v>
      </c>
      <c r="D8" s="9">
        <v>1932</v>
      </c>
    </row>
    <row r="9" spans="1:4" x14ac:dyDescent="0.25">
      <c r="A9" s="4" t="s">
        <v>192</v>
      </c>
      <c r="B9" s="4">
        <v>230862</v>
      </c>
      <c r="C9" s="4" t="s">
        <v>196</v>
      </c>
      <c r="D9" s="9">
        <v>1676</v>
      </c>
    </row>
    <row r="10" spans="1:4" x14ac:dyDescent="0.25">
      <c r="A10" s="4" t="s">
        <v>108</v>
      </c>
      <c r="B10" s="4">
        <v>232454</v>
      </c>
      <c r="C10" s="4" t="s">
        <v>217</v>
      </c>
      <c r="D10" s="9">
        <v>1</v>
      </c>
    </row>
    <row r="11" spans="1:4" x14ac:dyDescent="0.25">
      <c r="A11" s="4" t="s">
        <v>111</v>
      </c>
      <c r="B11" s="4">
        <v>233799</v>
      </c>
      <c r="C11" s="4" t="s">
        <v>246</v>
      </c>
      <c r="D11" s="9">
        <v>104990</v>
      </c>
    </row>
    <row r="12" spans="1:4" x14ac:dyDescent="0.25">
      <c r="A12" s="4" t="s">
        <v>111</v>
      </c>
      <c r="B12" s="4">
        <v>233894</v>
      </c>
      <c r="C12" s="4" t="s">
        <v>247</v>
      </c>
      <c r="D12" s="9">
        <v>128230</v>
      </c>
    </row>
    <row r="13" spans="1:4" x14ac:dyDescent="0.25">
      <c r="A13" s="4" t="s">
        <v>111</v>
      </c>
      <c r="B13" s="4">
        <v>233796</v>
      </c>
      <c r="C13" s="4" t="s">
        <v>248</v>
      </c>
      <c r="D13" s="9">
        <v>84566</v>
      </c>
    </row>
    <row r="14" spans="1:4" x14ac:dyDescent="0.25">
      <c r="A14" s="4" t="s">
        <v>180</v>
      </c>
      <c r="B14" s="4">
        <v>227939</v>
      </c>
      <c r="C14" s="4" t="s">
        <v>203</v>
      </c>
      <c r="D14" s="9">
        <v>2830</v>
      </c>
    </row>
    <row r="15" spans="1:4" x14ac:dyDescent="0.25">
      <c r="A15" s="4" t="s">
        <v>38</v>
      </c>
      <c r="B15" s="4">
        <v>233575</v>
      </c>
      <c r="C15" s="4" t="s">
        <v>252</v>
      </c>
      <c r="D15" s="9">
        <v>1475</v>
      </c>
    </row>
    <row r="16" spans="1:4" x14ac:dyDescent="0.25">
      <c r="A16" s="4" t="s">
        <v>38</v>
      </c>
      <c r="B16" s="4">
        <v>229570</v>
      </c>
      <c r="C16" s="4" t="s">
        <v>258</v>
      </c>
      <c r="D16" s="9">
        <v>10705</v>
      </c>
    </row>
    <row r="17" spans="1:4" x14ac:dyDescent="0.25">
      <c r="A17" s="4" t="s">
        <v>38</v>
      </c>
      <c r="B17" s="4">
        <v>234164</v>
      </c>
      <c r="C17" s="4" t="s">
        <v>259</v>
      </c>
      <c r="D17" s="9">
        <v>4685</v>
      </c>
    </row>
    <row r="18" spans="1:4" x14ac:dyDescent="0.25">
      <c r="A18" s="4" t="s">
        <v>38</v>
      </c>
      <c r="B18" s="4">
        <v>233026</v>
      </c>
      <c r="C18" s="4" t="s">
        <v>260</v>
      </c>
      <c r="D18" s="9">
        <v>2780</v>
      </c>
    </row>
    <row r="19" spans="1:4" x14ac:dyDescent="0.25">
      <c r="A19" s="4" t="s">
        <v>38</v>
      </c>
      <c r="B19" s="4">
        <v>232520</v>
      </c>
      <c r="C19" s="4" t="s">
        <v>261</v>
      </c>
      <c r="D19" s="9">
        <v>4380</v>
      </c>
    </row>
    <row r="20" spans="1:4" x14ac:dyDescent="0.25">
      <c r="A20" s="4" t="s">
        <v>262</v>
      </c>
      <c r="B20" s="4">
        <v>234174</v>
      </c>
      <c r="C20" s="4" t="s">
        <v>263</v>
      </c>
      <c r="D20" s="9">
        <v>2565</v>
      </c>
    </row>
    <row r="21" spans="1:4" x14ac:dyDescent="0.25">
      <c r="A21" s="4" t="s">
        <v>48</v>
      </c>
      <c r="B21" s="4">
        <v>231500</v>
      </c>
      <c r="C21" s="4" t="s">
        <v>264</v>
      </c>
      <c r="D21" s="9">
        <v>795</v>
      </c>
    </row>
    <row r="22" spans="1:4" x14ac:dyDescent="0.25">
      <c r="A22" s="4" t="s">
        <v>48</v>
      </c>
      <c r="B22" s="4">
        <v>233907</v>
      </c>
      <c r="C22" s="4" t="s">
        <v>265</v>
      </c>
      <c r="D22" s="9">
        <v>1755</v>
      </c>
    </row>
    <row r="23" spans="1:4" x14ac:dyDescent="0.25">
      <c r="A23" s="4" t="s">
        <v>48</v>
      </c>
      <c r="B23" s="4">
        <v>233165</v>
      </c>
      <c r="C23" s="4" t="s">
        <v>266</v>
      </c>
      <c r="D23" s="9">
        <v>995</v>
      </c>
    </row>
    <row r="24" spans="1:4" x14ac:dyDescent="0.25">
      <c r="A24" s="4" t="s">
        <v>50</v>
      </c>
      <c r="B24" s="4">
        <v>234160</v>
      </c>
      <c r="C24" s="4" t="s">
        <v>267</v>
      </c>
      <c r="D24" s="9">
        <v>3395</v>
      </c>
    </row>
    <row r="25" spans="1:4" x14ac:dyDescent="0.25">
      <c r="A25" s="4" t="s">
        <v>52</v>
      </c>
      <c r="B25" s="4">
        <v>232081</v>
      </c>
      <c r="C25" s="4" t="s">
        <v>255</v>
      </c>
      <c r="D25" s="9">
        <v>1390</v>
      </c>
    </row>
    <row r="26" spans="1:4" x14ac:dyDescent="0.25">
      <c r="A26" s="4" t="s">
        <v>206</v>
      </c>
      <c r="B26" s="4">
        <v>226365</v>
      </c>
      <c r="C26" s="4" t="s">
        <v>207</v>
      </c>
      <c r="D26" s="9">
        <v>3089</v>
      </c>
    </row>
    <row r="27" spans="1:4" x14ac:dyDescent="0.25">
      <c r="A27" s="4" t="s">
        <v>208</v>
      </c>
      <c r="B27" s="4">
        <v>191435</v>
      </c>
      <c r="C27" s="4" t="s">
        <v>209</v>
      </c>
      <c r="D27" s="9">
        <v>4590</v>
      </c>
    </row>
    <row r="28" spans="1:4" x14ac:dyDescent="0.25">
      <c r="C28" s="31" t="s">
        <v>243</v>
      </c>
      <c r="D28" s="32">
        <f>SUM(D4:D27)</f>
        <v>374186</v>
      </c>
    </row>
  </sheetData>
  <pageMargins left="0.7" right="0.7" top="0.75" bottom="0.75" header="0.3" footer="0.3"/>
  <pageSetup paperSize="17" scale="126" orientation="landscape" r:id="rId1"/>
  <headerFooter>
    <oddHeader>&amp;C&amp;"Arial Black,Regular"&amp;14SALES REPORT
&amp;10APPROVED WORK AWAITING SCHEDULE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92F5-C3D5-4BAD-9FCC-2809BBEF1AC5}">
  <sheetPr codeName="Sheet21"/>
  <dimension ref="A3:D31"/>
  <sheetViews>
    <sheetView view="pageBreakPreview" zoomScale="60" zoomScaleNormal="100" workbookViewId="0">
      <selection activeCell="F13" sqref="F1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84.42578125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244</v>
      </c>
      <c r="B4" s="4">
        <v>232166</v>
      </c>
      <c r="C4" s="4" t="s">
        <v>245</v>
      </c>
      <c r="D4" s="9">
        <v>5890</v>
      </c>
    </row>
    <row r="5" spans="1:4" x14ac:dyDescent="0.25">
      <c r="A5" s="4" t="s">
        <v>256</v>
      </c>
      <c r="B5" s="4">
        <v>233876</v>
      </c>
      <c r="C5" s="4" t="s">
        <v>257</v>
      </c>
      <c r="D5" s="9">
        <v>190</v>
      </c>
    </row>
    <row r="6" spans="1:4" x14ac:dyDescent="0.25">
      <c r="A6" s="4" t="s">
        <v>108</v>
      </c>
      <c r="B6" s="4">
        <v>232454</v>
      </c>
      <c r="C6" s="4" t="s">
        <v>217</v>
      </c>
      <c r="D6" s="9">
        <v>1</v>
      </c>
    </row>
    <row r="7" spans="1:4" x14ac:dyDescent="0.25">
      <c r="A7" s="4" t="s">
        <v>175</v>
      </c>
      <c r="B7" s="4">
        <v>233245</v>
      </c>
      <c r="C7" s="4" t="s">
        <v>268</v>
      </c>
      <c r="D7" s="9">
        <v>82315</v>
      </c>
    </row>
    <row r="8" spans="1:4" x14ac:dyDescent="0.25">
      <c r="A8" s="4" t="s">
        <v>180</v>
      </c>
      <c r="B8" s="4">
        <v>227939</v>
      </c>
      <c r="C8" s="4" t="s">
        <v>203</v>
      </c>
      <c r="D8" s="9">
        <v>2830</v>
      </c>
    </row>
    <row r="9" spans="1:4" x14ac:dyDescent="0.25">
      <c r="A9" s="4" t="s">
        <v>269</v>
      </c>
      <c r="B9" s="4">
        <v>231694</v>
      </c>
      <c r="C9" s="4" t="s">
        <v>270</v>
      </c>
      <c r="D9" s="9">
        <v>12646</v>
      </c>
    </row>
    <row r="10" spans="1:4" x14ac:dyDescent="0.25">
      <c r="A10" s="4" t="s">
        <v>38</v>
      </c>
      <c r="B10" s="4">
        <v>233575</v>
      </c>
      <c r="C10" s="4" t="s">
        <v>252</v>
      </c>
      <c r="D10" s="9">
        <v>1475</v>
      </c>
    </row>
    <row r="11" spans="1:4" x14ac:dyDescent="0.25">
      <c r="A11" s="4" t="s">
        <v>38</v>
      </c>
      <c r="B11" s="4">
        <v>229570</v>
      </c>
      <c r="C11" s="4" t="s">
        <v>258</v>
      </c>
      <c r="D11" s="9">
        <v>10705</v>
      </c>
    </row>
    <row r="12" spans="1:4" x14ac:dyDescent="0.25">
      <c r="A12" s="4" t="s">
        <v>38</v>
      </c>
      <c r="B12" s="4">
        <v>234164</v>
      </c>
      <c r="C12" s="4" t="s">
        <v>259</v>
      </c>
      <c r="D12" s="9">
        <v>4685</v>
      </c>
    </row>
    <row r="13" spans="1:4" x14ac:dyDescent="0.25">
      <c r="A13" s="4" t="s">
        <v>38</v>
      </c>
      <c r="B13" s="4">
        <v>233026</v>
      </c>
      <c r="C13" s="4" t="s">
        <v>260</v>
      </c>
      <c r="D13" s="9">
        <v>2780</v>
      </c>
    </row>
    <row r="14" spans="1:4" x14ac:dyDescent="0.25">
      <c r="A14" s="4" t="s">
        <v>38</v>
      </c>
      <c r="B14" s="4">
        <v>232086</v>
      </c>
      <c r="C14" s="4" t="s">
        <v>271</v>
      </c>
      <c r="D14" s="9">
        <v>5172</v>
      </c>
    </row>
    <row r="15" spans="1:4" x14ac:dyDescent="0.25">
      <c r="A15" s="4" t="s">
        <v>38</v>
      </c>
      <c r="B15" s="4">
        <v>232086</v>
      </c>
      <c r="C15" s="4" t="s">
        <v>272</v>
      </c>
      <c r="D15" s="9">
        <v>5253</v>
      </c>
    </row>
    <row r="16" spans="1:4" x14ac:dyDescent="0.25">
      <c r="A16" s="4" t="s">
        <v>38</v>
      </c>
      <c r="B16" s="4">
        <v>232086</v>
      </c>
      <c r="C16" s="4" t="s">
        <v>273</v>
      </c>
      <c r="D16" s="9">
        <v>5698</v>
      </c>
    </row>
    <row r="17" spans="1:4" x14ac:dyDescent="0.25">
      <c r="A17" s="4" t="s">
        <v>38</v>
      </c>
      <c r="B17" s="4">
        <v>232086</v>
      </c>
      <c r="C17" s="4" t="s">
        <v>274</v>
      </c>
      <c r="D17" s="9">
        <v>4479</v>
      </c>
    </row>
    <row r="18" spans="1:4" x14ac:dyDescent="0.25">
      <c r="A18" s="4" t="s">
        <v>38</v>
      </c>
      <c r="B18" s="4">
        <v>232086</v>
      </c>
      <c r="C18" s="4" t="s">
        <v>275</v>
      </c>
      <c r="D18" s="9">
        <v>5356</v>
      </c>
    </row>
    <row r="19" spans="1:4" x14ac:dyDescent="0.25">
      <c r="A19" s="4" t="s">
        <v>38</v>
      </c>
      <c r="B19" s="4">
        <v>232086</v>
      </c>
      <c r="C19" s="4" t="s">
        <v>276</v>
      </c>
      <c r="D19" s="9">
        <v>9043</v>
      </c>
    </row>
    <row r="20" spans="1:4" x14ac:dyDescent="0.25">
      <c r="A20" s="4" t="s">
        <v>38</v>
      </c>
      <c r="B20" s="4">
        <v>232520</v>
      </c>
      <c r="C20" s="4" t="s">
        <v>261</v>
      </c>
      <c r="D20" s="9">
        <v>4380</v>
      </c>
    </row>
    <row r="21" spans="1:4" x14ac:dyDescent="0.25">
      <c r="A21" s="4" t="s">
        <v>48</v>
      </c>
      <c r="B21" s="4">
        <v>231500</v>
      </c>
      <c r="C21" s="4" t="s">
        <v>264</v>
      </c>
      <c r="D21" s="9">
        <v>795</v>
      </c>
    </row>
    <row r="22" spans="1:4" x14ac:dyDescent="0.25">
      <c r="A22" s="4" t="s">
        <v>48</v>
      </c>
      <c r="B22" s="4">
        <v>233907</v>
      </c>
      <c r="C22" s="4" t="s">
        <v>265</v>
      </c>
      <c r="D22" s="9">
        <v>1755</v>
      </c>
    </row>
    <row r="23" spans="1:4" x14ac:dyDescent="0.25">
      <c r="A23" s="4" t="s">
        <v>48</v>
      </c>
      <c r="B23" s="4">
        <v>233165</v>
      </c>
      <c r="C23" s="4" t="s">
        <v>266</v>
      </c>
      <c r="D23" s="9">
        <v>995</v>
      </c>
    </row>
    <row r="24" spans="1:4" x14ac:dyDescent="0.25">
      <c r="A24" s="4" t="s">
        <v>277</v>
      </c>
      <c r="B24" s="4">
        <v>226455</v>
      </c>
      <c r="C24" s="4" t="s">
        <v>278</v>
      </c>
      <c r="D24" s="9">
        <v>11605</v>
      </c>
    </row>
    <row r="25" spans="1:4" x14ac:dyDescent="0.25">
      <c r="A25" s="4" t="s">
        <v>52</v>
      </c>
      <c r="B25" s="4">
        <v>232081</v>
      </c>
      <c r="C25" s="4" t="s">
        <v>255</v>
      </c>
      <c r="D25" s="9">
        <v>1390</v>
      </c>
    </row>
    <row r="26" spans="1:4" x14ac:dyDescent="0.25">
      <c r="A26" s="4" t="s">
        <v>206</v>
      </c>
      <c r="B26" s="4">
        <v>226365</v>
      </c>
      <c r="C26" s="4" t="s">
        <v>207</v>
      </c>
      <c r="D26" s="9">
        <v>3089</v>
      </c>
    </row>
    <row r="27" spans="1:4" x14ac:dyDescent="0.25">
      <c r="A27" s="4" t="s">
        <v>279</v>
      </c>
      <c r="B27" s="4">
        <v>233307</v>
      </c>
      <c r="C27" s="4" t="s">
        <v>280</v>
      </c>
      <c r="D27" s="9">
        <v>40590</v>
      </c>
    </row>
    <row r="28" spans="1:4" x14ac:dyDescent="0.25">
      <c r="A28" s="4" t="s">
        <v>208</v>
      </c>
      <c r="B28" s="4">
        <v>191435</v>
      </c>
      <c r="C28" s="4" t="s">
        <v>209</v>
      </c>
      <c r="D28" s="9">
        <v>4590</v>
      </c>
    </row>
    <row r="29" spans="1:4" x14ac:dyDescent="0.25">
      <c r="C29" s="31" t="s">
        <v>243</v>
      </c>
      <c r="D29" s="32">
        <f>SUM(D4:D28)</f>
        <v>227707</v>
      </c>
    </row>
    <row r="31" spans="1:4" ht="15" customHeight="1" x14ac:dyDescent="0.25"/>
  </sheetData>
  <pageMargins left="0.7" right="0.7" top="0.75" bottom="0.75" header="0.3" footer="0.3"/>
  <pageSetup paperSize="155" scale="13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181C-38D7-47CB-85B7-883A8BD79104}">
  <sheetPr codeName="Sheet22"/>
  <dimension ref="A3:D23"/>
  <sheetViews>
    <sheetView view="pageBreakPreview" zoomScale="60" zoomScaleNormal="100" workbookViewId="0">
      <selection activeCell="G13" sqref="G1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84.42578125" bestFit="1" customWidth="1"/>
    <col min="4" max="4" width="10.28515625" style="3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244</v>
      </c>
      <c r="B4" s="4">
        <v>232166</v>
      </c>
      <c r="C4" s="4" t="s">
        <v>245</v>
      </c>
      <c r="D4" s="9">
        <v>5890</v>
      </c>
    </row>
    <row r="5" spans="1:4" x14ac:dyDescent="0.25">
      <c r="A5" s="4" t="s">
        <v>98</v>
      </c>
      <c r="B5" s="4">
        <v>234389</v>
      </c>
      <c r="C5" s="4" t="s">
        <v>281</v>
      </c>
      <c r="D5" s="9">
        <v>795</v>
      </c>
    </row>
    <row r="6" spans="1:4" x14ac:dyDescent="0.25">
      <c r="A6" s="4" t="s">
        <v>282</v>
      </c>
      <c r="B6" s="4">
        <v>234486</v>
      </c>
      <c r="C6" s="4" t="s">
        <v>283</v>
      </c>
      <c r="D6" s="9">
        <v>1395</v>
      </c>
    </row>
    <row r="7" spans="1:4" x14ac:dyDescent="0.25">
      <c r="A7" s="4" t="s">
        <v>282</v>
      </c>
      <c r="B7" s="4">
        <v>234487</v>
      </c>
      <c r="C7" s="4" t="s">
        <v>284</v>
      </c>
      <c r="D7" s="9">
        <v>1590</v>
      </c>
    </row>
    <row r="8" spans="1:4" x14ac:dyDescent="0.25">
      <c r="A8" s="4" t="s">
        <v>282</v>
      </c>
      <c r="B8" s="4">
        <v>234550</v>
      </c>
      <c r="C8" s="4" t="s">
        <v>285</v>
      </c>
      <c r="D8" s="9">
        <v>9030</v>
      </c>
    </row>
    <row r="9" spans="1:4" x14ac:dyDescent="0.25">
      <c r="A9" s="4" t="s">
        <v>282</v>
      </c>
      <c r="B9" s="4">
        <v>234485</v>
      </c>
      <c r="C9" s="4" t="s">
        <v>286</v>
      </c>
      <c r="D9" s="9">
        <v>5725</v>
      </c>
    </row>
    <row r="10" spans="1:4" x14ac:dyDescent="0.25">
      <c r="A10" s="4" t="s">
        <v>108</v>
      </c>
      <c r="B10" s="4">
        <v>235015</v>
      </c>
      <c r="C10" s="4" t="s">
        <v>287</v>
      </c>
      <c r="D10" s="9">
        <v>1320</v>
      </c>
    </row>
    <row r="11" spans="1:4" x14ac:dyDescent="0.25">
      <c r="A11" s="4" t="s">
        <v>108</v>
      </c>
      <c r="B11" s="4">
        <v>232454</v>
      </c>
      <c r="C11" s="4" t="s">
        <v>217</v>
      </c>
      <c r="D11" s="9">
        <v>1</v>
      </c>
    </row>
    <row r="12" spans="1:4" x14ac:dyDescent="0.25">
      <c r="A12" s="4" t="s">
        <v>24</v>
      </c>
      <c r="B12" s="4">
        <v>234761</v>
      </c>
      <c r="C12" s="4" t="s">
        <v>288</v>
      </c>
      <c r="D12" s="9">
        <v>1050</v>
      </c>
    </row>
    <row r="13" spans="1:4" x14ac:dyDescent="0.25">
      <c r="A13" s="4" t="s">
        <v>24</v>
      </c>
      <c r="B13" s="4">
        <v>234765</v>
      </c>
      <c r="C13" s="4" t="s">
        <v>289</v>
      </c>
      <c r="D13" s="9">
        <v>2250</v>
      </c>
    </row>
    <row r="14" spans="1:4" x14ac:dyDescent="0.25">
      <c r="A14" s="4" t="s">
        <v>24</v>
      </c>
      <c r="B14" s="4">
        <v>234763</v>
      </c>
      <c r="C14" s="4" t="s">
        <v>290</v>
      </c>
      <c r="D14" s="9">
        <v>900</v>
      </c>
    </row>
    <row r="15" spans="1:4" x14ac:dyDescent="0.25">
      <c r="A15" s="4" t="s">
        <v>111</v>
      </c>
      <c r="B15" s="4">
        <v>234967</v>
      </c>
      <c r="C15" s="4" t="s">
        <v>291</v>
      </c>
      <c r="D15" s="9">
        <v>248</v>
      </c>
    </row>
    <row r="16" spans="1:4" x14ac:dyDescent="0.25">
      <c r="A16" s="4" t="s">
        <v>81</v>
      </c>
      <c r="B16" s="4">
        <v>235185</v>
      </c>
      <c r="C16" s="4" t="s">
        <v>292</v>
      </c>
      <c r="D16" s="9">
        <v>1868</v>
      </c>
    </row>
    <row r="17" spans="1:4" x14ac:dyDescent="0.25">
      <c r="A17" s="4" t="s">
        <v>180</v>
      </c>
      <c r="B17" s="4">
        <v>227939</v>
      </c>
      <c r="C17" s="4" t="s">
        <v>203</v>
      </c>
      <c r="D17" s="9">
        <v>2830</v>
      </c>
    </row>
    <row r="18" spans="1:4" x14ac:dyDescent="0.25">
      <c r="A18" s="4" t="s">
        <v>38</v>
      </c>
      <c r="B18" s="4">
        <v>234662</v>
      </c>
      <c r="C18" s="4" t="s">
        <v>293</v>
      </c>
      <c r="D18" s="9">
        <v>3900</v>
      </c>
    </row>
    <row r="19" spans="1:4" x14ac:dyDescent="0.25">
      <c r="A19" s="4" t="s">
        <v>48</v>
      </c>
      <c r="B19" s="4">
        <v>231859</v>
      </c>
      <c r="C19" s="4" t="s">
        <v>294</v>
      </c>
      <c r="D19" s="9">
        <v>540</v>
      </c>
    </row>
    <row r="20" spans="1:4" x14ac:dyDescent="0.25">
      <c r="A20" s="4" t="s">
        <v>52</v>
      </c>
      <c r="B20" s="4">
        <v>232081</v>
      </c>
      <c r="C20" s="4" t="s">
        <v>255</v>
      </c>
      <c r="D20" s="9">
        <v>1390</v>
      </c>
    </row>
    <row r="21" spans="1:4" x14ac:dyDescent="0.25">
      <c r="A21" s="4" t="s">
        <v>206</v>
      </c>
      <c r="B21" s="4">
        <v>226365</v>
      </c>
      <c r="C21" s="4" t="s">
        <v>207</v>
      </c>
      <c r="D21" s="9">
        <v>3089</v>
      </c>
    </row>
    <row r="22" spans="1:4" x14ac:dyDescent="0.25">
      <c r="A22" s="4" t="s">
        <v>208</v>
      </c>
      <c r="B22" s="4">
        <v>191435</v>
      </c>
      <c r="C22" s="4" t="s">
        <v>209</v>
      </c>
      <c r="D22" s="9">
        <v>4590</v>
      </c>
    </row>
    <row r="23" spans="1:4" x14ac:dyDescent="0.25">
      <c r="C23" s="28" t="s">
        <v>243</v>
      </c>
      <c r="D23" s="32">
        <f>SUM(D4:D22)</f>
        <v>48401</v>
      </c>
    </row>
  </sheetData>
  <pageMargins left="0.7" right="0.7" top="0.75" bottom="0.75" header="0.3" footer="0.3"/>
  <pageSetup paperSize="155" scale="134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735A-E33B-4DF2-82F0-767F3A60097B}">
  <sheetPr codeName="Sheet23"/>
  <dimension ref="A3:D25"/>
  <sheetViews>
    <sheetView view="pageBreakPreview" zoomScale="60" zoomScaleNormal="100" workbookViewId="0">
      <selection activeCell="C63" sqref="C6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84.42578125" bestFit="1" customWidth="1"/>
    <col min="4" max="4" width="8.7109375" bestFit="1" customWidth="1"/>
  </cols>
  <sheetData>
    <row r="3" spans="1:4" x14ac:dyDescent="0.25">
      <c r="A3" s="12" t="s">
        <v>0</v>
      </c>
      <c r="B3" s="12" t="s">
        <v>1</v>
      </c>
      <c r="C3" s="12" t="s">
        <v>2</v>
      </c>
      <c r="D3" s="12" t="s">
        <v>4</v>
      </c>
    </row>
    <row r="4" spans="1:4" x14ac:dyDescent="0.25">
      <c r="A4" s="4" t="s">
        <v>244</v>
      </c>
      <c r="B4" s="4">
        <v>232166</v>
      </c>
      <c r="C4" s="4" t="s">
        <v>245</v>
      </c>
      <c r="D4" s="16">
        <v>5890</v>
      </c>
    </row>
    <row r="5" spans="1:4" x14ac:dyDescent="0.25">
      <c r="A5" s="4" t="s">
        <v>98</v>
      </c>
      <c r="B5" s="4">
        <v>234389</v>
      </c>
      <c r="C5" s="4" t="s">
        <v>281</v>
      </c>
      <c r="D5" s="4">
        <v>795</v>
      </c>
    </row>
    <row r="6" spans="1:4" x14ac:dyDescent="0.25">
      <c r="A6" s="4" t="s">
        <v>282</v>
      </c>
      <c r="B6" s="4">
        <v>234486</v>
      </c>
      <c r="C6" s="4" t="s">
        <v>283</v>
      </c>
      <c r="D6" s="16">
        <v>1395</v>
      </c>
    </row>
    <row r="7" spans="1:4" x14ac:dyDescent="0.25">
      <c r="A7" s="4" t="s">
        <v>282</v>
      </c>
      <c r="B7" s="4">
        <v>234487</v>
      </c>
      <c r="C7" s="4" t="s">
        <v>284</v>
      </c>
      <c r="D7" s="16">
        <v>1590</v>
      </c>
    </row>
    <row r="8" spans="1:4" x14ac:dyDescent="0.25">
      <c r="A8" s="4" t="s">
        <v>282</v>
      </c>
      <c r="B8" s="4">
        <v>234550</v>
      </c>
      <c r="C8" s="4" t="s">
        <v>285</v>
      </c>
      <c r="D8" s="16">
        <v>9030</v>
      </c>
    </row>
    <row r="9" spans="1:4" x14ac:dyDescent="0.25">
      <c r="A9" s="4" t="s">
        <v>282</v>
      </c>
      <c r="B9" s="4">
        <v>234485</v>
      </c>
      <c r="C9" s="4" t="s">
        <v>286</v>
      </c>
      <c r="D9" s="16">
        <v>5725</v>
      </c>
    </row>
    <row r="10" spans="1:4" x14ac:dyDescent="0.25">
      <c r="A10" s="4" t="s">
        <v>108</v>
      </c>
      <c r="B10" s="4">
        <v>235015</v>
      </c>
      <c r="C10" s="4" t="s">
        <v>287</v>
      </c>
      <c r="D10" s="16">
        <v>1320</v>
      </c>
    </row>
    <row r="11" spans="1:4" x14ac:dyDescent="0.25">
      <c r="A11" s="4" t="s">
        <v>108</v>
      </c>
      <c r="B11" s="4">
        <v>232454</v>
      </c>
      <c r="C11" s="4" t="s">
        <v>217</v>
      </c>
      <c r="D11" s="4">
        <v>1</v>
      </c>
    </row>
    <row r="12" spans="1:4" x14ac:dyDescent="0.25">
      <c r="A12" s="4" t="s">
        <v>111</v>
      </c>
      <c r="B12" s="4">
        <v>234967</v>
      </c>
      <c r="C12" s="4" t="s">
        <v>291</v>
      </c>
      <c r="D12" s="4">
        <v>248</v>
      </c>
    </row>
    <row r="13" spans="1:4" x14ac:dyDescent="0.25">
      <c r="A13" s="4" t="s">
        <v>81</v>
      </c>
      <c r="B13" s="4">
        <v>235185</v>
      </c>
      <c r="C13" s="4" t="s">
        <v>292</v>
      </c>
      <c r="D13" s="16">
        <v>1868</v>
      </c>
    </row>
    <row r="14" spans="1:4" x14ac:dyDescent="0.25">
      <c r="A14" s="4" t="s">
        <v>81</v>
      </c>
      <c r="B14" s="4">
        <v>235520</v>
      </c>
      <c r="C14" s="4" t="s">
        <v>295</v>
      </c>
      <c r="D14" s="16">
        <v>6375</v>
      </c>
    </row>
    <row r="15" spans="1:4" x14ac:dyDescent="0.25">
      <c r="A15" s="4" t="s">
        <v>180</v>
      </c>
      <c r="B15" s="4">
        <v>227939</v>
      </c>
      <c r="C15" s="4" t="s">
        <v>203</v>
      </c>
      <c r="D15" s="16">
        <v>2830</v>
      </c>
    </row>
    <row r="16" spans="1:4" x14ac:dyDescent="0.25">
      <c r="A16" s="4" t="s">
        <v>180</v>
      </c>
      <c r="B16" s="4">
        <v>234979</v>
      </c>
      <c r="C16" s="4" t="s">
        <v>296</v>
      </c>
      <c r="D16" s="16">
        <v>190818</v>
      </c>
    </row>
    <row r="17" spans="1:4" x14ac:dyDescent="0.25">
      <c r="A17" s="4" t="s">
        <v>180</v>
      </c>
      <c r="B17" s="4">
        <v>234979</v>
      </c>
      <c r="C17" s="4" t="s">
        <v>297</v>
      </c>
      <c r="D17" s="16">
        <v>3137</v>
      </c>
    </row>
    <row r="18" spans="1:4" x14ac:dyDescent="0.25">
      <c r="A18" s="4" t="s">
        <v>180</v>
      </c>
      <c r="B18" s="4">
        <v>234979</v>
      </c>
      <c r="C18" s="4" t="s">
        <v>298</v>
      </c>
      <c r="D18" s="16">
        <v>8336</v>
      </c>
    </row>
    <row r="19" spans="1:4" x14ac:dyDescent="0.25">
      <c r="A19" s="4" t="s">
        <v>38</v>
      </c>
      <c r="B19" s="4">
        <v>233737</v>
      </c>
      <c r="C19" s="4" t="s">
        <v>299</v>
      </c>
      <c r="D19" s="16">
        <v>19808</v>
      </c>
    </row>
    <row r="20" spans="1:4" x14ac:dyDescent="0.25">
      <c r="A20" s="4" t="s">
        <v>38</v>
      </c>
      <c r="B20" s="4">
        <v>233737</v>
      </c>
      <c r="C20" s="4" t="s">
        <v>300</v>
      </c>
      <c r="D20" s="16">
        <v>37764</v>
      </c>
    </row>
    <row r="21" spans="1:4" x14ac:dyDescent="0.25">
      <c r="A21" s="4" t="s">
        <v>48</v>
      </c>
      <c r="B21" s="4">
        <v>231859</v>
      </c>
      <c r="C21" s="4" t="s">
        <v>294</v>
      </c>
      <c r="D21" s="4">
        <v>540</v>
      </c>
    </row>
    <row r="22" spans="1:4" x14ac:dyDescent="0.25">
      <c r="A22" s="4" t="s">
        <v>206</v>
      </c>
      <c r="B22" s="4">
        <v>226365</v>
      </c>
      <c r="C22" s="4" t="s">
        <v>207</v>
      </c>
      <c r="D22" s="16">
        <v>3089</v>
      </c>
    </row>
    <row r="23" spans="1:4" x14ac:dyDescent="0.25">
      <c r="A23" s="4" t="s">
        <v>208</v>
      </c>
      <c r="B23" s="4">
        <v>191435</v>
      </c>
      <c r="C23" s="4" t="s">
        <v>209</v>
      </c>
      <c r="D23" s="16">
        <v>4590</v>
      </c>
    </row>
    <row r="24" spans="1:4" x14ac:dyDescent="0.25">
      <c r="A24" s="4" t="s">
        <v>38</v>
      </c>
      <c r="B24" s="4">
        <v>234812</v>
      </c>
      <c r="C24" s="4" t="s">
        <v>301</v>
      </c>
      <c r="D24" s="16">
        <v>8403</v>
      </c>
    </row>
    <row r="25" spans="1:4" x14ac:dyDescent="0.25">
      <c r="C25" s="28" t="s">
        <v>243</v>
      </c>
      <c r="D25" s="29">
        <f>SUM(D4:D24)</f>
        <v>313552</v>
      </c>
    </row>
  </sheetData>
  <pageMargins left="0.7" right="0.7" top="0.75" bottom="0.75" header="0.3" footer="0.3"/>
  <pageSetup paperSize="155" scale="128" orientation="landscape" r:id="rId1"/>
  <headerFooter>
    <oddHeader>&amp;C&amp;"Arial Black,Regular"&amp;14SALES REPORT
&amp;10APPROVED WORK AWAITING SCHEDULE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2A9E-2A43-42E5-B5ED-FD741D5BC261}">
  <sheetPr codeName="Sheet24"/>
  <dimension ref="A3:D20"/>
  <sheetViews>
    <sheetView view="pageBreakPreview" zoomScaleNormal="100" zoomScaleSheetLayoutView="100" workbookViewId="0">
      <selection activeCell="B27" sqref="B27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72.5703125" bestFit="1" customWidth="1"/>
    <col min="4" max="4" width="11.7109375" style="3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244</v>
      </c>
      <c r="B4" s="4">
        <v>232166</v>
      </c>
      <c r="C4" s="4" t="s">
        <v>245</v>
      </c>
      <c r="D4" s="9">
        <v>5890</v>
      </c>
    </row>
    <row r="5" spans="1:4" x14ac:dyDescent="0.25">
      <c r="A5" s="4" t="s">
        <v>98</v>
      </c>
      <c r="B5" s="4">
        <v>234389</v>
      </c>
      <c r="C5" s="4" t="s">
        <v>281</v>
      </c>
      <c r="D5" s="9">
        <v>795</v>
      </c>
    </row>
    <row r="6" spans="1:4" x14ac:dyDescent="0.25">
      <c r="A6" s="4" t="s">
        <v>282</v>
      </c>
      <c r="B6" s="4">
        <v>234486</v>
      </c>
      <c r="C6" s="4" t="s">
        <v>283</v>
      </c>
      <c r="D6" s="9">
        <v>1395</v>
      </c>
    </row>
    <row r="7" spans="1:4" x14ac:dyDescent="0.25">
      <c r="A7" s="4" t="s">
        <v>282</v>
      </c>
      <c r="B7" s="4">
        <v>234487</v>
      </c>
      <c r="C7" s="4" t="s">
        <v>284</v>
      </c>
      <c r="D7" s="9">
        <v>1590</v>
      </c>
    </row>
    <row r="8" spans="1:4" x14ac:dyDescent="0.25">
      <c r="A8" s="4" t="s">
        <v>282</v>
      </c>
      <c r="B8" s="4">
        <v>234485</v>
      </c>
      <c r="C8" s="4" t="s">
        <v>286</v>
      </c>
      <c r="D8" s="9">
        <v>5725</v>
      </c>
    </row>
    <row r="9" spans="1:4" x14ac:dyDescent="0.25">
      <c r="A9" s="4" t="s">
        <v>108</v>
      </c>
      <c r="B9" s="4">
        <v>235015</v>
      </c>
      <c r="C9" s="4" t="s">
        <v>287</v>
      </c>
      <c r="D9" s="9">
        <v>1320</v>
      </c>
    </row>
    <row r="10" spans="1:4" x14ac:dyDescent="0.25">
      <c r="A10" s="4" t="s">
        <v>108</v>
      </c>
      <c r="B10" s="4">
        <v>232454</v>
      </c>
      <c r="C10" s="4" t="s">
        <v>217</v>
      </c>
      <c r="D10" s="9">
        <v>1</v>
      </c>
    </row>
    <row r="11" spans="1:4" x14ac:dyDescent="0.25">
      <c r="A11" s="4" t="s">
        <v>180</v>
      </c>
      <c r="B11" s="4">
        <v>233823</v>
      </c>
      <c r="C11" s="4" t="s">
        <v>302</v>
      </c>
      <c r="D11" s="9">
        <v>18980</v>
      </c>
    </row>
    <row r="12" spans="1:4" x14ac:dyDescent="0.25">
      <c r="A12" s="4" t="s">
        <v>180</v>
      </c>
      <c r="B12" s="4">
        <v>233823</v>
      </c>
      <c r="C12" s="4" t="s">
        <v>303</v>
      </c>
      <c r="D12" s="9">
        <v>19345</v>
      </c>
    </row>
    <row r="13" spans="1:4" x14ac:dyDescent="0.25">
      <c r="A13" s="4" t="s">
        <v>180</v>
      </c>
      <c r="B13" s="4">
        <v>233823</v>
      </c>
      <c r="C13" s="4" t="s">
        <v>304</v>
      </c>
      <c r="D13" s="9">
        <v>20100</v>
      </c>
    </row>
    <row r="14" spans="1:4" x14ac:dyDescent="0.25">
      <c r="A14" s="4" t="s">
        <v>38</v>
      </c>
      <c r="B14" s="4">
        <v>234930</v>
      </c>
      <c r="C14" s="4" t="s">
        <v>305</v>
      </c>
      <c r="D14" s="9">
        <v>14065</v>
      </c>
    </row>
    <row r="15" spans="1:4" x14ac:dyDescent="0.25">
      <c r="A15" s="4" t="s">
        <v>306</v>
      </c>
      <c r="B15" s="4">
        <v>235253</v>
      </c>
      <c r="C15" s="4" t="s">
        <v>307</v>
      </c>
      <c r="D15" s="9">
        <v>3935</v>
      </c>
    </row>
    <row r="16" spans="1:4" x14ac:dyDescent="0.25">
      <c r="A16" s="4" t="s">
        <v>48</v>
      </c>
      <c r="B16" s="4">
        <v>231859</v>
      </c>
      <c r="C16" s="4" t="s">
        <v>294</v>
      </c>
      <c r="D16" s="9">
        <v>540</v>
      </c>
    </row>
    <row r="17" spans="1:4" x14ac:dyDescent="0.25">
      <c r="A17" s="4" t="s">
        <v>206</v>
      </c>
      <c r="B17" s="4">
        <v>226365</v>
      </c>
      <c r="C17" s="4" t="s">
        <v>207</v>
      </c>
      <c r="D17" s="9">
        <v>3089</v>
      </c>
    </row>
    <row r="18" spans="1:4" x14ac:dyDescent="0.25">
      <c r="A18" s="4" t="s">
        <v>208</v>
      </c>
      <c r="B18" s="4">
        <v>191435</v>
      </c>
      <c r="C18" s="4" t="s">
        <v>209</v>
      </c>
      <c r="D18" s="9">
        <v>4590</v>
      </c>
    </row>
    <row r="19" spans="1:4" x14ac:dyDescent="0.25">
      <c r="A19" s="4" t="s">
        <v>38</v>
      </c>
      <c r="B19" s="4">
        <v>234812</v>
      </c>
      <c r="C19" s="4" t="s">
        <v>301</v>
      </c>
      <c r="D19" s="9">
        <v>8403</v>
      </c>
    </row>
    <row r="20" spans="1:4" x14ac:dyDescent="0.25">
      <c r="C20" s="28" t="s">
        <v>228</v>
      </c>
      <c r="D20" s="32">
        <f>SUM(D4:D19)</f>
        <v>109763</v>
      </c>
    </row>
  </sheetData>
  <pageMargins left="0.7" right="0.7" top="0.75" bottom="0.75" header="0.3" footer="0.3"/>
  <pageSetup paperSize="155" scale="144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665A-0E18-4E21-9987-A98AA16B5A50}">
  <sheetPr codeName="Sheet25"/>
  <dimension ref="A3:D14"/>
  <sheetViews>
    <sheetView view="pageBreakPreview" zoomScale="115" zoomScaleNormal="100" zoomScaleSheetLayoutView="115" workbookViewId="0">
      <selection activeCell="D39" sqref="D38:D39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56.7109375" bestFit="1" customWidth="1"/>
    <col min="4" max="4" width="10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98</v>
      </c>
      <c r="B4" s="4">
        <v>234389</v>
      </c>
      <c r="C4" s="4" t="s">
        <v>281</v>
      </c>
      <c r="D4" s="9">
        <v>795</v>
      </c>
    </row>
    <row r="5" spans="1:4" x14ac:dyDescent="0.25">
      <c r="A5" s="4" t="s">
        <v>282</v>
      </c>
      <c r="B5" s="4">
        <v>234486</v>
      </c>
      <c r="C5" s="4" t="s">
        <v>283</v>
      </c>
      <c r="D5" s="9">
        <v>1395</v>
      </c>
    </row>
    <row r="6" spans="1:4" x14ac:dyDescent="0.25">
      <c r="A6" s="4" t="s">
        <v>282</v>
      </c>
      <c r="B6" s="4">
        <v>234487</v>
      </c>
      <c r="C6" s="4" t="s">
        <v>284</v>
      </c>
      <c r="D6" s="9">
        <v>1590</v>
      </c>
    </row>
    <row r="7" spans="1:4" x14ac:dyDescent="0.25">
      <c r="A7" s="4" t="s">
        <v>282</v>
      </c>
      <c r="B7" s="4">
        <v>234485</v>
      </c>
      <c r="C7" s="4" t="s">
        <v>286</v>
      </c>
      <c r="D7" s="9">
        <v>5725</v>
      </c>
    </row>
    <row r="8" spans="1:4" x14ac:dyDescent="0.25">
      <c r="A8" s="4" t="s">
        <v>108</v>
      </c>
      <c r="B8" s="4">
        <v>235015</v>
      </c>
      <c r="C8" s="4" t="s">
        <v>287</v>
      </c>
      <c r="D8" s="9">
        <v>1320</v>
      </c>
    </row>
    <row r="9" spans="1:4" x14ac:dyDescent="0.25">
      <c r="A9" s="4" t="s">
        <v>108</v>
      </c>
      <c r="B9" s="4">
        <v>232454</v>
      </c>
      <c r="C9" s="4" t="s">
        <v>217</v>
      </c>
      <c r="D9" s="9">
        <v>1</v>
      </c>
    </row>
    <row r="10" spans="1:4" x14ac:dyDescent="0.25">
      <c r="A10" s="4" t="s">
        <v>48</v>
      </c>
      <c r="B10" s="4">
        <v>231859</v>
      </c>
      <c r="C10" s="4" t="s">
        <v>294</v>
      </c>
      <c r="D10" s="9">
        <v>540</v>
      </c>
    </row>
    <row r="11" spans="1:4" x14ac:dyDescent="0.25">
      <c r="A11" s="4" t="s">
        <v>206</v>
      </c>
      <c r="B11" s="4">
        <v>226365</v>
      </c>
      <c r="C11" s="4" t="s">
        <v>207</v>
      </c>
      <c r="D11" s="9">
        <v>3089</v>
      </c>
    </row>
    <row r="12" spans="1:4" x14ac:dyDescent="0.25">
      <c r="A12" s="4" t="s">
        <v>208</v>
      </c>
      <c r="B12" s="4">
        <v>191435</v>
      </c>
      <c r="C12" s="4" t="s">
        <v>209</v>
      </c>
      <c r="D12" s="9">
        <v>4590</v>
      </c>
    </row>
    <row r="13" spans="1:4" x14ac:dyDescent="0.25">
      <c r="A13" s="4" t="s">
        <v>38</v>
      </c>
      <c r="B13" s="4">
        <v>234812</v>
      </c>
      <c r="C13" s="4" t="s">
        <v>301</v>
      </c>
      <c r="D13" s="9">
        <v>8403</v>
      </c>
    </row>
    <row r="14" spans="1:4" x14ac:dyDescent="0.25">
      <c r="C14" s="31" t="s">
        <v>228</v>
      </c>
      <c r="D14" s="32">
        <f>SUM(D4:D13)</f>
        <v>27448</v>
      </c>
    </row>
  </sheetData>
  <pageMargins left="0.7" right="0.7" top="0.75" bottom="0.75" header="0.3" footer="0.3"/>
  <pageSetup paperSize="155" scale="163" orientation="landscape" r:id="rId1"/>
  <headerFooter>
    <oddHeader>&amp;C&amp;"Arial Black,Regular"&amp;14SALES REPORT
&amp;"Arial Black,Italic"&amp;10APPROVED WORK AWAITING SCHEDULE</oddHeader>
    <oddFooter>&amp;L&amp;8&amp;Z&amp;F&amp;R&amp;8&amp;D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31DB-3ECF-4B87-96FE-A87874221EDB}">
  <sheetPr codeName="Sheet26"/>
  <dimension ref="A3:D22"/>
  <sheetViews>
    <sheetView workbookViewId="0">
      <selection activeCell="A3" sqref="A3:D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76.7109375" bestFit="1" customWidth="1"/>
    <col min="4" max="4" width="10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229</v>
      </c>
      <c r="B4" s="4">
        <v>237640</v>
      </c>
      <c r="C4" s="4" t="s">
        <v>308</v>
      </c>
      <c r="D4" s="9">
        <v>2465</v>
      </c>
    </row>
    <row r="5" spans="1:4" x14ac:dyDescent="0.25">
      <c r="A5" s="4" t="s">
        <v>98</v>
      </c>
      <c r="B5" s="4">
        <v>234389</v>
      </c>
      <c r="C5" s="4" t="s">
        <v>281</v>
      </c>
      <c r="D5" s="9">
        <v>795</v>
      </c>
    </row>
    <row r="6" spans="1:4" x14ac:dyDescent="0.25">
      <c r="A6" s="4" t="s">
        <v>282</v>
      </c>
      <c r="B6" s="4">
        <v>234486</v>
      </c>
      <c r="C6" s="4" t="s">
        <v>283</v>
      </c>
      <c r="D6" s="9">
        <v>1395</v>
      </c>
    </row>
    <row r="7" spans="1:4" x14ac:dyDescent="0.25">
      <c r="A7" s="4" t="s">
        <v>147</v>
      </c>
      <c r="B7" s="4">
        <v>234192</v>
      </c>
      <c r="C7" s="4" t="s">
        <v>309</v>
      </c>
      <c r="D7" s="9">
        <v>585</v>
      </c>
    </row>
    <row r="8" spans="1:4" x14ac:dyDescent="0.25">
      <c r="A8" s="4" t="s">
        <v>108</v>
      </c>
      <c r="B8" s="4">
        <v>235015</v>
      </c>
      <c r="C8" s="4" t="s">
        <v>287</v>
      </c>
      <c r="D8" s="9">
        <v>1320</v>
      </c>
    </row>
    <row r="9" spans="1:4" x14ac:dyDescent="0.25">
      <c r="A9" s="4" t="s">
        <v>108</v>
      </c>
      <c r="B9" s="4">
        <v>232454</v>
      </c>
      <c r="C9" s="4" t="s">
        <v>217</v>
      </c>
      <c r="D9" s="9">
        <v>1</v>
      </c>
    </row>
    <row r="10" spans="1:4" x14ac:dyDescent="0.25">
      <c r="A10" s="4" t="s">
        <v>26</v>
      </c>
      <c r="B10" s="4">
        <v>237391</v>
      </c>
      <c r="C10" s="4" t="s">
        <v>310</v>
      </c>
      <c r="D10" s="9">
        <v>3495</v>
      </c>
    </row>
    <row r="11" spans="1:4" x14ac:dyDescent="0.25">
      <c r="A11" s="4" t="s">
        <v>180</v>
      </c>
      <c r="B11" s="4">
        <v>234264</v>
      </c>
      <c r="C11" s="4" t="s">
        <v>311</v>
      </c>
      <c r="D11" s="9">
        <v>1650</v>
      </c>
    </row>
    <row r="12" spans="1:4" x14ac:dyDescent="0.25">
      <c r="A12" s="4" t="s">
        <v>312</v>
      </c>
      <c r="B12" s="4">
        <v>234822</v>
      </c>
      <c r="C12" s="4" t="s">
        <v>313</v>
      </c>
      <c r="D12" s="9">
        <v>4375</v>
      </c>
    </row>
    <row r="13" spans="1:4" x14ac:dyDescent="0.25">
      <c r="A13" s="4" t="s">
        <v>312</v>
      </c>
      <c r="B13" s="4">
        <v>234856</v>
      </c>
      <c r="C13" s="4" t="s">
        <v>314</v>
      </c>
      <c r="D13" s="9">
        <v>6475</v>
      </c>
    </row>
    <row r="14" spans="1:4" x14ac:dyDescent="0.25">
      <c r="A14" s="4" t="s">
        <v>315</v>
      </c>
      <c r="B14" s="4">
        <v>229189</v>
      </c>
      <c r="C14" s="4" t="s">
        <v>316</v>
      </c>
      <c r="D14" s="9">
        <v>34905</v>
      </c>
    </row>
    <row r="15" spans="1:4" x14ac:dyDescent="0.25">
      <c r="A15" s="4" t="s">
        <v>38</v>
      </c>
      <c r="B15" s="4">
        <v>234825</v>
      </c>
      <c r="C15" s="4" t="s">
        <v>317</v>
      </c>
      <c r="D15" s="9">
        <v>9820</v>
      </c>
    </row>
    <row r="16" spans="1:4" x14ac:dyDescent="0.25">
      <c r="A16" s="4" t="s">
        <v>38</v>
      </c>
      <c r="B16" s="4">
        <v>235499</v>
      </c>
      <c r="C16" s="4" t="s">
        <v>318</v>
      </c>
      <c r="D16" s="9">
        <v>1445</v>
      </c>
    </row>
    <row r="17" spans="1:4" x14ac:dyDescent="0.25">
      <c r="A17" s="4" t="s">
        <v>48</v>
      </c>
      <c r="B17" s="4">
        <v>231859</v>
      </c>
      <c r="C17" s="4" t="s">
        <v>294</v>
      </c>
      <c r="D17" s="9">
        <v>540</v>
      </c>
    </row>
    <row r="18" spans="1:4" x14ac:dyDescent="0.25">
      <c r="A18" s="4" t="s">
        <v>206</v>
      </c>
      <c r="B18" s="4">
        <v>226365</v>
      </c>
      <c r="C18" s="4" t="s">
        <v>207</v>
      </c>
      <c r="D18" s="9">
        <v>3089</v>
      </c>
    </row>
    <row r="19" spans="1:4" x14ac:dyDescent="0.25">
      <c r="A19" s="4" t="s">
        <v>208</v>
      </c>
      <c r="B19" s="4">
        <v>191435</v>
      </c>
      <c r="C19" s="4" t="s">
        <v>209</v>
      </c>
      <c r="D19" s="9">
        <v>4590</v>
      </c>
    </row>
    <row r="20" spans="1:4" x14ac:dyDescent="0.25">
      <c r="A20" s="4" t="s">
        <v>234</v>
      </c>
      <c r="B20" s="4">
        <v>225577</v>
      </c>
      <c r="C20" s="4" t="s">
        <v>319</v>
      </c>
      <c r="D20" s="9">
        <v>102</v>
      </c>
    </row>
    <row r="21" spans="1:4" x14ac:dyDescent="0.25">
      <c r="A21" s="4" t="s">
        <v>38</v>
      </c>
      <c r="B21" s="4">
        <v>234812</v>
      </c>
      <c r="C21" s="4" t="s">
        <v>301</v>
      </c>
      <c r="D21" s="9">
        <v>8403</v>
      </c>
    </row>
    <row r="22" spans="1:4" x14ac:dyDescent="0.25">
      <c r="C22" s="31" t="s">
        <v>228</v>
      </c>
      <c r="D22" s="32">
        <f>SUM(D4:D21)</f>
        <v>85450</v>
      </c>
    </row>
  </sheetData>
  <pageMargins left="0.7" right="0.7" top="0.75" bottom="0.75" header="0.3" footer="0.3"/>
  <pageSetup paperSize="155" scale="150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5EAC-7E56-466A-BB05-C158E7CF3527}">
  <dimension ref="A3:D24"/>
  <sheetViews>
    <sheetView view="pageBreakPreview" zoomScale="60" zoomScaleNormal="100" workbookViewId="0">
      <selection activeCell="C31" sqref="C31"/>
    </sheetView>
  </sheetViews>
  <sheetFormatPr defaultRowHeight="15" x14ac:dyDescent="0.25"/>
  <cols>
    <col min="1" max="1" width="33.42578125" bestFit="1" customWidth="1"/>
    <col min="2" max="2" width="8.7109375" bestFit="1" customWidth="1"/>
    <col min="3" max="3" width="72.85546875" bestFit="1" customWidth="1"/>
    <col min="4" max="4" width="11.7109375" style="3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98</v>
      </c>
      <c r="B4" s="4">
        <v>234389</v>
      </c>
      <c r="C4" s="4" t="s">
        <v>281</v>
      </c>
      <c r="D4" s="9">
        <v>795</v>
      </c>
    </row>
    <row r="5" spans="1:4" x14ac:dyDescent="0.25">
      <c r="A5" s="4" t="s">
        <v>282</v>
      </c>
      <c r="B5" s="4">
        <v>234486</v>
      </c>
      <c r="C5" s="4" t="s">
        <v>283</v>
      </c>
      <c r="D5" s="9">
        <v>1395</v>
      </c>
    </row>
    <row r="6" spans="1:4" x14ac:dyDescent="0.25">
      <c r="A6" s="4" t="s">
        <v>320</v>
      </c>
      <c r="B6" s="4">
        <v>234275</v>
      </c>
      <c r="C6" s="4" t="s">
        <v>321</v>
      </c>
      <c r="D6" s="9">
        <v>18975</v>
      </c>
    </row>
    <row r="7" spans="1:4" x14ac:dyDescent="0.25">
      <c r="A7" s="4" t="s">
        <v>108</v>
      </c>
      <c r="B7" s="4">
        <v>235015</v>
      </c>
      <c r="C7" s="4" t="s">
        <v>287</v>
      </c>
      <c r="D7" s="9">
        <v>1320</v>
      </c>
    </row>
    <row r="8" spans="1:4" x14ac:dyDescent="0.25">
      <c r="A8" s="4" t="s">
        <v>108</v>
      </c>
      <c r="B8" s="4">
        <v>232454</v>
      </c>
      <c r="C8" s="4" t="s">
        <v>217</v>
      </c>
      <c r="D8" s="9">
        <v>1</v>
      </c>
    </row>
    <row r="9" spans="1:4" x14ac:dyDescent="0.25">
      <c r="A9" s="4" t="s">
        <v>234</v>
      </c>
      <c r="B9" s="4">
        <v>237993</v>
      </c>
      <c r="C9" s="4" t="s">
        <v>322</v>
      </c>
      <c r="D9" s="9">
        <v>716</v>
      </c>
    </row>
    <row r="10" spans="1:4" x14ac:dyDescent="0.25">
      <c r="A10" s="4" t="s">
        <v>234</v>
      </c>
      <c r="B10" s="4">
        <v>237995</v>
      </c>
      <c r="C10" s="4" t="s">
        <v>323</v>
      </c>
      <c r="D10" s="9">
        <v>561</v>
      </c>
    </row>
    <row r="11" spans="1:4" x14ac:dyDescent="0.25">
      <c r="A11" s="4" t="s">
        <v>234</v>
      </c>
      <c r="B11" s="4">
        <v>237992</v>
      </c>
      <c r="C11" s="4" t="s">
        <v>324</v>
      </c>
      <c r="D11" s="9">
        <v>1684</v>
      </c>
    </row>
    <row r="12" spans="1:4" x14ac:dyDescent="0.25">
      <c r="A12" s="4" t="s">
        <v>200</v>
      </c>
      <c r="B12" s="4">
        <v>234615</v>
      </c>
      <c r="C12" s="4" t="s">
        <v>325</v>
      </c>
      <c r="D12" s="9">
        <v>4425</v>
      </c>
    </row>
    <row r="13" spans="1:4" x14ac:dyDescent="0.25">
      <c r="A13" s="4" t="s">
        <v>200</v>
      </c>
      <c r="B13" s="4">
        <v>234611</v>
      </c>
      <c r="C13" s="4" t="s">
        <v>326</v>
      </c>
      <c r="D13" s="9">
        <v>1255</v>
      </c>
    </row>
    <row r="14" spans="1:4" x14ac:dyDescent="0.25">
      <c r="A14" s="4" t="s">
        <v>200</v>
      </c>
      <c r="B14" s="4">
        <v>234612</v>
      </c>
      <c r="C14" s="4" t="s">
        <v>327</v>
      </c>
      <c r="D14" s="9">
        <v>905</v>
      </c>
    </row>
    <row r="15" spans="1:4" x14ac:dyDescent="0.25">
      <c r="A15" s="4" t="s">
        <v>200</v>
      </c>
      <c r="B15" s="4">
        <v>234618</v>
      </c>
      <c r="C15" s="4" t="s">
        <v>328</v>
      </c>
      <c r="D15" s="9">
        <v>630</v>
      </c>
    </row>
    <row r="16" spans="1:4" x14ac:dyDescent="0.25">
      <c r="A16" s="4" t="s">
        <v>200</v>
      </c>
      <c r="B16" s="4">
        <v>234614</v>
      </c>
      <c r="C16" s="4" t="s">
        <v>329</v>
      </c>
      <c r="D16" s="9">
        <v>475</v>
      </c>
    </row>
    <row r="17" spans="1:4" x14ac:dyDescent="0.25">
      <c r="A17" s="4" t="s">
        <v>330</v>
      </c>
      <c r="B17" s="4">
        <v>234171</v>
      </c>
      <c r="C17" s="4" t="s">
        <v>331</v>
      </c>
      <c r="D17" s="9">
        <v>595</v>
      </c>
    </row>
    <row r="18" spans="1:4" x14ac:dyDescent="0.25">
      <c r="A18" s="4" t="s">
        <v>48</v>
      </c>
      <c r="B18" s="4">
        <v>231859</v>
      </c>
      <c r="C18" s="4" t="s">
        <v>294</v>
      </c>
      <c r="D18" s="9">
        <v>540</v>
      </c>
    </row>
    <row r="19" spans="1:4" x14ac:dyDescent="0.25">
      <c r="A19" s="4" t="s">
        <v>332</v>
      </c>
      <c r="B19" s="4">
        <v>237766</v>
      </c>
      <c r="C19" s="4" t="s">
        <v>333</v>
      </c>
      <c r="D19" s="9">
        <v>2000</v>
      </c>
    </row>
    <row r="20" spans="1:4" x14ac:dyDescent="0.25">
      <c r="A20" s="4" t="s">
        <v>334</v>
      </c>
      <c r="B20" s="4">
        <v>237684</v>
      </c>
      <c r="C20" s="4" t="s">
        <v>335</v>
      </c>
      <c r="D20" s="9">
        <v>170</v>
      </c>
    </row>
    <row r="21" spans="1:4" x14ac:dyDescent="0.25">
      <c r="A21" s="4" t="s">
        <v>206</v>
      </c>
      <c r="B21" s="4">
        <v>226365</v>
      </c>
      <c r="C21" s="4" t="s">
        <v>207</v>
      </c>
      <c r="D21" s="9">
        <v>3089</v>
      </c>
    </row>
    <row r="22" spans="1:4" x14ac:dyDescent="0.25">
      <c r="A22" s="4" t="s">
        <v>208</v>
      </c>
      <c r="B22" s="4">
        <v>191435</v>
      </c>
      <c r="C22" s="4" t="s">
        <v>209</v>
      </c>
      <c r="D22" s="9">
        <v>4590</v>
      </c>
    </row>
    <row r="23" spans="1:4" x14ac:dyDescent="0.25">
      <c r="A23" s="4" t="s">
        <v>234</v>
      </c>
      <c r="B23" s="4">
        <v>225577</v>
      </c>
      <c r="C23" s="4" t="s">
        <v>319</v>
      </c>
      <c r="D23" s="9">
        <v>102</v>
      </c>
    </row>
    <row r="24" spans="1:4" x14ac:dyDescent="0.25">
      <c r="C24" s="28" t="s">
        <v>228</v>
      </c>
      <c r="D24" s="30">
        <f>SUM(D4:D23)</f>
        <v>44223</v>
      </c>
    </row>
  </sheetData>
  <pageMargins left="0.7" right="0.7" top="0.75" bottom="0.75" header="0.3" footer="0.3"/>
  <pageSetup paperSize="155" scale="15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101D-4592-4290-90B8-2B87253C327B}">
  <dimension ref="A3:D32"/>
  <sheetViews>
    <sheetView view="pageBreakPreview" zoomScale="60" zoomScaleNormal="100" workbookViewId="0">
      <selection sqref="A1:XFD1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75" bestFit="1" customWidth="1"/>
    <col min="4" max="4" width="10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98</v>
      </c>
      <c r="B4" s="4">
        <v>234389</v>
      </c>
      <c r="C4" s="4" t="s">
        <v>281</v>
      </c>
      <c r="D4" s="9">
        <v>795</v>
      </c>
    </row>
    <row r="5" spans="1:4" x14ac:dyDescent="0.25">
      <c r="A5" s="4" t="s">
        <v>320</v>
      </c>
      <c r="B5" s="4">
        <v>234275</v>
      </c>
      <c r="C5" s="4" t="s">
        <v>321</v>
      </c>
      <c r="D5" s="9">
        <v>18975</v>
      </c>
    </row>
    <row r="6" spans="1:4" x14ac:dyDescent="0.25">
      <c r="A6" s="4" t="s">
        <v>108</v>
      </c>
      <c r="B6" s="4">
        <v>235015</v>
      </c>
      <c r="C6" s="4" t="s">
        <v>287</v>
      </c>
      <c r="D6" s="9">
        <v>1320</v>
      </c>
    </row>
    <row r="7" spans="1:4" x14ac:dyDescent="0.25">
      <c r="A7" s="4" t="s">
        <v>108</v>
      </c>
      <c r="B7" s="4">
        <v>232454</v>
      </c>
      <c r="C7" s="4" t="s">
        <v>217</v>
      </c>
      <c r="D7" s="9">
        <v>1</v>
      </c>
    </row>
    <row r="8" spans="1:4" x14ac:dyDescent="0.25">
      <c r="A8" s="4" t="s">
        <v>336</v>
      </c>
      <c r="B8" s="4">
        <v>238100</v>
      </c>
      <c r="C8" s="4" t="s">
        <v>337</v>
      </c>
      <c r="D8" s="9">
        <v>6001</v>
      </c>
    </row>
    <row r="9" spans="1:4" x14ac:dyDescent="0.25">
      <c r="A9" s="4" t="s">
        <v>336</v>
      </c>
      <c r="B9" s="4">
        <v>238099</v>
      </c>
      <c r="C9" s="4" t="s">
        <v>338</v>
      </c>
      <c r="D9" s="9">
        <v>6358</v>
      </c>
    </row>
    <row r="10" spans="1:4" x14ac:dyDescent="0.25">
      <c r="A10" s="4" t="s">
        <v>336</v>
      </c>
      <c r="B10" s="4">
        <v>238101</v>
      </c>
      <c r="C10" s="4" t="s">
        <v>339</v>
      </c>
      <c r="D10" s="9">
        <v>6748</v>
      </c>
    </row>
    <row r="11" spans="1:4" x14ac:dyDescent="0.25">
      <c r="A11" s="4" t="s">
        <v>336</v>
      </c>
      <c r="B11" s="4">
        <v>238122</v>
      </c>
      <c r="C11" s="4" t="s">
        <v>340</v>
      </c>
      <c r="D11" s="9">
        <v>720</v>
      </c>
    </row>
    <row r="12" spans="1:4" x14ac:dyDescent="0.25">
      <c r="A12" s="4" t="s">
        <v>336</v>
      </c>
      <c r="B12" s="4">
        <v>238147</v>
      </c>
      <c r="C12" s="4" t="s">
        <v>341</v>
      </c>
      <c r="D12" s="9">
        <v>1440</v>
      </c>
    </row>
    <row r="13" spans="1:4" x14ac:dyDescent="0.25">
      <c r="A13" s="4" t="s">
        <v>336</v>
      </c>
      <c r="B13" s="4">
        <v>238125</v>
      </c>
      <c r="C13" s="4" t="s">
        <v>342</v>
      </c>
      <c r="D13" s="9">
        <v>828</v>
      </c>
    </row>
    <row r="14" spans="1:4" x14ac:dyDescent="0.25">
      <c r="A14" s="4" t="s">
        <v>111</v>
      </c>
      <c r="B14" s="4">
        <v>237950</v>
      </c>
      <c r="C14" s="4" t="s">
        <v>343</v>
      </c>
      <c r="D14" s="9">
        <v>1214</v>
      </c>
    </row>
    <row r="15" spans="1:4" x14ac:dyDescent="0.25">
      <c r="A15" s="4" t="s">
        <v>111</v>
      </c>
      <c r="B15" s="4">
        <v>237951</v>
      </c>
      <c r="C15" s="4" t="s">
        <v>344</v>
      </c>
      <c r="D15" s="9">
        <v>828</v>
      </c>
    </row>
    <row r="16" spans="1:4" x14ac:dyDescent="0.25">
      <c r="A16" s="4" t="s">
        <v>345</v>
      </c>
      <c r="B16" s="4">
        <v>231163</v>
      </c>
      <c r="C16" s="4" t="s">
        <v>346</v>
      </c>
      <c r="D16" s="9">
        <v>300</v>
      </c>
    </row>
    <row r="17" spans="1:4" x14ac:dyDescent="0.25">
      <c r="A17" s="4" t="s">
        <v>200</v>
      </c>
      <c r="B17" s="4">
        <v>234615</v>
      </c>
      <c r="C17" s="4" t="s">
        <v>325</v>
      </c>
      <c r="D17" s="9">
        <v>4425</v>
      </c>
    </row>
    <row r="18" spans="1:4" x14ac:dyDescent="0.25">
      <c r="A18" s="4" t="s">
        <v>200</v>
      </c>
      <c r="B18" s="4">
        <v>234611</v>
      </c>
      <c r="C18" s="4" t="s">
        <v>326</v>
      </c>
      <c r="D18" s="9">
        <v>1255</v>
      </c>
    </row>
    <row r="19" spans="1:4" x14ac:dyDescent="0.25">
      <c r="A19" s="4" t="s">
        <v>200</v>
      </c>
      <c r="B19" s="4">
        <v>234612</v>
      </c>
      <c r="C19" s="4" t="s">
        <v>327</v>
      </c>
      <c r="D19" s="9">
        <v>905</v>
      </c>
    </row>
    <row r="20" spans="1:4" x14ac:dyDescent="0.25">
      <c r="A20" s="4" t="s">
        <v>200</v>
      </c>
      <c r="B20" s="4">
        <v>234618</v>
      </c>
      <c r="C20" s="4" t="s">
        <v>328</v>
      </c>
      <c r="D20" s="9">
        <v>630</v>
      </c>
    </row>
    <row r="21" spans="1:4" x14ac:dyDescent="0.25">
      <c r="A21" s="4" t="s">
        <v>200</v>
      </c>
      <c r="B21" s="4">
        <v>234614</v>
      </c>
      <c r="C21" s="4" t="s">
        <v>329</v>
      </c>
      <c r="D21" s="9">
        <v>475</v>
      </c>
    </row>
    <row r="22" spans="1:4" x14ac:dyDescent="0.25">
      <c r="A22" s="4" t="s">
        <v>180</v>
      </c>
      <c r="B22" s="4">
        <v>234371</v>
      </c>
      <c r="C22" s="4" t="s">
        <v>347</v>
      </c>
      <c r="D22" s="9">
        <v>1535</v>
      </c>
    </row>
    <row r="23" spans="1:4" x14ac:dyDescent="0.25">
      <c r="A23" s="4" t="s">
        <v>34</v>
      </c>
      <c r="B23" s="4">
        <v>238045</v>
      </c>
      <c r="C23" s="4" t="s">
        <v>348</v>
      </c>
      <c r="D23" s="9">
        <v>299</v>
      </c>
    </row>
    <row r="24" spans="1:4" x14ac:dyDescent="0.25">
      <c r="A24" s="4" t="s">
        <v>315</v>
      </c>
      <c r="B24" s="4">
        <v>237220</v>
      </c>
      <c r="C24" s="4" t="s">
        <v>349</v>
      </c>
      <c r="D24" s="9">
        <v>2888</v>
      </c>
    </row>
    <row r="25" spans="1:4" x14ac:dyDescent="0.25">
      <c r="A25" s="4" t="s">
        <v>315</v>
      </c>
      <c r="B25" s="4">
        <v>237220</v>
      </c>
      <c r="C25" s="4" t="s">
        <v>350</v>
      </c>
      <c r="D25" s="9">
        <v>15516</v>
      </c>
    </row>
    <row r="26" spans="1:4" x14ac:dyDescent="0.25">
      <c r="A26" s="4" t="s">
        <v>48</v>
      </c>
      <c r="B26" s="4">
        <v>231859</v>
      </c>
      <c r="C26" s="4" t="s">
        <v>294</v>
      </c>
      <c r="D26" s="9">
        <v>540</v>
      </c>
    </row>
    <row r="27" spans="1:4" x14ac:dyDescent="0.25">
      <c r="A27" s="4" t="s">
        <v>334</v>
      </c>
      <c r="B27" s="4">
        <v>237684</v>
      </c>
      <c r="C27" s="4" t="s">
        <v>335</v>
      </c>
      <c r="D27" s="9">
        <v>170</v>
      </c>
    </row>
    <row r="28" spans="1:4" x14ac:dyDescent="0.25">
      <c r="A28" s="4" t="s">
        <v>206</v>
      </c>
      <c r="B28" s="4">
        <v>226365</v>
      </c>
      <c r="C28" s="4" t="s">
        <v>207</v>
      </c>
      <c r="D28" s="9">
        <v>3089</v>
      </c>
    </row>
    <row r="29" spans="1:4" x14ac:dyDescent="0.25">
      <c r="A29" s="4" t="s">
        <v>208</v>
      </c>
      <c r="B29" s="4">
        <v>191435</v>
      </c>
      <c r="C29" s="4" t="s">
        <v>209</v>
      </c>
      <c r="D29" s="9">
        <v>4590</v>
      </c>
    </row>
    <row r="30" spans="1:4" x14ac:dyDescent="0.25">
      <c r="A30" s="4" t="s">
        <v>234</v>
      </c>
      <c r="B30" s="4">
        <v>225577</v>
      </c>
      <c r="C30" s="4" t="s">
        <v>319</v>
      </c>
      <c r="D30" s="9">
        <v>102</v>
      </c>
    </row>
    <row r="31" spans="1:4" x14ac:dyDescent="0.25">
      <c r="A31" s="4" t="s">
        <v>38</v>
      </c>
      <c r="B31" s="4">
        <v>238040</v>
      </c>
      <c r="C31" s="4" t="s">
        <v>351</v>
      </c>
      <c r="D31" s="9">
        <v>4475</v>
      </c>
    </row>
    <row r="32" spans="1:4" x14ac:dyDescent="0.25">
      <c r="C32" s="31" t="s">
        <v>83</v>
      </c>
      <c r="D32" s="32">
        <f>SUM(D4:D31)</f>
        <v>86422</v>
      </c>
    </row>
  </sheetData>
  <pageMargins left="0.7" right="0.7" top="0.75" bottom="0.75" header="0.3" footer="0.3"/>
  <pageSetup paperSize="155" scale="143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9A36-57A2-47C0-A9B7-0B49246E6092}">
  <dimension ref="A3:D21"/>
  <sheetViews>
    <sheetView view="pageBreakPreview" zoomScale="85" zoomScaleNormal="100" zoomScaleSheetLayoutView="85" workbookViewId="0">
      <selection sqref="A1:XFD1"/>
    </sheetView>
  </sheetViews>
  <sheetFormatPr defaultRowHeight="15" x14ac:dyDescent="0.25"/>
  <cols>
    <col min="1" max="1" width="40.5703125" bestFit="1" customWidth="1"/>
    <col min="2" max="2" width="8.7109375" bestFit="1" customWidth="1"/>
    <col min="3" max="3" width="79" bestFit="1" customWidth="1"/>
    <col min="4" max="4" width="12.140625" style="3" customWidth="1"/>
  </cols>
  <sheetData>
    <row r="3" spans="1:4" ht="15" customHeight="1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ht="18" customHeight="1" x14ac:dyDescent="0.25">
      <c r="A4" s="4" t="s">
        <v>98</v>
      </c>
      <c r="B4" s="4">
        <v>234389</v>
      </c>
      <c r="C4" s="4" t="s">
        <v>281</v>
      </c>
      <c r="D4" s="9">
        <v>795</v>
      </c>
    </row>
    <row r="5" spans="1:4" ht="18" customHeight="1" x14ac:dyDescent="0.25">
      <c r="A5" s="4" t="s">
        <v>320</v>
      </c>
      <c r="B5" s="4">
        <v>234275</v>
      </c>
      <c r="C5" s="4" t="s">
        <v>321</v>
      </c>
      <c r="D5" s="9">
        <v>18975</v>
      </c>
    </row>
    <row r="6" spans="1:4" ht="18" customHeight="1" x14ac:dyDescent="0.25">
      <c r="A6" s="4" t="s">
        <v>108</v>
      </c>
      <c r="B6" s="4">
        <v>235015</v>
      </c>
      <c r="C6" s="4" t="s">
        <v>287</v>
      </c>
      <c r="D6" s="9">
        <v>1320</v>
      </c>
    </row>
    <row r="7" spans="1:4" ht="18" customHeight="1" x14ac:dyDescent="0.25">
      <c r="A7" s="4" t="s">
        <v>108</v>
      </c>
      <c r="B7" s="4">
        <v>232454</v>
      </c>
      <c r="C7" s="4" t="s">
        <v>217</v>
      </c>
      <c r="D7" s="9">
        <v>1</v>
      </c>
    </row>
    <row r="8" spans="1:4" ht="18" customHeight="1" x14ac:dyDescent="0.25">
      <c r="A8" s="4" t="s">
        <v>111</v>
      </c>
      <c r="B8" s="4">
        <v>237950</v>
      </c>
      <c r="C8" s="4" t="s">
        <v>343</v>
      </c>
      <c r="D8" s="9">
        <v>1214</v>
      </c>
    </row>
    <row r="9" spans="1:4" ht="18" customHeight="1" x14ac:dyDescent="0.25">
      <c r="A9" s="4" t="s">
        <v>111</v>
      </c>
      <c r="B9" s="4">
        <v>237951</v>
      </c>
      <c r="C9" s="4" t="s">
        <v>344</v>
      </c>
      <c r="D9" s="9">
        <v>828</v>
      </c>
    </row>
    <row r="10" spans="1:4" ht="18" customHeight="1" x14ac:dyDescent="0.25">
      <c r="A10" s="4" t="s">
        <v>177</v>
      </c>
      <c r="B10" s="4">
        <v>234232</v>
      </c>
      <c r="C10" s="4" t="s">
        <v>352</v>
      </c>
      <c r="D10" s="9">
        <v>2100</v>
      </c>
    </row>
    <row r="11" spans="1:4" ht="18" customHeight="1" x14ac:dyDescent="0.25">
      <c r="A11" s="4" t="s">
        <v>177</v>
      </c>
      <c r="B11" s="4">
        <v>238375</v>
      </c>
      <c r="C11" s="4" t="s">
        <v>353</v>
      </c>
      <c r="D11" s="9">
        <v>690</v>
      </c>
    </row>
    <row r="12" spans="1:4" ht="18" customHeight="1" x14ac:dyDescent="0.25">
      <c r="A12" s="4" t="s">
        <v>26</v>
      </c>
      <c r="B12" s="4">
        <v>237969</v>
      </c>
      <c r="C12" s="4" t="s">
        <v>354</v>
      </c>
      <c r="D12" s="9">
        <v>4590</v>
      </c>
    </row>
    <row r="13" spans="1:4" ht="18" customHeight="1" x14ac:dyDescent="0.25">
      <c r="A13" s="4" t="s">
        <v>26</v>
      </c>
      <c r="B13" s="4">
        <v>237391</v>
      </c>
      <c r="C13" s="4" t="s">
        <v>310</v>
      </c>
      <c r="D13" s="9">
        <v>3495</v>
      </c>
    </row>
    <row r="14" spans="1:4" ht="18" customHeight="1" x14ac:dyDescent="0.25">
      <c r="A14" s="4" t="s">
        <v>180</v>
      </c>
      <c r="B14" s="4">
        <v>234371</v>
      </c>
      <c r="C14" s="4" t="s">
        <v>347</v>
      </c>
      <c r="D14" s="9">
        <v>1535</v>
      </c>
    </row>
    <row r="15" spans="1:4" ht="18" customHeight="1" x14ac:dyDescent="0.25">
      <c r="A15" s="4" t="s">
        <v>34</v>
      </c>
      <c r="B15" s="4">
        <v>238045</v>
      </c>
      <c r="C15" s="4" t="s">
        <v>348</v>
      </c>
      <c r="D15" s="9">
        <v>299</v>
      </c>
    </row>
    <row r="16" spans="1:4" ht="18" customHeight="1" x14ac:dyDescent="0.25">
      <c r="A16" s="4" t="s">
        <v>48</v>
      </c>
      <c r="B16" s="4">
        <v>231859</v>
      </c>
      <c r="C16" s="4" t="s">
        <v>294</v>
      </c>
      <c r="D16" s="9">
        <v>540</v>
      </c>
    </row>
    <row r="17" spans="1:4" ht="18" customHeight="1" x14ac:dyDescent="0.25">
      <c r="A17" s="4" t="s">
        <v>48</v>
      </c>
      <c r="B17" s="4">
        <v>238168</v>
      </c>
      <c r="C17" s="4" t="s">
        <v>355</v>
      </c>
      <c r="D17" s="9">
        <v>131784</v>
      </c>
    </row>
    <row r="18" spans="1:4" ht="18" customHeight="1" x14ac:dyDescent="0.25">
      <c r="A18" s="4" t="s">
        <v>206</v>
      </c>
      <c r="B18" s="4">
        <v>226365</v>
      </c>
      <c r="C18" s="4" t="s">
        <v>207</v>
      </c>
      <c r="D18" s="9">
        <v>3089</v>
      </c>
    </row>
    <row r="19" spans="1:4" ht="18" customHeight="1" x14ac:dyDescent="0.25">
      <c r="A19" s="4" t="s">
        <v>208</v>
      </c>
      <c r="B19" s="4">
        <v>191435</v>
      </c>
      <c r="C19" s="4" t="s">
        <v>209</v>
      </c>
      <c r="D19" s="9">
        <v>4590</v>
      </c>
    </row>
    <row r="20" spans="1:4" ht="18" customHeight="1" x14ac:dyDescent="0.25">
      <c r="A20" s="4" t="s">
        <v>234</v>
      </c>
      <c r="B20" s="4">
        <v>225577</v>
      </c>
      <c r="C20" s="4" t="s">
        <v>319</v>
      </c>
      <c r="D20" s="9">
        <v>102</v>
      </c>
    </row>
    <row r="21" spans="1:4" ht="18" customHeight="1" x14ac:dyDescent="0.25">
      <c r="C21" s="11" t="s">
        <v>243</v>
      </c>
      <c r="D21" s="3">
        <f>SUM(D4:D20)</f>
        <v>175947</v>
      </c>
    </row>
  </sheetData>
  <pageMargins left="0.7" right="0.7" top="0.75" bottom="0.75" header="0.3" footer="0.3"/>
  <pageSetup paperSize="155" scale="143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2ED4-7054-4D02-8A82-55C697CFC8A5}">
  <dimension ref="A3:D36"/>
  <sheetViews>
    <sheetView view="pageBreakPreview" zoomScale="85" zoomScaleNormal="100" zoomScaleSheetLayoutView="85" workbookViewId="0">
      <selection activeCell="F38" sqref="F38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67.28515625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244</v>
      </c>
      <c r="B4" s="4">
        <v>238699</v>
      </c>
      <c r="C4" s="4" t="s">
        <v>356</v>
      </c>
      <c r="D4" s="9">
        <v>3700</v>
      </c>
    </row>
    <row r="5" spans="1:4" x14ac:dyDescent="0.25">
      <c r="A5" s="4" t="s">
        <v>125</v>
      </c>
      <c r="B5" s="4">
        <v>235292</v>
      </c>
      <c r="C5" s="4" t="s">
        <v>357</v>
      </c>
      <c r="D5" s="9">
        <v>3535</v>
      </c>
    </row>
    <row r="6" spans="1:4" x14ac:dyDescent="0.25">
      <c r="A6" s="4" t="s">
        <v>125</v>
      </c>
      <c r="B6" s="4">
        <v>235309</v>
      </c>
      <c r="C6" s="4" t="s">
        <v>358</v>
      </c>
      <c r="D6" s="9">
        <v>7360</v>
      </c>
    </row>
    <row r="7" spans="1:4" x14ac:dyDescent="0.25">
      <c r="A7" s="4" t="s">
        <v>125</v>
      </c>
      <c r="B7" s="4">
        <v>235149</v>
      </c>
      <c r="C7" s="4" t="s">
        <v>359</v>
      </c>
      <c r="D7" s="9">
        <v>3545</v>
      </c>
    </row>
    <row r="8" spans="1:4" x14ac:dyDescent="0.25">
      <c r="A8" s="4" t="s">
        <v>125</v>
      </c>
      <c r="B8" s="4">
        <v>235223</v>
      </c>
      <c r="C8" s="4" t="s">
        <v>360</v>
      </c>
      <c r="D8" s="9">
        <v>6415</v>
      </c>
    </row>
    <row r="9" spans="1:4" x14ac:dyDescent="0.25">
      <c r="A9" s="4" t="s">
        <v>125</v>
      </c>
      <c r="B9" s="4">
        <v>238677</v>
      </c>
      <c r="C9" s="4" t="s">
        <v>361</v>
      </c>
      <c r="D9" s="9">
        <v>695</v>
      </c>
    </row>
    <row r="10" spans="1:4" x14ac:dyDescent="0.25">
      <c r="A10" s="4" t="s">
        <v>125</v>
      </c>
      <c r="B10" s="4">
        <v>235393</v>
      </c>
      <c r="C10" s="4" t="s">
        <v>362</v>
      </c>
      <c r="D10" s="9">
        <v>1850</v>
      </c>
    </row>
    <row r="11" spans="1:4" x14ac:dyDescent="0.25">
      <c r="A11" s="4" t="s">
        <v>125</v>
      </c>
      <c r="B11" s="4">
        <v>235290</v>
      </c>
      <c r="C11" s="4" t="s">
        <v>363</v>
      </c>
      <c r="D11" s="9">
        <v>345</v>
      </c>
    </row>
    <row r="12" spans="1:4" x14ac:dyDescent="0.25">
      <c r="A12" s="4" t="s">
        <v>320</v>
      </c>
      <c r="B12" s="4">
        <v>239121</v>
      </c>
      <c r="C12" s="4" t="s">
        <v>365</v>
      </c>
      <c r="D12" s="9">
        <v>2600</v>
      </c>
    </row>
    <row r="13" spans="1:4" x14ac:dyDescent="0.25">
      <c r="A13" s="4" t="s">
        <v>320</v>
      </c>
      <c r="B13" s="4">
        <v>234275</v>
      </c>
      <c r="C13" s="4" t="s">
        <v>321</v>
      </c>
      <c r="D13" s="9">
        <v>18975</v>
      </c>
    </row>
    <row r="14" spans="1:4" x14ac:dyDescent="0.25">
      <c r="A14" s="4" t="s">
        <v>108</v>
      </c>
      <c r="B14" s="4">
        <v>235015</v>
      </c>
      <c r="C14" s="4" t="s">
        <v>287</v>
      </c>
      <c r="D14" s="9">
        <v>1320</v>
      </c>
    </row>
    <row r="15" spans="1:4" x14ac:dyDescent="0.25">
      <c r="A15" s="4" t="s">
        <v>108</v>
      </c>
      <c r="B15" s="4">
        <v>232454</v>
      </c>
      <c r="C15" s="4" t="s">
        <v>217</v>
      </c>
      <c r="D15" s="9">
        <v>1</v>
      </c>
    </row>
    <row r="16" spans="1:4" x14ac:dyDescent="0.25">
      <c r="A16" s="4" t="s">
        <v>336</v>
      </c>
      <c r="B16" s="4">
        <v>238669</v>
      </c>
      <c r="C16" s="4" t="s">
        <v>364</v>
      </c>
      <c r="D16" s="9">
        <v>928</v>
      </c>
    </row>
    <row r="17" spans="1:4" x14ac:dyDescent="0.25">
      <c r="A17" s="4" t="s">
        <v>24</v>
      </c>
      <c r="B17" s="4">
        <v>238961</v>
      </c>
      <c r="C17" s="4" t="s">
        <v>366</v>
      </c>
      <c r="D17" s="9">
        <v>2646</v>
      </c>
    </row>
    <row r="18" spans="1:4" x14ac:dyDescent="0.25">
      <c r="A18" s="4" t="s">
        <v>111</v>
      </c>
      <c r="B18" s="4">
        <v>239078</v>
      </c>
      <c r="C18" s="4" t="s">
        <v>367</v>
      </c>
      <c r="D18" s="9">
        <v>2454</v>
      </c>
    </row>
    <row r="19" spans="1:4" x14ac:dyDescent="0.25">
      <c r="A19" s="4" t="s">
        <v>111</v>
      </c>
      <c r="B19" s="4">
        <v>237950</v>
      </c>
      <c r="C19" s="4" t="s">
        <v>343</v>
      </c>
      <c r="D19" s="9">
        <v>1214</v>
      </c>
    </row>
    <row r="20" spans="1:4" x14ac:dyDescent="0.25">
      <c r="A20" s="4" t="s">
        <v>111</v>
      </c>
      <c r="B20" s="4">
        <v>237951</v>
      </c>
      <c r="C20" s="4" t="s">
        <v>344</v>
      </c>
      <c r="D20" s="9">
        <v>828</v>
      </c>
    </row>
    <row r="21" spans="1:4" x14ac:dyDescent="0.25">
      <c r="A21" s="4" t="s">
        <v>81</v>
      </c>
      <c r="B21" s="4">
        <v>239047</v>
      </c>
      <c r="C21" s="4" t="s">
        <v>368</v>
      </c>
      <c r="D21" s="9">
        <v>128</v>
      </c>
    </row>
    <row r="22" spans="1:4" x14ac:dyDescent="0.25">
      <c r="A22" s="4" t="s">
        <v>369</v>
      </c>
      <c r="B22" s="4">
        <v>237774</v>
      </c>
      <c r="C22" s="4" t="s">
        <v>370</v>
      </c>
      <c r="D22" s="9">
        <v>14255</v>
      </c>
    </row>
    <row r="23" spans="1:4" x14ac:dyDescent="0.25">
      <c r="A23" s="4" t="s">
        <v>371</v>
      </c>
      <c r="B23" s="4">
        <v>237633</v>
      </c>
      <c r="C23" s="4" t="s">
        <v>372</v>
      </c>
      <c r="D23" s="9">
        <v>1740</v>
      </c>
    </row>
    <row r="24" spans="1:4" x14ac:dyDescent="0.25">
      <c r="A24" s="4" t="s">
        <v>371</v>
      </c>
      <c r="B24" s="4">
        <v>237636</v>
      </c>
      <c r="C24" s="4" t="s">
        <v>373</v>
      </c>
      <c r="D24" s="9">
        <v>1920</v>
      </c>
    </row>
    <row r="25" spans="1:4" x14ac:dyDescent="0.25">
      <c r="A25" s="4" t="s">
        <v>371</v>
      </c>
      <c r="B25" s="4">
        <v>237639</v>
      </c>
      <c r="C25" s="4" t="s">
        <v>374</v>
      </c>
      <c r="D25" s="9">
        <v>800</v>
      </c>
    </row>
    <row r="26" spans="1:4" x14ac:dyDescent="0.25">
      <c r="A26" s="4" t="s">
        <v>371</v>
      </c>
      <c r="B26" s="4">
        <v>237651</v>
      </c>
      <c r="C26" s="4" t="s">
        <v>375</v>
      </c>
      <c r="D26" s="9">
        <v>640</v>
      </c>
    </row>
    <row r="27" spans="1:4" x14ac:dyDescent="0.25">
      <c r="A27" s="4" t="s">
        <v>371</v>
      </c>
      <c r="B27" s="4">
        <v>237658</v>
      </c>
      <c r="C27" s="4" t="s">
        <v>376</v>
      </c>
      <c r="D27" s="9">
        <v>960</v>
      </c>
    </row>
    <row r="28" spans="1:4" x14ac:dyDescent="0.25">
      <c r="A28" s="4" t="s">
        <v>371</v>
      </c>
      <c r="B28" s="4">
        <v>237659</v>
      </c>
      <c r="C28" s="4" t="s">
        <v>377</v>
      </c>
      <c r="D28" s="9">
        <v>1920</v>
      </c>
    </row>
    <row r="29" spans="1:4" x14ac:dyDescent="0.25">
      <c r="A29" s="4" t="s">
        <v>371</v>
      </c>
      <c r="B29" s="4">
        <v>239243</v>
      </c>
      <c r="C29" s="4" t="s">
        <v>378</v>
      </c>
      <c r="D29" s="9">
        <v>1120</v>
      </c>
    </row>
    <row r="30" spans="1:4" x14ac:dyDescent="0.25">
      <c r="A30" s="4" t="s">
        <v>34</v>
      </c>
      <c r="B30" s="4">
        <v>238045</v>
      </c>
      <c r="C30" s="4" t="s">
        <v>348</v>
      </c>
      <c r="D30" s="9">
        <v>299</v>
      </c>
    </row>
    <row r="31" spans="1:4" x14ac:dyDescent="0.25">
      <c r="A31" s="4" t="s">
        <v>48</v>
      </c>
      <c r="B31" s="4">
        <v>231859</v>
      </c>
      <c r="C31" s="4" t="s">
        <v>294</v>
      </c>
      <c r="D31" s="9">
        <v>540</v>
      </c>
    </row>
    <row r="32" spans="1:4" x14ac:dyDescent="0.25">
      <c r="A32" s="4" t="s">
        <v>206</v>
      </c>
      <c r="B32" s="4">
        <v>226365</v>
      </c>
      <c r="C32" s="4" t="s">
        <v>207</v>
      </c>
      <c r="D32" s="9">
        <v>3089</v>
      </c>
    </row>
    <row r="33" spans="1:4" x14ac:dyDescent="0.25">
      <c r="A33" s="4" t="s">
        <v>234</v>
      </c>
      <c r="B33" s="4">
        <v>225577</v>
      </c>
      <c r="C33" s="4" t="s">
        <v>319</v>
      </c>
      <c r="D33" s="9">
        <v>102</v>
      </c>
    </row>
    <row r="34" spans="1:4" x14ac:dyDescent="0.25">
      <c r="A34" s="4" t="s">
        <v>177</v>
      </c>
      <c r="B34" s="4">
        <v>234232</v>
      </c>
      <c r="C34" s="4" t="s">
        <v>352</v>
      </c>
      <c r="D34" s="9">
        <v>2100</v>
      </c>
    </row>
    <row r="35" spans="1:4" x14ac:dyDescent="0.25">
      <c r="A35" s="4" t="s">
        <v>177</v>
      </c>
      <c r="B35" s="4">
        <v>238375</v>
      </c>
      <c r="C35" s="4" t="s">
        <v>353</v>
      </c>
      <c r="D35" s="9">
        <v>690</v>
      </c>
    </row>
    <row r="36" spans="1:4" x14ac:dyDescent="0.25">
      <c r="C36" s="28" t="s">
        <v>83</v>
      </c>
      <c r="D36" s="30">
        <f>SUM(D4:D35)</f>
        <v>88714</v>
      </c>
    </row>
  </sheetData>
  <pageMargins left="0.7" right="0.7" top="0.75" bottom="0.75" header="0.3" footer="0.3"/>
  <pageSetup scale="91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A943-3013-4777-98FE-FD42576EE228}">
  <dimension ref="A3:D54"/>
  <sheetViews>
    <sheetView view="pageBreakPreview" zoomScale="85" zoomScaleNormal="100" zoomScaleSheetLayoutView="85" workbookViewId="0">
      <selection activeCell="K23" sqref="K2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67.28515625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7</v>
      </c>
      <c r="B4" s="4">
        <v>239340</v>
      </c>
      <c r="C4" s="4" t="s">
        <v>379</v>
      </c>
      <c r="D4" s="9">
        <v>8545</v>
      </c>
    </row>
    <row r="5" spans="1:4" x14ac:dyDescent="0.25">
      <c r="A5" s="4" t="s">
        <v>244</v>
      </c>
      <c r="B5" s="4">
        <v>238699</v>
      </c>
      <c r="C5" s="4" t="s">
        <v>356</v>
      </c>
      <c r="D5" s="9">
        <v>3700</v>
      </c>
    </row>
    <row r="6" spans="1:4" x14ac:dyDescent="0.25">
      <c r="A6" s="4" t="s">
        <v>192</v>
      </c>
      <c r="B6" s="4">
        <v>239606</v>
      </c>
      <c r="C6" s="4" t="s">
        <v>380</v>
      </c>
      <c r="D6" s="9">
        <v>155224</v>
      </c>
    </row>
    <row r="7" spans="1:4" x14ac:dyDescent="0.25">
      <c r="A7" s="4" t="s">
        <v>320</v>
      </c>
      <c r="B7" s="4">
        <v>239121</v>
      </c>
      <c r="C7" s="4" t="s">
        <v>365</v>
      </c>
      <c r="D7" s="9">
        <v>2600</v>
      </c>
    </row>
    <row r="8" spans="1:4" x14ac:dyDescent="0.25">
      <c r="A8" s="4" t="s">
        <v>320</v>
      </c>
      <c r="B8" s="4">
        <v>234275</v>
      </c>
      <c r="C8" s="4" t="s">
        <v>321</v>
      </c>
      <c r="D8" s="9">
        <v>18975</v>
      </c>
    </row>
    <row r="9" spans="1:4" x14ac:dyDescent="0.25">
      <c r="A9" s="4" t="s">
        <v>108</v>
      </c>
      <c r="B9" s="4">
        <v>235015</v>
      </c>
      <c r="C9" s="4" t="s">
        <v>287</v>
      </c>
      <c r="D9" s="9">
        <v>1320</v>
      </c>
    </row>
    <row r="10" spans="1:4" x14ac:dyDescent="0.25">
      <c r="A10" s="4" t="s">
        <v>108</v>
      </c>
      <c r="B10" s="4">
        <v>232454</v>
      </c>
      <c r="C10" s="4" t="s">
        <v>217</v>
      </c>
      <c r="D10" s="9">
        <v>1</v>
      </c>
    </row>
    <row r="11" spans="1:4" x14ac:dyDescent="0.25">
      <c r="A11" s="4" t="s">
        <v>336</v>
      </c>
      <c r="B11" s="4">
        <v>238669</v>
      </c>
      <c r="C11" s="4" t="s">
        <v>364</v>
      </c>
      <c r="D11" s="9">
        <v>928</v>
      </c>
    </row>
    <row r="12" spans="1:4" x14ac:dyDescent="0.25">
      <c r="A12" s="4" t="s">
        <v>24</v>
      </c>
      <c r="B12" s="4">
        <v>238961</v>
      </c>
      <c r="C12" s="4" t="s">
        <v>366</v>
      </c>
      <c r="D12" s="9">
        <v>2646</v>
      </c>
    </row>
    <row r="13" spans="1:4" x14ac:dyDescent="0.25">
      <c r="A13" s="4" t="s">
        <v>111</v>
      </c>
      <c r="B13" s="4">
        <v>239078</v>
      </c>
      <c r="C13" s="4" t="s">
        <v>367</v>
      </c>
      <c r="D13" s="9">
        <v>2454</v>
      </c>
    </row>
    <row r="14" spans="1:4" x14ac:dyDescent="0.25">
      <c r="A14" s="4" t="s">
        <v>111</v>
      </c>
      <c r="B14" s="4">
        <v>237950</v>
      </c>
      <c r="C14" s="4" t="s">
        <v>343</v>
      </c>
      <c r="D14" s="9">
        <v>1214</v>
      </c>
    </row>
    <row r="15" spans="1:4" x14ac:dyDescent="0.25">
      <c r="A15" s="4" t="s">
        <v>111</v>
      </c>
      <c r="B15" s="4">
        <v>237951</v>
      </c>
      <c r="C15" s="4" t="s">
        <v>344</v>
      </c>
      <c r="D15" s="9">
        <v>828</v>
      </c>
    </row>
    <row r="16" spans="1:4" x14ac:dyDescent="0.25">
      <c r="A16" s="4" t="s">
        <v>81</v>
      </c>
      <c r="B16" s="4">
        <v>239047</v>
      </c>
      <c r="C16" s="4" t="s">
        <v>368</v>
      </c>
      <c r="D16" s="9">
        <v>128</v>
      </c>
    </row>
    <row r="17" spans="1:4" x14ac:dyDescent="0.25">
      <c r="A17" s="4" t="s">
        <v>200</v>
      </c>
      <c r="B17" s="4">
        <v>239364</v>
      </c>
      <c r="C17" s="4" t="s">
        <v>381</v>
      </c>
      <c r="D17" s="9">
        <v>5830</v>
      </c>
    </row>
    <row r="18" spans="1:4" x14ac:dyDescent="0.25">
      <c r="A18" s="4" t="s">
        <v>200</v>
      </c>
      <c r="B18" s="4">
        <v>239375</v>
      </c>
      <c r="C18" s="4" t="s">
        <v>382</v>
      </c>
      <c r="D18" s="9">
        <v>1205</v>
      </c>
    </row>
    <row r="19" spans="1:4" x14ac:dyDescent="0.25">
      <c r="A19" s="4" t="s">
        <v>200</v>
      </c>
      <c r="B19" s="4">
        <v>239376</v>
      </c>
      <c r="C19" s="4" t="s">
        <v>383</v>
      </c>
      <c r="D19" s="9">
        <v>1600</v>
      </c>
    </row>
    <row r="20" spans="1:4" x14ac:dyDescent="0.25">
      <c r="A20" s="4" t="s">
        <v>200</v>
      </c>
      <c r="B20" s="4">
        <v>239373</v>
      </c>
      <c r="C20" s="4" t="s">
        <v>384</v>
      </c>
      <c r="D20" s="9">
        <v>300</v>
      </c>
    </row>
    <row r="21" spans="1:4" x14ac:dyDescent="0.25">
      <c r="A21" s="4" t="s">
        <v>200</v>
      </c>
      <c r="B21" s="4">
        <v>239374</v>
      </c>
      <c r="C21" s="4" t="s">
        <v>385</v>
      </c>
      <c r="D21" s="9">
        <v>2490</v>
      </c>
    </row>
    <row r="22" spans="1:4" x14ac:dyDescent="0.25">
      <c r="A22" s="4" t="s">
        <v>200</v>
      </c>
      <c r="B22" s="4">
        <v>239365</v>
      </c>
      <c r="C22" s="4" t="s">
        <v>386</v>
      </c>
      <c r="D22" s="9">
        <v>2000</v>
      </c>
    </row>
    <row r="23" spans="1:4" x14ac:dyDescent="0.25">
      <c r="A23" s="4" t="s">
        <v>200</v>
      </c>
      <c r="B23" s="4">
        <v>239366</v>
      </c>
      <c r="C23" s="4" t="s">
        <v>387</v>
      </c>
      <c r="D23" s="9">
        <v>250</v>
      </c>
    </row>
    <row r="24" spans="1:4" x14ac:dyDescent="0.25">
      <c r="A24" s="4" t="s">
        <v>200</v>
      </c>
      <c r="B24" s="4">
        <v>239367</v>
      </c>
      <c r="C24" s="4" t="s">
        <v>388</v>
      </c>
      <c r="D24" s="9">
        <v>400</v>
      </c>
    </row>
    <row r="25" spans="1:4" x14ac:dyDescent="0.25">
      <c r="A25" s="4" t="s">
        <v>200</v>
      </c>
      <c r="B25" s="4">
        <v>239372</v>
      </c>
      <c r="C25" s="4" t="s">
        <v>389</v>
      </c>
      <c r="D25" s="9">
        <v>665</v>
      </c>
    </row>
    <row r="26" spans="1:4" x14ac:dyDescent="0.25">
      <c r="A26" s="4" t="s">
        <v>200</v>
      </c>
      <c r="B26" s="4">
        <v>239368</v>
      </c>
      <c r="C26" s="4" t="s">
        <v>390</v>
      </c>
      <c r="D26" s="9">
        <v>1750</v>
      </c>
    </row>
    <row r="27" spans="1:4" x14ac:dyDescent="0.25">
      <c r="A27" s="4" t="s">
        <v>200</v>
      </c>
      <c r="B27" s="4">
        <v>239371</v>
      </c>
      <c r="C27" s="4" t="s">
        <v>391</v>
      </c>
      <c r="D27" s="9">
        <v>2350</v>
      </c>
    </row>
    <row r="28" spans="1:4" x14ac:dyDescent="0.25">
      <c r="A28" s="4" t="s">
        <v>200</v>
      </c>
      <c r="B28" s="4">
        <v>239369</v>
      </c>
      <c r="C28" s="4" t="s">
        <v>392</v>
      </c>
      <c r="D28" s="9">
        <v>450</v>
      </c>
    </row>
    <row r="29" spans="1:4" x14ac:dyDescent="0.25">
      <c r="A29" s="4" t="s">
        <v>200</v>
      </c>
      <c r="B29" s="4">
        <v>239370</v>
      </c>
      <c r="C29" s="4" t="s">
        <v>393</v>
      </c>
      <c r="D29" s="9">
        <v>225</v>
      </c>
    </row>
    <row r="30" spans="1:4" x14ac:dyDescent="0.25">
      <c r="A30" s="4" t="s">
        <v>369</v>
      </c>
      <c r="B30" s="4">
        <v>237774</v>
      </c>
      <c r="C30" s="4" t="s">
        <v>370</v>
      </c>
      <c r="D30" s="9">
        <v>14255</v>
      </c>
    </row>
    <row r="31" spans="1:4" x14ac:dyDescent="0.25">
      <c r="A31" s="4" t="s">
        <v>394</v>
      </c>
      <c r="B31" s="4">
        <v>239209</v>
      </c>
      <c r="C31" s="4" t="s">
        <v>395</v>
      </c>
      <c r="D31" s="9">
        <v>7878</v>
      </c>
    </row>
    <row r="32" spans="1:4" x14ac:dyDescent="0.25">
      <c r="A32" s="4" t="s">
        <v>394</v>
      </c>
      <c r="B32" s="4">
        <v>239384</v>
      </c>
      <c r="C32" s="4" t="s">
        <v>396</v>
      </c>
      <c r="D32" s="9">
        <v>5883</v>
      </c>
    </row>
    <row r="33" spans="1:4" x14ac:dyDescent="0.25">
      <c r="A33" s="4" t="s">
        <v>371</v>
      </c>
      <c r="B33" s="4">
        <v>237633</v>
      </c>
      <c r="C33" s="4" t="s">
        <v>372</v>
      </c>
      <c r="D33" s="9">
        <v>1740</v>
      </c>
    </row>
    <row r="34" spans="1:4" x14ac:dyDescent="0.25">
      <c r="A34" s="4" t="s">
        <v>371</v>
      </c>
      <c r="B34" s="4">
        <v>237636</v>
      </c>
      <c r="C34" s="4" t="s">
        <v>373</v>
      </c>
      <c r="D34" s="9">
        <v>1920</v>
      </c>
    </row>
    <row r="35" spans="1:4" x14ac:dyDescent="0.25">
      <c r="A35" s="4" t="s">
        <v>371</v>
      </c>
      <c r="B35" s="4">
        <v>237639</v>
      </c>
      <c r="C35" s="4" t="s">
        <v>374</v>
      </c>
      <c r="D35" s="9">
        <v>800</v>
      </c>
    </row>
    <row r="36" spans="1:4" x14ac:dyDescent="0.25">
      <c r="A36" s="4" t="s">
        <v>371</v>
      </c>
      <c r="B36" s="4">
        <v>237651</v>
      </c>
      <c r="C36" s="4" t="s">
        <v>375</v>
      </c>
      <c r="D36" s="9">
        <v>640</v>
      </c>
    </row>
    <row r="37" spans="1:4" x14ac:dyDescent="0.25">
      <c r="A37" s="4" t="s">
        <v>371</v>
      </c>
      <c r="B37" s="4">
        <v>237658</v>
      </c>
      <c r="C37" s="4" t="s">
        <v>376</v>
      </c>
      <c r="D37" s="9">
        <v>960</v>
      </c>
    </row>
    <row r="38" spans="1:4" x14ac:dyDescent="0.25">
      <c r="A38" s="4" t="s">
        <v>371</v>
      </c>
      <c r="B38" s="4">
        <v>237659</v>
      </c>
      <c r="C38" s="4" t="s">
        <v>377</v>
      </c>
      <c r="D38" s="9">
        <v>1920</v>
      </c>
    </row>
    <row r="39" spans="1:4" x14ac:dyDescent="0.25">
      <c r="A39" s="4" t="s">
        <v>371</v>
      </c>
      <c r="B39" s="4">
        <v>239243</v>
      </c>
      <c r="C39" s="4" t="s">
        <v>378</v>
      </c>
      <c r="D39" s="9">
        <v>1120</v>
      </c>
    </row>
    <row r="40" spans="1:4" x14ac:dyDescent="0.25">
      <c r="A40" s="4" t="s">
        <v>180</v>
      </c>
      <c r="B40" s="4">
        <v>239188</v>
      </c>
      <c r="C40" s="4" t="s">
        <v>397</v>
      </c>
      <c r="D40" s="9">
        <v>4285</v>
      </c>
    </row>
    <row r="41" spans="1:4" x14ac:dyDescent="0.25">
      <c r="A41" s="4" t="s">
        <v>34</v>
      </c>
      <c r="B41" s="4">
        <v>238045</v>
      </c>
      <c r="C41" s="4" t="s">
        <v>348</v>
      </c>
      <c r="D41" s="9">
        <v>299</v>
      </c>
    </row>
    <row r="42" spans="1:4" x14ac:dyDescent="0.25">
      <c r="A42" s="4" t="s">
        <v>315</v>
      </c>
      <c r="B42" s="4">
        <v>239309</v>
      </c>
      <c r="C42" s="4" t="s">
        <v>398</v>
      </c>
      <c r="D42" s="9">
        <v>9843</v>
      </c>
    </row>
    <row r="43" spans="1:4" x14ac:dyDescent="0.25">
      <c r="A43" s="4" t="s">
        <v>38</v>
      </c>
      <c r="B43" s="4">
        <v>239363</v>
      </c>
      <c r="C43" s="4" t="s">
        <v>399</v>
      </c>
      <c r="D43" s="9">
        <v>8934</v>
      </c>
    </row>
    <row r="44" spans="1:4" x14ac:dyDescent="0.25">
      <c r="A44" s="4" t="s">
        <v>400</v>
      </c>
      <c r="B44" s="4">
        <v>238880</v>
      </c>
      <c r="C44" s="4" t="s">
        <v>401</v>
      </c>
      <c r="D44" s="9">
        <v>9455</v>
      </c>
    </row>
    <row r="45" spans="1:4" x14ac:dyDescent="0.25">
      <c r="A45" s="4" t="s">
        <v>48</v>
      </c>
      <c r="B45" s="4">
        <v>231859</v>
      </c>
      <c r="C45" s="4" t="s">
        <v>294</v>
      </c>
      <c r="D45" s="9">
        <v>540</v>
      </c>
    </row>
    <row r="46" spans="1:4" x14ac:dyDescent="0.25">
      <c r="A46" s="4" t="s">
        <v>48</v>
      </c>
      <c r="B46" s="4">
        <v>239147</v>
      </c>
      <c r="C46" s="4" t="s">
        <v>402</v>
      </c>
      <c r="D46" s="9">
        <v>28155</v>
      </c>
    </row>
    <row r="47" spans="1:4" x14ac:dyDescent="0.25">
      <c r="A47" s="4" t="s">
        <v>48</v>
      </c>
      <c r="B47" s="4">
        <v>238971</v>
      </c>
      <c r="C47" s="4" t="s">
        <v>403</v>
      </c>
      <c r="D47" s="9">
        <v>24670</v>
      </c>
    </row>
    <row r="48" spans="1:4" x14ac:dyDescent="0.25">
      <c r="A48" s="4" t="s">
        <v>48</v>
      </c>
      <c r="B48" s="4">
        <v>238971</v>
      </c>
      <c r="C48" s="4" t="s">
        <v>404</v>
      </c>
      <c r="D48" s="9">
        <v>2595</v>
      </c>
    </row>
    <row r="49" spans="1:4" x14ac:dyDescent="0.25">
      <c r="A49" s="4" t="s">
        <v>48</v>
      </c>
      <c r="B49" s="4">
        <v>238521</v>
      </c>
      <c r="C49" s="4" t="s">
        <v>405</v>
      </c>
      <c r="D49" s="9">
        <v>1590</v>
      </c>
    </row>
    <row r="50" spans="1:4" x14ac:dyDescent="0.25">
      <c r="A50" s="4" t="s">
        <v>48</v>
      </c>
      <c r="B50" s="4">
        <v>239404</v>
      </c>
      <c r="C50" s="4" t="s">
        <v>406</v>
      </c>
      <c r="D50" s="9">
        <v>3420</v>
      </c>
    </row>
    <row r="51" spans="1:4" x14ac:dyDescent="0.25">
      <c r="A51" s="4" t="s">
        <v>206</v>
      </c>
      <c r="B51" s="4">
        <v>226365</v>
      </c>
      <c r="C51" s="4" t="s">
        <v>207</v>
      </c>
      <c r="D51" s="9">
        <v>3089</v>
      </c>
    </row>
    <row r="52" spans="1:4" x14ac:dyDescent="0.25">
      <c r="A52" s="4" t="s">
        <v>208</v>
      </c>
      <c r="B52" s="4">
        <v>191435</v>
      </c>
      <c r="C52" s="4" t="s">
        <v>209</v>
      </c>
      <c r="D52" s="9">
        <v>4590</v>
      </c>
    </row>
    <row r="53" spans="1:4" x14ac:dyDescent="0.25">
      <c r="A53" s="4" t="s">
        <v>234</v>
      </c>
      <c r="B53" s="4">
        <v>225577</v>
      </c>
      <c r="C53" s="4" t="s">
        <v>319</v>
      </c>
      <c r="D53" s="9">
        <v>102</v>
      </c>
    </row>
    <row r="54" spans="1:4" x14ac:dyDescent="0.25">
      <c r="C54" s="31" t="s">
        <v>83</v>
      </c>
      <c r="D54" s="32">
        <f>SUM(D4:D53)</f>
        <v>356761</v>
      </c>
    </row>
  </sheetData>
  <pageMargins left="0.7" right="0.7" top="0.75" bottom="0.75" header="0.3" footer="0.3"/>
  <pageSetup paperSize="155" scale="92" orientation="portrait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DF7B-4DCC-4861-86F2-4E98820DD72D}">
  <dimension ref="A3:D37"/>
  <sheetViews>
    <sheetView view="pageBreakPreview" zoomScale="85" zoomScaleNormal="100" zoomScaleSheetLayoutView="85" workbookViewId="0">
      <selection activeCell="H13" sqref="H1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67.28515625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7</v>
      </c>
      <c r="B4" s="4">
        <v>239340</v>
      </c>
      <c r="C4" s="4" t="s">
        <v>379</v>
      </c>
      <c r="D4" s="9">
        <v>8545</v>
      </c>
    </row>
    <row r="5" spans="1:4" x14ac:dyDescent="0.25">
      <c r="A5" s="4" t="s">
        <v>244</v>
      </c>
      <c r="B5" s="4">
        <v>239520</v>
      </c>
      <c r="C5" s="4" t="s">
        <v>407</v>
      </c>
      <c r="D5" s="9">
        <v>6900</v>
      </c>
    </row>
    <row r="6" spans="1:4" x14ac:dyDescent="0.25">
      <c r="A6" s="4" t="s">
        <v>244</v>
      </c>
      <c r="B6" s="4">
        <v>239517</v>
      </c>
      <c r="C6" s="4" t="s">
        <v>408</v>
      </c>
      <c r="D6" s="9">
        <v>10040</v>
      </c>
    </row>
    <row r="7" spans="1:4" x14ac:dyDescent="0.25">
      <c r="A7" s="4" t="s">
        <v>244</v>
      </c>
      <c r="B7" s="4">
        <v>239519</v>
      </c>
      <c r="C7" s="4" t="s">
        <v>409</v>
      </c>
      <c r="D7" s="9">
        <v>9539</v>
      </c>
    </row>
    <row r="8" spans="1:4" x14ac:dyDescent="0.25">
      <c r="A8" s="4" t="s">
        <v>244</v>
      </c>
      <c r="B8" s="4">
        <v>238699</v>
      </c>
      <c r="C8" s="4" t="s">
        <v>356</v>
      </c>
      <c r="D8" s="9">
        <v>3700</v>
      </c>
    </row>
    <row r="9" spans="1:4" x14ac:dyDescent="0.25">
      <c r="A9" s="4" t="s">
        <v>320</v>
      </c>
      <c r="B9" s="4">
        <v>239121</v>
      </c>
      <c r="C9" s="4" t="s">
        <v>365</v>
      </c>
      <c r="D9" s="9">
        <v>2600</v>
      </c>
    </row>
    <row r="10" spans="1:4" x14ac:dyDescent="0.25">
      <c r="A10" s="4" t="s">
        <v>320</v>
      </c>
      <c r="B10" s="4">
        <v>234275</v>
      </c>
      <c r="C10" s="4" t="s">
        <v>321</v>
      </c>
      <c r="D10" s="9">
        <v>18975</v>
      </c>
    </row>
    <row r="11" spans="1:4" x14ac:dyDescent="0.25">
      <c r="A11" s="4" t="s">
        <v>108</v>
      </c>
      <c r="B11" s="4">
        <v>235015</v>
      </c>
      <c r="C11" s="4" t="s">
        <v>287</v>
      </c>
      <c r="D11" s="9">
        <v>1320</v>
      </c>
    </row>
    <row r="12" spans="1:4" x14ac:dyDescent="0.25">
      <c r="A12" s="4" t="s">
        <v>108</v>
      </c>
      <c r="B12" s="4">
        <v>232454</v>
      </c>
      <c r="C12" s="4" t="s">
        <v>217</v>
      </c>
      <c r="D12" s="9">
        <v>1</v>
      </c>
    </row>
    <row r="13" spans="1:4" x14ac:dyDescent="0.25">
      <c r="A13" s="4" t="s">
        <v>24</v>
      </c>
      <c r="B13" s="4">
        <v>238961</v>
      </c>
      <c r="C13" s="4" t="s">
        <v>366</v>
      </c>
      <c r="D13" s="9">
        <v>2646</v>
      </c>
    </row>
    <row r="14" spans="1:4" x14ac:dyDescent="0.25">
      <c r="A14" s="4" t="s">
        <v>111</v>
      </c>
      <c r="B14" s="4">
        <v>239078</v>
      </c>
      <c r="C14" s="4" t="s">
        <v>367</v>
      </c>
      <c r="D14" s="9">
        <v>2454</v>
      </c>
    </row>
    <row r="15" spans="1:4" x14ac:dyDescent="0.25">
      <c r="A15" s="4" t="s">
        <v>111</v>
      </c>
      <c r="B15" s="4">
        <v>237950</v>
      </c>
      <c r="C15" s="4" t="s">
        <v>343</v>
      </c>
      <c r="D15" s="9">
        <v>1214</v>
      </c>
    </row>
    <row r="16" spans="1:4" x14ac:dyDescent="0.25">
      <c r="A16" s="4" t="s">
        <v>111</v>
      </c>
      <c r="B16" s="4">
        <v>237951</v>
      </c>
      <c r="C16" s="4" t="s">
        <v>344</v>
      </c>
      <c r="D16" s="9">
        <v>828</v>
      </c>
    </row>
    <row r="17" spans="1:4" x14ac:dyDescent="0.25">
      <c r="A17" s="4" t="s">
        <v>81</v>
      </c>
      <c r="B17" s="4">
        <v>239047</v>
      </c>
      <c r="C17" s="4" t="s">
        <v>368</v>
      </c>
      <c r="D17" s="9">
        <v>128</v>
      </c>
    </row>
    <row r="18" spans="1:4" x14ac:dyDescent="0.25">
      <c r="A18" s="4" t="s">
        <v>369</v>
      </c>
      <c r="B18" s="4">
        <v>237774</v>
      </c>
      <c r="C18" s="4" t="s">
        <v>370</v>
      </c>
      <c r="D18" s="9">
        <v>14255</v>
      </c>
    </row>
    <row r="19" spans="1:4" x14ac:dyDescent="0.25">
      <c r="A19" s="4" t="s">
        <v>394</v>
      </c>
      <c r="B19" s="4">
        <v>239209</v>
      </c>
      <c r="C19" s="4" t="s">
        <v>395</v>
      </c>
      <c r="D19" s="9">
        <v>7878</v>
      </c>
    </row>
    <row r="20" spans="1:4" x14ac:dyDescent="0.25">
      <c r="A20" s="4" t="s">
        <v>394</v>
      </c>
      <c r="B20" s="4">
        <v>239384</v>
      </c>
      <c r="C20" s="4" t="s">
        <v>396</v>
      </c>
      <c r="D20" s="9">
        <v>5883</v>
      </c>
    </row>
    <row r="21" spans="1:4" x14ac:dyDescent="0.25">
      <c r="A21" s="4" t="s">
        <v>371</v>
      </c>
      <c r="B21" s="4">
        <v>237651</v>
      </c>
      <c r="C21" s="4" t="s">
        <v>375</v>
      </c>
      <c r="D21" s="9">
        <v>640</v>
      </c>
    </row>
    <row r="22" spans="1:4" x14ac:dyDescent="0.25">
      <c r="A22" s="4" t="s">
        <v>180</v>
      </c>
      <c r="B22" s="4">
        <v>239188</v>
      </c>
      <c r="C22" s="4" t="s">
        <v>397</v>
      </c>
      <c r="D22" s="9">
        <v>4285</v>
      </c>
    </row>
    <row r="23" spans="1:4" x14ac:dyDescent="0.25">
      <c r="A23" s="4" t="s">
        <v>221</v>
      </c>
      <c r="B23" s="4">
        <v>238752</v>
      </c>
      <c r="C23" s="4" t="s">
        <v>410</v>
      </c>
      <c r="D23" s="9">
        <v>1185</v>
      </c>
    </row>
    <row r="24" spans="1:4" x14ac:dyDescent="0.25">
      <c r="A24" s="4" t="s">
        <v>34</v>
      </c>
      <c r="B24" s="4">
        <v>238045</v>
      </c>
      <c r="C24" s="4" t="s">
        <v>348</v>
      </c>
      <c r="D24" s="9">
        <v>299</v>
      </c>
    </row>
    <row r="25" spans="1:4" x14ac:dyDescent="0.25">
      <c r="A25" s="4" t="s">
        <v>315</v>
      </c>
      <c r="B25" s="4">
        <v>239309</v>
      </c>
      <c r="C25" s="4" t="s">
        <v>398</v>
      </c>
      <c r="D25" s="9">
        <v>9843</v>
      </c>
    </row>
    <row r="26" spans="1:4" x14ac:dyDescent="0.25">
      <c r="A26" s="4" t="s">
        <v>38</v>
      </c>
      <c r="B26" s="4">
        <v>239411</v>
      </c>
      <c r="C26" s="4" t="s">
        <v>411</v>
      </c>
      <c r="D26" s="9">
        <v>2590</v>
      </c>
    </row>
    <row r="27" spans="1:4" x14ac:dyDescent="0.25">
      <c r="A27" s="4" t="s">
        <v>38</v>
      </c>
      <c r="B27" s="4">
        <v>239412</v>
      </c>
      <c r="C27" s="4" t="s">
        <v>412</v>
      </c>
      <c r="D27" s="9">
        <v>995</v>
      </c>
    </row>
    <row r="28" spans="1:4" x14ac:dyDescent="0.25">
      <c r="A28" s="4" t="s">
        <v>38</v>
      </c>
      <c r="B28" s="4">
        <v>235175</v>
      </c>
      <c r="C28" s="4" t="s">
        <v>413</v>
      </c>
      <c r="D28" s="9">
        <v>4420</v>
      </c>
    </row>
    <row r="29" spans="1:4" x14ac:dyDescent="0.25">
      <c r="A29" s="4" t="s">
        <v>38</v>
      </c>
      <c r="B29" s="4">
        <v>239363</v>
      </c>
      <c r="C29" s="4" t="s">
        <v>399</v>
      </c>
      <c r="D29" s="9">
        <v>8934</v>
      </c>
    </row>
    <row r="30" spans="1:4" x14ac:dyDescent="0.25">
      <c r="A30" s="4" t="s">
        <v>48</v>
      </c>
      <c r="B30" s="4">
        <v>231859</v>
      </c>
      <c r="C30" s="4" t="s">
        <v>294</v>
      </c>
      <c r="D30" s="9">
        <v>540</v>
      </c>
    </row>
    <row r="31" spans="1:4" x14ac:dyDescent="0.25">
      <c r="A31" s="4" t="s">
        <v>48</v>
      </c>
      <c r="B31" s="4">
        <v>234997</v>
      </c>
      <c r="C31" s="4" t="s">
        <v>414</v>
      </c>
      <c r="D31" s="9">
        <v>1295</v>
      </c>
    </row>
    <row r="32" spans="1:4" x14ac:dyDescent="0.25">
      <c r="A32" s="4" t="s">
        <v>48</v>
      </c>
      <c r="B32" s="4">
        <v>238521</v>
      </c>
      <c r="C32" s="4" t="s">
        <v>405</v>
      </c>
      <c r="D32" s="9">
        <v>1590</v>
      </c>
    </row>
    <row r="33" spans="1:4" x14ac:dyDescent="0.25">
      <c r="A33" s="4" t="s">
        <v>48</v>
      </c>
      <c r="B33" s="4">
        <v>239648</v>
      </c>
      <c r="C33" s="4" t="s">
        <v>415</v>
      </c>
      <c r="D33" s="9">
        <v>5130</v>
      </c>
    </row>
    <row r="34" spans="1:4" x14ac:dyDescent="0.25">
      <c r="A34" s="4" t="s">
        <v>206</v>
      </c>
      <c r="B34" s="4">
        <v>226365</v>
      </c>
      <c r="C34" s="4" t="s">
        <v>207</v>
      </c>
      <c r="D34" s="9">
        <v>3089</v>
      </c>
    </row>
    <row r="35" spans="1:4" x14ac:dyDescent="0.25">
      <c r="A35" s="4" t="s">
        <v>208</v>
      </c>
      <c r="B35" s="4">
        <v>191435</v>
      </c>
      <c r="C35" s="4" t="s">
        <v>209</v>
      </c>
      <c r="D35" s="9">
        <v>4590</v>
      </c>
    </row>
    <row r="36" spans="1:4" x14ac:dyDescent="0.25">
      <c r="A36" s="4" t="s">
        <v>234</v>
      </c>
      <c r="B36" s="4">
        <v>225577</v>
      </c>
      <c r="C36" s="4" t="s">
        <v>319</v>
      </c>
      <c r="D36" s="9">
        <v>102</v>
      </c>
    </row>
    <row r="37" spans="1:4" x14ac:dyDescent="0.25">
      <c r="C37" s="31" t="s">
        <v>83</v>
      </c>
      <c r="D37" s="32">
        <f>SUM(D4:D36)</f>
        <v>146433</v>
      </c>
    </row>
  </sheetData>
  <pageMargins left="0.7" right="0.7" top="0.75" bottom="0.75" header="0.3" footer="0.3"/>
  <pageSetup scale="9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EB4C-94B1-48CD-84A2-B45E527192BE}">
  <dimension ref="A3:D41"/>
  <sheetViews>
    <sheetView view="pageBreakPreview" zoomScale="85" zoomScaleNormal="100" zoomScaleSheetLayoutView="85" workbookViewId="0">
      <selection activeCell="G22" sqref="G22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320</v>
      </c>
      <c r="B4" s="4">
        <v>239121</v>
      </c>
      <c r="C4" s="4" t="s">
        <v>365</v>
      </c>
      <c r="D4" s="9">
        <v>2600</v>
      </c>
    </row>
    <row r="5" spans="1:4" x14ac:dyDescent="0.25">
      <c r="A5" s="4" t="s">
        <v>320</v>
      </c>
      <c r="B5" s="4">
        <v>234275</v>
      </c>
      <c r="C5" s="4" t="s">
        <v>321</v>
      </c>
      <c r="D5" s="9">
        <v>18975</v>
      </c>
    </row>
    <row r="6" spans="1:4" x14ac:dyDescent="0.25">
      <c r="A6" s="4" t="s">
        <v>108</v>
      </c>
      <c r="B6" s="4">
        <v>230407</v>
      </c>
      <c r="C6" s="4" t="s">
        <v>416</v>
      </c>
      <c r="D6" s="9">
        <v>1016</v>
      </c>
    </row>
    <row r="7" spans="1:4" x14ac:dyDescent="0.25">
      <c r="A7" s="4" t="s">
        <v>108</v>
      </c>
      <c r="B7" s="4">
        <v>235015</v>
      </c>
      <c r="C7" s="4" t="s">
        <v>287</v>
      </c>
      <c r="D7" s="9">
        <v>1320</v>
      </c>
    </row>
    <row r="8" spans="1:4" x14ac:dyDescent="0.25">
      <c r="A8" s="4" t="s">
        <v>108</v>
      </c>
      <c r="B8" s="4">
        <v>232454</v>
      </c>
      <c r="C8" s="4" t="s">
        <v>217</v>
      </c>
      <c r="D8" s="9">
        <v>1</v>
      </c>
    </row>
    <row r="9" spans="1:4" x14ac:dyDescent="0.25">
      <c r="A9" s="4" t="s">
        <v>234</v>
      </c>
      <c r="B9" s="4">
        <v>239975</v>
      </c>
      <c r="C9" s="4" t="s">
        <v>417</v>
      </c>
      <c r="D9" s="9">
        <v>561</v>
      </c>
    </row>
    <row r="10" spans="1:4" x14ac:dyDescent="0.25">
      <c r="A10" s="4" t="s">
        <v>111</v>
      </c>
      <c r="B10" s="4">
        <v>239078</v>
      </c>
      <c r="C10" s="4" t="s">
        <v>367</v>
      </c>
      <c r="D10" s="9">
        <v>2454</v>
      </c>
    </row>
    <row r="11" spans="1:4" x14ac:dyDescent="0.25">
      <c r="A11" s="4" t="s">
        <v>111</v>
      </c>
      <c r="B11" s="4">
        <v>237950</v>
      </c>
      <c r="C11" s="4" t="s">
        <v>343</v>
      </c>
      <c r="D11" s="9">
        <v>1214</v>
      </c>
    </row>
    <row r="12" spans="1:4" x14ac:dyDescent="0.25">
      <c r="A12" s="4" t="s">
        <v>111</v>
      </c>
      <c r="B12" s="4">
        <v>237951</v>
      </c>
      <c r="C12" s="4" t="s">
        <v>344</v>
      </c>
      <c r="D12" s="9">
        <v>828</v>
      </c>
    </row>
    <row r="13" spans="1:4" x14ac:dyDescent="0.25">
      <c r="A13" s="4" t="s">
        <v>81</v>
      </c>
      <c r="B13" s="4">
        <v>239047</v>
      </c>
      <c r="C13" s="4" t="s">
        <v>368</v>
      </c>
      <c r="D13" s="9">
        <v>128</v>
      </c>
    </row>
    <row r="14" spans="1:4" x14ac:dyDescent="0.25">
      <c r="A14" s="4" t="s">
        <v>175</v>
      </c>
      <c r="B14" s="4">
        <v>235568</v>
      </c>
      <c r="C14" s="4" t="s">
        <v>418</v>
      </c>
      <c r="D14" s="9">
        <v>18725</v>
      </c>
    </row>
    <row r="15" spans="1:4" x14ac:dyDescent="0.25">
      <c r="A15" s="4" t="s">
        <v>369</v>
      </c>
      <c r="B15" s="4">
        <v>237774</v>
      </c>
      <c r="C15" s="4" t="s">
        <v>370</v>
      </c>
      <c r="D15" s="9">
        <v>14255</v>
      </c>
    </row>
    <row r="16" spans="1:4" x14ac:dyDescent="0.25">
      <c r="A16" s="4" t="s">
        <v>371</v>
      </c>
      <c r="B16" s="4">
        <v>237651</v>
      </c>
      <c r="C16" s="4" t="s">
        <v>375</v>
      </c>
      <c r="D16" s="9">
        <v>640</v>
      </c>
    </row>
    <row r="17" spans="1:4" x14ac:dyDescent="0.25">
      <c r="A17" s="4" t="s">
        <v>371</v>
      </c>
      <c r="B17" s="4">
        <v>239463</v>
      </c>
      <c r="C17" s="4" t="s">
        <v>419</v>
      </c>
      <c r="D17" s="9">
        <v>1140</v>
      </c>
    </row>
    <row r="18" spans="1:4" x14ac:dyDescent="0.25">
      <c r="A18" s="4" t="s">
        <v>221</v>
      </c>
      <c r="B18" s="4">
        <v>238752</v>
      </c>
      <c r="C18" s="4" t="s">
        <v>410</v>
      </c>
      <c r="D18" s="9">
        <v>1185</v>
      </c>
    </row>
    <row r="19" spans="1:4" x14ac:dyDescent="0.25">
      <c r="A19" s="4" t="s">
        <v>34</v>
      </c>
      <c r="B19" s="4">
        <v>238990</v>
      </c>
      <c r="C19" s="4" t="s">
        <v>420</v>
      </c>
      <c r="D19" s="9">
        <v>306</v>
      </c>
    </row>
    <row r="20" spans="1:4" x14ac:dyDescent="0.25">
      <c r="A20" s="4" t="s">
        <v>34</v>
      </c>
      <c r="B20" s="4">
        <v>239002</v>
      </c>
      <c r="C20" s="4" t="s">
        <v>421</v>
      </c>
      <c r="D20" s="9">
        <v>511</v>
      </c>
    </row>
    <row r="21" spans="1:4" x14ac:dyDescent="0.25">
      <c r="A21" s="4" t="s">
        <v>34</v>
      </c>
      <c r="B21" s="4">
        <v>239830</v>
      </c>
      <c r="C21" s="4" t="s">
        <v>422</v>
      </c>
      <c r="D21" s="9">
        <v>459</v>
      </c>
    </row>
    <row r="22" spans="1:4" x14ac:dyDescent="0.25">
      <c r="A22" s="4" t="s">
        <v>34</v>
      </c>
      <c r="B22" s="4">
        <v>239831</v>
      </c>
      <c r="C22" s="4" t="s">
        <v>423</v>
      </c>
      <c r="D22" s="9">
        <v>815</v>
      </c>
    </row>
    <row r="23" spans="1:4" x14ac:dyDescent="0.25">
      <c r="A23" s="4" t="s">
        <v>34</v>
      </c>
      <c r="B23" s="4">
        <v>239024</v>
      </c>
      <c r="C23" s="4" t="s">
        <v>424</v>
      </c>
      <c r="D23" s="9">
        <v>511</v>
      </c>
    </row>
    <row r="24" spans="1:4" x14ac:dyDescent="0.25">
      <c r="A24" s="4" t="s">
        <v>34</v>
      </c>
      <c r="B24" s="4">
        <v>239027</v>
      </c>
      <c r="C24" s="4" t="s">
        <v>425</v>
      </c>
      <c r="D24" s="9">
        <v>1237</v>
      </c>
    </row>
    <row r="25" spans="1:4" x14ac:dyDescent="0.25">
      <c r="A25" s="4" t="s">
        <v>34</v>
      </c>
      <c r="B25" s="4">
        <v>239833</v>
      </c>
      <c r="C25" s="4" t="s">
        <v>426</v>
      </c>
      <c r="D25" s="9">
        <v>1654</v>
      </c>
    </row>
    <row r="26" spans="1:4" x14ac:dyDescent="0.25">
      <c r="A26" s="4" t="s">
        <v>34</v>
      </c>
      <c r="B26" s="4">
        <v>239031</v>
      </c>
      <c r="C26" s="4" t="s">
        <v>427</v>
      </c>
      <c r="D26" s="9">
        <v>1345</v>
      </c>
    </row>
    <row r="27" spans="1:4" x14ac:dyDescent="0.25">
      <c r="A27" s="4" t="s">
        <v>34</v>
      </c>
      <c r="B27" s="4">
        <v>239837</v>
      </c>
      <c r="C27" s="4" t="s">
        <v>428</v>
      </c>
      <c r="D27" s="9">
        <v>4210</v>
      </c>
    </row>
    <row r="28" spans="1:4" x14ac:dyDescent="0.25">
      <c r="A28" s="4" t="s">
        <v>38</v>
      </c>
      <c r="B28" s="4">
        <v>239553</v>
      </c>
      <c r="C28" s="4" t="s">
        <v>429</v>
      </c>
      <c r="D28" s="9">
        <v>1290</v>
      </c>
    </row>
    <row r="29" spans="1:4" x14ac:dyDescent="0.25">
      <c r="A29" s="4" t="s">
        <v>38</v>
      </c>
      <c r="B29" s="4">
        <v>236697</v>
      </c>
      <c r="C29" s="4" t="s">
        <v>430</v>
      </c>
      <c r="D29" s="9">
        <v>8095</v>
      </c>
    </row>
    <row r="30" spans="1:4" x14ac:dyDescent="0.25">
      <c r="A30" s="4" t="s">
        <v>38</v>
      </c>
      <c r="B30" s="4">
        <v>236697</v>
      </c>
      <c r="C30" s="4" t="s">
        <v>431</v>
      </c>
      <c r="D30" s="9">
        <v>20030</v>
      </c>
    </row>
    <row r="31" spans="1:4" x14ac:dyDescent="0.25">
      <c r="A31" s="4" t="s">
        <v>38</v>
      </c>
      <c r="B31" s="4">
        <v>238715</v>
      </c>
      <c r="C31" s="4" t="s">
        <v>432</v>
      </c>
      <c r="D31" s="9">
        <v>8165</v>
      </c>
    </row>
    <row r="32" spans="1:4" x14ac:dyDescent="0.25">
      <c r="A32" s="4" t="s">
        <v>38</v>
      </c>
      <c r="B32" s="4">
        <v>238735</v>
      </c>
      <c r="C32" s="4" t="s">
        <v>433</v>
      </c>
      <c r="D32" s="9">
        <v>16580</v>
      </c>
    </row>
    <row r="33" spans="1:4" x14ac:dyDescent="0.25">
      <c r="A33" s="4" t="s">
        <v>38</v>
      </c>
      <c r="B33" s="4">
        <v>238713</v>
      </c>
      <c r="C33" s="4" t="s">
        <v>434</v>
      </c>
      <c r="D33" s="9">
        <v>25552</v>
      </c>
    </row>
    <row r="34" spans="1:4" x14ac:dyDescent="0.25">
      <c r="A34" s="4" t="s">
        <v>43</v>
      </c>
      <c r="B34" s="4">
        <v>239069</v>
      </c>
      <c r="C34" s="4" t="s">
        <v>435</v>
      </c>
      <c r="D34" s="9">
        <v>13560</v>
      </c>
    </row>
    <row r="35" spans="1:4" x14ac:dyDescent="0.25">
      <c r="A35" s="4" t="s">
        <v>48</v>
      </c>
      <c r="B35" s="4">
        <v>231859</v>
      </c>
      <c r="C35" s="4" t="s">
        <v>294</v>
      </c>
      <c r="D35" s="9">
        <v>540</v>
      </c>
    </row>
    <row r="36" spans="1:4" x14ac:dyDescent="0.25">
      <c r="A36" s="4" t="s">
        <v>334</v>
      </c>
      <c r="B36" s="4">
        <v>239678</v>
      </c>
      <c r="C36" s="4" t="s">
        <v>436</v>
      </c>
      <c r="D36" s="9">
        <v>1695</v>
      </c>
    </row>
    <row r="37" spans="1:4" x14ac:dyDescent="0.25">
      <c r="A37" s="4" t="s">
        <v>206</v>
      </c>
      <c r="B37" s="4">
        <v>226365</v>
      </c>
      <c r="C37" s="4" t="s">
        <v>207</v>
      </c>
      <c r="D37" s="9">
        <v>3089</v>
      </c>
    </row>
    <row r="38" spans="1:4" x14ac:dyDescent="0.25">
      <c r="A38" s="4" t="s">
        <v>206</v>
      </c>
      <c r="B38" s="4">
        <v>239914</v>
      </c>
      <c r="C38" s="4" t="s">
        <v>437</v>
      </c>
      <c r="D38" s="9">
        <v>14215</v>
      </c>
    </row>
    <row r="39" spans="1:4" x14ac:dyDescent="0.25">
      <c r="A39" s="4" t="s">
        <v>208</v>
      </c>
      <c r="B39" s="4">
        <v>191435</v>
      </c>
      <c r="C39" s="4" t="s">
        <v>209</v>
      </c>
      <c r="D39" s="9">
        <v>4590</v>
      </c>
    </row>
    <row r="40" spans="1:4" x14ac:dyDescent="0.25">
      <c r="A40" s="4" t="s">
        <v>234</v>
      </c>
      <c r="B40" s="4">
        <v>225577</v>
      </c>
      <c r="C40" s="4" t="s">
        <v>319</v>
      </c>
      <c r="D40" s="9">
        <v>102</v>
      </c>
    </row>
    <row r="41" spans="1:4" x14ac:dyDescent="0.25">
      <c r="C41" s="31" t="s">
        <v>83</v>
      </c>
      <c r="D41" s="32">
        <f>SUM(D4:D40)</f>
        <v>193593</v>
      </c>
    </row>
  </sheetData>
  <pageMargins left="0.7" right="0.7" top="0.75" bottom="0.75" header="0.3" footer="0.3"/>
  <pageSetup scale="7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25D8-49FA-4D75-9A14-3F36D4897889}">
  <dimension ref="A3:D20"/>
  <sheetViews>
    <sheetView view="pageBreakPreview" zoomScale="85" zoomScaleNormal="100" zoomScaleSheetLayoutView="85" workbookViewId="0">
      <selection activeCell="C23" sqref="C2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320</v>
      </c>
      <c r="B4" s="4">
        <v>239121</v>
      </c>
      <c r="C4" s="4" t="s">
        <v>365</v>
      </c>
      <c r="D4" s="9">
        <v>2600</v>
      </c>
    </row>
    <row r="5" spans="1:4" x14ac:dyDescent="0.25">
      <c r="A5" s="4" t="s">
        <v>320</v>
      </c>
      <c r="B5" s="4">
        <v>234275</v>
      </c>
      <c r="C5" s="4" t="s">
        <v>321</v>
      </c>
      <c r="D5" s="9">
        <v>18975</v>
      </c>
    </row>
    <row r="6" spans="1:4" x14ac:dyDescent="0.25">
      <c r="A6" s="4" t="s">
        <v>108</v>
      </c>
      <c r="B6" s="4">
        <v>230407</v>
      </c>
      <c r="C6" s="4" t="s">
        <v>416</v>
      </c>
      <c r="D6" s="9">
        <v>1016</v>
      </c>
    </row>
    <row r="7" spans="1:4" x14ac:dyDescent="0.25">
      <c r="A7" s="4" t="s">
        <v>108</v>
      </c>
      <c r="B7" s="4">
        <v>235015</v>
      </c>
      <c r="C7" s="4" t="s">
        <v>287</v>
      </c>
      <c r="D7" s="9">
        <v>1320</v>
      </c>
    </row>
    <row r="8" spans="1:4" x14ac:dyDescent="0.25">
      <c r="A8" s="4" t="s">
        <v>108</v>
      </c>
      <c r="B8" s="4">
        <v>232454</v>
      </c>
      <c r="C8" s="4" t="s">
        <v>217</v>
      </c>
      <c r="D8" s="9">
        <v>1</v>
      </c>
    </row>
    <row r="9" spans="1:4" x14ac:dyDescent="0.25">
      <c r="A9" s="4" t="s">
        <v>234</v>
      </c>
      <c r="B9" s="4">
        <v>239975</v>
      </c>
      <c r="C9" s="4" t="s">
        <v>417</v>
      </c>
      <c r="D9" s="9">
        <v>561</v>
      </c>
    </row>
    <row r="10" spans="1:4" x14ac:dyDescent="0.25">
      <c r="A10" s="4" t="s">
        <v>111</v>
      </c>
      <c r="B10" s="4">
        <v>239078</v>
      </c>
      <c r="C10" s="4" t="s">
        <v>367</v>
      </c>
      <c r="D10" s="9">
        <v>2454</v>
      </c>
    </row>
    <row r="11" spans="1:4" x14ac:dyDescent="0.25">
      <c r="A11" s="4" t="s">
        <v>111</v>
      </c>
      <c r="B11" s="4">
        <v>237950</v>
      </c>
      <c r="C11" s="4" t="s">
        <v>343</v>
      </c>
      <c r="D11" s="9">
        <v>1214</v>
      </c>
    </row>
    <row r="12" spans="1:4" x14ac:dyDescent="0.25">
      <c r="A12" s="4" t="s">
        <v>111</v>
      </c>
      <c r="B12" s="4">
        <v>237951</v>
      </c>
      <c r="C12" s="4" t="s">
        <v>344</v>
      </c>
      <c r="D12" s="9">
        <v>828</v>
      </c>
    </row>
    <row r="13" spans="1:4" x14ac:dyDescent="0.25">
      <c r="A13" s="4" t="s">
        <v>81</v>
      </c>
      <c r="B13" s="4">
        <v>239047</v>
      </c>
      <c r="C13" s="4" t="s">
        <v>368</v>
      </c>
      <c r="D13" s="9">
        <v>128</v>
      </c>
    </row>
    <row r="14" spans="1:4" x14ac:dyDescent="0.25">
      <c r="A14" s="4" t="s">
        <v>369</v>
      </c>
      <c r="B14" s="4">
        <v>237774</v>
      </c>
      <c r="C14" s="4" t="s">
        <v>370</v>
      </c>
      <c r="D14" s="9">
        <v>14255</v>
      </c>
    </row>
    <row r="15" spans="1:4" x14ac:dyDescent="0.25">
      <c r="A15" s="4" t="s">
        <v>180</v>
      </c>
      <c r="B15" s="4">
        <v>237440</v>
      </c>
      <c r="C15" s="4" t="s">
        <v>438</v>
      </c>
      <c r="D15" s="9">
        <v>6880</v>
      </c>
    </row>
    <row r="16" spans="1:4" x14ac:dyDescent="0.25">
      <c r="A16" s="4" t="s">
        <v>439</v>
      </c>
      <c r="B16" s="4">
        <v>240320</v>
      </c>
      <c r="C16" s="4" t="s">
        <v>440</v>
      </c>
      <c r="D16" s="9">
        <v>0</v>
      </c>
    </row>
    <row r="17" spans="1:4" x14ac:dyDescent="0.25">
      <c r="A17" s="4" t="s">
        <v>48</v>
      </c>
      <c r="B17" s="4">
        <v>231859</v>
      </c>
      <c r="C17" s="4" t="s">
        <v>294</v>
      </c>
      <c r="D17" s="9">
        <v>540</v>
      </c>
    </row>
    <row r="18" spans="1:4" x14ac:dyDescent="0.25">
      <c r="A18" s="4" t="s">
        <v>206</v>
      </c>
      <c r="B18" s="4">
        <v>226365</v>
      </c>
      <c r="C18" s="4" t="s">
        <v>207</v>
      </c>
      <c r="D18" s="9">
        <v>3089</v>
      </c>
    </row>
    <row r="19" spans="1:4" x14ac:dyDescent="0.25">
      <c r="A19" s="4" t="s">
        <v>234</v>
      </c>
      <c r="B19" s="4">
        <v>225577</v>
      </c>
      <c r="C19" s="4" t="s">
        <v>319</v>
      </c>
      <c r="D19" s="9">
        <v>102</v>
      </c>
    </row>
    <row r="20" spans="1:4" x14ac:dyDescent="0.25">
      <c r="C20" s="31" t="s">
        <v>83</v>
      </c>
      <c r="D20" s="32">
        <f>SUM(D4:D19)</f>
        <v>53963</v>
      </c>
    </row>
  </sheetData>
  <pageMargins left="0.7" right="0.7" top="0.75" bottom="0.75" header="0.3" footer="0.3"/>
  <pageSetup scale="7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8F1F-EF1D-4F8D-A6B8-37201A33D0FE}">
  <dimension ref="A3:D24"/>
  <sheetViews>
    <sheetView view="pageBreakPreview" zoomScale="85" zoomScaleNormal="100" zoomScaleSheetLayoutView="85" workbookViewId="0">
      <selection activeCell="G20" sqref="G20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320</v>
      </c>
      <c r="B4" s="4">
        <v>239121</v>
      </c>
      <c r="C4" s="4" t="s">
        <v>365</v>
      </c>
      <c r="D4" s="9">
        <v>2600</v>
      </c>
    </row>
    <row r="5" spans="1:4" x14ac:dyDescent="0.25">
      <c r="A5" s="4" t="s">
        <v>320</v>
      </c>
      <c r="B5" s="4">
        <v>234275</v>
      </c>
      <c r="C5" s="4" t="s">
        <v>321</v>
      </c>
      <c r="D5" s="9">
        <v>18975</v>
      </c>
    </row>
    <row r="6" spans="1:4" x14ac:dyDescent="0.25">
      <c r="A6" s="4" t="s">
        <v>108</v>
      </c>
      <c r="B6" s="4">
        <v>230407</v>
      </c>
      <c r="C6" s="4" t="s">
        <v>416</v>
      </c>
      <c r="D6" s="9">
        <v>1016</v>
      </c>
    </row>
    <row r="7" spans="1:4" x14ac:dyDescent="0.25">
      <c r="A7" s="4" t="s">
        <v>108</v>
      </c>
      <c r="B7" s="4">
        <v>235015</v>
      </c>
      <c r="C7" s="4" t="s">
        <v>287</v>
      </c>
      <c r="D7" s="9">
        <v>1320</v>
      </c>
    </row>
    <row r="8" spans="1:4" x14ac:dyDescent="0.25">
      <c r="A8" s="4" t="s">
        <v>108</v>
      </c>
      <c r="B8" s="4">
        <v>232454</v>
      </c>
      <c r="C8" s="4" t="s">
        <v>217</v>
      </c>
      <c r="D8" s="9">
        <v>1</v>
      </c>
    </row>
    <row r="9" spans="1:4" x14ac:dyDescent="0.25">
      <c r="A9" s="4" t="s">
        <v>336</v>
      </c>
      <c r="B9" s="4">
        <v>240695</v>
      </c>
      <c r="C9" s="4" t="s">
        <v>441</v>
      </c>
      <c r="D9" s="9">
        <v>1176</v>
      </c>
    </row>
    <row r="10" spans="1:4" x14ac:dyDescent="0.25">
      <c r="A10" s="4" t="s">
        <v>336</v>
      </c>
      <c r="B10" s="4">
        <v>240686</v>
      </c>
      <c r="C10" s="4" t="s">
        <v>442</v>
      </c>
      <c r="D10" s="9">
        <v>2646</v>
      </c>
    </row>
    <row r="11" spans="1:4" x14ac:dyDescent="0.25">
      <c r="A11" s="4" t="s">
        <v>234</v>
      </c>
      <c r="B11" s="4">
        <v>239975</v>
      </c>
      <c r="C11" s="4" t="s">
        <v>417</v>
      </c>
      <c r="D11" s="9">
        <v>561</v>
      </c>
    </row>
    <row r="12" spans="1:4" x14ac:dyDescent="0.25">
      <c r="A12" s="4" t="s">
        <v>111</v>
      </c>
      <c r="B12" s="4">
        <v>239078</v>
      </c>
      <c r="C12" s="4" t="s">
        <v>367</v>
      </c>
      <c r="D12" s="9">
        <v>2454</v>
      </c>
    </row>
    <row r="13" spans="1:4" x14ac:dyDescent="0.25">
      <c r="A13" s="4" t="s">
        <v>111</v>
      </c>
      <c r="B13" s="4">
        <v>237950</v>
      </c>
      <c r="C13" s="4" t="s">
        <v>343</v>
      </c>
      <c r="D13" s="9">
        <v>1214</v>
      </c>
    </row>
    <row r="14" spans="1:4" x14ac:dyDescent="0.25">
      <c r="A14" s="4" t="s">
        <v>111</v>
      </c>
      <c r="B14" s="4">
        <v>237951</v>
      </c>
      <c r="C14" s="4" t="s">
        <v>344</v>
      </c>
      <c r="D14" s="9">
        <v>828</v>
      </c>
    </row>
    <row r="15" spans="1:4" x14ac:dyDescent="0.25">
      <c r="A15" s="4" t="s">
        <v>81</v>
      </c>
      <c r="B15" s="4">
        <v>239047</v>
      </c>
      <c r="C15" s="4" t="s">
        <v>368</v>
      </c>
      <c r="D15" s="9">
        <v>128</v>
      </c>
    </row>
    <row r="16" spans="1:4" x14ac:dyDescent="0.25">
      <c r="A16" s="4" t="s">
        <v>369</v>
      </c>
      <c r="B16" s="4">
        <v>237774</v>
      </c>
      <c r="C16" s="4" t="s">
        <v>370</v>
      </c>
      <c r="D16" s="9">
        <v>14255</v>
      </c>
    </row>
    <row r="17" spans="1:4" x14ac:dyDescent="0.25">
      <c r="A17" s="4" t="s">
        <v>180</v>
      </c>
      <c r="B17" s="4">
        <v>237440</v>
      </c>
      <c r="C17" s="4" t="s">
        <v>438</v>
      </c>
      <c r="D17" s="9">
        <v>6880</v>
      </c>
    </row>
    <row r="18" spans="1:4" x14ac:dyDescent="0.25">
      <c r="A18" s="4" t="s">
        <v>48</v>
      </c>
      <c r="B18" s="4">
        <v>231859</v>
      </c>
      <c r="C18" s="4" t="s">
        <v>294</v>
      </c>
      <c r="D18" s="9">
        <v>540</v>
      </c>
    </row>
    <row r="19" spans="1:4" x14ac:dyDescent="0.25">
      <c r="A19" s="4" t="s">
        <v>443</v>
      </c>
      <c r="B19" s="4">
        <v>231691</v>
      </c>
      <c r="C19" s="4" t="s">
        <v>444</v>
      </c>
      <c r="D19" s="9">
        <v>420</v>
      </c>
    </row>
    <row r="20" spans="1:4" x14ac:dyDescent="0.25">
      <c r="A20" s="4" t="s">
        <v>443</v>
      </c>
      <c r="B20" s="4">
        <v>240005</v>
      </c>
      <c r="C20" s="4" t="s">
        <v>445</v>
      </c>
      <c r="D20" s="9">
        <v>18670</v>
      </c>
    </row>
    <row r="21" spans="1:4" x14ac:dyDescent="0.25">
      <c r="A21" s="4" t="s">
        <v>206</v>
      </c>
      <c r="B21" s="4">
        <v>226365</v>
      </c>
      <c r="C21" s="4" t="s">
        <v>207</v>
      </c>
      <c r="D21" s="9">
        <v>3089</v>
      </c>
    </row>
    <row r="22" spans="1:4" x14ac:dyDescent="0.25">
      <c r="A22" s="4" t="s">
        <v>208</v>
      </c>
      <c r="B22" s="4">
        <v>191435</v>
      </c>
      <c r="C22" s="4" t="s">
        <v>209</v>
      </c>
      <c r="D22" s="9">
        <v>4590</v>
      </c>
    </row>
    <row r="23" spans="1:4" x14ac:dyDescent="0.25">
      <c r="A23" s="4" t="s">
        <v>234</v>
      </c>
      <c r="B23" s="4">
        <v>225577</v>
      </c>
      <c r="C23" s="4" t="s">
        <v>319</v>
      </c>
      <c r="D23" s="9">
        <v>102</v>
      </c>
    </row>
    <row r="24" spans="1:4" x14ac:dyDescent="0.25">
      <c r="C24" s="31" t="s">
        <v>83</v>
      </c>
      <c r="D24" s="32">
        <f>SUM(D4:D23)</f>
        <v>81465</v>
      </c>
    </row>
  </sheetData>
  <pageMargins left="0.7" right="0.7" top="0.75" bottom="0.75" header="0.3" footer="0.3"/>
  <pageSetup scale="7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9BE9-E3DE-4800-837E-F5EEFD0A991A}">
  <dimension ref="A3:D35"/>
  <sheetViews>
    <sheetView view="pageBreakPreview" zoomScale="85" zoomScaleNormal="100" zoomScaleSheetLayoutView="85" workbookViewId="0">
      <selection activeCell="H36" sqref="H36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320</v>
      </c>
      <c r="B4" s="4">
        <v>239121</v>
      </c>
      <c r="C4" s="4" t="s">
        <v>365</v>
      </c>
      <c r="D4" s="9">
        <v>2600</v>
      </c>
    </row>
    <row r="5" spans="1:4" x14ac:dyDescent="0.25">
      <c r="A5" s="4" t="s">
        <v>320</v>
      </c>
      <c r="B5" s="4">
        <v>234275</v>
      </c>
      <c r="C5" s="4" t="s">
        <v>321</v>
      </c>
      <c r="D5" s="9">
        <v>18975</v>
      </c>
    </row>
    <row r="6" spans="1:4" x14ac:dyDescent="0.25">
      <c r="A6" s="4" t="s">
        <v>13</v>
      </c>
      <c r="B6" s="4">
        <v>240822</v>
      </c>
      <c r="C6" s="4" t="s">
        <v>446</v>
      </c>
      <c r="D6" s="9">
        <v>584</v>
      </c>
    </row>
    <row r="7" spans="1:4" x14ac:dyDescent="0.25">
      <c r="A7" s="4" t="s">
        <v>108</v>
      </c>
      <c r="B7" s="4">
        <v>230407</v>
      </c>
      <c r="C7" s="4" t="s">
        <v>416</v>
      </c>
      <c r="D7" s="9">
        <v>1016</v>
      </c>
    </row>
    <row r="8" spans="1:4" x14ac:dyDescent="0.25">
      <c r="A8" s="4" t="s">
        <v>108</v>
      </c>
      <c r="B8" s="4">
        <v>235015</v>
      </c>
      <c r="C8" s="4" t="s">
        <v>287</v>
      </c>
      <c r="D8" s="9">
        <v>1320</v>
      </c>
    </row>
    <row r="9" spans="1:4" x14ac:dyDescent="0.25">
      <c r="A9" s="4" t="s">
        <v>108</v>
      </c>
      <c r="B9" s="4">
        <v>232454</v>
      </c>
      <c r="C9" s="4" t="s">
        <v>217</v>
      </c>
      <c r="D9" s="9">
        <v>1</v>
      </c>
    </row>
    <row r="10" spans="1:4" x14ac:dyDescent="0.25">
      <c r="A10" s="4" t="s">
        <v>234</v>
      </c>
      <c r="B10" s="4">
        <v>239975</v>
      </c>
      <c r="C10" s="4" t="s">
        <v>417</v>
      </c>
      <c r="D10" s="9">
        <v>561</v>
      </c>
    </row>
    <row r="11" spans="1:4" x14ac:dyDescent="0.25">
      <c r="A11" s="4" t="s">
        <v>234</v>
      </c>
      <c r="B11" s="4">
        <v>239996</v>
      </c>
      <c r="C11" s="4" t="s">
        <v>447</v>
      </c>
      <c r="D11" s="9">
        <v>716</v>
      </c>
    </row>
    <row r="12" spans="1:4" x14ac:dyDescent="0.25">
      <c r="A12" s="4" t="s">
        <v>234</v>
      </c>
      <c r="B12" s="4">
        <v>239977</v>
      </c>
      <c r="C12" s="4" t="s">
        <v>448</v>
      </c>
      <c r="D12" s="9">
        <v>664</v>
      </c>
    </row>
    <row r="13" spans="1:4" x14ac:dyDescent="0.25">
      <c r="A13" s="4" t="s">
        <v>234</v>
      </c>
      <c r="B13" s="4">
        <v>239979</v>
      </c>
      <c r="C13" s="4" t="s">
        <v>449</v>
      </c>
      <c r="D13" s="9">
        <v>664</v>
      </c>
    </row>
    <row r="14" spans="1:4" x14ac:dyDescent="0.25">
      <c r="A14" s="4" t="s">
        <v>234</v>
      </c>
      <c r="B14" s="4">
        <v>239995</v>
      </c>
      <c r="C14" s="4" t="s">
        <v>450</v>
      </c>
      <c r="D14" s="9">
        <v>1226</v>
      </c>
    </row>
    <row r="15" spans="1:4" x14ac:dyDescent="0.25">
      <c r="A15" s="4" t="s">
        <v>234</v>
      </c>
      <c r="B15" s="4">
        <v>239656</v>
      </c>
      <c r="C15" s="4" t="s">
        <v>451</v>
      </c>
      <c r="D15" s="9">
        <v>17974</v>
      </c>
    </row>
    <row r="16" spans="1:4" x14ac:dyDescent="0.25">
      <c r="A16" s="4" t="s">
        <v>234</v>
      </c>
      <c r="B16" s="4">
        <v>239560</v>
      </c>
      <c r="C16" s="4" t="s">
        <v>452</v>
      </c>
      <c r="D16" s="9">
        <v>5354</v>
      </c>
    </row>
    <row r="17" spans="1:4" x14ac:dyDescent="0.25">
      <c r="A17" s="4" t="s">
        <v>234</v>
      </c>
      <c r="B17" s="4">
        <v>239745</v>
      </c>
      <c r="C17" s="4" t="s">
        <v>453</v>
      </c>
      <c r="D17" s="9">
        <v>580</v>
      </c>
    </row>
    <row r="18" spans="1:4" x14ac:dyDescent="0.25">
      <c r="A18" s="4" t="s">
        <v>234</v>
      </c>
      <c r="B18" s="4">
        <v>239542</v>
      </c>
      <c r="C18" s="4" t="s">
        <v>454</v>
      </c>
      <c r="D18" s="9">
        <v>20496</v>
      </c>
    </row>
    <row r="19" spans="1:4" x14ac:dyDescent="0.25">
      <c r="A19" s="4" t="s">
        <v>81</v>
      </c>
      <c r="B19" s="4">
        <v>239047</v>
      </c>
      <c r="C19" s="4" t="s">
        <v>368</v>
      </c>
      <c r="D19" s="9">
        <v>128</v>
      </c>
    </row>
    <row r="20" spans="1:4" x14ac:dyDescent="0.25">
      <c r="A20" s="4" t="s">
        <v>369</v>
      </c>
      <c r="B20" s="4">
        <v>237774</v>
      </c>
      <c r="C20" s="4" t="s">
        <v>370</v>
      </c>
      <c r="D20" s="9">
        <v>14255</v>
      </c>
    </row>
    <row r="21" spans="1:4" x14ac:dyDescent="0.25">
      <c r="A21" s="4" t="s">
        <v>26</v>
      </c>
      <c r="B21" s="4">
        <v>240879</v>
      </c>
      <c r="C21" s="4" t="s">
        <v>455</v>
      </c>
      <c r="D21" s="9">
        <v>1800</v>
      </c>
    </row>
    <row r="22" spans="1:4" x14ac:dyDescent="0.25">
      <c r="A22" s="4" t="s">
        <v>371</v>
      </c>
      <c r="B22" s="4">
        <v>239950</v>
      </c>
      <c r="C22" s="4" t="s">
        <v>456</v>
      </c>
      <c r="D22" s="9">
        <v>1320</v>
      </c>
    </row>
    <row r="23" spans="1:4" x14ac:dyDescent="0.25">
      <c r="A23" s="4" t="s">
        <v>371</v>
      </c>
      <c r="B23" s="4">
        <v>239956</v>
      </c>
      <c r="C23" s="4" t="s">
        <v>457</v>
      </c>
      <c r="D23" s="9">
        <v>1085</v>
      </c>
    </row>
    <row r="24" spans="1:4" x14ac:dyDescent="0.25">
      <c r="A24" s="4" t="s">
        <v>371</v>
      </c>
      <c r="B24" s="4">
        <v>239962</v>
      </c>
      <c r="C24" s="4" t="s">
        <v>458</v>
      </c>
      <c r="D24" s="9">
        <v>1155</v>
      </c>
    </row>
    <row r="25" spans="1:4" x14ac:dyDescent="0.25">
      <c r="A25" s="4" t="s">
        <v>371</v>
      </c>
      <c r="B25" s="4">
        <v>239964</v>
      </c>
      <c r="C25" s="4" t="s">
        <v>459</v>
      </c>
      <c r="D25" s="9">
        <v>1345</v>
      </c>
    </row>
    <row r="26" spans="1:4" x14ac:dyDescent="0.25">
      <c r="A26" s="4" t="s">
        <v>371</v>
      </c>
      <c r="B26" s="4">
        <v>239967</v>
      </c>
      <c r="C26" s="4" t="s">
        <v>460</v>
      </c>
      <c r="D26" s="9">
        <v>14900</v>
      </c>
    </row>
    <row r="27" spans="1:4" x14ac:dyDescent="0.25">
      <c r="A27" s="4" t="s">
        <v>180</v>
      </c>
      <c r="B27" s="4">
        <v>237440</v>
      </c>
      <c r="C27" s="4" t="s">
        <v>438</v>
      </c>
      <c r="D27" s="9">
        <v>6880</v>
      </c>
    </row>
    <row r="28" spans="1:4" x14ac:dyDescent="0.25">
      <c r="A28" s="4" t="s">
        <v>461</v>
      </c>
      <c r="B28" s="4">
        <v>240969</v>
      </c>
      <c r="C28" s="4" t="s">
        <v>462</v>
      </c>
      <c r="D28" s="9">
        <v>0</v>
      </c>
    </row>
    <row r="29" spans="1:4" x14ac:dyDescent="0.25">
      <c r="A29" s="4" t="s">
        <v>48</v>
      </c>
      <c r="B29" s="4">
        <v>231859</v>
      </c>
      <c r="C29" s="4" t="s">
        <v>294</v>
      </c>
      <c r="D29" s="9">
        <v>540</v>
      </c>
    </row>
    <row r="30" spans="1:4" x14ac:dyDescent="0.25">
      <c r="A30" s="4" t="s">
        <v>206</v>
      </c>
      <c r="B30" s="4">
        <v>240945</v>
      </c>
      <c r="C30" s="4" t="s">
        <v>463</v>
      </c>
      <c r="D30" s="9">
        <v>3089</v>
      </c>
    </row>
    <row r="31" spans="1:4" x14ac:dyDescent="0.25">
      <c r="A31" s="4" t="s">
        <v>208</v>
      </c>
      <c r="B31" s="4">
        <v>191435</v>
      </c>
      <c r="C31" s="4" t="s">
        <v>209</v>
      </c>
      <c r="D31" s="9">
        <v>4590</v>
      </c>
    </row>
    <row r="32" spans="1:4" x14ac:dyDescent="0.25">
      <c r="A32" s="4" t="s">
        <v>234</v>
      </c>
      <c r="B32" s="4">
        <v>225577</v>
      </c>
      <c r="C32" s="4" t="s">
        <v>319</v>
      </c>
      <c r="D32" s="9">
        <v>102</v>
      </c>
    </row>
    <row r="33" spans="1:4" x14ac:dyDescent="0.25">
      <c r="A33" s="4" t="s">
        <v>234</v>
      </c>
      <c r="B33" s="4">
        <v>222354</v>
      </c>
      <c r="C33" s="4" t="s">
        <v>464</v>
      </c>
      <c r="D33" s="9">
        <v>256</v>
      </c>
    </row>
    <row r="34" spans="1:4" x14ac:dyDescent="0.25">
      <c r="A34" s="4" t="s">
        <v>234</v>
      </c>
      <c r="B34" s="4">
        <v>239420</v>
      </c>
      <c r="C34" s="4" t="s">
        <v>465</v>
      </c>
      <c r="D34" s="9">
        <v>72785</v>
      </c>
    </row>
    <row r="35" spans="1:4" x14ac:dyDescent="0.25">
      <c r="C35" s="31" t="s">
        <v>83</v>
      </c>
      <c r="D35" s="32">
        <f>SUM(D4:D34)</f>
        <v>196961</v>
      </c>
    </row>
  </sheetData>
  <pageMargins left="0.7" right="0.7" top="0.75" bottom="0.75" header="0.3" footer="0.3"/>
  <pageSetup scale="7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9ABE-C5F4-46B0-852E-9477B5DB6B79}">
  <dimension ref="A3:D31"/>
  <sheetViews>
    <sheetView view="pageBreakPreview" zoomScale="85" zoomScaleNormal="100" zoomScaleSheetLayoutView="85" workbookViewId="0">
      <selection activeCell="A31" sqref="A31:XFD34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320</v>
      </c>
      <c r="B4" s="4">
        <v>239121</v>
      </c>
      <c r="C4" s="4" t="s">
        <v>365</v>
      </c>
      <c r="D4" s="9">
        <v>2600</v>
      </c>
    </row>
    <row r="5" spans="1:4" x14ac:dyDescent="0.25">
      <c r="A5" s="4" t="s">
        <v>320</v>
      </c>
      <c r="B5" s="4">
        <v>234275</v>
      </c>
      <c r="C5" s="4" t="s">
        <v>321</v>
      </c>
      <c r="D5" s="9">
        <v>18975</v>
      </c>
    </row>
    <row r="6" spans="1:4" x14ac:dyDescent="0.25">
      <c r="A6" s="4" t="s">
        <v>108</v>
      </c>
      <c r="B6" s="4">
        <v>230407</v>
      </c>
      <c r="C6" s="4" t="s">
        <v>416</v>
      </c>
      <c r="D6" s="9">
        <v>1016</v>
      </c>
    </row>
    <row r="7" spans="1:4" x14ac:dyDescent="0.25">
      <c r="A7" s="4" t="s">
        <v>108</v>
      </c>
      <c r="B7" s="4">
        <v>235015</v>
      </c>
      <c r="C7" s="4" t="s">
        <v>287</v>
      </c>
      <c r="D7" s="9">
        <v>1320</v>
      </c>
    </row>
    <row r="8" spans="1:4" x14ac:dyDescent="0.25">
      <c r="A8" s="4" t="s">
        <v>108</v>
      </c>
      <c r="B8" s="4">
        <v>232454</v>
      </c>
      <c r="C8" s="4" t="s">
        <v>217</v>
      </c>
      <c r="D8" s="9">
        <v>1</v>
      </c>
    </row>
    <row r="9" spans="1:4" x14ac:dyDescent="0.25">
      <c r="A9" s="4" t="s">
        <v>108</v>
      </c>
      <c r="B9" s="4">
        <v>241199</v>
      </c>
      <c r="C9" s="4" t="s">
        <v>466</v>
      </c>
      <c r="D9" s="9">
        <v>675</v>
      </c>
    </row>
    <row r="10" spans="1:4" x14ac:dyDescent="0.25">
      <c r="A10" s="4" t="s">
        <v>336</v>
      </c>
      <c r="B10" s="4">
        <v>240993</v>
      </c>
      <c r="C10" s="4" t="s">
        <v>467</v>
      </c>
      <c r="D10" s="9">
        <v>13273</v>
      </c>
    </row>
    <row r="11" spans="1:4" x14ac:dyDescent="0.25">
      <c r="A11" s="4" t="s">
        <v>234</v>
      </c>
      <c r="B11" s="4">
        <v>241073</v>
      </c>
      <c r="C11" s="4" t="s">
        <v>468</v>
      </c>
      <c r="D11" s="9">
        <v>2472</v>
      </c>
    </row>
    <row r="12" spans="1:4" x14ac:dyDescent="0.25">
      <c r="A12" s="4" t="s">
        <v>234</v>
      </c>
      <c r="B12" s="4">
        <v>241074</v>
      </c>
      <c r="C12" s="4" t="s">
        <v>469</v>
      </c>
      <c r="D12" s="9">
        <v>2472</v>
      </c>
    </row>
    <row r="13" spans="1:4" x14ac:dyDescent="0.25">
      <c r="A13" s="4" t="s">
        <v>111</v>
      </c>
      <c r="B13" s="4">
        <v>241129</v>
      </c>
      <c r="C13" s="4" t="s">
        <v>470</v>
      </c>
      <c r="D13" s="9">
        <v>304</v>
      </c>
    </row>
    <row r="14" spans="1:4" x14ac:dyDescent="0.25">
      <c r="A14" s="4" t="s">
        <v>111</v>
      </c>
      <c r="B14" s="4">
        <v>241093</v>
      </c>
      <c r="C14" s="4" t="s">
        <v>471</v>
      </c>
      <c r="D14" s="9">
        <v>1242</v>
      </c>
    </row>
    <row r="15" spans="1:4" x14ac:dyDescent="0.25">
      <c r="A15" s="4" t="s">
        <v>111</v>
      </c>
      <c r="B15" s="4">
        <v>241130</v>
      </c>
      <c r="C15" s="4" t="s">
        <v>472</v>
      </c>
      <c r="D15" s="9">
        <v>483</v>
      </c>
    </row>
    <row r="16" spans="1:4" x14ac:dyDescent="0.25">
      <c r="A16" s="4" t="s">
        <v>81</v>
      </c>
      <c r="B16" s="4">
        <v>239047</v>
      </c>
      <c r="C16" s="4" t="s">
        <v>368</v>
      </c>
      <c r="D16" s="9">
        <v>128</v>
      </c>
    </row>
    <row r="17" spans="1:4" x14ac:dyDescent="0.25">
      <c r="A17" s="4" t="s">
        <v>369</v>
      </c>
      <c r="B17" s="4">
        <v>237774</v>
      </c>
      <c r="C17" s="4" t="s">
        <v>370</v>
      </c>
      <c r="D17" s="9">
        <v>14255</v>
      </c>
    </row>
    <row r="18" spans="1:4" x14ac:dyDescent="0.25">
      <c r="A18" s="4" t="s">
        <v>371</v>
      </c>
      <c r="B18" s="4">
        <v>239950</v>
      </c>
      <c r="C18" s="4" t="s">
        <v>456</v>
      </c>
      <c r="D18" s="9">
        <v>1320</v>
      </c>
    </row>
    <row r="19" spans="1:4" x14ac:dyDescent="0.25">
      <c r="A19" s="4" t="s">
        <v>371</v>
      </c>
      <c r="B19" s="4">
        <v>239956</v>
      </c>
      <c r="C19" s="4" t="s">
        <v>457</v>
      </c>
      <c r="D19" s="9">
        <v>1085</v>
      </c>
    </row>
    <row r="20" spans="1:4" x14ac:dyDescent="0.25">
      <c r="A20" s="4" t="s">
        <v>371</v>
      </c>
      <c r="B20" s="4">
        <v>239962</v>
      </c>
      <c r="C20" s="4" t="s">
        <v>458</v>
      </c>
      <c r="D20" s="9">
        <v>1155</v>
      </c>
    </row>
    <row r="21" spans="1:4" x14ac:dyDescent="0.25">
      <c r="A21" s="4" t="s">
        <v>371</v>
      </c>
      <c r="B21" s="4">
        <v>239964</v>
      </c>
      <c r="C21" s="4" t="s">
        <v>459</v>
      </c>
      <c r="D21" s="9">
        <v>1345</v>
      </c>
    </row>
    <row r="22" spans="1:4" x14ac:dyDescent="0.25">
      <c r="A22" s="4" t="s">
        <v>180</v>
      </c>
      <c r="B22" s="4">
        <v>240890</v>
      </c>
      <c r="C22" s="4" t="s">
        <v>473</v>
      </c>
      <c r="D22" s="9">
        <v>990</v>
      </c>
    </row>
    <row r="23" spans="1:4" x14ac:dyDescent="0.25">
      <c r="A23" s="4" t="s">
        <v>180</v>
      </c>
      <c r="B23" s="4">
        <v>237440</v>
      </c>
      <c r="C23" s="4" t="s">
        <v>438</v>
      </c>
      <c r="D23" s="9">
        <v>6880</v>
      </c>
    </row>
    <row r="24" spans="1:4" x14ac:dyDescent="0.25">
      <c r="A24" s="4" t="s">
        <v>461</v>
      </c>
      <c r="B24" s="4">
        <v>240969</v>
      </c>
      <c r="C24" s="4" t="s">
        <v>462</v>
      </c>
      <c r="D24" s="9">
        <v>0</v>
      </c>
    </row>
    <row r="25" spans="1:4" x14ac:dyDescent="0.25">
      <c r="A25" s="4" t="s">
        <v>38</v>
      </c>
      <c r="B25" s="4">
        <v>240774</v>
      </c>
      <c r="C25" s="4" t="s">
        <v>474</v>
      </c>
      <c r="D25" s="9">
        <v>5340</v>
      </c>
    </row>
    <row r="26" spans="1:4" x14ac:dyDescent="0.25">
      <c r="A26" s="4" t="s">
        <v>48</v>
      </c>
      <c r="B26" s="4">
        <v>231859</v>
      </c>
      <c r="C26" s="4" t="s">
        <v>294</v>
      </c>
      <c r="D26" s="9">
        <v>540</v>
      </c>
    </row>
    <row r="27" spans="1:4" x14ac:dyDescent="0.25">
      <c r="A27" s="4" t="s">
        <v>206</v>
      </c>
      <c r="B27" s="4">
        <v>240945</v>
      </c>
      <c r="C27" s="4" t="s">
        <v>463</v>
      </c>
      <c r="D27" s="9">
        <v>3089</v>
      </c>
    </row>
    <row r="28" spans="1:4" x14ac:dyDescent="0.25">
      <c r="A28" s="4" t="s">
        <v>208</v>
      </c>
      <c r="B28" s="4">
        <v>191435</v>
      </c>
      <c r="C28" s="4" t="s">
        <v>209</v>
      </c>
      <c r="D28" s="9">
        <v>4590</v>
      </c>
    </row>
    <row r="29" spans="1:4" x14ac:dyDescent="0.25">
      <c r="A29" s="4" t="s">
        <v>234</v>
      </c>
      <c r="B29" s="4">
        <v>222354</v>
      </c>
      <c r="C29" s="4" t="s">
        <v>464</v>
      </c>
      <c r="D29" s="9">
        <v>154</v>
      </c>
    </row>
    <row r="30" spans="1:4" x14ac:dyDescent="0.25">
      <c r="A30" s="4" t="s">
        <v>234</v>
      </c>
      <c r="B30" s="4">
        <v>239420</v>
      </c>
      <c r="C30" s="4" t="s">
        <v>465</v>
      </c>
      <c r="D30" s="9">
        <v>72785</v>
      </c>
    </row>
    <row r="31" spans="1:4" x14ac:dyDescent="0.25">
      <c r="C31" s="31" t="s">
        <v>83</v>
      </c>
      <c r="D31" s="32">
        <f>SUM(D4:D30)</f>
        <v>158489</v>
      </c>
    </row>
  </sheetData>
  <pageMargins left="0.7" right="0.7" top="0.75" bottom="0.75" header="0.3" footer="0.3"/>
  <pageSetup scale="7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8E11-CA49-452A-9845-CE331B6DE7E9}">
  <dimension ref="A3:D25"/>
  <sheetViews>
    <sheetView view="pageBreakPreview" zoomScaleNormal="100" zoomScaleSheetLayoutView="100" workbookViewId="0">
      <selection activeCell="D25" sqref="D25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475</v>
      </c>
      <c r="B4" s="4">
        <v>238743</v>
      </c>
      <c r="C4" s="4" t="s">
        <v>476</v>
      </c>
      <c r="D4" s="9">
        <v>1150</v>
      </c>
    </row>
    <row r="5" spans="1:4" x14ac:dyDescent="0.25">
      <c r="A5" s="4" t="s">
        <v>320</v>
      </c>
      <c r="B5" s="4">
        <v>239121</v>
      </c>
      <c r="C5" s="4" t="s">
        <v>365</v>
      </c>
      <c r="D5" s="9">
        <v>2600</v>
      </c>
    </row>
    <row r="6" spans="1:4" x14ac:dyDescent="0.25">
      <c r="A6" s="4" t="s">
        <v>320</v>
      </c>
      <c r="B6" s="4">
        <v>234275</v>
      </c>
      <c r="C6" s="4" t="s">
        <v>321</v>
      </c>
      <c r="D6" s="9">
        <v>18975</v>
      </c>
    </row>
    <row r="7" spans="1:4" x14ac:dyDescent="0.25">
      <c r="A7" s="4" t="s">
        <v>108</v>
      </c>
      <c r="B7" s="4">
        <v>230407</v>
      </c>
      <c r="C7" s="4" t="s">
        <v>416</v>
      </c>
      <c r="D7" s="9">
        <v>1016</v>
      </c>
    </row>
    <row r="8" spans="1:4" x14ac:dyDescent="0.25">
      <c r="A8" s="4" t="s">
        <v>108</v>
      </c>
      <c r="B8" s="4">
        <v>235015</v>
      </c>
      <c r="C8" s="4" t="s">
        <v>287</v>
      </c>
      <c r="D8" s="9">
        <v>1320</v>
      </c>
    </row>
    <row r="9" spans="1:4" x14ac:dyDescent="0.25">
      <c r="A9" s="4" t="s">
        <v>108</v>
      </c>
      <c r="B9" s="4">
        <v>232454</v>
      </c>
      <c r="C9" s="4" t="s">
        <v>217</v>
      </c>
      <c r="D9" s="9">
        <v>1</v>
      </c>
    </row>
    <row r="10" spans="1:4" x14ac:dyDescent="0.25">
      <c r="A10" s="4" t="s">
        <v>336</v>
      </c>
      <c r="B10" s="4">
        <v>240993</v>
      </c>
      <c r="C10" s="4" t="s">
        <v>467</v>
      </c>
      <c r="D10" s="9">
        <v>13273</v>
      </c>
    </row>
    <row r="11" spans="1:4" x14ac:dyDescent="0.25">
      <c r="A11" s="4" t="s">
        <v>81</v>
      </c>
      <c r="B11" s="4">
        <v>239047</v>
      </c>
      <c r="C11" s="4" t="s">
        <v>477</v>
      </c>
      <c r="D11" s="9">
        <v>128</v>
      </c>
    </row>
    <row r="12" spans="1:4" x14ac:dyDescent="0.25">
      <c r="A12" s="4" t="s">
        <v>180</v>
      </c>
      <c r="B12" s="4">
        <v>240890</v>
      </c>
      <c r="C12" s="4" t="s">
        <v>473</v>
      </c>
      <c r="D12" s="9">
        <v>990</v>
      </c>
    </row>
    <row r="13" spans="1:4" x14ac:dyDescent="0.25">
      <c r="A13" s="4" t="s">
        <v>180</v>
      </c>
      <c r="B13" s="4">
        <v>237440</v>
      </c>
      <c r="C13" s="4" t="s">
        <v>438</v>
      </c>
      <c r="D13" s="9">
        <v>6880</v>
      </c>
    </row>
    <row r="14" spans="1:4" x14ac:dyDescent="0.25">
      <c r="A14" s="4" t="s">
        <v>461</v>
      </c>
      <c r="B14" s="4">
        <v>240969</v>
      </c>
      <c r="C14" s="4" t="s">
        <v>462</v>
      </c>
      <c r="D14" s="9">
        <v>0</v>
      </c>
    </row>
    <row r="15" spans="1:4" x14ac:dyDescent="0.25">
      <c r="A15" s="4" t="s">
        <v>38</v>
      </c>
      <c r="B15" s="4">
        <v>239907</v>
      </c>
      <c r="C15" s="4" t="s">
        <v>478</v>
      </c>
      <c r="D15" s="9">
        <v>3711</v>
      </c>
    </row>
    <row r="16" spans="1:4" x14ac:dyDescent="0.25">
      <c r="A16" s="4" t="s">
        <v>38</v>
      </c>
      <c r="B16" s="4">
        <v>239907</v>
      </c>
      <c r="C16" s="4" t="s">
        <v>479</v>
      </c>
      <c r="D16" s="9">
        <v>9740</v>
      </c>
    </row>
    <row r="17" spans="1:4" x14ac:dyDescent="0.25">
      <c r="A17" s="4" t="s">
        <v>38</v>
      </c>
      <c r="B17" s="4">
        <v>241380</v>
      </c>
      <c r="C17" s="4" t="s">
        <v>480</v>
      </c>
      <c r="D17" s="9">
        <v>19709</v>
      </c>
    </row>
    <row r="18" spans="1:4" x14ac:dyDescent="0.25">
      <c r="A18" s="4" t="s">
        <v>38</v>
      </c>
      <c r="B18" s="4">
        <v>240518</v>
      </c>
      <c r="C18" s="4" t="s">
        <v>481</v>
      </c>
      <c r="D18" s="9">
        <v>3135</v>
      </c>
    </row>
    <row r="19" spans="1:4" x14ac:dyDescent="0.25">
      <c r="A19" s="4" t="s">
        <v>48</v>
      </c>
      <c r="B19" s="4">
        <v>231859</v>
      </c>
      <c r="C19" s="4" t="s">
        <v>294</v>
      </c>
      <c r="D19" s="9">
        <v>540</v>
      </c>
    </row>
    <row r="20" spans="1:4" x14ac:dyDescent="0.25">
      <c r="A20" s="4" t="s">
        <v>48</v>
      </c>
      <c r="B20" s="4">
        <v>240893</v>
      </c>
      <c r="C20" s="4" t="s">
        <v>482</v>
      </c>
      <c r="D20" s="9">
        <v>2800</v>
      </c>
    </row>
    <row r="21" spans="1:4" x14ac:dyDescent="0.25">
      <c r="A21" s="4" t="s">
        <v>206</v>
      </c>
      <c r="B21" s="4">
        <v>240945</v>
      </c>
      <c r="C21" s="4" t="s">
        <v>463</v>
      </c>
      <c r="D21" s="9">
        <v>3089</v>
      </c>
    </row>
    <row r="22" spans="1:4" x14ac:dyDescent="0.25">
      <c r="A22" s="4" t="s">
        <v>208</v>
      </c>
      <c r="B22" s="4">
        <v>191435</v>
      </c>
      <c r="C22" s="4" t="s">
        <v>209</v>
      </c>
      <c r="D22" s="9">
        <v>4590</v>
      </c>
    </row>
    <row r="23" spans="1:4" x14ac:dyDescent="0.25">
      <c r="A23" s="4" t="s">
        <v>234</v>
      </c>
      <c r="B23" s="4">
        <v>222354</v>
      </c>
      <c r="C23" s="4" t="s">
        <v>464</v>
      </c>
      <c r="D23" s="9">
        <v>154</v>
      </c>
    </row>
    <row r="24" spans="1:4" x14ac:dyDescent="0.25">
      <c r="A24" s="4" t="s">
        <v>234</v>
      </c>
      <c r="B24" s="4">
        <v>239420</v>
      </c>
      <c r="C24" s="4" t="s">
        <v>465</v>
      </c>
      <c r="D24" s="9">
        <v>72785</v>
      </c>
    </row>
    <row r="25" spans="1:4" x14ac:dyDescent="0.25">
      <c r="C25" s="31" t="s">
        <v>83</v>
      </c>
      <c r="D25" s="32">
        <f>SUM(D4:D24)</f>
        <v>166586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9E76-DD56-4E0C-9A53-44E8EFA3D905}">
  <dimension ref="A3:D24"/>
  <sheetViews>
    <sheetView view="pageBreakPreview" zoomScaleNormal="100" zoomScaleSheetLayoutView="100" workbookViewId="0">
      <selection activeCell="C33" sqref="C3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143</v>
      </c>
      <c r="B4" s="4">
        <v>241661</v>
      </c>
      <c r="C4" s="4" t="s">
        <v>483</v>
      </c>
      <c r="D4" s="9">
        <v>65973</v>
      </c>
    </row>
    <row r="5" spans="1:4" x14ac:dyDescent="0.25">
      <c r="A5" s="4" t="s">
        <v>143</v>
      </c>
      <c r="B5" s="4">
        <v>241641</v>
      </c>
      <c r="C5" s="4" t="s">
        <v>484</v>
      </c>
      <c r="D5" s="9">
        <v>6145</v>
      </c>
    </row>
    <row r="6" spans="1:4" x14ac:dyDescent="0.25">
      <c r="A6" s="4" t="s">
        <v>143</v>
      </c>
      <c r="B6" s="4">
        <v>241532</v>
      </c>
      <c r="C6" s="4" t="s">
        <v>485</v>
      </c>
      <c r="D6" s="9">
        <v>17345</v>
      </c>
    </row>
    <row r="7" spans="1:4" x14ac:dyDescent="0.25">
      <c r="A7" s="4" t="s">
        <v>320</v>
      </c>
      <c r="B7" s="4">
        <v>239121</v>
      </c>
      <c r="C7" s="4" t="s">
        <v>365</v>
      </c>
      <c r="D7" s="9">
        <v>2600</v>
      </c>
    </row>
    <row r="8" spans="1:4" x14ac:dyDescent="0.25">
      <c r="A8" s="4" t="s">
        <v>320</v>
      </c>
      <c r="B8" s="4">
        <v>234275</v>
      </c>
      <c r="C8" s="4" t="s">
        <v>321</v>
      </c>
      <c r="D8" s="9">
        <v>18975</v>
      </c>
    </row>
    <row r="9" spans="1:4" x14ac:dyDescent="0.25">
      <c r="A9" s="4" t="s">
        <v>108</v>
      </c>
      <c r="B9" s="4">
        <v>230407</v>
      </c>
      <c r="C9" s="4" t="s">
        <v>416</v>
      </c>
      <c r="D9" s="9">
        <v>1016</v>
      </c>
    </row>
    <row r="10" spans="1:4" x14ac:dyDescent="0.25">
      <c r="A10" s="4" t="s">
        <v>108</v>
      </c>
      <c r="B10" s="4">
        <v>235015</v>
      </c>
      <c r="C10" s="4" t="s">
        <v>287</v>
      </c>
      <c r="D10" s="9">
        <v>1320</v>
      </c>
    </row>
    <row r="11" spans="1:4" x14ac:dyDescent="0.25">
      <c r="A11" s="4" t="s">
        <v>108</v>
      </c>
      <c r="B11" s="4">
        <v>232454</v>
      </c>
      <c r="C11" s="4" t="s">
        <v>217</v>
      </c>
      <c r="D11" s="9">
        <v>1</v>
      </c>
    </row>
    <row r="12" spans="1:4" x14ac:dyDescent="0.25">
      <c r="A12" s="4" t="s">
        <v>336</v>
      </c>
      <c r="B12" s="4">
        <v>240993</v>
      </c>
      <c r="C12" s="4" t="s">
        <v>467</v>
      </c>
      <c r="D12" s="9">
        <v>13273</v>
      </c>
    </row>
    <row r="13" spans="1:4" x14ac:dyDescent="0.25">
      <c r="A13" s="4" t="s">
        <v>234</v>
      </c>
      <c r="B13" s="4">
        <v>241739</v>
      </c>
      <c r="C13" s="4" t="s">
        <v>486</v>
      </c>
      <c r="D13" s="9">
        <v>1928</v>
      </c>
    </row>
    <row r="14" spans="1:4" x14ac:dyDescent="0.25">
      <c r="A14" s="4" t="s">
        <v>81</v>
      </c>
      <c r="B14" s="4">
        <v>239047</v>
      </c>
      <c r="C14" s="4" t="s">
        <v>477</v>
      </c>
      <c r="D14" s="9">
        <v>128</v>
      </c>
    </row>
    <row r="15" spans="1:4" x14ac:dyDescent="0.25">
      <c r="A15" s="4" t="s">
        <v>180</v>
      </c>
      <c r="B15" s="4">
        <v>240890</v>
      </c>
      <c r="C15" s="4" t="s">
        <v>473</v>
      </c>
      <c r="D15" s="9">
        <v>990</v>
      </c>
    </row>
    <row r="16" spans="1:4" x14ac:dyDescent="0.25">
      <c r="A16" s="4" t="s">
        <v>180</v>
      </c>
      <c r="B16" s="4">
        <v>237440</v>
      </c>
      <c r="C16" s="4" t="s">
        <v>438</v>
      </c>
      <c r="D16" s="9">
        <v>6880</v>
      </c>
    </row>
    <row r="17" spans="1:4" x14ac:dyDescent="0.25">
      <c r="A17" s="4" t="s">
        <v>461</v>
      </c>
      <c r="B17" s="4">
        <v>240969</v>
      </c>
      <c r="C17" s="4" t="s">
        <v>462</v>
      </c>
      <c r="D17" s="9">
        <v>0</v>
      </c>
    </row>
    <row r="18" spans="1:4" x14ac:dyDescent="0.25">
      <c r="A18" s="4" t="s">
        <v>48</v>
      </c>
      <c r="B18" s="4">
        <v>231859</v>
      </c>
      <c r="C18" s="4" t="s">
        <v>294</v>
      </c>
      <c r="D18" s="9">
        <v>540</v>
      </c>
    </row>
    <row r="19" spans="1:4" x14ac:dyDescent="0.25">
      <c r="A19" s="4" t="s">
        <v>48</v>
      </c>
      <c r="B19" s="4">
        <v>240893</v>
      </c>
      <c r="C19" s="4" t="s">
        <v>482</v>
      </c>
      <c r="D19" s="9">
        <v>2800</v>
      </c>
    </row>
    <row r="20" spans="1:4" x14ac:dyDescent="0.25">
      <c r="A20" s="4" t="s">
        <v>206</v>
      </c>
      <c r="B20" s="4">
        <v>240945</v>
      </c>
      <c r="C20" s="4" t="s">
        <v>463</v>
      </c>
      <c r="D20" s="9">
        <v>3089</v>
      </c>
    </row>
    <row r="21" spans="1:4" x14ac:dyDescent="0.25">
      <c r="A21" s="4" t="s">
        <v>208</v>
      </c>
      <c r="B21" s="4">
        <v>191435</v>
      </c>
      <c r="C21" s="4" t="s">
        <v>209</v>
      </c>
      <c r="D21" s="9">
        <v>4590</v>
      </c>
    </row>
    <row r="22" spans="1:4" x14ac:dyDescent="0.25">
      <c r="A22" s="4" t="s">
        <v>234</v>
      </c>
      <c r="B22" s="4">
        <v>222354</v>
      </c>
      <c r="C22" s="4" t="s">
        <v>464</v>
      </c>
      <c r="D22" s="9">
        <v>154</v>
      </c>
    </row>
    <row r="23" spans="1:4" x14ac:dyDescent="0.25">
      <c r="A23" s="4" t="s">
        <v>234</v>
      </c>
      <c r="B23" s="4">
        <v>239420</v>
      </c>
      <c r="C23" s="4" t="s">
        <v>465</v>
      </c>
      <c r="D23" s="9">
        <v>72785</v>
      </c>
    </row>
    <row r="24" spans="1:4" x14ac:dyDescent="0.25">
      <c r="C24" s="31" t="s">
        <v>83</v>
      </c>
      <c r="D24" s="32">
        <f>SUM(D4:D23)</f>
        <v>220532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A0EF-123B-4FBA-A965-C4803CD9524E}">
  <dimension ref="A3:D29"/>
  <sheetViews>
    <sheetView view="pageBreakPreview" zoomScaleNormal="100" zoomScaleSheetLayoutView="100" workbookViewId="0">
      <selection activeCell="C34" sqref="C34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487</v>
      </c>
      <c r="B4" s="4">
        <v>240055</v>
      </c>
      <c r="C4" s="4" t="s">
        <v>488</v>
      </c>
      <c r="D4" s="9">
        <v>10866</v>
      </c>
    </row>
    <row r="5" spans="1:4" x14ac:dyDescent="0.25">
      <c r="A5" s="4" t="s">
        <v>143</v>
      </c>
      <c r="B5" s="4">
        <v>241661</v>
      </c>
      <c r="C5" s="4" t="s">
        <v>483</v>
      </c>
      <c r="D5" s="9">
        <v>65973</v>
      </c>
    </row>
    <row r="6" spans="1:4" x14ac:dyDescent="0.25">
      <c r="A6" s="4" t="s">
        <v>143</v>
      </c>
      <c r="B6" s="4">
        <v>241641</v>
      </c>
      <c r="C6" s="4" t="s">
        <v>484</v>
      </c>
      <c r="D6" s="9">
        <v>6145</v>
      </c>
    </row>
    <row r="7" spans="1:4" x14ac:dyDescent="0.25">
      <c r="A7" s="4" t="s">
        <v>143</v>
      </c>
      <c r="B7" s="4">
        <v>241532</v>
      </c>
      <c r="C7" s="4" t="s">
        <v>485</v>
      </c>
      <c r="D7" s="9">
        <v>17345</v>
      </c>
    </row>
    <row r="8" spans="1:4" x14ac:dyDescent="0.25">
      <c r="A8" s="4" t="s">
        <v>320</v>
      </c>
      <c r="B8" s="4">
        <v>239121</v>
      </c>
      <c r="C8" s="4" t="s">
        <v>365</v>
      </c>
      <c r="D8" s="9">
        <v>2600</v>
      </c>
    </row>
    <row r="9" spans="1:4" x14ac:dyDescent="0.25">
      <c r="A9" s="4" t="s">
        <v>320</v>
      </c>
      <c r="B9" s="4">
        <v>234275</v>
      </c>
      <c r="C9" s="4" t="s">
        <v>321</v>
      </c>
      <c r="D9" s="9">
        <v>18975</v>
      </c>
    </row>
    <row r="10" spans="1:4" x14ac:dyDescent="0.25">
      <c r="A10" s="4" t="s">
        <v>108</v>
      </c>
      <c r="B10" s="4">
        <v>230407</v>
      </c>
      <c r="C10" s="4" t="s">
        <v>416</v>
      </c>
      <c r="D10" s="9">
        <v>1016</v>
      </c>
    </row>
    <row r="11" spans="1:4" x14ac:dyDescent="0.25">
      <c r="A11" s="4" t="s">
        <v>108</v>
      </c>
      <c r="B11" s="4">
        <v>235015</v>
      </c>
      <c r="C11" s="4" t="s">
        <v>287</v>
      </c>
      <c r="D11" s="9">
        <v>1320</v>
      </c>
    </row>
    <row r="12" spans="1:4" x14ac:dyDescent="0.25">
      <c r="A12" s="4" t="s">
        <v>108</v>
      </c>
      <c r="B12" s="4">
        <v>232454</v>
      </c>
      <c r="C12" s="4" t="s">
        <v>217</v>
      </c>
      <c r="D12" s="9">
        <v>1</v>
      </c>
    </row>
    <row r="13" spans="1:4" x14ac:dyDescent="0.25">
      <c r="A13" s="4" t="s">
        <v>336</v>
      </c>
      <c r="B13" s="4">
        <v>240993</v>
      </c>
      <c r="C13" s="4" t="s">
        <v>467</v>
      </c>
      <c r="D13" s="9">
        <v>13273</v>
      </c>
    </row>
    <row r="14" spans="1:4" x14ac:dyDescent="0.25">
      <c r="A14" s="4" t="s">
        <v>234</v>
      </c>
      <c r="B14" s="4">
        <v>241739</v>
      </c>
      <c r="C14" s="4" t="s">
        <v>486</v>
      </c>
      <c r="D14" s="9">
        <v>1928</v>
      </c>
    </row>
    <row r="15" spans="1:4" x14ac:dyDescent="0.25">
      <c r="A15" s="4" t="s">
        <v>81</v>
      </c>
      <c r="B15" s="4">
        <v>242189</v>
      </c>
      <c r="C15" s="4" t="s">
        <v>489</v>
      </c>
      <c r="D15" s="9">
        <v>128</v>
      </c>
    </row>
    <row r="16" spans="1:4" x14ac:dyDescent="0.25">
      <c r="A16" s="4" t="s">
        <v>81</v>
      </c>
      <c r="B16" s="4">
        <v>239047</v>
      </c>
      <c r="C16" s="4" t="s">
        <v>477</v>
      </c>
      <c r="D16" s="9">
        <v>128</v>
      </c>
    </row>
    <row r="17" spans="1:4" x14ac:dyDescent="0.25">
      <c r="A17" s="4" t="s">
        <v>177</v>
      </c>
      <c r="B17" s="4">
        <v>241884</v>
      </c>
      <c r="C17" s="4" t="s">
        <v>490</v>
      </c>
      <c r="D17" s="9">
        <v>725</v>
      </c>
    </row>
    <row r="18" spans="1:4" x14ac:dyDescent="0.25">
      <c r="A18" s="4" t="s">
        <v>180</v>
      </c>
      <c r="B18" s="4">
        <v>241502</v>
      </c>
      <c r="C18" s="4" t="s">
        <v>491</v>
      </c>
      <c r="D18" s="9">
        <v>1590</v>
      </c>
    </row>
    <row r="19" spans="1:4" x14ac:dyDescent="0.25">
      <c r="A19" s="4" t="s">
        <v>180</v>
      </c>
      <c r="B19" s="4">
        <v>241954</v>
      </c>
      <c r="C19" s="4" t="s">
        <v>492</v>
      </c>
      <c r="D19" s="9">
        <v>3905</v>
      </c>
    </row>
    <row r="20" spans="1:4" x14ac:dyDescent="0.25">
      <c r="A20" s="4" t="s">
        <v>180</v>
      </c>
      <c r="B20" s="4">
        <v>240890</v>
      </c>
      <c r="C20" s="4" t="s">
        <v>473</v>
      </c>
      <c r="D20" s="9">
        <v>990</v>
      </c>
    </row>
    <row r="21" spans="1:4" x14ac:dyDescent="0.25">
      <c r="A21" s="4" t="s">
        <v>180</v>
      </c>
      <c r="B21" s="4">
        <v>237440</v>
      </c>
      <c r="C21" s="4" t="s">
        <v>438</v>
      </c>
      <c r="D21" s="9">
        <v>6880</v>
      </c>
    </row>
    <row r="22" spans="1:4" x14ac:dyDescent="0.25">
      <c r="A22" s="4" t="s">
        <v>493</v>
      </c>
      <c r="B22" s="4">
        <v>241879</v>
      </c>
      <c r="C22" s="4" t="s">
        <v>494</v>
      </c>
      <c r="D22" s="9">
        <v>950</v>
      </c>
    </row>
    <row r="23" spans="1:4" x14ac:dyDescent="0.25">
      <c r="A23" s="4" t="s">
        <v>461</v>
      </c>
      <c r="B23" s="4">
        <v>240969</v>
      </c>
      <c r="C23" s="4" t="s">
        <v>462</v>
      </c>
      <c r="D23" s="9">
        <v>0</v>
      </c>
    </row>
    <row r="24" spans="1:4" x14ac:dyDescent="0.25">
      <c r="A24" s="4" t="s">
        <v>48</v>
      </c>
      <c r="B24" s="4">
        <v>231859</v>
      </c>
      <c r="C24" s="4" t="s">
        <v>294</v>
      </c>
      <c r="D24" s="9">
        <v>540</v>
      </c>
    </row>
    <row r="25" spans="1:4" x14ac:dyDescent="0.25">
      <c r="A25" s="4" t="s">
        <v>206</v>
      </c>
      <c r="B25" s="4">
        <v>240945</v>
      </c>
      <c r="C25" s="4" t="s">
        <v>463</v>
      </c>
      <c r="D25" s="9">
        <v>3089</v>
      </c>
    </row>
    <row r="26" spans="1:4" x14ac:dyDescent="0.25">
      <c r="A26" s="4" t="s">
        <v>208</v>
      </c>
      <c r="B26" s="4">
        <v>191435</v>
      </c>
      <c r="C26" s="4" t="s">
        <v>209</v>
      </c>
      <c r="D26" s="9">
        <v>4590</v>
      </c>
    </row>
    <row r="27" spans="1:4" x14ac:dyDescent="0.25">
      <c r="A27" s="4" t="s">
        <v>234</v>
      </c>
      <c r="B27" s="4">
        <v>222354</v>
      </c>
      <c r="C27" s="4" t="s">
        <v>464</v>
      </c>
      <c r="D27" s="9">
        <v>154</v>
      </c>
    </row>
    <row r="28" spans="1:4" x14ac:dyDescent="0.25">
      <c r="A28" s="4" t="s">
        <v>234</v>
      </c>
      <c r="B28" s="4">
        <v>239420</v>
      </c>
      <c r="C28" s="4" t="s">
        <v>465</v>
      </c>
      <c r="D28" s="9">
        <v>72785</v>
      </c>
    </row>
    <row r="29" spans="1:4" x14ac:dyDescent="0.25">
      <c r="C29" s="31" t="s">
        <v>83</v>
      </c>
      <c r="D29" s="32">
        <f>SUM(D4:D28)</f>
        <v>235896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9E96-D76D-4F69-A0DC-FD34C8E42829}">
  <dimension ref="A3:D28"/>
  <sheetViews>
    <sheetView view="pageBreakPreview" zoomScaleNormal="100" zoomScaleSheetLayoutView="100" workbookViewId="0">
      <selection activeCell="D28" sqref="D28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320</v>
      </c>
      <c r="B4" s="4">
        <v>239121</v>
      </c>
      <c r="C4" s="4" t="s">
        <v>365</v>
      </c>
      <c r="D4" s="9">
        <v>2600</v>
      </c>
    </row>
    <row r="5" spans="1:4" x14ac:dyDescent="0.25">
      <c r="A5" s="4" t="s">
        <v>320</v>
      </c>
      <c r="B5" s="4">
        <v>234275</v>
      </c>
      <c r="C5" s="4" t="s">
        <v>321</v>
      </c>
      <c r="D5" s="9">
        <v>18975</v>
      </c>
    </row>
    <row r="6" spans="1:4" x14ac:dyDescent="0.25">
      <c r="A6" s="4" t="s">
        <v>108</v>
      </c>
      <c r="B6" s="4">
        <v>230407</v>
      </c>
      <c r="C6" s="4" t="s">
        <v>416</v>
      </c>
      <c r="D6" s="9">
        <v>1016</v>
      </c>
    </row>
    <row r="7" spans="1:4" x14ac:dyDescent="0.25">
      <c r="A7" s="4" t="s">
        <v>108</v>
      </c>
      <c r="B7" s="4">
        <v>235015</v>
      </c>
      <c r="C7" s="4" t="s">
        <v>287</v>
      </c>
      <c r="D7" s="9">
        <v>1320</v>
      </c>
    </row>
    <row r="8" spans="1:4" x14ac:dyDescent="0.25">
      <c r="A8" s="4" t="s">
        <v>108</v>
      </c>
      <c r="B8" s="4">
        <v>232454</v>
      </c>
      <c r="C8" s="4" t="s">
        <v>217</v>
      </c>
      <c r="D8" s="9">
        <v>1</v>
      </c>
    </row>
    <row r="9" spans="1:4" x14ac:dyDescent="0.25">
      <c r="A9" s="4" t="s">
        <v>336</v>
      </c>
      <c r="B9" s="4">
        <v>240993</v>
      </c>
      <c r="C9" s="4" t="s">
        <v>467</v>
      </c>
      <c r="D9" s="9">
        <v>13273</v>
      </c>
    </row>
    <row r="10" spans="1:4" x14ac:dyDescent="0.25">
      <c r="A10" s="4" t="s">
        <v>234</v>
      </c>
      <c r="B10" s="4">
        <v>241739</v>
      </c>
      <c r="C10" s="4" t="s">
        <v>486</v>
      </c>
      <c r="D10" s="9">
        <v>1928</v>
      </c>
    </row>
    <row r="11" spans="1:4" x14ac:dyDescent="0.25">
      <c r="A11" s="4" t="s">
        <v>81</v>
      </c>
      <c r="B11" s="4">
        <v>242189</v>
      </c>
      <c r="C11" s="4" t="s">
        <v>489</v>
      </c>
      <c r="D11" s="9">
        <v>128</v>
      </c>
    </row>
    <row r="12" spans="1:4" x14ac:dyDescent="0.25">
      <c r="A12" s="4" t="s">
        <v>81</v>
      </c>
      <c r="B12" s="4">
        <v>239047</v>
      </c>
      <c r="C12" s="4" t="s">
        <v>477</v>
      </c>
      <c r="D12" s="9">
        <v>128</v>
      </c>
    </row>
    <row r="13" spans="1:4" x14ac:dyDescent="0.25">
      <c r="A13" s="4" t="s">
        <v>175</v>
      </c>
      <c r="B13" s="4">
        <v>240522</v>
      </c>
      <c r="C13" s="4" t="s">
        <v>495</v>
      </c>
      <c r="D13" s="9">
        <v>13720</v>
      </c>
    </row>
    <row r="14" spans="1:4" x14ac:dyDescent="0.25">
      <c r="A14" s="4" t="s">
        <v>175</v>
      </c>
      <c r="B14" s="4">
        <v>240522</v>
      </c>
      <c r="C14" s="4" t="s">
        <v>496</v>
      </c>
      <c r="D14" s="9">
        <v>1305</v>
      </c>
    </row>
    <row r="15" spans="1:4" x14ac:dyDescent="0.25">
      <c r="A15" s="4" t="s">
        <v>177</v>
      </c>
      <c r="B15" s="4">
        <v>241884</v>
      </c>
      <c r="C15" s="4" t="s">
        <v>490</v>
      </c>
      <c r="D15" s="9">
        <v>725</v>
      </c>
    </row>
    <row r="16" spans="1:4" x14ac:dyDescent="0.25">
      <c r="A16" s="4" t="s">
        <v>180</v>
      </c>
      <c r="B16" s="4">
        <v>240890</v>
      </c>
      <c r="C16" s="4" t="s">
        <v>473</v>
      </c>
      <c r="D16" s="9">
        <v>990</v>
      </c>
    </row>
    <row r="17" spans="1:4" x14ac:dyDescent="0.25">
      <c r="A17" s="4" t="s">
        <v>180</v>
      </c>
      <c r="B17" s="4">
        <v>237440</v>
      </c>
      <c r="C17" s="4" t="s">
        <v>438</v>
      </c>
      <c r="D17" s="9">
        <v>6880</v>
      </c>
    </row>
    <row r="18" spans="1:4" x14ac:dyDescent="0.25">
      <c r="A18" s="4" t="s">
        <v>461</v>
      </c>
      <c r="B18" s="4">
        <v>240969</v>
      </c>
      <c r="C18" s="4" t="s">
        <v>462</v>
      </c>
      <c r="D18" s="9">
        <v>0</v>
      </c>
    </row>
    <row r="19" spans="1:4" x14ac:dyDescent="0.25">
      <c r="A19" s="4" t="s">
        <v>43</v>
      </c>
      <c r="B19" s="4">
        <v>242222</v>
      </c>
      <c r="C19" s="4" t="s">
        <v>497</v>
      </c>
      <c r="D19" s="9">
        <v>2995</v>
      </c>
    </row>
    <row r="20" spans="1:4" x14ac:dyDescent="0.25">
      <c r="A20" s="4" t="s">
        <v>48</v>
      </c>
      <c r="B20" s="4">
        <v>231859</v>
      </c>
      <c r="C20" s="4" t="s">
        <v>294</v>
      </c>
      <c r="D20" s="9">
        <v>540</v>
      </c>
    </row>
    <row r="21" spans="1:4" x14ac:dyDescent="0.25">
      <c r="A21" s="4" t="s">
        <v>48</v>
      </c>
      <c r="B21" s="4">
        <v>241385</v>
      </c>
      <c r="C21" s="4" t="s">
        <v>498</v>
      </c>
      <c r="D21" s="9">
        <v>1395</v>
      </c>
    </row>
    <row r="22" spans="1:4" x14ac:dyDescent="0.25">
      <c r="A22" s="4" t="s">
        <v>48</v>
      </c>
      <c r="B22" s="4">
        <v>240856</v>
      </c>
      <c r="C22" s="4" t="s">
        <v>499</v>
      </c>
      <c r="D22" s="9">
        <v>395</v>
      </c>
    </row>
    <row r="23" spans="1:4" x14ac:dyDescent="0.25">
      <c r="A23" s="4" t="s">
        <v>206</v>
      </c>
      <c r="B23" s="4">
        <v>240945</v>
      </c>
      <c r="C23" s="4" t="s">
        <v>463</v>
      </c>
      <c r="D23" s="9">
        <v>3089</v>
      </c>
    </row>
    <row r="24" spans="1:4" x14ac:dyDescent="0.25">
      <c r="A24" s="4" t="s">
        <v>208</v>
      </c>
      <c r="B24" s="4">
        <v>191435</v>
      </c>
      <c r="C24" s="4" t="s">
        <v>209</v>
      </c>
      <c r="D24" s="9">
        <v>4590</v>
      </c>
    </row>
    <row r="25" spans="1:4" x14ac:dyDescent="0.25">
      <c r="A25" s="4" t="s">
        <v>500</v>
      </c>
      <c r="B25" s="4">
        <v>242394</v>
      </c>
      <c r="C25" s="4" t="s">
        <v>501</v>
      </c>
      <c r="D25" s="9">
        <v>310500</v>
      </c>
    </row>
    <row r="26" spans="1:4" x14ac:dyDescent="0.25">
      <c r="A26" s="4" t="s">
        <v>234</v>
      </c>
      <c r="B26" s="4">
        <v>222354</v>
      </c>
      <c r="C26" s="4" t="s">
        <v>464</v>
      </c>
      <c r="D26" s="9">
        <v>154</v>
      </c>
    </row>
    <row r="27" spans="1:4" x14ac:dyDescent="0.25">
      <c r="A27" s="4" t="s">
        <v>234</v>
      </c>
      <c r="B27" s="4">
        <v>239420</v>
      </c>
      <c r="C27" s="4" t="s">
        <v>465</v>
      </c>
      <c r="D27" s="9">
        <v>72785</v>
      </c>
    </row>
    <row r="28" spans="1:4" x14ac:dyDescent="0.25">
      <c r="C28" s="31" t="s">
        <v>83</v>
      </c>
      <c r="D28" s="32">
        <f>SUM(D4:D27)</f>
        <v>459432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0E6D7-AAA1-4125-B9EB-716559C76346}">
  <dimension ref="A3:D15"/>
  <sheetViews>
    <sheetView view="pageBreakPreview" zoomScaleNormal="100" zoomScaleSheetLayoutView="100" workbookViewId="0">
      <selection activeCell="B37" sqref="B37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320</v>
      </c>
      <c r="B4" s="4">
        <v>239121</v>
      </c>
      <c r="C4" s="4" t="s">
        <v>365</v>
      </c>
      <c r="D4" s="9">
        <v>2600</v>
      </c>
    </row>
    <row r="5" spans="1:4" x14ac:dyDescent="0.25">
      <c r="A5" s="4" t="s">
        <v>320</v>
      </c>
      <c r="B5" s="4">
        <v>234275</v>
      </c>
      <c r="C5" s="4" t="s">
        <v>321</v>
      </c>
      <c r="D5" s="9">
        <v>18975</v>
      </c>
    </row>
    <row r="6" spans="1:4" x14ac:dyDescent="0.25">
      <c r="A6" s="4" t="s">
        <v>336</v>
      </c>
      <c r="B6" s="4">
        <v>240993</v>
      </c>
      <c r="C6" s="4" t="s">
        <v>467</v>
      </c>
      <c r="D6" s="9">
        <v>13273</v>
      </c>
    </row>
    <row r="7" spans="1:4" x14ac:dyDescent="0.25">
      <c r="A7" s="4" t="s">
        <v>175</v>
      </c>
      <c r="B7" s="4">
        <v>240522</v>
      </c>
      <c r="C7" s="4" t="s">
        <v>495</v>
      </c>
      <c r="D7" s="9">
        <v>13720</v>
      </c>
    </row>
    <row r="8" spans="1:4" x14ac:dyDescent="0.25">
      <c r="A8" s="4" t="s">
        <v>177</v>
      </c>
      <c r="B8" s="4">
        <v>241884</v>
      </c>
      <c r="C8" s="4" t="s">
        <v>490</v>
      </c>
      <c r="D8" s="9">
        <v>725</v>
      </c>
    </row>
    <row r="9" spans="1:4" x14ac:dyDescent="0.25">
      <c r="A9" s="4" t="s">
        <v>180</v>
      </c>
      <c r="B9" s="4">
        <v>237440</v>
      </c>
      <c r="C9" s="4" t="s">
        <v>502</v>
      </c>
      <c r="D9" s="9">
        <v>6880</v>
      </c>
    </row>
    <row r="10" spans="1:4" x14ac:dyDescent="0.25">
      <c r="A10" s="4" t="s">
        <v>461</v>
      </c>
      <c r="B10" s="4">
        <v>240969</v>
      </c>
      <c r="C10" s="4" t="s">
        <v>462</v>
      </c>
      <c r="D10" s="9">
        <v>0</v>
      </c>
    </row>
    <row r="11" spans="1:4" x14ac:dyDescent="0.25">
      <c r="A11" s="4" t="s">
        <v>48</v>
      </c>
      <c r="B11" s="4">
        <v>231859</v>
      </c>
      <c r="C11" s="4" t="s">
        <v>294</v>
      </c>
      <c r="D11" s="9">
        <v>540</v>
      </c>
    </row>
    <row r="12" spans="1:4" x14ac:dyDescent="0.25">
      <c r="A12" s="4" t="s">
        <v>206</v>
      </c>
      <c r="B12" s="4">
        <v>240945</v>
      </c>
      <c r="C12" s="4" t="s">
        <v>463</v>
      </c>
      <c r="D12" s="9">
        <v>3089</v>
      </c>
    </row>
    <row r="13" spans="1:4" x14ac:dyDescent="0.25">
      <c r="A13" s="4" t="s">
        <v>151</v>
      </c>
      <c r="B13" s="4">
        <v>242652</v>
      </c>
      <c r="C13" s="4" t="s">
        <v>503</v>
      </c>
      <c r="D13" s="9">
        <v>870</v>
      </c>
    </row>
    <row r="14" spans="1:4" x14ac:dyDescent="0.25">
      <c r="A14" s="4" t="s">
        <v>500</v>
      </c>
      <c r="B14" s="4">
        <v>242394</v>
      </c>
      <c r="C14" s="4" t="s">
        <v>501</v>
      </c>
      <c r="D14" s="9">
        <v>310500</v>
      </c>
    </row>
    <row r="15" spans="1:4" x14ac:dyDescent="0.25">
      <c r="C15" s="31" t="s">
        <v>83</v>
      </c>
      <c r="D15" s="32">
        <f>SUM(D4:D14)</f>
        <v>371172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8932-0514-4F69-B145-80D334055588}">
  <dimension ref="A3:D14"/>
  <sheetViews>
    <sheetView view="pageBreakPreview" zoomScaleNormal="100" zoomScaleSheetLayoutView="100" workbookViewId="0">
      <selection activeCell="B22" sqref="B22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320</v>
      </c>
      <c r="B4" s="4">
        <v>239121</v>
      </c>
      <c r="C4" s="4" t="s">
        <v>365</v>
      </c>
      <c r="D4" s="9">
        <v>2600</v>
      </c>
    </row>
    <row r="5" spans="1:4" x14ac:dyDescent="0.25">
      <c r="A5" s="4" t="s">
        <v>320</v>
      </c>
      <c r="B5" s="4">
        <v>234275</v>
      </c>
      <c r="C5" s="4" t="s">
        <v>321</v>
      </c>
      <c r="D5" s="9">
        <v>18975</v>
      </c>
    </row>
    <row r="6" spans="1:4" x14ac:dyDescent="0.25">
      <c r="A6" s="4" t="s">
        <v>108</v>
      </c>
      <c r="B6" s="4">
        <v>242885</v>
      </c>
      <c r="C6" s="4" t="s">
        <v>504</v>
      </c>
      <c r="D6" s="9">
        <v>2828</v>
      </c>
    </row>
    <row r="7" spans="1:4" x14ac:dyDescent="0.25">
      <c r="A7" s="4" t="s">
        <v>336</v>
      </c>
      <c r="B7" s="4">
        <v>240993</v>
      </c>
      <c r="C7" s="4" t="s">
        <v>467</v>
      </c>
      <c r="D7" s="9">
        <v>13273</v>
      </c>
    </row>
    <row r="8" spans="1:4" x14ac:dyDescent="0.25">
      <c r="A8" s="4" t="s">
        <v>175</v>
      </c>
      <c r="B8" s="4">
        <v>240522</v>
      </c>
      <c r="C8" s="4" t="s">
        <v>495</v>
      </c>
      <c r="D8" s="9">
        <v>13720</v>
      </c>
    </row>
    <row r="9" spans="1:4" x14ac:dyDescent="0.25">
      <c r="A9" s="4" t="s">
        <v>180</v>
      </c>
      <c r="B9" s="4">
        <v>237440</v>
      </c>
      <c r="C9" s="4" t="s">
        <v>502</v>
      </c>
      <c r="D9" s="9">
        <v>6880</v>
      </c>
    </row>
    <row r="10" spans="1:4" x14ac:dyDescent="0.25">
      <c r="A10" s="4" t="s">
        <v>461</v>
      </c>
      <c r="B10" s="4">
        <v>240969</v>
      </c>
      <c r="C10" s="4" t="s">
        <v>462</v>
      </c>
      <c r="D10" s="9">
        <v>0</v>
      </c>
    </row>
    <row r="11" spans="1:4" x14ac:dyDescent="0.25">
      <c r="A11" s="4" t="s">
        <v>48</v>
      </c>
      <c r="B11" s="4">
        <v>231859</v>
      </c>
      <c r="C11" s="4" t="s">
        <v>294</v>
      </c>
      <c r="D11" s="9">
        <v>540</v>
      </c>
    </row>
    <row r="12" spans="1:4" x14ac:dyDescent="0.25">
      <c r="A12" s="4" t="s">
        <v>206</v>
      </c>
      <c r="B12" s="4">
        <v>240945</v>
      </c>
      <c r="C12" s="4" t="s">
        <v>463</v>
      </c>
      <c r="D12" s="9">
        <v>3089</v>
      </c>
    </row>
    <row r="13" spans="1:4" x14ac:dyDescent="0.25">
      <c r="A13" s="4" t="s">
        <v>500</v>
      </c>
      <c r="B13" s="4">
        <v>242394</v>
      </c>
      <c r="C13" s="4" t="s">
        <v>501</v>
      </c>
      <c r="D13" s="9">
        <v>310500</v>
      </c>
    </row>
    <row r="14" spans="1:4" x14ac:dyDescent="0.25">
      <c r="C14" s="31" t="s">
        <v>83</v>
      </c>
      <c r="D14" s="32">
        <f>SUM(D4:D13)</f>
        <v>372405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D364-BC0A-49B9-8178-30CE05C8EE7F}">
  <dimension ref="A3:D16"/>
  <sheetViews>
    <sheetView view="pageBreakPreview" zoomScaleNormal="100" zoomScaleSheetLayoutView="100" workbookViewId="0">
      <selection activeCell="A26" sqref="A26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320</v>
      </c>
      <c r="B4" s="4">
        <v>239121</v>
      </c>
      <c r="C4" s="4" t="s">
        <v>365</v>
      </c>
      <c r="D4" s="9">
        <v>2600</v>
      </c>
    </row>
    <row r="5" spans="1:4" x14ac:dyDescent="0.25">
      <c r="A5" s="4" t="s">
        <v>320</v>
      </c>
      <c r="B5" s="4">
        <v>234275</v>
      </c>
      <c r="C5" s="4" t="s">
        <v>321</v>
      </c>
      <c r="D5" s="9">
        <v>18975</v>
      </c>
    </row>
    <row r="6" spans="1:4" x14ac:dyDescent="0.25">
      <c r="A6" s="4" t="s">
        <v>336</v>
      </c>
      <c r="B6" s="4">
        <v>240993</v>
      </c>
      <c r="C6" s="4" t="s">
        <v>467</v>
      </c>
      <c r="D6" s="9">
        <v>13273</v>
      </c>
    </row>
    <row r="7" spans="1:4" x14ac:dyDescent="0.25">
      <c r="A7" s="4" t="s">
        <v>175</v>
      </c>
      <c r="B7" s="4">
        <v>240522</v>
      </c>
      <c r="C7" s="4" t="s">
        <v>495</v>
      </c>
      <c r="D7" s="9">
        <v>13720</v>
      </c>
    </row>
    <row r="8" spans="1:4" x14ac:dyDescent="0.25">
      <c r="A8" s="4" t="s">
        <v>505</v>
      </c>
      <c r="B8" s="4">
        <v>243018</v>
      </c>
      <c r="C8" s="4" t="s">
        <v>506</v>
      </c>
      <c r="D8" s="9">
        <v>2505</v>
      </c>
    </row>
    <row r="9" spans="1:4" x14ac:dyDescent="0.25">
      <c r="A9" s="4" t="s">
        <v>394</v>
      </c>
      <c r="B9" s="4">
        <v>243161</v>
      </c>
      <c r="C9" s="4" t="s">
        <v>507</v>
      </c>
      <c r="D9" s="9">
        <v>1873</v>
      </c>
    </row>
    <row r="10" spans="1:4" x14ac:dyDescent="0.25">
      <c r="A10" s="4" t="s">
        <v>180</v>
      </c>
      <c r="B10" s="4">
        <v>237440</v>
      </c>
      <c r="C10" s="4" t="s">
        <v>502</v>
      </c>
      <c r="D10" s="9">
        <v>6880</v>
      </c>
    </row>
    <row r="11" spans="1:4" x14ac:dyDescent="0.25">
      <c r="A11" s="4" t="s">
        <v>461</v>
      </c>
      <c r="B11" s="4">
        <v>243267</v>
      </c>
      <c r="C11" s="4" t="s">
        <v>508</v>
      </c>
      <c r="D11" s="9">
        <v>0</v>
      </c>
    </row>
    <row r="12" spans="1:4" x14ac:dyDescent="0.25">
      <c r="A12" s="4" t="s">
        <v>315</v>
      </c>
      <c r="B12" s="4">
        <v>239313</v>
      </c>
      <c r="C12" s="4" t="s">
        <v>509</v>
      </c>
      <c r="D12" s="9">
        <v>5090</v>
      </c>
    </row>
    <row r="13" spans="1:4" x14ac:dyDescent="0.25">
      <c r="A13" s="4" t="s">
        <v>48</v>
      </c>
      <c r="B13" s="4">
        <v>231859</v>
      </c>
      <c r="C13" s="4" t="s">
        <v>294</v>
      </c>
      <c r="D13" s="9">
        <v>540</v>
      </c>
    </row>
    <row r="14" spans="1:4" x14ac:dyDescent="0.25">
      <c r="A14" s="4" t="s">
        <v>206</v>
      </c>
      <c r="B14" s="4">
        <v>240945</v>
      </c>
      <c r="C14" s="4" t="s">
        <v>463</v>
      </c>
      <c r="D14" s="9">
        <v>3089</v>
      </c>
    </row>
    <row r="15" spans="1:4" x14ac:dyDescent="0.25">
      <c r="A15" s="4" t="s">
        <v>13</v>
      </c>
      <c r="B15" s="4">
        <v>243187</v>
      </c>
      <c r="C15" s="4" t="s">
        <v>510</v>
      </c>
      <c r="D15" s="9">
        <v>1260</v>
      </c>
    </row>
    <row r="16" spans="1:4" x14ac:dyDescent="0.25">
      <c r="C16" s="31" t="s">
        <v>83</v>
      </c>
      <c r="D16" s="32">
        <f>SUM(D4:D15)</f>
        <v>69805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C248-379C-482B-843D-6DFB7AAEC56C}">
  <dimension ref="A3:D11"/>
  <sheetViews>
    <sheetView view="pageBreakPreview" zoomScaleNormal="100" zoomScaleSheetLayoutView="100" workbookViewId="0">
      <selection activeCell="A26" sqref="A25:A26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336</v>
      </c>
      <c r="B4" s="4">
        <v>240993</v>
      </c>
      <c r="C4" s="4" t="s">
        <v>467</v>
      </c>
      <c r="D4" s="9">
        <v>13273</v>
      </c>
    </row>
    <row r="5" spans="1:4" x14ac:dyDescent="0.25">
      <c r="A5" s="4" t="s">
        <v>234</v>
      </c>
      <c r="B5" s="4">
        <v>243520</v>
      </c>
      <c r="C5" s="4" t="s">
        <v>511</v>
      </c>
      <c r="D5" s="9">
        <v>2472</v>
      </c>
    </row>
    <row r="6" spans="1:4" x14ac:dyDescent="0.25">
      <c r="A6" s="4" t="s">
        <v>167</v>
      </c>
      <c r="B6" s="4">
        <v>242251</v>
      </c>
      <c r="C6" s="4" t="s">
        <v>512</v>
      </c>
      <c r="D6" s="9">
        <v>395</v>
      </c>
    </row>
    <row r="7" spans="1:4" x14ac:dyDescent="0.25">
      <c r="A7" s="4" t="s">
        <v>167</v>
      </c>
      <c r="B7" s="4">
        <v>242165</v>
      </c>
      <c r="C7" s="4" t="s">
        <v>513</v>
      </c>
      <c r="D7" s="9">
        <v>790</v>
      </c>
    </row>
    <row r="8" spans="1:4" x14ac:dyDescent="0.25">
      <c r="A8" s="4" t="s">
        <v>514</v>
      </c>
      <c r="B8" s="4">
        <v>242979</v>
      </c>
      <c r="C8" s="4" t="s">
        <v>515</v>
      </c>
      <c r="D8" s="9">
        <v>635</v>
      </c>
    </row>
    <row r="9" spans="1:4" x14ac:dyDescent="0.25">
      <c r="A9" s="4" t="s">
        <v>180</v>
      </c>
      <c r="B9" s="4">
        <v>237440</v>
      </c>
      <c r="C9" s="4" t="s">
        <v>502</v>
      </c>
      <c r="D9" s="9">
        <v>6880</v>
      </c>
    </row>
    <row r="10" spans="1:4" x14ac:dyDescent="0.25">
      <c r="A10" s="4" t="s">
        <v>208</v>
      </c>
      <c r="B10" s="4">
        <v>191435</v>
      </c>
      <c r="C10" s="4" t="s">
        <v>209</v>
      </c>
      <c r="D10" s="9">
        <v>4590</v>
      </c>
    </row>
    <row r="11" spans="1:4" x14ac:dyDescent="0.25">
      <c r="C11" s="31" t="s">
        <v>83</v>
      </c>
      <c r="D11" s="32">
        <f>SUM(D4:D10)</f>
        <v>29035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537C-FBF5-4349-9776-FDA23049979D}">
  <dimension ref="A3:D16"/>
  <sheetViews>
    <sheetView view="pageBreakPreview" zoomScaleNormal="100" zoomScaleSheetLayoutView="100" workbookViewId="0">
      <selection activeCell="B31" sqref="B31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516</v>
      </c>
      <c r="B4" s="4">
        <v>245667</v>
      </c>
      <c r="C4" s="4" t="s">
        <v>517</v>
      </c>
      <c r="D4" s="9">
        <v>4070</v>
      </c>
    </row>
    <row r="5" spans="1:4" x14ac:dyDescent="0.25">
      <c r="A5" s="4" t="s">
        <v>336</v>
      </c>
      <c r="B5" s="4">
        <v>240993</v>
      </c>
      <c r="C5" s="4" t="s">
        <v>467</v>
      </c>
      <c r="D5" s="9">
        <v>13273</v>
      </c>
    </row>
    <row r="6" spans="1:4" x14ac:dyDescent="0.25">
      <c r="A6" s="4" t="s">
        <v>24</v>
      </c>
      <c r="B6" s="4">
        <v>245679</v>
      </c>
      <c r="C6" s="4" t="s">
        <v>518</v>
      </c>
      <c r="D6" s="9">
        <v>795</v>
      </c>
    </row>
    <row r="7" spans="1:4" x14ac:dyDescent="0.25">
      <c r="A7" s="4" t="s">
        <v>167</v>
      </c>
      <c r="B7" s="4">
        <v>228928</v>
      </c>
      <c r="C7" s="4" t="s">
        <v>519</v>
      </c>
      <c r="D7" s="9">
        <v>3770</v>
      </c>
    </row>
    <row r="8" spans="1:4" x14ac:dyDescent="0.25">
      <c r="A8" s="4" t="s">
        <v>38</v>
      </c>
      <c r="B8" s="4">
        <v>241023</v>
      </c>
      <c r="C8" s="4" t="s">
        <v>520</v>
      </c>
      <c r="D8" s="9">
        <v>570</v>
      </c>
    </row>
    <row r="9" spans="1:4" x14ac:dyDescent="0.25">
      <c r="A9" s="4" t="s">
        <v>38</v>
      </c>
      <c r="B9" s="4">
        <v>245734</v>
      </c>
      <c r="C9" s="4" t="s">
        <v>521</v>
      </c>
      <c r="D9" s="9">
        <v>395</v>
      </c>
    </row>
    <row r="10" spans="1:4" x14ac:dyDescent="0.25">
      <c r="A10" s="4" t="s">
        <v>38</v>
      </c>
      <c r="B10" s="4">
        <v>246149</v>
      </c>
      <c r="C10" s="4" t="s">
        <v>522</v>
      </c>
      <c r="D10" s="9">
        <v>90</v>
      </c>
    </row>
    <row r="11" spans="1:4" x14ac:dyDescent="0.25">
      <c r="A11" s="4" t="s">
        <v>43</v>
      </c>
      <c r="B11" s="4">
        <v>246076</v>
      </c>
      <c r="C11" s="4" t="s">
        <v>523</v>
      </c>
      <c r="D11" s="9">
        <v>790</v>
      </c>
    </row>
    <row r="12" spans="1:4" x14ac:dyDescent="0.25">
      <c r="A12" s="4" t="s">
        <v>43</v>
      </c>
      <c r="B12" s="4">
        <v>246075</v>
      </c>
      <c r="C12" s="4" t="s">
        <v>524</v>
      </c>
      <c r="D12" s="9">
        <v>790</v>
      </c>
    </row>
    <row r="13" spans="1:4" x14ac:dyDescent="0.25">
      <c r="A13" s="4" t="s">
        <v>48</v>
      </c>
      <c r="B13" s="4">
        <v>246118</v>
      </c>
      <c r="C13" s="4" t="s">
        <v>525</v>
      </c>
      <c r="D13" s="9">
        <v>65</v>
      </c>
    </row>
    <row r="14" spans="1:4" x14ac:dyDescent="0.25">
      <c r="A14" s="4" t="s">
        <v>208</v>
      </c>
      <c r="B14" s="4">
        <v>191435</v>
      </c>
      <c r="C14" s="4" t="s">
        <v>209</v>
      </c>
      <c r="D14" s="9">
        <v>4590</v>
      </c>
    </row>
    <row r="15" spans="1:4" x14ac:dyDescent="0.25">
      <c r="A15" s="4" t="s">
        <v>38</v>
      </c>
      <c r="B15" s="4">
        <v>245852</v>
      </c>
      <c r="C15" s="4" t="s">
        <v>526</v>
      </c>
      <c r="D15" s="9">
        <v>90</v>
      </c>
    </row>
    <row r="16" spans="1:4" x14ac:dyDescent="0.25">
      <c r="C16" s="31" t="s">
        <v>83</v>
      </c>
      <c r="D16" s="32">
        <f>SUM(D4:D15)</f>
        <v>29288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9683-36CD-4B07-96D0-00347D3B3CF2}">
  <dimension ref="A3:D15"/>
  <sheetViews>
    <sheetView view="pageBreakPreview" zoomScaleNormal="100" zoomScaleSheetLayoutView="100" workbookViewId="0">
      <selection activeCell="C19" sqref="C19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516</v>
      </c>
      <c r="B4" s="4">
        <v>245667</v>
      </c>
      <c r="C4" s="4" t="s">
        <v>517</v>
      </c>
      <c r="D4" s="9">
        <v>4070</v>
      </c>
    </row>
    <row r="5" spans="1:4" x14ac:dyDescent="0.25">
      <c r="A5" s="4" t="s">
        <v>13</v>
      </c>
      <c r="B5" s="4">
        <v>248077</v>
      </c>
      <c r="C5" s="4" t="s">
        <v>527</v>
      </c>
      <c r="D5" s="9">
        <v>24254</v>
      </c>
    </row>
    <row r="6" spans="1:4" x14ac:dyDescent="0.25">
      <c r="A6" s="4" t="s">
        <v>336</v>
      </c>
      <c r="B6" s="4">
        <v>240993</v>
      </c>
      <c r="C6" s="4" t="s">
        <v>467</v>
      </c>
      <c r="D6" s="9">
        <v>13273</v>
      </c>
    </row>
    <row r="7" spans="1:4" x14ac:dyDescent="0.25">
      <c r="A7" s="4" t="s">
        <v>167</v>
      </c>
      <c r="B7" s="4">
        <v>228928</v>
      </c>
      <c r="C7" s="4" t="s">
        <v>519</v>
      </c>
      <c r="D7" s="9">
        <v>3770</v>
      </c>
    </row>
    <row r="8" spans="1:4" x14ac:dyDescent="0.25">
      <c r="A8" s="4" t="s">
        <v>180</v>
      </c>
      <c r="B8" s="4">
        <v>246212</v>
      </c>
      <c r="C8" s="4" t="s">
        <v>528</v>
      </c>
      <c r="D8" s="9">
        <v>75</v>
      </c>
    </row>
    <row r="9" spans="1:4" x14ac:dyDescent="0.25">
      <c r="A9" s="4" t="s">
        <v>38</v>
      </c>
      <c r="B9" s="4">
        <v>241023</v>
      </c>
      <c r="C9" s="4" t="s">
        <v>520</v>
      </c>
      <c r="D9" s="9">
        <v>570</v>
      </c>
    </row>
    <row r="10" spans="1:4" x14ac:dyDescent="0.25">
      <c r="A10" s="4" t="s">
        <v>38</v>
      </c>
      <c r="B10" s="4">
        <v>245734</v>
      </c>
      <c r="C10" s="4" t="s">
        <v>521</v>
      </c>
      <c r="D10" s="9">
        <v>395</v>
      </c>
    </row>
    <row r="11" spans="1:4" x14ac:dyDescent="0.25">
      <c r="A11" s="4" t="s">
        <v>38</v>
      </c>
      <c r="B11" s="4">
        <v>246149</v>
      </c>
      <c r="C11" s="4" t="s">
        <v>522</v>
      </c>
      <c r="D11" s="9">
        <v>90</v>
      </c>
    </row>
    <row r="12" spans="1:4" x14ac:dyDescent="0.25">
      <c r="A12" s="4" t="s">
        <v>48</v>
      </c>
      <c r="B12" s="4">
        <v>246118</v>
      </c>
      <c r="C12" s="4" t="s">
        <v>525</v>
      </c>
      <c r="D12" s="9">
        <v>65</v>
      </c>
    </row>
    <row r="13" spans="1:4" x14ac:dyDescent="0.25">
      <c r="A13" s="4" t="s">
        <v>208</v>
      </c>
      <c r="B13" s="4">
        <v>191435</v>
      </c>
      <c r="C13" s="4" t="s">
        <v>209</v>
      </c>
      <c r="D13" s="9">
        <v>4590</v>
      </c>
    </row>
    <row r="14" spans="1:4" x14ac:dyDescent="0.25">
      <c r="A14" s="4" t="s">
        <v>38</v>
      </c>
      <c r="B14" s="4">
        <v>245852</v>
      </c>
      <c r="C14" s="4" t="s">
        <v>526</v>
      </c>
      <c r="D14" s="9">
        <v>90</v>
      </c>
    </row>
    <row r="15" spans="1:4" x14ac:dyDescent="0.25">
      <c r="C15" s="31" t="s">
        <v>83</v>
      </c>
      <c r="D15" s="32">
        <f>SUM(D4:D14)</f>
        <v>51242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2DC7-3350-43DD-A184-53DB4CDAE58A}">
  <dimension ref="A3:D23"/>
  <sheetViews>
    <sheetView view="pageBreakPreview" zoomScaleNormal="100" zoomScaleSheetLayoutView="100" workbookViewId="0">
      <selection activeCell="F17" sqref="F17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529</v>
      </c>
      <c r="B4" s="4">
        <v>251364</v>
      </c>
      <c r="C4" s="4" t="s">
        <v>530</v>
      </c>
      <c r="D4" s="9">
        <v>8725</v>
      </c>
    </row>
    <row r="5" spans="1:4" x14ac:dyDescent="0.25">
      <c r="A5" s="4" t="s">
        <v>256</v>
      </c>
      <c r="B5" s="4">
        <v>248121</v>
      </c>
      <c r="C5" s="4" t="s">
        <v>531</v>
      </c>
      <c r="D5" s="9">
        <v>5960</v>
      </c>
    </row>
    <row r="6" spans="1:4" x14ac:dyDescent="0.25">
      <c r="A6" s="4" t="s">
        <v>516</v>
      </c>
      <c r="B6" s="4">
        <v>245667</v>
      </c>
      <c r="C6" s="4" t="s">
        <v>517</v>
      </c>
      <c r="D6" s="9">
        <v>4070</v>
      </c>
    </row>
    <row r="7" spans="1:4" x14ac:dyDescent="0.25">
      <c r="A7" s="4" t="s">
        <v>13</v>
      </c>
      <c r="B7" s="4">
        <v>245774</v>
      </c>
      <c r="C7" s="4" t="s">
        <v>532</v>
      </c>
      <c r="D7" s="9">
        <v>14880</v>
      </c>
    </row>
    <row r="8" spans="1:4" x14ac:dyDescent="0.25">
      <c r="A8" s="4" t="s">
        <v>13</v>
      </c>
      <c r="B8" s="4">
        <v>246063</v>
      </c>
      <c r="C8" s="4" t="s">
        <v>533</v>
      </c>
      <c r="D8" s="9">
        <v>10094</v>
      </c>
    </row>
    <row r="9" spans="1:4" x14ac:dyDescent="0.25">
      <c r="A9" s="4" t="s">
        <v>13</v>
      </c>
      <c r="B9" s="4">
        <v>250293</v>
      </c>
      <c r="C9" s="4" t="s">
        <v>534</v>
      </c>
      <c r="D9" s="9">
        <v>220</v>
      </c>
    </row>
    <row r="10" spans="1:4" x14ac:dyDescent="0.25">
      <c r="A10" s="4" t="s">
        <v>108</v>
      </c>
      <c r="B10" s="4">
        <v>248063</v>
      </c>
      <c r="C10" s="4" t="s">
        <v>535</v>
      </c>
      <c r="D10" s="9">
        <v>28840</v>
      </c>
    </row>
    <row r="11" spans="1:4" x14ac:dyDescent="0.25">
      <c r="A11" s="4" t="s">
        <v>108</v>
      </c>
      <c r="B11" s="4">
        <v>251353</v>
      </c>
      <c r="C11" s="4" t="s">
        <v>536</v>
      </c>
      <c r="D11" s="9">
        <v>7740</v>
      </c>
    </row>
    <row r="12" spans="1:4" x14ac:dyDescent="0.25">
      <c r="A12" s="4" t="s">
        <v>336</v>
      </c>
      <c r="B12" s="4">
        <v>240993</v>
      </c>
      <c r="C12" s="4" t="s">
        <v>467</v>
      </c>
      <c r="D12" s="9">
        <v>13273</v>
      </c>
    </row>
    <row r="13" spans="1:4" x14ac:dyDescent="0.25">
      <c r="A13" s="4" t="s">
        <v>180</v>
      </c>
      <c r="B13" s="4">
        <v>246212</v>
      </c>
      <c r="C13" s="4" t="s">
        <v>528</v>
      </c>
      <c r="D13" s="9">
        <v>75</v>
      </c>
    </row>
    <row r="14" spans="1:4" x14ac:dyDescent="0.25">
      <c r="A14" s="4" t="s">
        <v>34</v>
      </c>
      <c r="B14" s="4">
        <v>248066</v>
      </c>
      <c r="C14" s="4" t="s">
        <v>537</v>
      </c>
      <c r="D14" s="9">
        <v>738</v>
      </c>
    </row>
    <row r="15" spans="1:4" x14ac:dyDescent="0.25">
      <c r="A15" s="4" t="s">
        <v>38</v>
      </c>
      <c r="B15" s="4">
        <v>241023</v>
      </c>
      <c r="C15" s="4" t="s">
        <v>520</v>
      </c>
      <c r="D15" s="9">
        <v>570</v>
      </c>
    </row>
    <row r="16" spans="1:4" x14ac:dyDescent="0.25">
      <c r="A16" s="4" t="s">
        <v>38</v>
      </c>
      <c r="B16" s="4">
        <v>245734</v>
      </c>
      <c r="C16" s="4" t="s">
        <v>521</v>
      </c>
      <c r="D16" s="9">
        <v>395</v>
      </c>
    </row>
    <row r="17" spans="1:4" x14ac:dyDescent="0.25">
      <c r="A17" s="4" t="s">
        <v>38</v>
      </c>
      <c r="B17" s="4">
        <v>246149</v>
      </c>
      <c r="C17" s="4" t="s">
        <v>522</v>
      </c>
      <c r="D17" s="9">
        <v>90</v>
      </c>
    </row>
    <row r="18" spans="1:4" x14ac:dyDescent="0.25">
      <c r="A18" s="4" t="s">
        <v>48</v>
      </c>
      <c r="B18" s="4">
        <v>246083</v>
      </c>
      <c r="C18" s="4" t="s">
        <v>538</v>
      </c>
      <c r="D18" s="9">
        <v>3480</v>
      </c>
    </row>
    <row r="19" spans="1:4" x14ac:dyDescent="0.25">
      <c r="A19" s="4" t="s">
        <v>48</v>
      </c>
      <c r="B19" s="4">
        <v>246118</v>
      </c>
      <c r="C19" s="4" t="s">
        <v>525</v>
      </c>
      <c r="D19" s="9">
        <v>65</v>
      </c>
    </row>
    <row r="20" spans="1:4" x14ac:dyDescent="0.25">
      <c r="A20" s="4" t="s">
        <v>208</v>
      </c>
      <c r="B20" s="4">
        <v>191435</v>
      </c>
      <c r="C20" s="4" t="s">
        <v>209</v>
      </c>
      <c r="D20" s="9">
        <v>4590</v>
      </c>
    </row>
    <row r="21" spans="1:4" x14ac:dyDescent="0.25">
      <c r="A21" s="4" t="s">
        <v>38</v>
      </c>
      <c r="B21" s="4">
        <v>245852</v>
      </c>
      <c r="C21" s="4" t="s">
        <v>526</v>
      </c>
      <c r="D21" s="9">
        <v>90</v>
      </c>
    </row>
    <row r="22" spans="1:4" x14ac:dyDescent="0.25">
      <c r="A22" s="4" t="s">
        <v>539</v>
      </c>
      <c r="B22" s="4">
        <v>241503</v>
      </c>
      <c r="C22" s="4" t="s">
        <v>540</v>
      </c>
      <c r="D22" s="9">
        <v>80000</v>
      </c>
    </row>
    <row r="23" spans="1:4" x14ac:dyDescent="0.25">
      <c r="C23" s="31" t="s">
        <v>83</v>
      </c>
      <c r="D23" s="32">
        <f>SUM(D4:D22)</f>
        <v>183895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F302-7F03-44C0-82E3-91600BE4C60F}">
  <dimension ref="A3:D23"/>
  <sheetViews>
    <sheetView view="pageBreakPreview" zoomScaleNormal="100" zoomScaleSheetLayoutView="100" workbookViewId="0">
      <selection activeCell="C25" sqref="C25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5</v>
      </c>
      <c r="B4" s="4">
        <v>251825</v>
      </c>
      <c r="C4" s="4" t="s">
        <v>541</v>
      </c>
      <c r="D4" s="9">
        <v>1145</v>
      </c>
    </row>
    <row r="5" spans="1:4" x14ac:dyDescent="0.25">
      <c r="A5" s="4" t="s">
        <v>542</v>
      </c>
      <c r="B5" s="4">
        <v>251666</v>
      </c>
      <c r="C5" s="4" t="s">
        <v>543</v>
      </c>
      <c r="D5" s="9">
        <v>995</v>
      </c>
    </row>
    <row r="6" spans="1:4" x14ac:dyDescent="0.25">
      <c r="A6" s="4" t="s">
        <v>13</v>
      </c>
      <c r="B6" s="4">
        <v>245774</v>
      </c>
      <c r="C6" s="4" t="s">
        <v>532</v>
      </c>
      <c r="D6" s="9">
        <v>14880</v>
      </c>
    </row>
    <row r="7" spans="1:4" x14ac:dyDescent="0.25">
      <c r="A7" s="4" t="s">
        <v>13</v>
      </c>
      <c r="B7" s="4">
        <v>246063</v>
      </c>
      <c r="C7" s="4" t="s">
        <v>533</v>
      </c>
      <c r="D7" s="9">
        <v>10094</v>
      </c>
    </row>
    <row r="8" spans="1:4" x14ac:dyDescent="0.25">
      <c r="A8" s="4" t="s">
        <v>13</v>
      </c>
      <c r="B8" s="4">
        <v>251626</v>
      </c>
      <c r="C8" s="4" t="s">
        <v>544</v>
      </c>
      <c r="D8" s="9">
        <v>2882</v>
      </c>
    </row>
    <row r="9" spans="1:4" x14ac:dyDescent="0.25">
      <c r="A9" s="4" t="s">
        <v>13</v>
      </c>
      <c r="B9" s="4">
        <v>250293</v>
      </c>
      <c r="C9" s="4" t="s">
        <v>545</v>
      </c>
      <c r="D9" s="9">
        <v>220</v>
      </c>
    </row>
    <row r="10" spans="1:4" x14ac:dyDescent="0.25">
      <c r="A10" s="4" t="s">
        <v>13</v>
      </c>
      <c r="B10" s="4">
        <v>251619</v>
      </c>
      <c r="C10" s="4" t="s">
        <v>546</v>
      </c>
      <c r="D10" s="9">
        <v>3507</v>
      </c>
    </row>
    <row r="11" spans="1:4" x14ac:dyDescent="0.25">
      <c r="A11" s="4" t="s">
        <v>108</v>
      </c>
      <c r="B11" s="4">
        <v>248063</v>
      </c>
      <c r="C11" s="4" t="s">
        <v>535</v>
      </c>
      <c r="D11" s="9">
        <v>24820</v>
      </c>
    </row>
    <row r="12" spans="1:4" x14ac:dyDescent="0.25">
      <c r="A12" s="4" t="s">
        <v>108</v>
      </c>
      <c r="B12" s="4">
        <v>251353</v>
      </c>
      <c r="C12" s="4" t="s">
        <v>536</v>
      </c>
      <c r="D12" s="9">
        <v>7740</v>
      </c>
    </row>
    <row r="13" spans="1:4" x14ac:dyDescent="0.25">
      <c r="A13" s="4" t="s">
        <v>108</v>
      </c>
      <c r="B13" s="4">
        <v>251790</v>
      </c>
      <c r="C13" s="4" t="s">
        <v>547</v>
      </c>
      <c r="D13" s="9">
        <v>4395</v>
      </c>
    </row>
    <row r="14" spans="1:4" x14ac:dyDescent="0.25">
      <c r="A14" s="4" t="s">
        <v>336</v>
      </c>
      <c r="B14" s="4">
        <v>240993</v>
      </c>
      <c r="C14" s="4" t="s">
        <v>467</v>
      </c>
      <c r="D14" s="9">
        <v>13273</v>
      </c>
    </row>
    <row r="15" spans="1:4" x14ac:dyDescent="0.25">
      <c r="A15" s="4" t="s">
        <v>81</v>
      </c>
      <c r="B15" s="4">
        <v>251647</v>
      </c>
      <c r="C15" s="4" t="s">
        <v>548</v>
      </c>
      <c r="D15" s="9">
        <v>2618</v>
      </c>
    </row>
    <row r="16" spans="1:4" x14ac:dyDescent="0.25">
      <c r="A16" s="4" t="s">
        <v>180</v>
      </c>
      <c r="B16" s="4">
        <v>246212</v>
      </c>
      <c r="C16" s="4" t="s">
        <v>528</v>
      </c>
      <c r="D16" s="9">
        <v>75</v>
      </c>
    </row>
    <row r="17" spans="1:4" x14ac:dyDescent="0.25">
      <c r="A17" s="4" t="s">
        <v>213</v>
      </c>
      <c r="B17" s="4">
        <v>251721</v>
      </c>
      <c r="C17" s="4" t="s">
        <v>549</v>
      </c>
      <c r="D17" s="9">
        <v>6100</v>
      </c>
    </row>
    <row r="18" spans="1:4" x14ac:dyDescent="0.25">
      <c r="A18" s="4" t="s">
        <v>38</v>
      </c>
      <c r="B18" s="4">
        <v>245734</v>
      </c>
      <c r="C18" s="4" t="s">
        <v>550</v>
      </c>
      <c r="D18" s="9">
        <v>395</v>
      </c>
    </row>
    <row r="19" spans="1:4" x14ac:dyDescent="0.25">
      <c r="A19" s="4" t="s">
        <v>38</v>
      </c>
      <c r="B19" s="4">
        <v>246149</v>
      </c>
      <c r="C19" s="4" t="s">
        <v>551</v>
      </c>
      <c r="D19" s="9">
        <v>90</v>
      </c>
    </row>
    <row r="20" spans="1:4" x14ac:dyDescent="0.25">
      <c r="A20" s="4" t="s">
        <v>208</v>
      </c>
      <c r="B20" s="4">
        <v>191435</v>
      </c>
      <c r="C20" s="4" t="s">
        <v>209</v>
      </c>
      <c r="D20" s="9">
        <v>4590</v>
      </c>
    </row>
    <row r="21" spans="1:4" x14ac:dyDescent="0.25">
      <c r="A21" s="4" t="s">
        <v>38</v>
      </c>
      <c r="B21" s="4">
        <v>245852</v>
      </c>
      <c r="C21" s="4" t="s">
        <v>552</v>
      </c>
      <c r="D21" s="9">
        <v>90</v>
      </c>
    </row>
    <row r="22" spans="1:4" x14ac:dyDescent="0.25">
      <c r="A22" s="4" t="s">
        <v>539</v>
      </c>
      <c r="B22" s="4">
        <v>241503</v>
      </c>
      <c r="C22" s="4" t="s">
        <v>540</v>
      </c>
      <c r="D22" s="9">
        <v>80000</v>
      </c>
    </row>
    <row r="23" spans="1:4" x14ac:dyDescent="0.25">
      <c r="C23" s="31" t="s">
        <v>83</v>
      </c>
      <c r="D23" s="32">
        <f>SUM(D4:D22)</f>
        <v>177909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FA8E-CD08-4F73-A635-3C92CAFE78E7}">
  <dimension ref="A3:D20"/>
  <sheetViews>
    <sheetView view="pageBreakPreview" zoomScaleNormal="100" zoomScaleSheetLayoutView="100" workbookViewId="0">
      <selection activeCell="C33" sqref="C3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542</v>
      </c>
      <c r="B4" s="4">
        <v>251666</v>
      </c>
      <c r="C4" s="4" t="s">
        <v>543</v>
      </c>
      <c r="D4" s="9">
        <v>995</v>
      </c>
    </row>
    <row r="5" spans="1:4" x14ac:dyDescent="0.25">
      <c r="A5" s="4" t="s">
        <v>13</v>
      </c>
      <c r="B5" s="4">
        <v>245774</v>
      </c>
      <c r="C5" s="4" t="s">
        <v>532</v>
      </c>
      <c r="D5" s="9">
        <v>14880</v>
      </c>
    </row>
    <row r="6" spans="1:4" x14ac:dyDescent="0.25">
      <c r="A6" s="4" t="s">
        <v>13</v>
      </c>
      <c r="B6" s="4">
        <v>252447</v>
      </c>
      <c r="C6" s="4" t="s">
        <v>553</v>
      </c>
      <c r="D6" s="9">
        <v>918</v>
      </c>
    </row>
    <row r="7" spans="1:4" x14ac:dyDescent="0.25">
      <c r="A7" s="4" t="s">
        <v>13</v>
      </c>
      <c r="B7" s="4">
        <v>250293</v>
      </c>
      <c r="C7" s="4" t="s">
        <v>545</v>
      </c>
      <c r="D7" s="9">
        <v>220</v>
      </c>
    </row>
    <row r="8" spans="1:4" x14ac:dyDescent="0.25">
      <c r="A8" s="4" t="s">
        <v>108</v>
      </c>
      <c r="B8" s="4">
        <v>251353</v>
      </c>
      <c r="C8" s="4" t="s">
        <v>536</v>
      </c>
      <c r="D8" s="9">
        <v>7740</v>
      </c>
    </row>
    <row r="9" spans="1:4" x14ac:dyDescent="0.25">
      <c r="A9" s="4" t="s">
        <v>108</v>
      </c>
      <c r="B9" s="4">
        <v>251790</v>
      </c>
      <c r="C9" s="4" t="s">
        <v>547</v>
      </c>
      <c r="D9" s="9">
        <v>4395</v>
      </c>
    </row>
    <row r="10" spans="1:4" x14ac:dyDescent="0.25">
      <c r="A10" s="4" t="s">
        <v>500</v>
      </c>
      <c r="B10" s="4">
        <v>252766</v>
      </c>
      <c r="C10" s="4" t="s">
        <v>554</v>
      </c>
      <c r="D10" s="9">
        <v>2128</v>
      </c>
    </row>
    <row r="11" spans="1:4" x14ac:dyDescent="0.25">
      <c r="A11" s="4" t="s">
        <v>555</v>
      </c>
      <c r="B11" s="4">
        <v>252604</v>
      </c>
      <c r="C11" s="4" t="s">
        <v>556</v>
      </c>
      <c r="D11" s="9">
        <v>595</v>
      </c>
    </row>
    <row r="12" spans="1:4" x14ac:dyDescent="0.25">
      <c r="A12" s="4" t="s">
        <v>180</v>
      </c>
      <c r="B12" s="4">
        <v>246212</v>
      </c>
      <c r="C12" s="4" t="s">
        <v>528</v>
      </c>
      <c r="D12" s="9">
        <v>75</v>
      </c>
    </row>
    <row r="13" spans="1:4" x14ac:dyDescent="0.25">
      <c r="A13" s="4" t="s">
        <v>180</v>
      </c>
      <c r="B13" s="4">
        <v>252497</v>
      </c>
      <c r="C13" s="4" t="s">
        <v>557</v>
      </c>
      <c r="D13" s="9">
        <v>270</v>
      </c>
    </row>
    <row r="14" spans="1:4" x14ac:dyDescent="0.25">
      <c r="A14" s="4" t="s">
        <v>213</v>
      </c>
      <c r="B14" s="4">
        <v>251721</v>
      </c>
      <c r="C14" s="4" t="s">
        <v>549</v>
      </c>
      <c r="D14" s="9">
        <v>6100</v>
      </c>
    </row>
    <row r="15" spans="1:4" x14ac:dyDescent="0.25">
      <c r="A15" s="4" t="s">
        <v>38</v>
      </c>
      <c r="B15" s="4">
        <v>245734</v>
      </c>
      <c r="C15" s="4" t="s">
        <v>550</v>
      </c>
      <c r="D15" s="9">
        <v>395</v>
      </c>
    </row>
    <row r="16" spans="1:4" x14ac:dyDescent="0.25">
      <c r="A16" s="4" t="s">
        <v>38</v>
      </c>
      <c r="B16" s="4">
        <v>246149</v>
      </c>
      <c r="C16" s="4" t="s">
        <v>551</v>
      </c>
      <c r="D16" s="9">
        <v>90</v>
      </c>
    </row>
    <row r="17" spans="1:4" x14ac:dyDescent="0.25">
      <c r="A17" s="4" t="s">
        <v>558</v>
      </c>
      <c r="B17" s="4">
        <v>252566</v>
      </c>
      <c r="C17" s="4" t="s">
        <v>559</v>
      </c>
      <c r="D17" s="9">
        <v>0</v>
      </c>
    </row>
    <row r="18" spans="1:4" x14ac:dyDescent="0.25">
      <c r="A18" s="4" t="s">
        <v>208</v>
      </c>
      <c r="B18" s="4">
        <v>191435</v>
      </c>
      <c r="C18" s="4" t="s">
        <v>209</v>
      </c>
      <c r="D18" s="9">
        <v>4590</v>
      </c>
    </row>
    <row r="19" spans="1:4" x14ac:dyDescent="0.25">
      <c r="A19" s="4" t="s">
        <v>38</v>
      </c>
      <c r="B19" s="4">
        <v>245852</v>
      </c>
      <c r="C19" s="4" t="s">
        <v>552</v>
      </c>
      <c r="D19" s="9">
        <v>90</v>
      </c>
    </row>
    <row r="20" spans="1:4" x14ac:dyDescent="0.25">
      <c r="C20" s="31" t="s">
        <v>83</v>
      </c>
      <c r="D20" s="32">
        <f>SUM(D4:D19)</f>
        <v>43481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2890-B53A-4AB1-AC4E-57DECCD42C23}">
  <dimension ref="A3:D21"/>
  <sheetViews>
    <sheetView view="pageBreakPreview" zoomScaleNormal="100" zoomScaleSheetLayoutView="100" workbookViewId="0">
      <selection activeCell="C27" sqref="C27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542</v>
      </c>
      <c r="B4" s="4">
        <v>251666</v>
      </c>
      <c r="C4" s="4" t="s">
        <v>543</v>
      </c>
      <c r="D4" s="9">
        <v>995</v>
      </c>
    </row>
    <row r="5" spans="1:4" x14ac:dyDescent="0.25">
      <c r="A5" s="4" t="s">
        <v>529</v>
      </c>
      <c r="B5" s="4">
        <v>251947</v>
      </c>
      <c r="C5" s="4" t="s">
        <v>560</v>
      </c>
      <c r="D5" s="9">
        <v>10000</v>
      </c>
    </row>
    <row r="6" spans="1:4" x14ac:dyDescent="0.25">
      <c r="A6" s="4" t="s">
        <v>13</v>
      </c>
      <c r="B6" s="4">
        <v>245774</v>
      </c>
      <c r="C6" s="4" t="s">
        <v>532</v>
      </c>
      <c r="D6" s="9">
        <v>14880</v>
      </c>
    </row>
    <row r="7" spans="1:4" x14ac:dyDescent="0.25">
      <c r="A7" s="4" t="s">
        <v>13</v>
      </c>
      <c r="B7" s="4">
        <v>254012</v>
      </c>
      <c r="C7" s="4" t="s">
        <v>561</v>
      </c>
      <c r="D7" s="9">
        <v>9386</v>
      </c>
    </row>
    <row r="8" spans="1:4" x14ac:dyDescent="0.25">
      <c r="A8" s="4" t="s">
        <v>108</v>
      </c>
      <c r="B8" s="4">
        <v>251790</v>
      </c>
      <c r="C8" s="4" t="s">
        <v>547</v>
      </c>
      <c r="D8" s="9">
        <v>4395</v>
      </c>
    </row>
    <row r="9" spans="1:4" x14ac:dyDescent="0.25">
      <c r="A9" s="4" t="s">
        <v>180</v>
      </c>
      <c r="B9" s="4">
        <v>246212</v>
      </c>
      <c r="C9" s="4" t="s">
        <v>528</v>
      </c>
      <c r="D9" s="9">
        <v>75</v>
      </c>
    </row>
    <row r="10" spans="1:4" x14ac:dyDescent="0.25">
      <c r="A10" s="4" t="s">
        <v>180</v>
      </c>
      <c r="B10" s="4">
        <v>252497</v>
      </c>
      <c r="C10" s="4" t="s">
        <v>557</v>
      </c>
      <c r="D10" s="9">
        <v>270</v>
      </c>
    </row>
    <row r="11" spans="1:4" x14ac:dyDescent="0.25">
      <c r="A11" s="4" t="s">
        <v>38</v>
      </c>
      <c r="B11" s="4">
        <v>245734</v>
      </c>
      <c r="C11" s="4" t="s">
        <v>550</v>
      </c>
      <c r="D11" s="9">
        <v>395</v>
      </c>
    </row>
    <row r="12" spans="1:4" x14ac:dyDescent="0.25">
      <c r="A12" s="4" t="s">
        <v>38</v>
      </c>
      <c r="B12" s="4">
        <v>246149</v>
      </c>
      <c r="C12" s="4" t="s">
        <v>551</v>
      </c>
      <c r="D12" s="9">
        <v>90</v>
      </c>
    </row>
    <row r="13" spans="1:4" x14ac:dyDescent="0.25">
      <c r="A13" s="4" t="s">
        <v>371</v>
      </c>
      <c r="B13" s="4">
        <v>247673</v>
      </c>
      <c r="C13" s="4" t="s">
        <v>562</v>
      </c>
      <c r="D13" s="9">
        <v>2700</v>
      </c>
    </row>
    <row r="14" spans="1:4" x14ac:dyDescent="0.25">
      <c r="A14" s="4" t="s">
        <v>371</v>
      </c>
      <c r="B14" s="4">
        <v>247678</v>
      </c>
      <c r="C14" s="4" t="s">
        <v>374</v>
      </c>
      <c r="D14" s="9">
        <v>1125</v>
      </c>
    </row>
    <row r="15" spans="1:4" x14ac:dyDescent="0.25">
      <c r="A15" s="4" t="s">
        <v>371</v>
      </c>
      <c r="B15" s="4">
        <v>247680</v>
      </c>
      <c r="C15" s="4" t="s">
        <v>563</v>
      </c>
      <c r="D15" s="9">
        <v>900</v>
      </c>
    </row>
    <row r="16" spans="1:4" x14ac:dyDescent="0.25">
      <c r="A16" s="4" t="s">
        <v>371</v>
      </c>
      <c r="B16" s="4">
        <v>247687</v>
      </c>
      <c r="C16" s="4" t="s">
        <v>376</v>
      </c>
      <c r="D16" s="9">
        <v>1350</v>
      </c>
    </row>
    <row r="17" spans="1:4" x14ac:dyDescent="0.25">
      <c r="A17" s="4" t="s">
        <v>371</v>
      </c>
      <c r="B17" s="4">
        <v>247697</v>
      </c>
      <c r="C17" s="4" t="s">
        <v>377</v>
      </c>
      <c r="D17" s="9">
        <v>2700</v>
      </c>
    </row>
    <row r="18" spans="1:4" x14ac:dyDescent="0.25">
      <c r="A18" s="4" t="s">
        <v>371</v>
      </c>
      <c r="B18" s="4">
        <v>247660</v>
      </c>
      <c r="C18" s="4" t="s">
        <v>564</v>
      </c>
      <c r="D18" s="9">
        <v>2325</v>
      </c>
    </row>
    <row r="19" spans="1:4" x14ac:dyDescent="0.25">
      <c r="A19" s="4" t="s">
        <v>371</v>
      </c>
      <c r="B19" s="4">
        <v>247702</v>
      </c>
      <c r="C19" s="4" t="s">
        <v>565</v>
      </c>
      <c r="D19" s="9">
        <v>1800</v>
      </c>
    </row>
    <row r="20" spans="1:4" x14ac:dyDescent="0.25">
      <c r="A20" s="4" t="s">
        <v>38</v>
      </c>
      <c r="B20" s="4">
        <v>245852</v>
      </c>
      <c r="C20" s="4" t="s">
        <v>552</v>
      </c>
      <c r="D20" s="9">
        <v>90</v>
      </c>
    </row>
    <row r="21" spans="1:4" x14ac:dyDescent="0.25">
      <c r="C21" s="31" t="s">
        <v>83</v>
      </c>
      <c r="D21" s="32">
        <f>SUM(D4:D20)</f>
        <v>53476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822D-561A-428F-B0AE-73BDDE582DC8}">
  <dimension ref="A3:D32"/>
  <sheetViews>
    <sheetView view="pageBreakPreview" zoomScaleNormal="100" zoomScaleSheetLayoutView="100" workbookViewId="0">
      <selection activeCell="H12" sqref="H12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13</v>
      </c>
      <c r="B4" s="4">
        <v>254012</v>
      </c>
      <c r="C4" s="4" t="s">
        <v>561</v>
      </c>
      <c r="D4" s="9">
        <v>9386</v>
      </c>
    </row>
    <row r="5" spans="1:4" x14ac:dyDescent="0.25">
      <c r="A5" s="4" t="s">
        <v>234</v>
      </c>
      <c r="B5" s="4">
        <v>252765</v>
      </c>
      <c r="C5" s="4" t="s">
        <v>566</v>
      </c>
      <c r="D5" s="9">
        <v>18089</v>
      </c>
    </row>
    <row r="6" spans="1:4" x14ac:dyDescent="0.25">
      <c r="A6" s="4" t="s">
        <v>567</v>
      </c>
      <c r="B6" s="4">
        <v>253264</v>
      </c>
      <c r="C6" s="4" t="s">
        <v>568</v>
      </c>
      <c r="D6" s="9">
        <v>5310</v>
      </c>
    </row>
    <row r="7" spans="1:4" x14ac:dyDescent="0.25">
      <c r="A7" s="4" t="s">
        <v>371</v>
      </c>
      <c r="B7" s="4">
        <v>253692</v>
      </c>
      <c r="C7" s="4" t="s">
        <v>569</v>
      </c>
      <c r="D7" s="9">
        <v>5900</v>
      </c>
    </row>
    <row r="8" spans="1:4" x14ac:dyDescent="0.25">
      <c r="A8" s="4" t="s">
        <v>371</v>
      </c>
      <c r="B8" s="4">
        <v>253696</v>
      </c>
      <c r="C8" s="4" t="s">
        <v>570</v>
      </c>
      <c r="D8" s="9">
        <v>2750</v>
      </c>
    </row>
    <row r="9" spans="1:4" x14ac:dyDescent="0.25">
      <c r="A9" s="4" t="s">
        <v>371</v>
      </c>
      <c r="B9" s="4">
        <v>253715</v>
      </c>
      <c r="C9" s="4" t="s">
        <v>571</v>
      </c>
      <c r="D9" s="9">
        <v>8695</v>
      </c>
    </row>
    <row r="10" spans="1:4" x14ac:dyDescent="0.25">
      <c r="A10" s="4" t="s">
        <v>371</v>
      </c>
      <c r="B10" s="4">
        <v>253910</v>
      </c>
      <c r="C10" s="4" t="s">
        <v>572</v>
      </c>
      <c r="D10" s="9">
        <v>7325</v>
      </c>
    </row>
    <row r="11" spans="1:4" x14ac:dyDescent="0.25">
      <c r="A11" s="4" t="s">
        <v>371</v>
      </c>
      <c r="B11" s="4">
        <v>253714</v>
      </c>
      <c r="C11" s="4" t="s">
        <v>573</v>
      </c>
      <c r="D11" s="9">
        <v>3820</v>
      </c>
    </row>
    <row r="12" spans="1:4" x14ac:dyDescent="0.25">
      <c r="A12" s="4" t="s">
        <v>371</v>
      </c>
      <c r="B12" s="4">
        <v>253890</v>
      </c>
      <c r="C12" s="4" t="s">
        <v>574</v>
      </c>
      <c r="D12" s="9">
        <v>5215</v>
      </c>
    </row>
    <row r="13" spans="1:4" x14ac:dyDescent="0.25">
      <c r="A13" s="4" t="s">
        <v>371</v>
      </c>
      <c r="B13" s="4">
        <v>253905</v>
      </c>
      <c r="C13" s="4" t="s">
        <v>575</v>
      </c>
      <c r="D13" s="9">
        <v>5540</v>
      </c>
    </row>
    <row r="14" spans="1:4" x14ac:dyDescent="0.25">
      <c r="A14" s="4" t="s">
        <v>371</v>
      </c>
      <c r="B14" s="4">
        <v>253898</v>
      </c>
      <c r="C14" s="4" t="s">
        <v>576</v>
      </c>
      <c r="D14" s="9">
        <v>12835</v>
      </c>
    </row>
    <row r="15" spans="1:4" x14ac:dyDescent="0.25">
      <c r="A15" s="4" t="s">
        <v>371</v>
      </c>
      <c r="B15" s="4">
        <v>253712</v>
      </c>
      <c r="C15" s="4" t="s">
        <v>577</v>
      </c>
      <c r="D15" s="9">
        <v>10585</v>
      </c>
    </row>
    <row r="16" spans="1:4" x14ac:dyDescent="0.25">
      <c r="A16" s="4" t="s">
        <v>371</v>
      </c>
      <c r="B16" s="4">
        <v>253895</v>
      </c>
      <c r="C16" s="4" t="s">
        <v>578</v>
      </c>
      <c r="D16" s="9">
        <v>9665</v>
      </c>
    </row>
    <row r="17" spans="1:4" x14ac:dyDescent="0.25">
      <c r="A17" s="4" t="s">
        <v>371</v>
      </c>
      <c r="B17" s="4">
        <v>253893</v>
      </c>
      <c r="C17" s="4" t="s">
        <v>579</v>
      </c>
      <c r="D17" s="9">
        <v>11240</v>
      </c>
    </row>
    <row r="18" spans="1:4" x14ac:dyDescent="0.25">
      <c r="A18" s="4" t="s">
        <v>180</v>
      </c>
      <c r="B18" s="4">
        <v>246212</v>
      </c>
      <c r="C18" s="4" t="s">
        <v>528</v>
      </c>
      <c r="D18" s="9">
        <v>75</v>
      </c>
    </row>
    <row r="19" spans="1:4" x14ac:dyDescent="0.25">
      <c r="A19" s="4" t="s">
        <v>180</v>
      </c>
      <c r="B19" s="4">
        <v>252497</v>
      </c>
      <c r="C19" s="4" t="s">
        <v>557</v>
      </c>
      <c r="D19" s="9">
        <v>270</v>
      </c>
    </row>
    <row r="20" spans="1:4" x14ac:dyDescent="0.25">
      <c r="A20" s="4" t="s">
        <v>38</v>
      </c>
      <c r="B20" s="4">
        <v>245734</v>
      </c>
      <c r="C20" s="4" t="s">
        <v>521</v>
      </c>
      <c r="D20" s="9">
        <v>395</v>
      </c>
    </row>
    <row r="21" spans="1:4" x14ac:dyDescent="0.25">
      <c r="A21" s="4" t="s">
        <v>38</v>
      </c>
      <c r="B21" s="4">
        <v>246149</v>
      </c>
      <c r="C21" s="4" t="s">
        <v>522</v>
      </c>
      <c r="D21" s="9">
        <v>90</v>
      </c>
    </row>
    <row r="22" spans="1:4" x14ac:dyDescent="0.25">
      <c r="A22" s="4" t="s">
        <v>38</v>
      </c>
      <c r="B22" s="4">
        <v>253719</v>
      </c>
      <c r="C22" s="4" t="s">
        <v>580</v>
      </c>
      <c r="D22" s="9">
        <v>26370</v>
      </c>
    </row>
    <row r="23" spans="1:4" x14ac:dyDescent="0.25">
      <c r="A23" s="4" t="s">
        <v>38</v>
      </c>
      <c r="B23" s="4">
        <v>253720</v>
      </c>
      <c r="C23" s="4" t="s">
        <v>581</v>
      </c>
      <c r="D23" s="9">
        <v>2290</v>
      </c>
    </row>
    <row r="24" spans="1:4" x14ac:dyDescent="0.25">
      <c r="A24" s="4" t="s">
        <v>443</v>
      </c>
      <c r="B24" s="4">
        <v>254248</v>
      </c>
      <c r="C24" s="4" t="s">
        <v>582</v>
      </c>
      <c r="D24" s="9">
        <v>255</v>
      </c>
    </row>
    <row r="25" spans="1:4" x14ac:dyDescent="0.25">
      <c r="A25" s="4" t="s">
        <v>371</v>
      </c>
      <c r="B25" s="4">
        <v>247673</v>
      </c>
      <c r="C25" s="4" t="s">
        <v>562</v>
      </c>
      <c r="D25" s="9">
        <v>2700</v>
      </c>
    </row>
    <row r="26" spans="1:4" x14ac:dyDescent="0.25">
      <c r="A26" s="4" t="s">
        <v>371</v>
      </c>
      <c r="B26" s="4">
        <v>247678</v>
      </c>
      <c r="C26" s="4" t="s">
        <v>374</v>
      </c>
      <c r="D26" s="9">
        <v>1125</v>
      </c>
    </row>
    <row r="27" spans="1:4" x14ac:dyDescent="0.25">
      <c r="A27" s="4" t="s">
        <v>371</v>
      </c>
      <c r="B27" s="4">
        <v>247680</v>
      </c>
      <c r="C27" s="4" t="s">
        <v>563</v>
      </c>
      <c r="D27" s="9">
        <v>900</v>
      </c>
    </row>
    <row r="28" spans="1:4" x14ac:dyDescent="0.25">
      <c r="A28" s="4" t="s">
        <v>371</v>
      </c>
      <c r="B28" s="4">
        <v>247687</v>
      </c>
      <c r="C28" s="4" t="s">
        <v>376</v>
      </c>
      <c r="D28" s="9">
        <v>1350</v>
      </c>
    </row>
    <row r="29" spans="1:4" x14ac:dyDescent="0.25">
      <c r="A29" s="4" t="s">
        <v>371</v>
      </c>
      <c r="B29" s="4">
        <v>247697</v>
      </c>
      <c r="C29" s="4" t="s">
        <v>377</v>
      </c>
      <c r="D29" s="9">
        <v>2700</v>
      </c>
    </row>
    <row r="30" spans="1:4" x14ac:dyDescent="0.25">
      <c r="A30" s="4" t="s">
        <v>371</v>
      </c>
      <c r="B30" s="4">
        <v>247702</v>
      </c>
      <c r="C30" s="4" t="s">
        <v>565</v>
      </c>
      <c r="D30" s="9">
        <v>1800</v>
      </c>
    </row>
    <row r="31" spans="1:4" x14ac:dyDescent="0.25">
      <c r="A31" s="4" t="s">
        <v>38</v>
      </c>
      <c r="B31" s="4">
        <v>245852</v>
      </c>
      <c r="C31" s="4" t="s">
        <v>526</v>
      </c>
      <c r="D31" s="9">
        <v>90</v>
      </c>
    </row>
    <row r="32" spans="1:4" x14ac:dyDescent="0.25">
      <c r="C32" s="31" t="s">
        <v>83</v>
      </c>
      <c r="D32" s="32">
        <f>SUM(D18:D31)</f>
        <v>40410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CB26-2DB3-4EA0-B977-039844CEF23E}">
  <dimension ref="A3:D14"/>
  <sheetViews>
    <sheetView view="pageBreakPreview" zoomScaleNormal="100" zoomScaleSheetLayoutView="100" workbookViewId="0">
      <selection activeCell="J15" sqref="J15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108</v>
      </c>
      <c r="B4" s="4">
        <v>254138</v>
      </c>
      <c r="C4" s="4" t="s">
        <v>583</v>
      </c>
      <c r="D4" s="9">
        <v>4821</v>
      </c>
    </row>
    <row r="5" spans="1:4" x14ac:dyDescent="0.25">
      <c r="A5" s="4" t="s">
        <v>108</v>
      </c>
      <c r="B5" s="4">
        <v>253772</v>
      </c>
      <c r="C5" s="4" t="s">
        <v>584</v>
      </c>
      <c r="D5" s="9">
        <v>990</v>
      </c>
    </row>
    <row r="6" spans="1:4" x14ac:dyDescent="0.25">
      <c r="A6" s="4" t="s">
        <v>108</v>
      </c>
      <c r="B6" s="4">
        <v>253779</v>
      </c>
      <c r="C6" s="4" t="s">
        <v>585</v>
      </c>
      <c r="D6" s="9">
        <v>1335</v>
      </c>
    </row>
    <row r="7" spans="1:4" x14ac:dyDescent="0.25">
      <c r="A7" s="4" t="s">
        <v>234</v>
      </c>
      <c r="B7" s="4">
        <v>253432</v>
      </c>
      <c r="C7" s="4" t="s">
        <v>586</v>
      </c>
      <c r="D7" s="9">
        <v>2979</v>
      </c>
    </row>
    <row r="8" spans="1:4" x14ac:dyDescent="0.25">
      <c r="A8" s="4" t="s">
        <v>234</v>
      </c>
      <c r="B8" s="4">
        <v>252765</v>
      </c>
      <c r="C8" s="4" t="s">
        <v>566</v>
      </c>
      <c r="D8" s="9">
        <v>18089</v>
      </c>
    </row>
    <row r="9" spans="1:4" x14ac:dyDescent="0.25">
      <c r="A9" s="4" t="s">
        <v>180</v>
      </c>
      <c r="B9" s="4">
        <v>246212</v>
      </c>
      <c r="C9" s="4" t="s">
        <v>528</v>
      </c>
      <c r="D9" s="9">
        <v>75</v>
      </c>
    </row>
    <row r="10" spans="1:4" x14ac:dyDescent="0.25">
      <c r="A10" s="4" t="s">
        <v>180</v>
      </c>
      <c r="B10" s="4">
        <v>252497</v>
      </c>
      <c r="C10" s="4" t="s">
        <v>557</v>
      </c>
      <c r="D10" s="9">
        <v>270</v>
      </c>
    </row>
    <row r="11" spans="1:4" x14ac:dyDescent="0.25">
      <c r="A11" s="4" t="s">
        <v>38</v>
      </c>
      <c r="B11" s="4">
        <v>245734</v>
      </c>
      <c r="C11" s="4" t="s">
        <v>521</v>
      </c>
      <c r="D11" s="9">
        <v>395</v>
      </c>
    </row>
    <row r="12" spans="1:4" x14ac:dyDescent="0.25">
      <c r="A12" s="4" t="s">
        <v>38</v>
      </c>
      <c r="B12" s="4">
        <v>246149</v>
      </c>
      <c r="C12" s="4" t="s">
        <v>522</v>
      </c>
      <c r="D12" s="9">
        <v>90</v>
      </c>
    </row>
    <row r="13" spans="1:4" x14ac:dyDescent="0.25">
      <c r="A13" s="4" t="s">
        <v>38</v>
      </c>
      <c r="B13" s="4">
        <v>245852</v>
      </c>
      <c r="C13" s="4" t="s">
        <v>526</v>
      </c>
      <c r="D13" s="9">
        <v>90</v>
      </c>
    </row>
    <row r="14" spans="1:4" x14ac:dyDescent="0.25">
      <c r="C14" s="31" t="s">
        <v>83</v>
      </c>
      <c r="D14" s="32">
        <f>SUM(D4:D13)</f>
        <v>29134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49BA-0DAE-40CA-B7A2-4A8DC2126E38}">
  <dimension ref="A3:D20"/>
  <sheetViews>
    <sheetView view="pageBreakPreview" zoomScaleNormal="100" zoomScaleSheetLayoutView="100" workbookViewId="0">
      <selection activeCell="G13" sqref="G1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336</v>
      </c>
      <c r="B4" s="4">
        <v>255085</v>
      </c>
      <c r="C4" s="4" t="s">
        <v>587</v>
      </c>
      <c r="D4" s="9">
        <v>9495</v>
      </c>
    </row>
    <row r="5" spans="1:4" x14ac:dyDescent="0.25">
      <c r="A5" s="4" t="s">
        <v>336</v>
      </c>
      <c r="B5" s="4">
        <v>255080</v>
      </c>
      <c r="C5" s="4" t="s">
        <v>588</v>
      </c>
      <c r="D5" s="9">
        <v>911</v>
      </c>
    </row>
    <row r="6" spans="1:4" x14ac:dyDescent="0.25">
      <c r="A6" s="4" t="s">
        <v>336</v>
      </c>
      <c r="B6" s="4">
        <v>255069</v>
      </c>
      <c r="C6" s="4" t="s">
        <v>589</v>
      </c>
      <c r="D6" s="9">
        <v>2721</v>
      </c>
    </row>
    <row r="7" spans="1:4" x14ac:dyDescent="0.25">
      <c r="A7" s="4" t="s">
        <v>336</v>
      </c>
      <c r="B7" s="4">
        <v>255077</v>
      </c>
      <c r="C7" s="4" t="s">
        <v>590</v>
      </c>
      <c r="D7" s="9">
        <v>1514</v>
      </c>
    </row>
    <row r="8" spans="1:4" x14ac:dyDescent="0.25">
      <c r="A8" s="4" t="s">
        <v>336</v>
      </c>
      <c r="B8" s="4">
        <v>255082</v>
      </c>
      <c r="C8" s="4" t="s">
        <v>591</v>
      </c>
      <c r="D8" s="9">
        <v>1090</v>
      </c>
    </row>
    <row r="9" spans="1:4" x14ac:dyDescent="0.25">
      <c r="A9" s="4" t="s">
        <v>336</v>
      </c>
      <c r="B9" s="4">
        <v>255052</v>
      </c>
      <c r="C9" s="4" t="s">
        <v>592</v>
      </c>
      <c r="D9" s="9">
        <v>7581</v>
      </c>
    </row>
    <row r="10" spans="1:4" x14ac:dyDescent="0.25">
      <c r="A10" s="4" t="s">
        <v>234</v>
      </c>
      <c r="B10" s="4">
        <v>252765</v>
      </c>
      <c r="C10" s="4" t="s">
        <v>566</v>
      </c>
      <c r="D10" s="9">
        <v>18089</v>
      </c>
    </row>
    <row r="11" spans="1:4" x14ac:dyDescent="0.25">
      <c r="A11" s="4" t="s">
        <v>24</v>
      </c>
      <c r="B11" s="4">
        <v>255033</v>
      </c>
      <c r="C11" s="4" t="s">
        <v>593</v>
      </c>
      <c r="D11" s="9">
        <v>545</v>
      </c>
    </row>
    <row r="12" spans="1:4" x14ac:dyDescent="0.25">
      <c r="A12" s="4" t="s">
        <v>167</v>
      </c>
      <c r="B12" s="4">
        <v>254459</v>
      </c>
      <c r="C12" s="4" t="s">
        <v>594</v>
      </c>
      <c r="D12" s="9">
        <v>595</v>
      </c>
    </row>
    <row r="13" spans="1:4" x14ac:dyDescent="0.25">
      <c r="A13" s="4" t="s">
        <v>180</v>
      </c>
      <c r="B13" s="4">
        <v>246212</v>
      </c>
      <c r="C13" s="4" t="s">
        <v>528</v>
      </c>
      <c r="D13" s="9">
        <v>75</v>
      </c>
    </row>
    <row r="14" spans="1:4" x14ac:dyDescent="0.25">
      <c r="A14" s="4" t="s">
        <v>180</v>
      </c>
      <c r="B14" s="4">
        <v>252497</v>
      </c>
      <c r="C14" s="4" t="s">
        <v>557</v>
      </c>
      <c r="D14" s="9">
        <v>270</v>
      </c>
    </row>
    <row r="15" spans="1:4" x14ac:dyDescent="0.25">
      <c r="A15" s="4" t="s">
        <v>38</v>
      </c>
      <c r="B15" s="4">
        <v>245734</v>
      </c>
      <c r="C15" s="4" t="s">
        <v>550</v>
      </c>
      <c r="D15" s="9">
        <v>395</v>
      </c>
    </row>
    <row r="16" spans="1:4" x14ac:dyDescent="0.25">
      <c r="A16" s="4" t="s">
        <v>38</v>
      </c>
      <c r="B16" s="4">
        <v>246149</v>
      </c>
      <c r="C16" s="4" t="s">
        <v>551</v>
      </c>
      <c r="D16" s="9">
        <v>90</v>
      </c>
    </row>
    <row r="17" spans="1:4" x14ac:dyDescent="0.25">
      <c r="A17" s="4" t="s">
        <v>332</v>
      </c>
      <c r="B17" s="4">
        <v>254230</v>
      </c>
      <c r="C17" s="4" t="s">
        <v>595</v>
      </c>
      <c r="D17" s="9">
        <v>1325</v>
      </c>
    </row>
    <row r="18" spans="1:4" x14ac:dyDescent="0.25">
      <c r="A18" s="4" t="s">
        <v>208</v>
      </c>
      <c r="B18" s="4">
        <v>191435</v>
      </c>
      <c r="C18" s="4" t="s">
        <v>209</v>
      </c>
      <c r="D18" s="9">
        <v>4590</v>
      </c>
    </row>
    <row r="19" spans="1:4" x14ac:dyDescent="0.25">
      <c r="A19" s="4" t="s">
        <v>38</v>
      </c>
      <c r="B19" s="4">
        <v>245852</v>
      </c>
      <c r="C19" s="4" t="s">
        <v>552</v>
      </c>
      <c r="D19" s="9">
        <v>90</v>
      </c>
    </row>
    <row r="20" spans="1:4" x14ac:dyDescent="0.25">
      <c r="C20" s="31" t="s">
        <v>83</v>
      </c>
      <c r="D20" s="32">
        <f>SUM(D4:D19)</f>
        <v>49376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3219-D4F5-4836-834D-D21E6E7E45A8}">
  <dimension ref="A3:D21"/>
  <sheetViews>
    <sheetView view="pageBreakPreview" zoomScaleNormal="100" zoomScaleSheetLayoutView="100" workbookViewId="0">
      <selection activeCell="C30" sqref="C30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108</v>
      </c>
      <c r="B4" s="4">
        <v>255660</v>
      </c>
      <c r="C4" s="4" t="s">
        <v>596</v>
      </c>
      <c r="D4" s="9">
        <v>3945</v>
      </c>
    </row>
    <row r="5" spans="1:4" x14ac:dyDescent="0.25">
      <c r="A5" s="4" t="s">
        <v>336</v>
      </c>
      <c r="B5" s="4">
        <v>255498</v>
      </c>
      <c r="C5" s="4" t="s">
        <v>597</v>
      </c>
      <c r="D5" s="9">
        <v>950</v>
      </c>
    </row>
    <row r="6" spans="1:4" x14ac:dyDescent="0.25">
      <c r="A6" s="4" t="s">
        <v>24</v>
      </c>
      <c r="B6" s="4">
        <v>255033</v>
      </c>
      <c r="C6" s="4" t="s">
        <v>593</v>
      </c>
      <c r="D6" s="9">
        <v>545</v>
      </c>
    </row>
    <row r="7" spans="1:4" x14ac:dyDescent="0.25">
      <c r="A7" s="4" t="s">
        <v>81</v>
      </c>
      <c r="B7" s="4">
        <v>255495</v>
      </c>
      <c r="C7" s="4" t="s">
        <v>598</v>
      </c>
      <c r="D7" s="9">
        <v>6733</v>
      </c>
    </row>
    <row r="8" spans="1:4" x14ac:dyDescent="0.25">
      <c r="A8" s="4" t="s">
        <v>81</v>
      </c>
      <c r="B8" s="4">
        <v>255496</v>
      </c>
      <c r="C8" s="4" t="s">
        <v>599</v>
      </c>
      <c r="D8" s="9">
        <v>7376</v>
      </c>
    </row>
    <row r="9" spans="1:4" x14ac:dyDescent="0.25">
      <c r="A9" s="4" t="s">
        <v>180</v>
      </c>
      <c r="B9" s="4">
        <v>246212</v>
      </c>
      <c r="C9" s="4" t="s">
        <v>528</v>
      </c>
      <c r="D9" s="9">
        <v>75</v>
      </c>
    </row>
    <row r="10" spans="1:4" x14ac:dyDescent="0.25">
      <c r="A10" s="4" t="s">
        <v>180</v>
      </c>
      <c r="B10" s="4">
        <v>252497</v>
      </c>
      <c r="C10" s="4" t="s">
        <v>557</v>
      </c>
      <c r="D10" s="9">
        <v>270</v>
      </c>
    </row>
    <row r="11" spans="1:4" x14ac:dyDescent="0.25">
      <c r="A11" s="4" t="s">
        <v>86</v>
      </c>
      <c r="B11" s="4">
        <v>255960</v>
      </c>
      <c r="C11" s="4" t="s">
        <v>600</v>
      </c>
      <c r="D11" s="9">
        <v>950</v>
      </c>
    </row>
    <row r="12" spans="1:4" x14ac:dyDescent="0.25">
      <c r="A12" s="4" t="s">
        <v>38</v>
      </c>
      <c r="B12" s="4">
        <v>245734</v>
      </c>
      <c r="C12" s="4" t="s">
        <v>550</v>
      </c>
      <c r="D12" s="9">
        <v>395</v>
      </c>
    </row>
    <row r="13" spans="1:4" x14ac:dyDescent="0.25">
      <c r="A13" s="4" t="s">
        <v>38</v>
      </c>
      <c r="B13" s="4">
        <v>246149</v>
      </c>
      <c r="C13" s="4" t="s">
        <v>551</v>
      </c>
      <c r="D13" s="9">
        <v>90</v>
      </c>
    </row>
    <row r="14" spans="1:4" x14ac:dyDescent="0.25">
      <c r="A14" s="4" t="s">
        <v>48</v>
      </c>
      <c r="B14" s="4">
        <v>253374</v>
      </c>
      <c r="C14" s="4" t="s">
        <v>601</v>
      </c>
      <c r="D14" s="9">
        <v>5163</v>
      </c>
    </row>
    <row r="15" spans="1:4" x14ac:dyDescent="0.25">
      <c r="A15" s="4" t="s">
        <v>48</v>
      </c>
      <c r="B15" s="4">
        <v>253815</v>
      </c>
      <c r="C15" s="4" t="s">
        <v>602</v>
      </c>
      <c r="D15" s="9">
        <v>1695</v>
      </c>
    </row>
    <row r="16" spans="1:4" x14ac:dyDescent="0.25">
      <c r="A16" s="4" t="s">
        <v>48</v>
      </c>
      <c r="B16" s="4">
        <v>252941</v>
      </c>
      <c r="C16" s="4" t="s">
        <v>603</v>
      </c>
      <c r="D16" s="9">
        <v>1485</v>
      </c>
    </row>
    <row r="17" spans="1:4" x14ac:dyDescent="0.25">
      <c r="A17" s="4" t="s">
        <v>604</v>
      </c>
      <c r="B17" s="4">
        <v>253283</v>
      </c>
      <c r="C17" s="4" t="s">
        <v>605</v>
      </c>
      <c r="D17" s="9">
        <v>10245</v>
      </c>
    </row>
    <row r="18" spans="1:4" x14ac:dyDescent="0.25">
      <c r="A18" s="4" t="s">
        <v>234</v>
      </c>
      <c r="B18" s="4">
        <v>254451</v>
      </c>
      <c r="C18" s="4" t="s">
        <v>606</v>
      </c>
      <c r="D18" s="9">
        <v>3176</v>
      </c>
    </row>
    <row r="19" spans="1:4" x14ac:dyDescent="0.25">
      <c r="A19" s="4" t="s">
        <v>208</v>
      </c>
      <c r="B19" s="4">
        <v>191435</v>
      </c>
      <c r="C19" s="4" t="s">
        <v>209</v>
      </c>
      <c r="D19" s="9">
        <v>4590</v>
      </c>
    </row>
    <row r="20" spans="1:4" x14ac:dyDescent="0.25">
      <c r="A20" s="4" t="s">
        <v>38</v>
      </c>
      <c r="B20" s="4">
        <v>245852</v>
      </c>
      <c r="C20" s="4" t="s">
        <v>552</v>
      </c>
      <c r="D20" s="9">
        <v>90</v>
      </c>
    </row>
    <row r="21" spans="1:4" x14ac:dyDescent="0.25">
      <c r="C21" s="31" t="s">
        <v>83</v>
      </c>
      <c r="D21" s="32">
        <f>SUM(D4:D20)</f>
        <v>47773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E7409-7D53-457D-8199-93CFF1413158}">
  <dimension ref="A3:D16"/>
  <sheetViews>
    <sheetView view="pageBreakPreview" zoomScaleNormal="100" zoomScaleSheetLayoutView="100" workbookViewId="0">
      <selection activeCell="C37" sqref="C37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24</v>
      </c>
      <c r="B4" s="4">
        <v>255033</v>
      </c>
      <c r="C4" s="4" t="s">
        <v>593</v>
      </c>
      <c r="D4" s="9">
        <v>545</v>
      </c>
    </row>
    <row r="5" spans="1:4" x14ac:dyDescent="0.25">
      <c r="A5" s="4" t="s">
        <v>81</v>
      </c>
      <c r="B5" s="4">
        <v>255495</v>
      </c>
      <c r="C5" s="4" t="s">
        <v>598</v>
      </c>
      <c r="D5" s="9">
        <v>6733</v>
      </c>
    </row>
    <row r="6" spans="1:4" x14ac:dyDescent="0.25">
      <c r="A6" s="4" t="s">
        <v>180</v>
      </c>
      <c r="B6" s="4">
        <v>256270</v>
      </c>
      <c r="C6" s="4" t="s">
        <v>607</v>
      </c>
      <c r="D6" s="9">
        <v>215</v>
      </c>
    </row>
    <row r="7" spans="1:4" x14ac:dyDescent="0.25">
      <c r="A7" s="4" t="s">
        <v>180</v>
      </c>
      <c r="B7" s="4">
        <v>246212</v>
      </c>
      <c r="C7" s="4" t="s">
        <v>528</v>
      </c>
      <c r="D7" s="9">
        <v>75</v>
      </c>
    </row>
    <row r="8" spans="1:4" x14ac:dyDescent="0.25">
      <c r="A8" s="4" t="s">
        <v>180</v>
      </c>
      <c r="B8" s="4">
        <v>252497</v>
      </c>
      <c r="C8" s="4" t="s">
        <v>557</v>
      </c>
      <c r="D8" s="9">
        <v>270</v>
      </c>
    </row>
    <row r="9" spans="1:4" x14ac:dyDescent="0.25">
      <c r="A9" s="4" t="s">
        <v>315</v>
      </c>
      <c r="B9" s="4">
        <v>256072</v>
      </c>
      <c r="C9" s="4" t="s">
        <v>608</v>
      </c>
      <c r="D9" s="9">
        <v>250</v>
      </c>
    </row>
    <row r="10" spans="1:4" x14ac:dyDescent="0.25">
      <c r="A10" s="4" t="s">
        <v>315</v>
      </c>
      <c r="B10" s="4">
        <v>256073</v>
      </c>
      <c r="C10" s="4" t="s">
        <v>609</v>
      </c>
      <c r="D10" s="9">
        <v>450</v>
      </c>
    </row>
    <row r="11" spans="1:4" x14ac:dyDescent="0.25">
      <c r="A11" s="4" t="s">
        <v>38</v>
      </c>
      <c r="B11" s="4">
        <v>246149</v>
      </c>
      <c r="C11" s="4" t="s">
        <v>551</v>
      </c>
      <c r="D11" s="9">
        <v>90</v>
      </c>
    </row>
    <row r="12" spans="1:4" x14ac:dyDescent="0.25">
      <c r="A12" s="4" t="s">
        <v>610</v>
      </c>
      <c r="B12" s="4">
        <v>256279</v>
      </c>
      <c r="C12" s="4" t="s">
        <v>611</v>
      </c>
      <c r="D12" s="9">
        <v>8480</v>
      </c>
    </row>
    <row r="13" spans="1:4" x14ac:dyDescent="0.25">
      <c r="A13" s="4" t="s">
        <v>234</v>
      </c>
      <c r="B13" s="4">
        <v>254451</v>
      </c>
      <c r="C13" s="4" t="s">
        <v>606</v>
      </c>
      <c r="D13" s="9">
        <v>3176</v>
      </c>
    </row>
    <row r="14" spans="1:4" x14ac:dyDescent="0.25">
      <c r="A14" s="4" t="s">
        <v>208</v>
      </c>
      <c r="B14" s="4">
        <v>191435</v>
      </c>
      <c r="C14" s="4" t="s">
        <v>209</v>
      </c>
      <c r="D14" s="9">
        <v>4590</v>
      </c>
    </row>
    <row r="15" spans="1:4" x14ac:dyDescent="0.25">
      <c r="A15" s="4" t="s">
        <v>38</v>
      </c>
      <c r="B15" s="4">
        <v>245852</v>
      </c>
      <c r="C15" s="4" t="s">
        <v>552</v>
      </c>
      <c r="D15" s="9">
        <v>90</v>
      </c>
    </row>
    <row r="16" spans="1:4" x14ac:dyDescent="0.25">
      <c r="C16" s="31" t="s">
        <v>83</v>
      </c>
      <c r="D16" s="32">
        <f>SUM(D4:D15)</f>
        <v>24964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64054-F7DD-40D1-B7BE-FF23F7503F04}">
  <dimension ref="A3:D20"/>
  <sheetViews>
    <sheetView view="pageBreakPreview" zoomScaleNormal="100" zoomScaleSheetLayoutView="100" workbookViewId="0">
      <selection activeCell="D20" sqref="D20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24</v>
      </c>
      <c r="B4" s="4">
        <v>255033</v>
      </c>
      <c r="C4" s="4" t="s">
        <v>593</v>
      </c>
      <c r="D4" s="9">
        <v>545</v>
      </c>
    </row>
    <row r="5" spans="1:4" x14ac:dyDescent="0.25">
      <c r="A5" s="4" t="s">
        <v>81</v>
      </c>
      <c r="B5" s="4">
        <v>255495</v>
      </c>
      <c r="C5" s="4" t="s">
        <v>598</v>
      </c>
      <c r="D5" s="9">
        <v>6733</v>
      </c>
    </row>
    <row r="6" spans="1:4" x14ac:dyDescent="0.25">
      <c r="A6" s="4" t="s">
        <v>180</v>
      </c>
      <c r="B6" s="4">
        <v>256270</v>
      </c>
      <c r="C6" s="4" t="s">
        <v>607</v>
      </c>
      <c r="D6" s="9">
        <v>215</v>
      </c>
    </row>
    <row r="7" spans="1:4" x14ac:dyDescent="0.25">
      <c r="A7" s="4" t="s">
        <v>180</v>
      </c>
      <c r="B7" s="4">
        <v>254449</v>
      </c>
      <c r="C7" s="4" t="s">
        <v>612</v>
      </c>
      <c r="D7" s="9">
        <v>2500</v>
      </c>
    </row>
    <row r="8" spans="1:4" x14ac:dyDescent="0.25">
      <c r="A8" s="4" t="s">
        <v>180</v>
      </c>
      <c r="B8" s="4">
        <v>246212</v>
      </c>
      <c r="C8" s="4" t="s">
        <v>528</v>
      </c>
      <c r="D8" s="9">
        <v>75</v>
      </c>
    </row>
    <row r="9" spans="1:4" x14ac:dyDescent="0.25">
      <c r="A9" s="4" t="s">
        <v>180</v>
      </c>
      <c r="B9" s="4">
        <v>252497</v>
      </c>
      <c r="C9" s="4" t="s">
        <v>557</v>
      </c>
      <c r="D9" s="9">
        <v>270</v>
      </c>
    </row>
    <row r="10" spans="1:4" x14ac:dyDescent="0.25">
      <c r="A10" s="4" t="s">
        <v>180</v>
      </c>
      <c r="B10" s="4">
        <v>256036</v>
      </c>
      <c r="C10" s="4" t="s">
        <v>613</v>
      </c>
      <c r="D10" s="9">
        <v>12143</v>
      </c>
    </row>
    <row r="11" spans="1:4" x14ac:dyDescent="0.25">
      <c r="A11" s="4" t="s">
        <v>614</v>
      </c>
      <c r="B11" s="4">
        <v>256028</v>
      </c>
      <c r="C11" s="4" t="s">
        <v>615</v>
      </c>
      <c r="D11" s="9">
        <v>500</v>
      </c>
    </row>
    <row r="12" spans="1:4" x14ac:dyDescent="0.25">
      <c r="A12" s="4" t="s">
        <v>614</v>
      </c>
      <c r="B12" s="4">
        <v>256027</v>
      </c>
      <c r="C12" s="4" t="s">
        <v>616</v>
      </c>
      <c r="D12" s="9">
        <v>115</v>
      </c>
    </row>
    <row r="13" spans="1:4" x14ac:dyDescent="0.25">
      <c r="A13" s="4" t="s">
        <v>315</v>
      </c>
      <c r="B13" s="4">
        <v>256072</v>
      </c>
      <c r="C13" s="4" t="s">
        <v>608</v>
      </c>
      <c r="D13" s="9">
        <v>250</v>
      </c>
    </row>
    <row r="14" spans="1:4" x14ac:dyDescent="0.25">
      <c r="A14" s="4" t="s">
        <v>315</v>
      </c>
      <c r="B14" s="4">
        <v>256073</v>
      </c>
      <c r="C14" s="4" t="s">
        <v>609</v>
      </c>
      <c r="D14" s="9">
        <v>450</v>
      </c>
    </row>
    <row r="15" spans="1:4" x14ac:dyDescent="0.25">
      <c r="A15" s="4" t="s">
        <v>38</v>
      </c>
      <c r="B15" s="4">
        <v>246149</v>
      </c>
      <c r="C15" s="4" t="s">
        <v>551</v>
      </c>
      <c r="D15" s="9">
        <v>90</v>
      </c>
    </row>
    <row r="16" spans="1:4" x14ac:dyDescent="0.25">
      <c r="A16" s="4" t="s">
        <v>234</v>
      </c>
      <c r="B16" s="4">
        <v>256493</v>
      </c>
      <c r="C16" s="4" t="s">
        <v>617</v>
      </c>
      <c r="D16" s="9">
        <v>22530</v>
      </c>
    </row>
    <row r="17" spans="1:4" x14ac:dyDescent="0.25">
      <c r="A17" s="4" t="s">
        <v>234</v>
      </c>
      <c r="B17" s="4">
        <v>256465</v>
      </c>
      <c r="C17" s="4" t="s">
        <v>618</v>
      </c>
      <c r="D17" s="9">
        <v>4039</v>
      </c>
    </row>
    <row r="18" spans="1:4" x14ac:dyDescent="0.25">
      <c r="A18" s="4" t="s">
        <v>208</v>
      </c>
      <c r="B18" s="4">
        <v>191435</v>
      </c>
      <c r="C18" s="4" t="s">
        <v>209</v>
      </c>
      <c r="D18" s="9">
        <v>4590</v>
      </c>
    </row>
    <row r="19" spans="1:4" x14ac:dyDescent="0.25">
      <c r="A19" s="4" t="s">
        <v>38</v>
      </c>
      <c r="B19" s="4">
        <v>245852</v>
      </c>
      <c r="C19" s="4" t="s">
        <v>552</v>
      </c>
      <c r="D19" s="9">
        <v>90</v>
      </c>
    </row>
    <row r="20" spans="1:4" x14ac:dyDescent="0.25">
      <c r="C20" s="31" t="s">
        <v>83</v>
      </c>
      <c r="D20" s="32">
        <f>SUM(D4:D19)</f>
        <v>55135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A583-175B-40EA-B75F-B11D7C5AB2C5}">
  <dimension ref="A3:D16"/>
  <sheetViews>
    <sheetView view="pageBreakPreview" zoomScaleNormal="100" zoomScaleSheetLayoutView="100" workbookViewId="0">
      <selection activeCell="B25" sqref="B25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234</v>
      </c>
      <c r="B4" s="4">
        <v>257015</v>
      </c>
      <c r="C4" s="4" t="s">
        <v>619</v>
      </c>
      <c r="D4" s="9">
        <v>212</v>
      </c>
    </row>
    <row r="5" spans="1:4" x14ac:dyDescent="0.25">
      <c r="A5" s="4" t="s">
        <v>24</v>
      </c>
      <c r="B5" s="4">
        <v>255033</v>
      </c>
      <c r="C5" s="4" t="s">
        <v>593</v>
      </c>
      <c r="D5" s="9">
        <v>545</v>
      </c>
    </row>
    <row r="6" spans="1:4" x14ac:dyDescent="0.25">
      <c r="A6" s="4" t="s">
        <v>167</v>
      </c>
      <c r="B6" s="4">
        <v>257170</v>
      </c>
      <c r="C6" s="4" t="s">
        <v>620</v>
      </c>
      <c r="D6" s="9">
        <v>395</v>
      </c>
    </row>
    <row r="7" spans="1:4" x14ac:dyDescent="0.25">
      <c r="A7" s="4" t="s">
        <v>81</v>
      </c>
      <c r="B7" s="4">
        <v>255495</v>
      </c>
      <c r="C7" s="4" t="s">
        <v>598</v>
      </c>
      <c r="D7" s="9">
        <v>6733</v>
      </c>
    </row>
    <row r="8" spans="1:4" x14ac:dyDescent="0.25">
      <c r="A8" s="4" t="s">
        <v>180</v>
      </c>
      <c r="B8" s="4">
        <v>256270</v>
      </c>
      <c r="C8" s="4" t="s">
        <v>607</v>
      </c>
      <c r="D8" s="9">
        <v>215</v>
      </c>
    </row>
    <row r="9" spans="1:4" x14ac:dyDescent="0.25">
      <c r="A9" s="4" t="s">
        <v>180</v>
      </c>
      <c r="B9" s="4">
        <v>257126</v>
      </c>
      <c r="C9" s="4" t="s">
        <v>621</v>
      </c>
      <c r="D9" s="9">
        <v>395</v>
      </c>
    </row>
    <row r="10" spans="1:4" x14ac:dyDescent="0.25">
      <c r="A10" s="4" t="s">
        <v>180</v>
      </c>
      <c r="B10" s="4">
        <v>246212</v>
      </c>
      <c r="C10" s="4" t="s">
        <v>528</v>
      </c>
      <c r="D10" s="9">
        <v>75</v>
      </c>
    </row>
    <row r="11" spans="1:4" x14ac:dyDescent="0.25">
      <c r="A11" s="4" t="s">
        <v>180</v>
      </c>
      <c r="B11" s="4">
        <v>252497</v>
      </c>
      <c r="C11" s="4" t="s">
        <v>557</v>
      </c>
      <c r="D11" s="9">
        <v>270</v>
      </c>
    </row>
    <row r="12" spans="1:4" x14ac:dyDescent="0.25">
      <c r="A12" s="4" t="s">
        <v>38</v>
      </c>
      <c r="B12" s="4">
        <v>246149</v>
      </c>
      <c r="C12" s="4" t="s">
        <v>551</v>
      </c>
      <c r="D12" s="9">
        <v>90</v>
      </c>
    </row>
    <row r="13" spans="1:4" x14ac:dyDescent="0.25">
      <c r="A13" s="4" t="s">
        <v>234</v>
      </c>
      <c r="B13" s="4">
        <v>256465</v>
      </c>
      <c r="C13" s="4" t="s">
        <v>618</v>
      </c>
      <c r="D13" s="9">
        <v>4039</v>
      </c>
    </row>
    <row r="14" spans="1:4" x14ac:dyDescent="0.25">
      <c r="A14" s="4" t="s">
        <v>208</v>
      </c>
      <c r="B14" s="4">
        <v>191435</v>
      </c>
      <c r="C14" s="4" t="s">
        <v>209</v>
      </c>
      <c r="D14" s="9">
        <v>4590</v>
      </c>
    </row>
    <row r="15" spans="1:4" x14ac:dyDescent="0.25">
      <c r="A15" s="4" t="s">
        <v>38</v>
      </c>
      <c r="B15" s="4">
        <v>245852</v>
      </c>
      <c r="C15" s="4" t="s">
        <v>552</v>
      </c>
      <c r="D15" s="9">
        <v>90</v>
      </c>
    </row>
    <row r="16" spans="1:4" x14ac:dyDescent="0.25">
      <c r="C16" s="31" t="s">
        <v>83</v>
      </c>
      <c r="D16" s="32">
        <f>SUM(D4:D15)</f>
        <v>17649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C746-5718-4473-BA88-BC27A4A5045F}">
  <dimension ref="A3:D18"/>
  <sheetViews>
    <sheetView view="pageBreakPreview" zoomScaleNormal="100" zoomScaleSheetLayoutView="100" workbookViewId="0">
      <selection activeCell="C31" sqref="C31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98</v>
      </c>
      <c r="B4" s="4">
        <v>257607</v>
      </c>
      <c r="C4" s="4" t="s">
        <v>622</v>
      </c>
      <c r="D4" s="9">
        <v>909</v>
      </c>
    </row>
    <row r="5" spans="1:4" x14ac:dyDescent="0.25">
      <c r="A5" s="4" t="s">
        <v>500</v>
      </c>
      <c r="B5" s="4">
        <v>257625</v>
      </c>
      <c r="C5" s="4" t="s">
        <v>623</v>
      </c>
      <c r="D5" s="9">
        <v>15819</v>
      </c>
    </row>
    <row r="6" spans="1:4" x14ac:dyDescent="0.25">
      <c r="A6" s="4" t="s">
        <v>234</v>
      </c>
      <c r="B6" s="4">
        <v>257015</v>
      </c>
      <c r="C6" s="4" t="s">
        <v>619</v>
      </c>
      <c r="D6" s="9">
        <v>212</v>
      </c>
    </row>
    <row r="7" spans="1:4" x14ac:dyDescent="0.25">
      <c r="A7" s="4" t="s">
        <v>24</v>
      </c>
      <c r="B7" s="4">
        <v>257817</v>
      </c>
      <c r="C7" s="4" t="s">
        <v>624</v>
      </c>
      <c r="D7" s="9">
        <v>437</v>
      </c>
    </row>
    <row r="8" spans="1:4" x14ac:dyDescent="0.25">
      <c r="A8" s="4" t="s">
        <v>24</v>
      </c>
      <c r="B8" s="4">
        <v>257811</v>
      </c>
      <c r="C8" s="4" t="s">
        <v>625</v>
      </c>
      <c r="D8" s="9">
        <v>104041</v>
      </c>
    </row>
    <row r="9" spans="1:4" x14ac:dyDescent="0.25">
      <c r="A9" s="4" t="s">
        <v>626</v>
      </c>
      <c r="B9" s="4">
        <v>257819</v>
      </c>
      <c r="C9" s="4" t="s">
        <v>627</v>
      </c>
      <c r="D9" s="9">
        <v>720</v>
      </c>
    </row>
    <row r="10" spans="1:4" x14ac:dyDescent="0.25">
      <c r="A10" s="4" t="s">
        <v>180</v>
      </c>
      <c r="B10" s="4">
        <v>256270</v>
      </c>
      <c r="C10" s="4" t="s">
        <v>607</v>
      </c>
      <c r="D10" s="9">
        <v>215</v>
      </c>
    </row>
    <row r="11" spans="1:4" x14ac:dyDescent="0.25">
      <c r="A11" s="4" t="s">
        <v>180</v>
      </c>
      <c r="B11" s="4">
        <v>257126</v>
      </c>
      <c r="C11" s="4" t="s">
        <v>621</v>
      </c>
      <c r="D11" s="9">
        <v>395</v>
      </c>
    </row>
    <row r="12" spans="1:4" x14ac:dyDescent="0.25">
      <c r="A12" s="4" t="s">
        <v>180</v>
      </c>
      <c r="B12" s="4">
        <v>246212</v>
      </c>
      <c r="C12" s="4" t="s">
        <v>528</v>
      </c>
      <c r="D12" s="9">
        <v>75</v>
      </c>
    </row>
    <row r="13" spans="1:4" x14ac:dyDescent="0.25">
      <c r="A13" s="4" t="s">
        <v>180</v>
      </c>
      <c r="B13" s="4">
        <v>252497</v>
      </c>
      <c r="C13" s="4" t="s">
        <v>557</v>
      </c>
      <c r="D13" s="9">
        <v>270</v>
      </c>
    </row>
    <row r="14" spans="1:4" x14ac:dyDescent="0.25">
      <c r="A14" s="4" t="s">
        <v>315</v>
      </c>
      <c r="B14" s="4">
        <v>254381</v>
      </c>
      <c r="C14" s="4" t="s">
        <v>628</v>
      </c>
      <c r="D14" s="9">
        <v>7454</v>
      </c>
    </row>
    <row r="15" spans="1:4" x14ac:dyDescent="0.25">
      <c r="A15" s="4" t="s">
        <v>38</v>
      </c>
      <c r="B15" s="4">
        <v>246149</v>
      </c>
      <c r="C15" s="4" t="s">
        <v>551</v>
      </c>
      <c r="D15" s="9">
        <v>90</v>
      </c>
    </row>
    <row r="16" spans="1:4" x14ac:dyDescent="0.25">
      <c r="A16" s="4" t="s">
        <v>208</v>
      </c>
      <c r="B16" s="4">
        <v>191435</v>
      </c>
      <c r="C16" s="4" t="s">
        <v>629</v>
      </c>
      <c r="D16" s="9">
        <v>4590</v>
      </c>
    </row>
    <row r="17" spans="1:4" x14ac:dyDescent="0.25">
      <c r="A17" s="4" t="s">
        <v>38</v>
      </c>
      <c r="B17" s="4">
        <v>245852</v>
      </c>
      <c r="C17" s="4" t="s">
        <v>552</v>
      </c>
      <c r="D17" s="9">
        <v>90</v>
      </c>
    </row>
    <row r="18" spans="1:4" x14ac:dyDescent="0.25">
      <c r="C18" s="31" t="s">
        <v>83</v>
      </c>
      <c r="D18" s="32">
        <f>SUM(D14:D17)</f>
        <v>12224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1DCA-DDC2-43A3-B99C-99D605749801}">
  <dimension ref="A3:D18"/>
  <sheetViews>
    <sheetView view="pageBreakPreview" zoomScaleNormal="100" zoomScaleSheetLayoutView="100" workbookViewId="0">
      <selection activeCell="C35" sqref="C35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336</v>
      </c>
      <c r="B4" s="4">
        <v>258355</v>
      </c>
      <c r="C4" s="4" t="s">
        <v>630</v>
      </c>
      <c r="D4" s="9">
        <v>375</v>
      </c>
    </row>
    <row r="5" spans="1:4" x14ac:dyDescent="0.25">
      <c r="A5" s="4" t="s">
        <v>24</v>
      </c>
      <c r="B5" s="4">
        <v>257817</v>
      </c>
      <c r="C5" s="4" t="s">
        <v>624</v>
      </c>
      <c r="D5" s="9">
        <v>437</v>
      </c>
    </row>
    <row r="6" spans="1:4" x14ac:dyDescent="0.25">
      <c r="A6" s="4" t="s">
        <v>177</v>
      </c>
      <c r="B6" s="4">
        <v>258361</v>
      </c>
      <c r="C6" s="4" t="s">
        <v>631</v>
      </c>
      <c r="D6" s="9">
        <v>2065</v>
      </c>
    </row>
    <row r="7" spans="1:4" x14ac:dyDescent="0.25">
      <c r="A7" s="4" t="s">
        <v>177</v>
      </c>
      <c r="B7" s="4">
        <v>258105</v>
      </c>
      <c r="C7" s="4" t="s">
        <v>632</v>
      </c>
      <c r="D7" s="9">
        <v>1975</v>
      </c>
    </row>
    <row r="8" spans="1:4" x14ac:dyDescent="0.25">
      <c r="A8" s="4" t="s">
        <v>177</v>
      </c>
      <c r="B8" s="4">
        <v>258110</v>
      </c>
      <c r="C8" s="4" t="s">
        <v>633</v>
      </c>
      <c r="D8" s="9">
        <v>1185</v>
      </c>
    </row>
    <row r="9" spans="1:4" x14ac:dyDescent="0.25">
      <c r="A9" s="4" t="s">
        <v>177</v>
      </c>
      <c r="B9" s="4">
        <v>258109</v>
      </c>
      <c r="C9" s="4" t="s">
        <v>634</v>
      </c>
      <c r="D9" s="9">
        <v>2280</v>
      </c>
    </row>
    <row r="10" spans="1:4" x14ac:dyDescent="0.25">
      <c r="A10" s="4" t="s">
        <v>626</v>
      </c>
      <c r="B10" s="4">
        <v>257819</v>
      </c>
      <c r="C10" s="4" t="s">
        <v>627</v>
      </c>
      <c r="D10" s="9">
        <v>720</v>
      </c>
    </row>
    <row r="11" spans="1:4" x14ac:dyDescent="0.25">
      <c r="A11" s="4" t="s">
        <v>635</v>
      </c>
      <c r="B11" s="4">
        <v>257302</v>
      </c>
      <c r="C11" s="4" t="s">
        <v>636</v>
      </c>
      <c r="D11" s="9">
        <v>1495</v>
      </c>
    </row>
    <row r="12" spans="1:4" x14ac:dyDescent="0.25">
      <c r="A12" s="4" t="s">
        <v>180</v>
      </c>
      <c r="B12" s="4">
        <v>256270</v>
      </c>
      <c r="C12" s="4" t="s">
        <v>607</v>
      </c>
      <c r="D12" s="9">
        <v>215</v>
      </c>
    </row>
    <row r="13" spans="1:4" x14ac:dyDescent="0.25">
      <c r="A13" s="4" t="s">
        <v>180</v>
      </c>
      <c r="B13" s="4">
        <v>246212</v>
      </c>
      <c r="C13" s="4" t="s">
        <v>528</v>
      </c>
      <c r="D13" s="9">
        <v>75</v>
      </c>
    </row>
    <row r="14" spans="1:4" x14ac:dyDescent="0.25">
      <c r="A14" s="4" t="s">
        <v>180</v>
      </c>
      <c r="B14" s="4">
        <v>252497</v>
      </c>
      <c r="C14" s="4" t="s">
        <v>557</v>
      </c>
      <c r="D14" s="9">
        <v>270</v>
      </c>
    </row>
    <row r="15" spans="1:4" x14ac:dyDescent="0.25">
      <c r="A15" s="4" t="s">
        <v>38</v>
      </c>
      <c r="B15" s="4">
        <v>246149</v>
      </c>
      <c r="C15" s="4" t="s">
        <v>551</v>
      </c>
      <c r="D15" s="9">
        <v>90</v>
      </c>
    </row>
    <row r="16" spans="1:4" x14ac:dyDescent="0.25">
      <c r="A16" s="4" t="s">
        <v>208</v>
      </c>
      <c r="B16" s="4">
        <v>191435</v>
      </c>
      <c r="C16" s="4" t="s">
        <v>629</v>
      </c>
      <c r="D16" s="9">
        <v>4590</v>
      </c>
    </row>
    <row r="17" spans="1:4" x14ac:dyDescent="0.25">
      <c r="A17" s="4" t="s">
        <v>38</v>
      </c>
      <c r="B17" s="4">
        <v>245852</v>
      </c>
      <c r="C17" s="4" t="s">
        <v>552</v>
      </c>
      <c r="D17" s="9">
        <v>90</v>
      </c>
    </row>
    <row r="18" spans="1:4" x14ac:dyDescent="0.25">
      <c r="C18" s="31" t="s">
        <v>83</v>
      </c>
      <c r="D18" s="32">
        <f>SUM(D4:D17)</f>
        <v>15862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F3A2-4CE9-413F-9514-BCF68618E502}">
  <dimension ref="A3:D25"/>
  <sheetViews>
    <sheetView view="pageBreakPreview" zoomScaleNormal="100" zoomScaleSheetLayoutView="100" workbookViewId="0">
      <selection activeCell="D25" sqref="D25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229</v>
      </c>
      <c r="B4" s="4">
        <v>258763</v>
      </c>
      <c r="C4" s="4" t="s">
        <v>637</v>
      </c>
      <c r="D4" s="9">
        <v>3240</v>
      </c>
    </row>
    <row r="5" spans="1:4" x14ac:dyDescent="0.25">
      <c r="A5" s="4" t="s">
        <v>638</v>
      </c>
      <c r="B5" s="4">
        <v>258280</v>
      </c>
      <c r="C5" s="4" t="s">
        <v>639</v>
      </c>
      <c r="D5" s="9">
        <v>450</v>
      </c>
    </row>
    <row r="6" spans="1:4" x14ac:dyDescent="0.25">
      <c r="A6" s="4" t="s">
        <v>282</v>
      </c>
      <c r="B6" s="4">
        <v>258520</v>
      </c>
      <c r="C6" s="4" t="s">
        <v>640</v>
      </c>
      <c r="D6" s="9">
        <v>10000</v>
      </c>
    </row>
    <row r="7" spans="1:4" x14ac:dyDescent="0.25">
      <c r="A7" s="4" t="s">
        <v>282</v>
      </c>
      <c r="B7" s="4">
        <v>258521</v>
      </c>
      <c r="C7" s="4" t="s">
        <v>641</v>
      </c>
      <c r="D7" s="9">
        <v>6000</v>
      </c>
    </row>
    <row r="8" spans="1:4" x14ac:dyDescent="0.25">
      <c r="A8" s="4" t="s">
        <v>108</v>
      </c>
      <c r="B8" s="4">
        <v>258787</v>
      </c>
      <c r="C8" s="4" t="s">
        <v>642</v>
      </c>
      <c r="D8" s="9">
        <v>810</v>
      </c>
    </row>
    <row r="9" spans="1:4" x14ac:dyDescent="0.25">
      <c r="A9" s="4" t="s">
        <v>234</v>
      </c>
      <c r="B9" s="4">
        <v>258367</v>
      </c>
      <c r="C9" s="4" t="s">
        <v>643</v>
      </c>
      <c r="D9" s="9">
        <v>752</v>
      </c>
    </row>
    <row r="10" spans="1:4" x14ac:dyDescent="0.25">
      <c r="A10" s="4" t="s">
        <v>24</v>
      </c>
      <c r="B10" s="4">
        <v>257817</v>
      </c>
      <c r="C10" s="4" t="s">
        <v>624</v>
      </c>
      <c r="D10" s="9">
        <v>437</v>
      </c>
    </row>
    <row r="11" spans="1:4" x14ac:dyDescent="0.25">
      <c r="A11" s="4" t="s">
        <v>24</v>
      </c>
      <c r="B11" s="4">
        <v>258647</v>
      </c>
      <c r="C11" s="4" t="s">
        <v>644</v>
      </c>
      <c r="D11" s="9">
        <v>3422</v>
      </c>
    </row>
    <row r="12" spans="1:4" x14ac:dyDescent="0.25">
      <c r="A12" s="4" t="s">
        <v>24</v>
      </c>
      <c r="B12" s="4">
        <v>258662</v>
      </c>
      <c r="C12" s="4" t="s">
        <v>645</v>
      </c>
      <c r="D12" s="9">
        <v>1217</v>
      </c>
    </row>
    <row r="13" spans="1:4" x14ac:dyDescent="0.25">
      <c r="A13" s="4" t="s">
        <v>24</v>
      </c>
      <c r="B13" s="4">
        <v>258708</v>
      </c>
      <c r="C13" s="4" t="s">
        <v>646</v>
      </c>
      <c r="D13" s="9">
        <v>3280</v>
      </c>
    </row>
    <row r="14" spans="1:4" x14ac:dyDescent="0.25">
      <c r="A14" s="4" t="s">
        <v>567</v>
      </c>
      <c r="B14" s="4">
        <v>257816</v>
      </c>
      <c r="C14" s="4" t="s">
        <v>647</v>
      </c>
      <c r="D14" s="9">
        <v>3740</v>
      </c>
    </row>
    <row r="15" spans="1:4" x14ac:dyDescent="0.25">
      <c r="A15" s="4" t="s">
        <v>567</v>
      </c>
      <c r="B15" s="4">
        <v>257814</v>
      </c>
      <c r="C15" s="4" t="s">
        <v>648</v>
      </c>
      <c r="D15" s="9">
        <v>5945</v>
      </c>
    </row>
    <row r="16" spans="1:4" x14ac:dyDescent="0.25">
      <c r="A16" s="4" t="s">
        <v>635</v>
      </c>
      <c r="B16" s="4">
        <v>257302</v>
      </c>
      <c r="C16" s="4" t="s">
        <v>636</v>
      </c>
      <c r="D16" s="9">
        <v>1495</v>
      </c>
    </row>
    <row r="17" spans="1:4" x14ac:dyDescent="0.25">
      <c r="A17" s="4" t="s">
        <v>180</v>
      </c>
      <c r="B17" s="4">
        <v>256270</v>
      </c>
      <c r="C17" s="4" t="s">
        <v>607</v>
      </c>
      <c r="D17" s="9">
        <v>215</v>
      </c>
    </row>
    <row r="18" spans="1:4" x14ac:dyDescent="0.25">
      <c r="A18" s="4" t="s">
        <v>180</v>
      </c>
      <c r="B18" s="4">
        <v>246212</v>
      </c>
      <c r="C18" s="4" t="s">
        <v>528</v>
      </c>
      <c r="D18" s="9">
        <v>75</v>
      </c>
    </row>
    <row r="19" spans="1:4" x14ac:dyDescent="0.25">
      <c r="A19" s="4" t="s">
        <v>180</v>
      </c>
      <c r="B19" s="4">
        <v>252497</v>
      </c>
      <c r="C19" s="4" t="s">
        <v>557</v>
      </c>
      <c r="D19" s="9">
        <v>270</v>
      </c>
    </row>
    <row r="20" spans="1:4" x14ac:dyDescent="0.25">
      <c r="A20" s="4" t="s">
        <v>38</v>
      </c>
      <c r="B20" s="4">
        <v>246149</v>
      </c>
      <c r="C20" s="4" t="s">
        <v>551</v>
      </c>
      <c r="D20" s="9">
        <v>90</v>
      </c>
    </row>
    <row r="21" spans="1:4" x14ac:dyDescent="0.25">
      <c r="A21" s="4" t="s">
        <v>234</v>
      </c>
      <c r="B21" s="4">
        <v>257015</v>
      </c>
      <c r="C21" s="4" t="s">
        <v>619</v>
      </c>
      <c r="D21" s="9">
        <v>212</v>
      </c>
    </row>
    <row r="22" spans="1:4" x14ac:dyDescent="0.25">
      <c r="A22" s="4" t="s">
        <v>208</v>
      </c>
      <c r="B22" s="4">
        <v>191435</v>
      </c>
      <c r="C22" s="4" t="s">
        <v>629</v>
      </c>
      <c r="D22" s="9">
        <v>4590</v>
      </c>
    </row>
    <row r="23" spans="1:4" x14ac:dyDescent="0.25">
      <c r="A23" s="4" t="s">
        <v>38</v>
      </c>
      <c r="B23" s="4">
        <v>245852</v>
      </c>
      <c r="C23" s="4" t="s">
        <v>552</v>
      </c>
      <c r="D23" s="9">
        <v>90</v>
      </c>
    </row>
    <row r="24" spans="1:4" x14ac:dyDescent="0.25">
      <c r="A24" s="4" t="s">
        <v>241</v>
      </c>
      <c r="B24" s="4">
        <v>258012</v>
      </c>
      <c r="C24" s="4" t="s">
        <v>649</v>
      </c>
      <c r="D24" s="9">
        <v>30000</v>
      </c>
    </row>
    <row r="25" spans="1:4" x14ac:dyDescent="0.25">
      <c r="C25" s="31" t="s">
        <v>83</v>
      </c>
      <c r="D25" s="32">
        <f>SUM(D4:D24)</f>
        <v>76330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E770-95C8-4F2C-B8B8-EF98280C98A1}">
  <dimension ref="A3:D32"/>
  <sheetViews>
    <sheetView view="pageBreakPreview" zoomScaleNormal="100" zoomScaleSheetLayoutView="100" workbookViewId="0">
      <selection activeCell="D32" sqref="D32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229</v>
      </c>
      <c r="B4" s="4">
        <v>258763</v>
      </c>
      <c r="C4" s="4" t="s">
        <v>637</v>
      </c>
      <c r="D4" s="9">
        <v>3240</v>
      </c>
    </row>
    <row r="5" spans="1:4" x14ac:dyDescent="0.25">
      <c r="A5" s="4" t="s">
        <v>282</v>
      </c>
      <c r="B5" s="4">
        <v>258520</v>
      </c>
      <c r="C5" s="4" t="s">
        <v>640</v>
      </c>
      <c r="D5" s="9">
        <v>10000</v>
      </c>
    </row>
    <row r="6" spans="1:4" x14ac:dyDescent="0.25">
      <c r="A6" s="4" t="s">
        <v>282</v>
      </c>
      <c r="B6" s="4">
        <v>258521</v>
      </c>
      <c r="C6" s="4" t="s">
        <v>641</v>
      </c>
      <c r="D6" s="9">
        <v>6000</v>
      </c>
    </row>
    <row r="7" spans="1:4" x14ac:dyDescent="0.25">
      <c r="A7" s="4" t="s">
        <v>108</v>
      </c>
      <c r="B7" s="4">
        <v>258787</v>
      </c>
      <c r="C7" s="4" t="s">
        <v>642</v>
      </c>
      <c r="D7" s="9">
        <v>810</v>
      </c>
    </row>
    <row r="8" spans="1:4" x14ac:dyDescent="0.25">
      <c r="A8" s="4" t="s">
        <v>500</v>
      </c>
      <c r="B8" s="4">
        <v>258722</v>
      </c>
      <c r="C8" s="4" t="s">
        <v>650</v>
      </c>
      <c r="D8" s="9">
        <v>0</v>
      </c>
    </row>
    <row r="9" spans="1:4" x14ac:dyDescent="0.25">
      <c r="A9" s="4" t="s">
        <v>24</v>
      </c>
      <c r="B9" s="4">
        <v>257817</v>
      </c>
      <c r="C9" s="4" t="s">
        <v>624</v>
      </c>
      <c r="D9" s="9">
        <v>437</v>
      </c>
    </row>
    <row r="10" spans="1:4" x14ac:dyDescent="0.25">
      <c r="A10" s="4" t="s">
        <v>24</v>
      </c>
      <c r="B10" s="4">
        <v>258662</v>
      </c>
      <c r="C10" s="4" t="s">
        <v>645</v>
      </c>
      <c r="D10" s="9">
        <v>1217</v>
      </c>
    </row>
    <row r="11" spans="1:4" x14ac:dyDescent="0.25">
      <c r="A11" s="4" t="s">
        <v>24</v>
      </c>
      <c r="B11" s="4">
        <v>258708</v>
      </c>
      <c r="C11" s="4" t="s">
        <v>646</v>
      </c>
      <c r="D11" s="9">
        <v>3280</v>
      </c>
    </row>
    <row r="12" spans="1:4" x14ac:dyDescent="0.25">
      <c r="A12" s="4" t="s">
        <v>635</v>
      </c>
      <c r="B12" s="4">
        <v>257302</v>
      </c>
      <c r="C12" s="4" t="s">
        <v>636</v>
      </c>
      <c r="D12" s="9">
        <v>1495</v>
      </c>
    </row>
    <row r="13" spans="1:4" x14ac:dyDescent="0.25">
      <c r="A13" s="4" t="s">
        <v>651</v>
      </c>
      <c r="B13" s="4">
        <v>258216</v>
      </c>
      <c r="C13" s="4" t="s">
        <v>652</v>
      </c>
      <c r="D13" s="9">
        <v>13660</v>
      </c>
    </row>
    <row r="14" spans="1:4" x14ac:dyDescent="0.25">
      <c r="A14" s="4" t="s">
        <v>651</v>
      </c>
      <c r="B14" s="4">
        <v>258060</v>
      </c>
      <c r="C14" s="4" t="s">
        <v>653</v>
      </c>
      <c r="D14" s="9">
        <v>4020</v>
      </c>
    </row>
    <row r="15" spans="1:4" x14ac:dyDescent="0.25">
      <c r="A15" s="4" t="s">
        <v>651</v>
      </c>
      <c r="B15" s="4">
        <v>256863</v>
      </c>
      <c r="C15" s="4" t="s">
        <v>654</v>
      </c>
      <c r="D15" s="9">
        <v>2300</v>
      </c>
    </row>
    <row r="16" spans="1:4" x14ac:dyDescent="0.25">
      <c r="A16" s="4" t="s">
        <v>651</v>
      </c>
      <c r="B16" s="4">
        <v>257768</v>
      </c>
      <c r="C16" s="4" t="s">
        <v>655</v>
      </c>
      <c r="D16" s="9">
        <v>4455</v>
      </c>
    </row>
    <row r="17" spans="1:4" x14ac:dyDescent="0.25">
      <c r="A17" s="4" t="s">
        <v>651</v>
      </c>
      <c r="B17" s="4">
        <v>258126</v>
      </c>
      <c r="C17" s="4" t="s">
        <v>656</v>
      </c>
      <c r="D17" s="9">
        <v>10225</v>
      </c>
    </row>
    <row r="18" spans="1:4" x14ac:dyDescent="0.25">
      <c r="A18" s="4" t="s">
        <v>180</v>
      </c>
      <c r="B18" s="4">
        <v>256270</v>
      </c>
      <c r="C18" s="4" t="s">
        <v>657</v>
      </c>
      <c r="D18" s="9">
        <v>215</v>
      </c>
    </row>
    <row r="19" spans="1:4" x14ac:dyDescent="0.25">
      <c r="A19" s="4" t="s">
        <v>180</v>
      </c>
      <c r="B19" s="4">
        <v>246212</v>
      </c>
      <c r="C19" s="4" t="s">
        <v>658</v>
      </c>
      <c r="D19" s="9">
        <v>75</v>
      </c>
    </row>
    <row r="20" spans="1:4" x14ac:dyDescent="0.25">
      <c r="A20" s="4" t="s">
        <v>180</v>
      </c>
      <c r="B20" s="4">
        <v>252497</v>
      </c>
      <c r="C20" s="4" t="s">
        <v>557</v>
      </c>
      <c r="D20" s="9">
        <v>270</v>
      </c>
    </row>
    <row r="21" spans="1:4" x14ac:dyDescent="0.25">
      <c r="A21" s="4" t="s">
        <v>610</v>
      </c>
      <c r="B21" s="4">
        <v>257381</v>
      </c>
      <c r="C21" s="4" t="s">
        <v>659</v>
      </c>
      <c r="D21" s="9">
        <v>6465</v>
      </c>
    </row>
    <row r="22" spans="1:4" x14ac:dyDescent="0.25">
      <c r="A22" s="4" t="s">
        <v>610</v>
      </c>
      <c r="B22" s="4">
        <v>257382</v>
      </c>
      <c r="C22" s="4" t="s">
        <v>660</v>
      </c>
      <c r="D22" s="9">
        <v>1735</v>
      </c>
    </row>
    <row r="23" spans="1:4" x14ac:dyDescent="0.25">
      <c r="A23" s="4" t="s">
        <v>48</v>
      </c>
      <c r="B23" s="4">
        <v>254680</v>
      </c>
      <c r="C23" s="4" t="s">
        <v>661</v>
      </c>
      <c r="D23" s="9">
        <v>4875</v>
      </c>
    </row>
    <row r="24" spans="1:4" x14ac:dyDescent="0.25">
      <c r="A24" s="4" t="s">
        <v>48</v>
      </c>
      <c r="B24" s="4">
        <v>256419</v>
      </c>
      <c r="C24" s="4" t="s">
        <v>662</v>
      </c>
      <c r="D24" s="9">
        <v>4190</v>
      </c>
    </row>
    <row r="25" spans="1:4" x14ac:dyDescent="0.25">
      <c r="A25" s="4" t="s">
        <v>48</v>
      </c>
      <c r="B25" s="4">
        <v>256420</v>
      </c>
      <c r="C25" s="4" t="s">
        <v>663</v>
      </c>
      <c r="D25" s="9">
        <v>4290</v>
      </c>
    </row>
    <row r="26" spans="1:4" x14ac:dyDescent="0.25">
      <c r="A26" s="4" t="s">
        <v>48</v>
      </c>
      <c r="B26" s="4">
        <v>254663</v>
      </c>
      <c r="C26" s="4" t="s">
        <v>664</v>
      </c>
      <c r="D26" s="9">
        <v>2195</v>
      </c>
    </row>
    <row r="27" spans="1:4" x14ac:dyDescent="0.25">
      <c r="A27" s="4" t="s">
        <v>48</v>
      </c>
      <c r="B27" s="4">
        <v>255502</v>
      </c>
      <c r="C27" s="4" t="s">
        <v>665</v>
      </c>
      <c r="D27" s="9">
        <v>7780</v>
      </c>
    </row>
    <row r="28" spans="1:4" x14ac:dyDescent="0.25">
      <c r="A28" s="4" t="s">
        <v>234</v>
      </c>
      <c r="B28" s="4">
        <v>257015</v>
      </c>
      <c r="C28" s="4" t="s">
        <v>619</v>
      </c>
      <c r="D28" s="9">
        <v>212</v>
      </c>
    </row>
    <row r="29" spans="1:4" x14ac:dyDescent="0.25">
      <c r="A29" s="4" t="s">
        <v>208</v>
      </c>
      <c r="B29" s="4">
        <v>191435</v>
      </c>
      <c r="C29" s="4" t="s">
        <v>629</v>
      </c>
      <c r="D29" s="9">
        <v>4590</v>
      </c>
    </row>
    <row r="30" spans="1:4" x14ac:dyDescent="0.25">
      <c r="A30" s="4" t="s">
        <v>38</v>
      </c>
      <c r="B30" s="4">
        <v>245852</v>
      </c>
      <c r="C30" s="4" t="s">
        <v>552</v>
      </c>
      <c r="D30" s="9">
        <v>90</v>
      </c>
    </row>
    <row r="31" spans="1:4" x14ac:dyDescent="0.25">
      <c r="A31" s="4" t="s">
        <v>241</v>
      </c>
      <c r="B31" s="4">
        <v>258012</v>
      </c>
      <c r="C31" s="4" t="s">
        <v>649</v>
      </c>
      <c r="D31" s="9">
        <v>30000</v>
      </c>
    </row>
    <row r="32" spans="1:4" x14ac:dyDescent="0.25">
      <c r="C32" s="31" t="s">
        <v>83</v>
      </c>
      <c r="D32" s="32">
        <f>SUM(D4:D31)</f>
        <v>128121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9F8D-D7D0-4F13-BD67-E7DE48D90EEA}">
  <dimension ref="A3:D26"/>
  <sheetViews>
    <sheetView view="pageBreakPreview" zoomScaleNormal="100" zoomScaleSheetLayoutView="100" workbookViewId="0">
      <selection activeCell="F31" sqref="F31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229</v>
      </c>
      <c r="B4" s="4">
        <v>258763</v>
      </c>
      <c r="C4" s="4" t="s">
        <v>637</v>
      </c>
      <c r="D4" s="9">
        <v>3240</v>
      </c>
    </row>
    <row r="5" spans="1:4" x14ac:dyDescent="0.25">
      <c r="A5" s="4" t="s">
        <v>282</v>
      </c>
      <c r="B5" s="4">
        <v>258520</v>
      </c>
      <c r="C5" s="4" t="s">
        <v>640</v>
      </c>
      <c r="D5" s="9">
        <v>10000</v>
      </c>
    </row>
    <row r="6" spans="1:4" x14ac:dyDescent="0.25">
      <c r="A6" s="4" t="s">
        <v>282</v>
      </c>
      <c r="B6" s="4">
        <v>258521</v>
      </c>
      <c r="C6" s="4" t="s">
        <v>641</v>
      </c>
      <c r="D6" s="9">
        <v>6000</v>
      </c>
    </row>
    <row r="7" spans="1:4" x14ac:dyDescent="0.25">
      <c r="A7" s="4" t="s">
        <v>192</v>
      </c>
      <c r="B7" s="4">
        <v>259616</v>
      </c>
      <c r="C7" s="4" t="s">
        <v>666</v>
      </c>
      <c r="D7" s="9">
        <v>1826</v>
      </c>
    </row>
    <row r="8" spans="1:4" x14ac:dyDescent="0.25">
      <c r="A8" s="4" t="s">
        <v>108</v>
      </c>
      <c r="B8" s="4">
        <v>258787</v>
      </c>
      <c r="C8" s="4" t="s">
        <v>642</v>
      </c>
      <c r="D8" s="9">
        <v>810</v>
      </c>
    </row>
    <row r="9" spans="1:4" x14ac:dyDescent="0.25">
      <c r="A9" s="4" t="s">
        <v>24</v>
      </c>
      <c r="B9" s="4">
        <v>259072</v>
      </c>
      <c r="C9" s="4" t="s">
        <v>667</v>
      </c>
      <c r="D9" s="9">
        <v>2520</v>
      </c>
    </row>
    <row r="10" spans="1:4" x14ac:dyDescent="0.25">
      <c r="A10" s="4" t="s">
        <v>24</v>
      </c>
      <c r="B10" s="4">
        <v>255825</v>
      </c>
      <c r="C10" s="4" t="s">
        <v>668</v>
      </c>
      <c r="D10" s="9">
        <v>73680</v>
      </c>
    </row>
    <row r="11" spans="1:4" x14ac:dyDescent="0.25">
      <c r="A11" s="4" t="s">
        <v>24</v>
      </c>
      <c r="B11" s="4">
        <v>257817</v>
      </c>
      <c r="C11" s="4" t="s">
        <v>624</v>
      </c>
      <c r="D11" s="9">
        <v>437</v>
      </c>
    </row>
    <row r="12" spans="1:4" x14ac:dyDescent="0.25">
      <c r="A12" s="4" t="s">
        <v>24</v>
      </c>
      <c r="B12" s="4">
        <v>258662</v>
      </c>
      <c r="C12" s="4" t="s">
        <v>645</v>
      </c>
      <c r="D12" s="9">
        <v>1217</v>
      </c>
    </row>
    <row r="13" spans="1:4" x14ac:dyDescent="0.25">
      <c r="A13" s="4" t="s">
        <v>24</v>
      </c>
      <c r="B13" s="4">
        <v>258708</v>
      </c>
      <c r="C13" s="4" t="s">
        <v>646</v>
      </c>
      <c r="D13" s="9">
        <v>3280</v>
      </c>
    </row>
    <row r="14" spans="1:4" x14ac:dyDescent="0.25">
      <c r="A14" s="4" t="s">
        <v>26</v>
      </c>
      <c r="B14" s="4">
        <v>255803</v>
      </c>
      <c r="C14" s="4" t="s">
        <v>669</v>
      </c>
      <c r="D14" s="9">
        <v>995</v>
      </c>
    </row>
    <row r="15" spans="1:4" x14ac:dyDescent="0.25">
      <c r="A15" s="4" t="s">
        <v>26</v>
      </c>
      <c r="B15" s="4">
        <v>259637</v>
      </c>
      <c r="C15" s="4" t="s">
        <v>670</v>
      </c>
      <c r="D15" s="9">
        <v>10295</v>
      </c>
    </row>
    <row r="16" spans="1:4" x14ac:dyDescent="0.25">
      <c r="A16" s="4" t="s">
        <v>635</v>
      </c>
      <c r="B16" s="4">
        <v>257302</v>
      </c>
      <c r="C16" s="4" t="s">
        <v>636</v>
      </c>
      <c r="D16" s="9">
        <v>1495</v>
      </c>
    </row>
    <row r="17" spans="1:4" x14ac:dyDescent="0.25">
      <c r="A17" s="4" t="s">
        <v>651</v>
      </c>
      <c r="B17" s="4">
        <v>258126</v>
      </c>
      <c r="C17" s="4" t="s">
        <v>656</v>
      </c>
      <c r="D17" s="9">
        <v>10225</v>
      </c>
    </row>
    <row r="18" spans="1:4" x14ac:dyDescent="0.25">
      <c r="A18" s="4" t="s">
        <v>180</v>
      </c>
      <c r="B18" s="4">
        <v>256270</v>
      </c>
      <c r="C18" s="4" t="s">
        <v>657</v>
      </c>
      <c r="D18" s="9">
        <v>215</v>
      </c>
    </row>
    <row r="19" spans="1:4" x14ac:dyDescent="0.25">
      <c r="A19" s="4" t="s">
        <v>180</v>
      </c>
      <c r="B19" s="4">
        <v>246212</v>
      </c>
      <c r="C19" s="4" t="s">
        <v>658</v>
      </c>
      <c r="D19" s="9">
        <v>75</v>
      </c>
    </row>
    <row r="20" spans="1:4" x14ac:dyDescent="0.25">
      <c r="A20" s="4" t="s">
        <v>180</v>
      </c>
      <c r="B20" s="4">
        <v>252497</v>
      </c>
      <c r="C20" s="4" t="s">
        <v>557</v>
      </c>
      <c r="D20" s="9">
        <v>270</v>
      </c>
    </row>
    <row r="21" spans="1:4" x14ac:dyDescent="0.25">
      <c r="A21" s="4" t="s">
        <v>221</v>
      </c>
      <c r="B21" s="4">
        <v>258940</v>
      </c>
      <c r="C21" s="4" t="s">
        <v>671</v>
      </c>
      <c r="D21" s="9">
        <v>68940</v>
      </c>
    </row>
    <row r="22" spans="1:4" x14ac:dyDescent="0.25">
      <c r="A22" s="4" t="s">
        <v>315</v>
      </c>
      <c r="B22" s="4">
        <v>259108</v>
      </c>
      <c r="C22" s="4" t="s">
        <v>672</v>
      </c>
      <c r="D22" s="9">
        <v>450</v>
      </c>
    </row>
    <row r="23" spans="1:4" x14ac:dyDescent="0.25">
      <c r="A23" s="4" t="s">
        <v>234</v>
      </c>
      <c r="B23" s="4">
        <v>257015</v>
      </c>
      <c r="C23" s="4" t="s">
        <v>619</v>
      </c>
      <c r="D23" s="9">
        <v>212</v>
      </c>
    </row>
    <row r="24" spans="1:4" x14ac:dyDescent="0.25">
      <c r="A24" s="4" t="s">
        <v>208</v>
      </c>
      <c r="B24" s="4">
        <v>191435</v>
      </c>
      <c r="C24" s="4" t="s">
        <v>629</v>
      </c>
      <c r="D24" s="9">
        <v>4590</v>
      </c>
    </row>
    <row r="25" spans="1:4" x14ac:dyDescent="0.25">
      <c r="A25" s="4" t="s">
        <v>38</v>
      </c>
      <c r="B25" s="4">
        <v>245852</v>
      </c>
      <c r="C25" s="4" t="s">
        <v>552</v>
      </c>
      <c r="D25" s="9">
        <v>90</v>
      </c>
    </row>
    <row r="26" spans="1:4" x14ac:dyDescent="0.25">
      <c r="C26" s="31" t="s">
        <v>83</v>
      </c>
      <c r="D26" s="32">
        <f>SUM(D4:D25)</f>
        <v>200862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CB8B-BE4A-4687-8926-9A643084B5D7}">
  <dimension ref="A3:D19"/>
  <sheetViews>
    <sheetView view="pageBreakPreview" zoomScaleNormal="100" zoomScaleSheetLayoutView="100" workbookViewId="0">
      <selection activeCell="C30" sqref="C30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229</v>
      </c>
      <c r="B4" s="4">
        <v>258763</v>
      </c>
      <c r="C4" s="4" t="s">
        <v>637</v>
      </c>
      <c r="D4" s="9">
        <v>3240</v>
      </c>
    </row>
    <row r="5" spans="1:4" x14ac:dyDescent="0.25">
      <c r="A5" s="4" t="s">
        <v>282</v>
      </c>
      <c r="B5" s="4">
        <v>258520</v>
      </c>
      <c r="C5" s="4" t="s">
        <v>640</v>
      </c>
      <c r="D5" s="9">
        <v>10000</v>
      </c>
    </row>
    <row r="6" spans="1:4" x14ac:dyDescent="0.25">
      <c r="A6" s="4" t="s">
        <v>282</v>
      </c>
      <c r="B6" s="4">
        <v>258521</v>
      </c>
      <c r="C6" s="4" t="s">
        <v>641</v>
      </c>
      <c r="D6" s="9">
        <v>6000</v>
      </c>
    </row>
    <row r="7" spans="1:4" x14ac:dyDescent="0.25">
      <c r="A7" s="4" t="s">
        <v>108</v>
      </c>
      <c r="B7" s="4">
        <v>258787</v>
      </c>
      <c r="C7" s="4" t="s">
        <v>642</v>
      </c>
      <c r="D7" s="9">
        <v>810</v>
      </c>
    </row>
    <row r="8" spans="1:4" x14ac:dyDescent="0.25">
      <c r="A8" s="4" t="s">
        <v>24</v>
      </c>
      <c r="B8" s="4">
        <v>259072</v>
      </c>
      <c r="C8" s="4" t="s">
        <v>667</v>
      </c>
      <c r="D8" s="9">
        <v>2520</v>
      </c>
    </row>
    <row r="9" spans="1:4" x14ac:dyDescent="0.25">
      <c r="A9" s="4" t="s">
        <v>24</v>
      </c>
      <c r="B9" s="4">
        <v>257817</v>
      </c>
      <c r="C9" s="4" t="s">
        <v>624</v>
      </c>
      <c r="D9" s="9">
        <v>437</v>
      </c>
    </row>
    <row r="10" spans="1:4" x14ac:dyDescent="0.25">
      <c r="A10" s="4" t="s">
        <v>180</v>
      </c>
      <c r="B10" s="4">
        <v>256270</v>
      </c>
      <c r="C10" s="4" t="s">
        <v>657</v>
      </c>
      <c r="D10" s="9">
        <v>215</v>
      </c>
    </row>
    <row r="11" spans="1:4" x14ac:dyDescent="0.25">
      <c r="A11" s="4" t="s">
        <v>180</v>
      </c>
      <c r="B11" s="4">
        <v>246212</v>
      </c>
      <c r="C11" s="4" t="s">
        <v>658</v>
      </c>
      <c r="D11" s="9">
        <v>75</v>
      </c>
    </row>
    <row r="12" spans="1:4" x14ac:dyDescent="0.25">
      <c r="A12" s="4" t="s">
        <v>180</v>
      </c>
      <c r="B12" s="4">
        <v>252497</v>
      </c>
      <c r="C12" s="4" t="s">
        <v>557</v>
      </c>
      <c r="D12" s="9">
        <v>270</v>
      </c>
    </row>
    <row r="13" spans="1:4" x14ac:dyDescent="0.25">
      <c r="A13" s="4" t="s">
        <v>315</v>
      </c>
      <c r="B13" s="4">
        <v>259108</v>
      </c>
      <c r="C13" s="4" t="s">
        <v>672</v>
      </c>
      <c r="D13" s="9">
        <v>450</v>
      </c>
    </row>
    <row r="14" spans="1:4" x14ac:dyDescent="0.25">
      <c r="A14" s="4" t="s">
        <v>38</v>
      </c>
      <c r="B14" s="4">
        <v>259912</v>
      </c>
      <c r="C14" s="4" t="s">
        <v>673</v>
      </c>
      <c r="D14" s="9">
        <v>25832</v>
      </c>
    </row>
    <row r="15" spans="1:4" x14ac:dyDescent="0.25">
      <c r="A15" s="4" t="s">
        <v>48</v>
      </c>
      <c r="B15" s="4">
        <v>257657</v>
      </c>
      <c r="C15" s="4" t="s">
        <v>674</v>
      </c>
      <c r="D15" s="9">
        <v>795</v>
      </c>
    </row>
    <row r="16" spans="1:4" x14ac:dyDescent="0.25">
      <c r="A16" s="4" t="s">
        <v>234</v>
      </c>
      <c r="B16" s="4">
        <v>257015</v>
      </c>
      <c r="C16" s="4" t="s">
        <v>619</v>
      </c>
      <c r="D16" s="9">
        <v>212</v>
      </c>
    </row>
    <row r="17" spans="1:4" x14ac:dyDescent="0.25">
      <c r="A17" s="4" t="s">
        <v>208</v>
      </c>
      <c r="B17" s="4">
        <v>191435</v>
      </c>
      <c r="C17" s="4" t="s">
        <v>629</v>
      </c>
      <c r="D17" s="9">
        <v>4590</v>
      </c>
    </row>
    <row r="18" spans="1:4" x14ac:dyDescent="0.25">
      <c r="A18" s="4" t="s">
        <v>38</v>
      </c>
      <c r="B18" s="4">
        <v>245852</v>
      </c>
      <c r="C18" s="4" t="s">
        <v>552</v>
      </c>
      <c r="D18" s="9">
        <v>90</v>
      </c>
    </row>
    <row r="19" spans="1:4" x14ac:dyDescent="0.25">
      <c r="C19" s="31" t="s">
        <v>83</v>
      </c>
      <c r="D19" s="32">
        <f>SUM(D4:D18)</f>
        <v>55536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06FD-CA24-4403-9382-7323316FA942}">
  <dimension ref="A3:D20"/>
  <sheetViews>
    <sheetView view="pageBreakPreview" zoomScaleNormal="100" zoomScaleSheetLayoutView="100" workbookViewId="0">
      <selection activeCell="C31" sqref="C31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229</v>
      </c>
      <c r="B4" s="4">
        <v>258763</v>
      </c>
      <c r="C4" s="4" t="s">
        <v>637</v>
      </c>
      <c r="D4" s="9">
        <v>3240</v>
      </c>
    </row>
    <row r="5" spans="1:4" x14ac:dyDescent="0.25">
      <c r="A5" s="4" t="s">
        <v>282</v>
      </c>
      <c r="B5" s="4">
        <v>258520</v>
      </c>
      <c r="C5" s="4" t="s">
        <v>640</v>
      </c>
      <c r="D5" s="9">
        <v>10000</v>
      </c>
    </row>
    <row r="6" spans="1:4" x14ac:dyDescent="0.25">
      <c r="A6" s="4" t="s">
        <v>282</v>
      </c>
      <c r="B6" s="4">
        <v>258521</v>
      </c>
      <c r="C6" s="4" t="s">
        <v>641</v>
      </c>
      <c r="D6" s="9">
        <v>6000</v>
      </c>
    </row>
    <row r="7" spans="1:4" x14ac:dyDescent="0.25">
      <c r="A7" s="4" t="s">
        <v>108</v>
      </c>
      <c r="B7" s="4">
        <v>258787</v>
      </c>
      <c r="C7" s="4" t="s">
        <v>642</v>
      </c>
      <c r="D7" s="9">
        <v>810</v>
      </c>
    </row>
    <row r="8" spans="1:4" x14ac:dyDescent="0.25">
      <c r="A8" s="4" t="s">
        <v>24</v>
      </c>
      <c r="B8" s="4">
        <v>259072</v>
      </c>
      <c r="C8" s="4" t="s">
        <v>667</v>
      </c>
      <c r="D8" s="9">
        <v>2520</v>
      </c>
    </row>
    <row r="9" spans="1:4" x14ac:dyDescent="0.25">
      <c r="A9" s="4" t="s">
        <v>24</v>
      </c>
      <c r="B9" s="4">
        <v>257817</v>
      </c>
      <c r="C9" s="4" t="s">
        <v>624</v>
      </c>
      <c r="D9" s="9">
        <v>437</v>
      </c>
    </row>
    <row r="10" spans="1:4" x14ac:dyDescent="0.25">
      <c r="A10" s="4" t="s">
        <v>180</v>
      </c>
      <c r="B10" s="4">
        <v>256270</v>
      </c>
      <c r="C10" s="4" t="s">
        <v>657</v>
      </c>
      <c r="D10" s="9">
        <v>215</v>
      </c>
    </row>
    <row r="11" spans="1:4" x14ac:dyDescent="0.25">
      <c r="A11" s="4" t="s">
        <v>180</v>
      </c>
      <c r="B11" s="4">
        <v>246212</v>
      </c>
      <c r="C11" s="4" t="s">
        <v>658</v>
      </c>
      <c r="D11" s="9">
        <v>75</v>
      </c>
    </row>
    <row r="12" spans="1:4" x14ac:dyDescent="0.25">
      <c r="A12" s="4" t="s">
        <v>180</v>
      </c>
      <c r="B12" s="4">
        <v>252497</v>
      </c>
      <c r="C12" s="4" t="s">
        <v>557</v>
      </c>
      <c r="D12" s="9">
        <v>270</v>
      </c>
    </row>
    <row r="13" spans="1:4" x14ac:dyDescent="0.25">
      <c r="A13" s="4" t="s">
        <v>34</v>
      </c>
      <c r="B13" s="4">
        <v>260216</v>
      </c>
      <c r="C13" s="4" t="s">
        <v>675</v>
      </c>
      <c r="D13" s="9">
        <v>2557</v>
      </c>
    </row>
    <row r="14" spans="1:4" x14ac:dyDescent="0.25">
      <c r="A14" s="4" t="s">
        <v>34</v>
      </c>
      <c r="B14" s="4">
        <v>260383</v>
      </c>
      <c r="C14" s="4" t="s">
        <v>676</v>
      </c>
      <c r="D14" s="9">
        <v>1799</v>
      </c>
    </row>
    <row r="15" spans="1:4" x14ac:dyDescent="0.25">
      <c r="A15" s="4" t="s">
        <v>48</v>
      </c>
      <c r="B15" s="4">
        <v>259429</v>
      </c>
      <c r="C15" s="4" t="s">
        <v>677</v>
      </c>
      <c r="D15" s="9">
        <v>1690</v>
      </c>
    </row>
    <row r="16" spans="1:4" x14ac:dyDescent="0.25">
      <c r="A16" s="4" t="s">
        <v>48</v>
      </c>
      <c r="B16" s="4">
        <v>257657</v>
      </c>
      <c r="C16" s="4" t="s">
        <v>674</v>
      </c>
      <c r="D16" s="9">
        <v>795</v>
      </c>
    </row>
    <row r="17" spans="1:4" x14ac:dyDescent="0.25">
      <c r="A17" s="4" t="s">
        <v>234</v>
      </c>
      <c r="B17" s="4">
        <v>257015</v>
      </c>
      <c r="C17" s="4" t="s">
        <v>619</v>
      </c>
      <c r="D17" s="9">
        <v>212</v>
      </c>
    </row>
    <row r="18" spans="1:4" x14ac:dyDescent="0.25">
      <c r="A18" s="4" t="s">
        <v>208</v>
      </c>
      <c r="B18" s="4">
        <v>191435</v>
      </c>
      <c r="C18" s="4" t="s">
        <v>629</v>
      </c>
      <c r="D18" s="9">
        <v>4590</v>
      </c>
    </row>
    <row r="19" spans="1:4" x14ac:dyDescent="0.25">
      <c r="A19" s="4" t="s">
        <v>38</v>
      </c>
      <c r="B19" s="4">
        <v>245852</v>
      </c>
      <c r="C19" s="4" t="s">
        <v>552</v>
      </c>
      <c r="D19" s="9">
        <v>90</v>
      </c>
    </row>
    <row r="20" spans="1:4" x14ac:dyDescent="0.25">
      <c r="C20" s="31" t="s">
        <v>83</v>
      </c>
      <c r="D20" s="32">
        <f>SUM(D4:D19)</f>
        <v>35300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88BF-4716-4D8B-ABE1-DA364803823A}">
  <dimension ref="A3:D19"/>
  <sheetViews>
    <sheetView view="pageBreakPreview" zoomScaleNormal="100" zoomScaleSheetLayoutView="100" workbookViewId="0">
      <selection activeCell="B26" sqref="B26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282</v>
      </c>
      <c r="B4" s="4">
        <v>260395</v>
      </c>
      <c r="C4" s="4" t="s">
        <v>678</v>
      </c>
      <c r="D4" s="9">
        <v>6100</v>
      </c>
    </row>
    <row r="5" spans="1:4" x14ac:dyDescent="0.25">
      <c r="A5" s="4" t="s">
        <v>282</v>
      </c>
      <c r="B5" s="4">
        <v>260391</v>
      </c>
      <c r="C5" s="4" t="s">
        <v>679</v>
      </c>
      <c r="D5" s="9">
        <v>990</v>
      </c>
    </row>
    <row r="6" spans="1:4" x14ac:dyDescent="0.25">
      <c r="A6" s="4" t="s">
        <v>680</v>
      </c>
      <c r="B6" s="4">
        <v>261283</v>
      </c>
      <c r="C6" s="4" t="s">
        <v>681</v>
      </c>
      <c r="D6" s="9">
        <v>345</v>
      </c>
    </row>
    <row r="7" spans="1:4" x14ac:dyDescent="0.25">
      <c r="A7" s="4" t="s">
        <v>680</v>
      </c>
      <c r="B7" s="4">
        <v>261214</v>
      </c>
      <c r="C7" s="4" t="s">
        <v>682</v>
      </c>
      <c r="D7" s="9">
        <v>1776</v>
      </c>
    </row>
    <row r="8" spans="1:4" x14ac:dyDescent="0.25">
      <c r="A8" s="4" t="s">
        <v>680</v>
      </c>
      <c r="B8" s="4">
        <v>261235</v>
      </c>
      <c r="C8" s="4" t="s">
        <v>683</v>
      </c>
      <c r="D8" s="9">
        <v>5994</v>
      </c>
    </row>
    <row r="9" spans="1:4" x14ac:dyDescent="0.25">
      <c r="A9" s="4" t="s">
        <v>108</v>
      </c>
      <c r="B9" s="4">
        <v>258787</v>
      </c>
      <c r="C9" s="4" t="s">
        <v>642</v>
      </c>
      <c r="D9" s="9">
        <v>810</v>
      </c>
    </row>
    <row r="10" spans="1:4" x14ac:dyDescent="0.25">
      <c r="A10" s="4" t="s">
        <v>24</v>
      </c>
      <c r="B10" s="4">
        <v>257817</v>
      </c>
      <c r="C10" s="4" t="s">
        <v>624</v>
      </c>
      <c r="D10" s="9">
        <v>437</v>
      </c>
    </row>
    <row r="11" spans="1:4" x14ac:dyDescent="0.25">
      <c r="A11" s="4" t="s">
        <v>24</v>
      </c>
      <c r="B11" s="4">
        <v>261625</v>
      </c>
      <c r="C11" s="4" t="s">
        <v>684</v>
      </c>
      <c r="D11" s="9">
        <v>420</v>
      </c>
    </row>
    <row r="12" spans="1:4" x14ac:dyDescent="0.25">
      <c r="A12" s="4" t="s">
        <v>180</v>
      </c>
      <c r="B12" s="4">
        <v>256270</v>
      </c>
      <c r="C12" s="4" t="s">
        <v>657</v>
      </c>
      <c r="D12" s="9">
        <v>215</v>
      </c>
    </row>
    <row r="13" spans="1:4" x14ac:dyDescent="0.25">
      <c r="A13" s="4" t="s">
        <v>180</v>
      </c>
      <c r="B13" s="4">
        <v>246212</v>
      </c>
      <c r="C13" s="4" t="s">
        <v>658</v>
      </c>
      <c r="D13" s="9">
        <v>75</v>
      </c>
    </row>
    <row r="14" spans="1:4" x14ac:dyDescent="0.25">
      <c r="A14" s="4" t="s">
        <v>180</v>
      </c>
      <c r="B14" s="4">
        <v>252497</v>
      </c>
      <c r="C14" s="4" t="s">
        <v>557</v>
      </c>
      <c r="D14" s="9">
        <v>270</v>
      </c>
    </row>
    <row r="15" spans="1:4" x14ac:dyDescent="0.25">
      <c r="A15" s="4" t="s">
        <v>43</v>
      </c>
      <c r="B15" s="4">
        <v>260011</v>
      </c>
      <c r="C15" s="4" t="s">
        <v>685</v>
      </c>
      <c r="D15" s="9">
        <v>595</v>
      </c>
    </row>
    <row r="16" spans="1:4" x14ac:dyDescent="0.25">
      <c r="A16" s="4" t="s">
        <v>234</v>
      </c>
      <c r="B16" s="4">
        <v>257015</v>
      </c>
      <c r="C16" s="4" t="s">
        <v>619</v>
      </c>
      <c r="D16" s="9">
        <v>212</v>
      </c>
    </row>
    <row r="17" spans="1:4" x14ac:dyDescent="0.25">
      <c r="A17" s="4" t="s">
        <v>208</v>
      </c>
      <c r="B17" s="4">
        <v>191435</v>
      </c>
      <c r="C17" s="4" t="s">
        <v>629</v>
      </c>
      <c r="D17" s="9">
        <v>4590</v>
      </c>
    </row>
    <row r="18" spans="1:4" x14ac:dyDescent="0.25">
      <c r="A18" s="4" t="s">
        <v>38</v>
      </c>
      <c r="B18" s="4">
        <v>245852</v>
      </c>
      <c r="C18" s="4" t="s">
        <v>552</v>
      </c>
      <c r="D18" s="9">
        <v>90</v>
      </c>
    </row>
    <row r="19" spans="1:4" x14ac:dyDescent="0.25">
      <c r="C19" s="31" t="s">
        <v>83</v>
      </c>
      <c r="D19" s="32">
        <f>SUM(D4:D18)</f>
        <v>22919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18CCE-781D-454D-ADB3-6B34CDEC0979}">
  <dimension ref="A3:D10"/>
  <sheetViews>
    <sheetView view="pageBreakPreview" zoomScaleNormal="100" zoomScaleSheetLayoutView="100" workbookViewId="0">
      <selection activeCell="B20" sqref="B20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680</v>
      </c>
      <c r="B4" s="4">
        <v>261283</v>
      </c>
      <c r="C4" s="4" t="s">
        <v>686</v>
      </c>
      <c r="D4" s="9">
        <v>345</v>
      </c>
    </row>
    <row r="5" spans="1:4" x14ac:dyDescent="0.25">
      <c r="A5" s="4" t="s">
        <v>180</v>
      </c>
      <c r="B5" s="4">
        <v>256270</v>
      </c>
      <c r="C5" s="4" t="s">
        <v>657</v>
      </c>
      <c r="D5" s="9">
        <v>215</v>
      </c>
    </row>
    <row r="6" spans="1:4" x14ac:dyDescent="0.25">
      <c r="A6" s="4" t="s">
        <v>180</v>
      </c>
      <c r="B6" s="4">
        <v>246212</v>
      </c>
      <c r="C6" s="4" t="s">
        <v>658</v>
      </c>
      <c r="D6" s="9">
        <v>75</v>
      </c>
    </row>
    <row r="7" spans="1:4" x14ac:dyDescent="0.25">
      <c r="A7" s="4" t="s">
        <v>180</v>
      </c>
      <c r="B7" s="4">
        <v>252497</v>
      </c>
      <c r="C7" s="4" t="s">
        <v>557</v>
      </c>
      <c r="D7" s="9">
        <v>270</v>
      </c>
    </row>
    <row r="8" spans="1:4" x14ac:dyDescent="0.25">
      <c r="A8" s="4" t="s">
        <v>208</v>
      </c>
      <c r="B8" s="4">
        <v>191435</v>
      </c>
      <c r="C8" s="4" t="s">
        <v>629</v>
      </c>
      <c r="D8" s="9">
        <v>4590</v>
      </c>
    </row>
    <row r="9" spans="1:4" x14ac:dyDescent="0.25">
      <c r="A9" s="4" t="s">
        <v>38</v>
      </c>
      <c r="B9" s="4">
        <v>245852</v>
      </c>
      <c r="C9" s="4" t="s">
        <v>552</v>
      </c>
      <c r="D9" s="9">
        <v>90</v>
      </c>
    </row>
    <row r="10" spans="1:4" x14ac:dyDescent="0.25">
      <c r="C10" s="31" t="s">
        <v>83</v>
      </c>
      <c r="D10" s="32">
        <f>SUM(D4:D9)</f>
        <v>5585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ADAA-145C-4676-8A34-AF08E0FC1347}">
  <dimension ref="A3:D9"/>
  <sheetViews>
    <sheetView view="pageBreakPreview" zoomScaleNormal="100" zoomScaleSheetLayoutView="100" workbookViewId="0">
      <selection activeCell="C36" sqref="C36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500</v>
      </c>
      <c r="B4" s="4">
        <v>262307</v>
      </c>
      <c r="C4" s="4" t="s">
        <v>687</v>
      </c>
      <c r="D4" s="9">
        <v>295</v>
      </c>
    </row>
    <row r="5" spans="1:4" x14ac:dyDescent="0.25">
      <c r="A5" s="4" t="s">
        <v>336</v>
      </c>
      <c r="B5" s="4">
        <v>262651</v>
      </c>
      <c r="C5" s="4" t="s">
        <v>688</v>
      </c>
      <c r="D5" s="9">
        <v>1500</v>
      </c>
    </row>
    <row r="6" spans="1:4" x14ac:dyDescent="0.25">
      <c r="A6" s="4" t="s">
        <v>81</v>
      </c>
      <c r="B6" s="4">
        <v>262684</v>
      </c>
      <c r="C6" s="4" t="s">
        <v>689</v>
      </c>
      <c r="D6" s="9">
        <v>22671</v>
      </c>
    </row>
    <row r="7" spans="1:4" x14ac:dyDescent="0.25">
      <c r="A7" s="4" t="s">
        <v>177</v>
      </c>
      <c r="B7" s="4">
        <v>262501</v>
      </c>
      <c r="C7" s="4" t="s">
        <v>690</v>
      </c>
      <c r="D7" s="9">
        <v>600</v>
      </c>
    </row>
    <row r="8" spans="1:4" x14ac:dyDescent="0.25">
      <c r="A8" s="4" t="s">
        <v>180</v>
      </c>
      <c r="B8" s="4">
        <v>261750</v>
      </c>
      <c r="C8" s="4" t="s">
        <v>691</v>
      </c>
      <c r="D8" s="9">
        <v>1190</v>
      </c>
    </row>
    <row r="9" spans="1:4" x14ac:dyDescent="0.25">
      <c r="C9" s="31" t="s">
        <v>83</v>
      </c>
      <c r="D9" s="32">
        <f>SUM(D4:D8)</f>
        <v>26256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A5A8-74F4-4D5F-A035-842CC091A5F7}">
  <dimension ref="A3:D13"/>
  <sheetViews>
    <sheetView view="pageBreakPreview" zoomScaleNormal="100" zoomScaleSheetLayoutView="100" workbookViewId="0">
      <selection activeCell="C25" sqref="C25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108</v>
      </c>
      <c r="B4" s="4">
        <v>262933</v>
      </c>
      <c r="C4" s="4" t="s">
        <v>692</v>
      </c>
      <c r="D4" s="9">
        <v>4670</v>
      </c>
    </row>
    <row r="5" spans="1:4" x14ac:dyDescent="0.25">
      <c r="A5" s="4" t="s">
        <v>108</v>
      </c>
      <c r="B5" s="4">
        <v>262888</v>
      </c>
      <c r="C5" s="4" t="s">
        <v>693</v>
      </c>
      <c r="D5" s="9">
        <v>855</v>
      </c>
    </row>
    <row r="6" spans="1:4" x14ac:dyDescent="0.25">
      <c r="A6" s="4" t="s">
        <v>500</v>
      </c>
      <c r="B6" s="4">
        <v>262307</v>
      </c>
      <c r="C6" s="4" t="s">
        <v>687</v>
      </c>
      <c r="D6" s="9">
        <v>295</v>
      </c>
    </row>
    <row r="7" spans="1:4" x14ac:dyDescent="0.25">
      <c r="A7" s="4" t="s">
        <v>336</v>
      </c>
      <c r="B7" s="4">
        <v>262957</v>
      </c>
      <c r="C7" s="4" t="s">
        <v>688</v>
      </c>
      <c r="D7" s="9">
        <v>1500</v>
      </c>
    </row>
    <row r="8" spans="1:4" x14ac:dyDescent="0.25">
      <c r="A8" s="4" t="s">
        <v>336</v>
      </c>
      <c r="B8" s="4">
        <v>263063</v>
      </c>
      <c r="C8" s="4" t="s">
        <v>694</v>
      </c>
      <c r="D8" s="9">
        <v>3577</v>
      </c>
    </row>
    <row r="9" spans="1:4" x14ac:dyDescent="0.25">
      <c r="A9" s="4" t="s">
        <v>336</v>
      </c>
      <c r="B9" s="4">
        <v>263080</v>
      </c>
      <c r="C9" s="4" t="s">
        <v>695</v>
      </c>
      <c r="D9" s="9">
        <v>1056</v>
      </c>
    </row>
    <row r="10" spans="1:4" x14ac:dyDescent="0.25">
      <c r="A10" s="4" t="s">
        <v>336</v>
      </c>
      <c r="B10" s="4">
        <v>263110</v>
      </c>
      <c r="C10" s="4" t="s">
        <v>696</v>
      </c>
      <c r="D10" s="9">
        <v>855</v>
      </c>
    </row>
    <row r="11" spans="1:4" x14ac:dyDescent="0.25">
      <c r="A11" s="4" t="s">
        <v>81</v>
      </c>
      <c r="B11" s="4">
        <v>263007</v>
      </c>
      <c r="C11" s="4" t="s">
        <v>697</v>
      </c>
      <c r="D11" s="9">
        <v>3868</v>
      </c>
    </row>
    <row r="12" spans="1:4" x14ac:dyDescent="0.25">
      <c r="A12" s="4" t="s">
        <v>208</v>
      </c>
      <c r="B12" s="4">
        <v>191435</v>
      </c>
      <c r="C12" s="4" t="s">
        <v>629</v>
      </c>
      <c r="D12" s="9">
        <v>4590</v>
      </c>
    </row>
    <row r="13" spans="1:4" x14ac:dyDescent="0.25">
      <c r="C13" s="31" t="s">
        <v>83</v>
      </c>
      <c r="D13" s="32">
        <f>SUM(D4:D12)</f>
        <v>21266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1D7C-7BA6-4E05-B561-ADAECB5E14A0}">
  <dimension ref="A3:D13"/>
  <sheetViews>
    <sheetView view="pageBreakPreview" zoomScaleNormal="100" zoomScaleSheetLayoutView="100" workbookViewId="0">
      <selection activeCell="E26" sqref="E26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98</v>
      </c>
      <c r="B4" s="4">
        <v>263086</v>
      </c>
      <c r="C4" s="4" t="s">
        <v>698</v>
      </c>
      <c r="D4" s="9">
        <v>1375</v>
      </c>
    </row>
    <row r="5" spans="1:4" x14ac:dyDescent="0.25">
      <c r="A5" s="4" t="s">
        <v>256</v>
      </c>
      <c r="B5" s="4">
        <v>263419</v>
      </c>
      <c r="C5" s="4" t="s">
        <v>699</v>
      </c>
      <c r="D5" s="9">
        <v>1195</v>
      </c>
    </row>
    <row r="6" spans="1:4" x14ac:dyDescent="0.25">
      <c r="A6" s="4" t="s">
        <v>108</v>
      </c>
      <c r="B6" s="4">
        <v>263140</v>
      </c>
      <c r="C6" s="4" t="s">
        <v>700</v>
      </c>
      <c r="D6" s="9">
        <v>13090</v>
      </c>
    </row>
    <row r="7" spans="1:4" x14ac:dyDescent="0.25">
      <c r="A7" s="4" t="s">
        <v>108</v>
      </c>
      <c r="B7" s="4">
        <v>263563</v>
      </c>
      <c r="C7" s="4" t="s">
        <v>701</v>
      </c>
      <c r="D7" s="9">
        <v>3540</v>
      </c>
    </row>
    <row r="8" spans="1:4" x14ac:dyDescent="0.25">
      <c r="A8" s="4" t="s">
        <v>108</v>
      </c>
      <c r="B8" s="4">
        <v>263232</v>
      </c>
      <c r="C8" s="4" t="s">
        <v>702</v>
      </c>
      <c r="D8" s="9">
        <v>4600</v>
      </c>
    </row>
    <row r="9" spans="1:4" x14ac:dyDescent="0.25">
      <c r="A9" s="4" t="s">
        <v>500</v>
      </c>
      <c r="B9" s="4">
        <v>262307</v>
      </c>
      <c r="C9" s="4" t="s">
        <v>687</v>
      </c>
      <c r="D9" s="9">
        <v>295</v>
      </c>
    </row>
    <row r="10" spans="1:4" x14ac:dyDescent="0.25">
      <c r="A10" s="4" t="s">
        <v>336</v>
      </c>
      <c r="B10" s="4">
        <v>262957</v>
      </c>
      <c r="C10" s="4" t="s">
        <v>688</v>
      </c>
      <c r="D10" s="9">
        <v>1500</v>
      </c>
    </row>
    <row r="11" spans="1:4" x14ac:dyDescent="0.25">
      <c r="A11" s="4" t="s">
        <v>24</v>
      </c>
      <c r="B11" s="4">
        <v>263365</v>
      </c>
      <c r="C11" s="4" t="s">
        <v>703</v>
      </c>
      <c r="D11" s="9">
        <v>7680</v>
      </c>
    </row>
    <row r="12" spans="1:4" x14ac:dyDescent="0.25">
      <c r="A12" s="4" t="s">
        <v>208</v>
      </c>
      <c r="B12" s="4">
        <v>191435</v>
      </c>
      <c r="C12" s="4" t="s">
        <v>629</v>
      </c>
      <c r="D12" s="9">
        <v>4590</v>
      </c>
    </row>
    <row r="13" spans="1:4" x14ac:dyDescent="0.25">
      <c r="C13" s="31" t="s">
        <v>83</v>
      </c>
      <c r="D13" s="32">
        <f>SUM(D4:D12)</f>
        <v>37865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6600-7751-4A26-B2BE-8EE17CC491F0}">
  <dimension ref="A3:D26"/>
  <sheetViews>
    <sheetView view="pageBreakPreview" zoomScaleNormal="100" zoomScaleSheetLayoutView="100" workbookViewId="0">
      <selection activeCell="C34" sqref="C34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256</v>
      </c>
      <c r="B4" s="4">
        <v>263419</v>
      </c>
      <c r="C4" s="4" t="s">
        <v>699</v>
      </c>
      <c r="D4" s="9">
        <v>1195</v>
      </c>
    </row>
    <row r="5" spans="1:4" x14ac:dyDescent="0.25">
      <c r="A5" s="4" t="s">
        <v>108</v>
      </c>
      <c r="B5" s="4">
        <v>263140</v>
      </c>
      <c r="C5" s="4" t="s">
        <v>700</v>
      </c>
      <c r="D5" s="9">
        <v>13090</v>
      </c>
    </row>
    <row r="6" spans="1:4" x14ac:dyDescent="0.25">
      <c r="A6" s="4" t="s">
        <v>108</v>
      </c>
      <c r="B6" s="4">
        <v>263678</v>
      </c>
      <c r="C6" s="4" t="s">
        <v>704</v>
      </c>
      <c r="D6" s="9">
        <v>900</v>
      </c>
    </row>
    <row r="7" spans="1:4" x14ac:dyDescent="0.25">
      <c r="A7" s="4" t="s">
        <v>108</v>
      </c>
      <c r="B7" s="4">
        <v>263676</v>
      </c>
      <c r="C7" s="4" t="s">
        <v>705</v>
      </c>
      <c r="D7" s="9">
        <v>4020</v>
      </c>
    </row>
    <row r="8" spans="1:4" x14ac:dyDescent="0.25">
      <c r="A8" s="4" t="s">
        <v>108</v>
      </c>
      <c r="B8" s="4">
        <v>263674</v>
      </c>
      <c r="C8" s="4" t="s">
        <v>706</v>
      </c>
      <c r="D8" s="9">
        <v>3230</v>
      </c>
    </row>
    <row r="9" spans="1:4" x14ac:dyDescent="0.25">
      <c r="A9" s="4" t="s">
        <v>108</v>
      </c>
      <c r="B9" s="4">
        <v>263660</v>
      </c>
      <c r="C9" s="4" t="s">
        <v>707</v>
      </c>
      <c r="D9" s="9">
        <v>1360</v>
      </c>
    </row>
    <row r="10" spans="1:4" x14ac:dyDescent="0.25">
      <c r="A10" s="4" t="s">
        <v>108</v>
      </c>
      <c r="B10" s="4">
        <v>263651</v>
      </c>
      <c r="C10" s="4" t="s">
        <v>708</v>
      </c>
      <c r="D10" s="9">
        <v>560</v>
      </c>
    </row>
    <row r="11" spans="1:4" x14ac:dyDescent="0.25">
      <c r="A11" s="4" t="s">
        <v>108</v>
      </c>
      <c r="B11" s="4">
        <v>263642</v>
      </c>
      <c r="C11" s="4" t="s">
        <v>709</v>
      </c>
      <c r="D11" s="9">
        <v>5930</v>
      </c>
    </row>
    <row r="12" spans="1:4" x14ac:dyDescent="0.25">
      <c r="A12" s="4" t="s">
        <v>108</v>
      </c>
      <c r="B12" s="4">
        <v>263637</v>
      </c>
      <c r="C12" s="4" t="s">
        <v>710</v>
      </c>
      <c r="D12" s="9">
        <v>1770</v>
      </c>
    </row>
    <row r="13" spans="1:4" x14ac:dyDescent="0.25">
      <c r="A13" s="4" t="s">
        <v>500</v>
      </c>
      <c r="B13" s="4">
        <v>262307</v>
      </c>
      <c r="C13" s="4" t="s">
        <v>687</v>
      </c>
      <c r="D13" s="9">
        <v>295</v>
      </c>
    </row>
    <row r="14" spans="1:4" x14ac:dyDescent="0.25">
      <c r="A14" s="4" t="s">
        <v>336</v>
      </c>
      <c r="B14" s="4">
        <v>262957</v>
      </c>
      <c r="C14" s="4" t="s">
        <v>688</v>
      </c>
      <c r="D14" s="9">
        <v>1500</v>
      </c>
    </row>
    <row r="15" spans="1:4" x14ac:dyDescent="0.25">
      <c r="A15" s="4" t="s">
        <v>211</v>
      </c>
      <c r="B15" s="4">
        <v>263423</v>
      </c>
      <c r="C15" s="4" t="s">
        <v>711</v>
      </c>
      <c r="D15" s="9">
        <v>230</v>
      </c>
    </row>
    <row r="16" spans="1:4" x14ac:dyDescent="0.25">
      <c r="A16" s="4" t="s">
        <v>180</v>
      </c>
      <c r="B16" s="4">
        <v>262154</v>
      </c>
      <c r="C16" s="4" t="s">
        <v>712</v>
      </c>
      <c r="D16" s="9">
        <v>5000</v>
      </c>
    </row>
    <row r="17" spans="1:4" x14ac:dyDescent="0.25">
      <c r="A17" s="4" t="s">
        <v>180</v>
      </c>
      <c r="B17" s="4">
        <v>262158</v>
      </c>
      <c r="C17" s="4" t="s">
        <v>713</v>
      </c>
      <c r="D17" s="9">
        <v>6080</v>
      </c>
    </row>
    <row r="18" spans="1:4" x14ac:dyDescent="0.25">
      <c r="A18" s="4" t="s">
        <v>180</v>
      </c>
      <c r="B18" s="4">
        <v>262159</v>
      </c>
      <c r="C18" s="4" t="s">
        <v>714</v>
      </c>
      <c r="D18" s="9">
        <v>6125</v>
      </c>
    </row>
    <row r="19" spans="1:4" x14ac:dyDescent="0.25">
      <c r="A19" s="4" t="s">
        <v>715</v>
      </c>
      <c r="B19" s="4">
        <v>261353</v>
      </c>
      <c r="C19" s="4" t="s">
        <v>716</v>
      </c>
      <c r="D19" s="9">
        <v>27314</v>
      </c>
    </row>
    <row r="20" spans="1:4" x14ac:dyDescent="0.25">
      <c r="A20" s="4" t="s">
        <v>715</v>
      </c>
      <c r="B20" s="4">
        <v>261353</v>
      </c>
      <c r="C20" s="4" t="s">
        <v>717</v>
      </c>
      <c r="D20" s="9">
        <v>970</v>
      </c>
    </row>
    <row r="21" spans="1:4" x14ac:dyDescent="0.25">
      <c r="A21" s="4" t="s">
        <v>718</v>
      </c>
      <c r="B21" s="4">
        <v>263848</v>
      </c>
      <c r="C21" s="4" t="s">
        <v>719</v>
      </c>
      <c r="D21" s="9">
        <v>5446</v>
      </c>
    </row>
    <row r="22" spans="1:4" x14ac:dyDescent="0.25">
      <c r="A22" s="4" t="s">
        <v>718</v>
      </c>
      <c r="B22" s="4">
        <v>263849</v>
      </c>
      <c r="C22" s="4" t="s">
        <v>720</v>
      </c>
      <c r="D22" s="9">
        <v>11576</v>
      </c>
    </row>
    <row r="23" spans="1:4" x14ac:dyDescent="0.25">
      <c r="A23" s="4" t="s">
        <v>38</v>
      </c>
      <c r="B23" s="4">
        <v>263190</v>
      </c>
      <c r="C23" s="4" t="s">
        <v>721</v>
      </c>
      <c r="D23" s="9">
        <v>3765</v>
      </c>
    </row>
    <row r="24" spans="1:4" x14ac:dyDescent="0.25">
      <c r="A24" s="4" t="s">
        <v>38</v>
      </c>
      <c r="B24" s="4">
        <v>263190</v>
      </c>
      <c r="C24" s="4" t="s">
        <v>722</v>
      </c>
      <c r="D24" s="9">
        <v>35977</v>
      </c>
    </row>
    <row r="25" spans="1:4" x14ac:dyDescent="0.25">
      <c r="A25" s="4" t="s">
        <v>208</v>
      </c>
      <c r="B25" s="4">
        <v>191435</v>
      </c>
      <c r="C25" s="4" t="s">
        <v>629</v>
      </c>
      <c r="D25" s="9">
        <v>4590</v>
      </c>
    </row>
    <row r="26" spans="1:4" x14ac:dyDescent="0.25">
      <c r="C26" s="31" t="s">
        <v>83</v>
      </c>
      <c r="D26" s="32">
        <f>SUM(D4:D25)</f>
        <v>140923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B48B-A83D-4020-80F1-A532950485E9}">
  <dimension ref="A3:D19"/>
  <sheetViews>
    <sheetView view="pageBreakPreview" zoomScaleNormal="100" zoomScaleSheetLayoutView="100" workbookViewId="0">
      <selection activeCell="A27" sqref="A27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108</v>
      </c>
      <c r="B4" s="4">
        <v>263140</v>
      </c>
      <c r="C4" s="4" t="s">
        <v>700</v>
      </c>
      <c r="D4" s="9">
        <v>13090</v>
      </c>
    </row>
    <row r="5" spans="1:4" x14ac:dyDescent="0.25">
      <c r="A5" s="4" t="s">
        <v>108</v>
      </c>
      <c r="B5" s="4">
        <v>264433</v>
      </c>
      <c r="C5" s="4" t="s">
        <v>723</v>
      </c>
      <c r="D5" s="9">
        <v>1820</v>
      </c>
    </row>
    <row r="6" spans="1:4" x14ac:dyDescent="0.25">
      <c r="A6" s="4" t="s">
        <v>108</v>
      </c>
      <c r="B6" s="4">
        <v>264393</v>
      </c>
      <c r="C6" s="4" t="s">
        <v>724</v>
      </c>
      <c r="D6" s="9">
        <v>20</v>
      </c>
    </row>
    <row r="7" spans="1:4" x14ac:dyDescent="0.25">
      <c r="A7" s="4" t="s">
        <v>108</v>
      </c>
      <c r="B7" s="4">
        <v>264391</v>
      </c>
      <c r="C7" s="4" t="s">
        <v>725</v>
      </c>
      <c r="D7" s="9">
        <v>3670</v>
      </c>
    </row>
    <row r="8" spans="1:4" x14ac:dyDescent="0.25">
      <c r="A8" s="4" t="s">
        <v>108</v>
      </c>
      <c r="B8" s="4">
        <v>264385</v>
      </c>
      <c r="C8" s="4" t="s">
        <v>726</v>
      </c>
      <c r="D8" s="9">
        <v>570</v>
      </c>
    </row>
    <row r="9" spans="1:4" x14ac:dyDescent="0.25">
      <c r="A9" s="4" t="s">
        <v>108</v>
      </c>
      <c r="B9" s="4">
        <v>264382</v>
      </c>
      <c r="C9" s="4" t="s">
        <v>727</v>
      </c>
      <c r="D9" s="9">
        <v>3080</v>
      </c>
    </row>
    <row r="10" spans="1:4" x14ac:dyDescent="0.25">
      <c r="A10" s="4" t="s">
        <v>108</v>
      </c>
      <c r="B10" s="4">
        <v>264417</v>
      </c>
      <c r="C10" s="4" t="s">
        <v>728</v>
      </c>
      <c r="D10" s="9">
        <v>2940</v>
      </c>
    </row>
    <row r="11" spans="1:4" x14ac:dyDescent="0.25">
      <c r="A11" s="4" t="s">
        <v>108</v>
      </c>
      <c r="B11" s="4">
        <v>264413</v>
      </c>
      <c r="C11" s="4" t="s">
        <v>729</v>
      </c>
      <c r="D11" s="9">
        <v>390</v>
      </c>
    </row>
    <row r="12" spans="1:4" x14ac:dyDescent="0.25">
      <c r="A12" s="4" t="s">
        <v>108</v>
      </c>
      <c r="B12" s="4">
        <v>264405</v>
      </c>
      <c r="C12" s="4" t="s">
        <v>730</v>
      </c>
      <c r="D12" s="9">
        <v>460</v>
      </c>
    </row>
    <row r="13" spans="1:4" x14ac:dyDescent="0.25">
      <c r="A13" s="4" t="s">
        <v>500</v>
      </c>
      <c r="B13" s="4">
        <v>262307</v>
      </c>
      <c r="C13" s="4" t="s">
        <v>687</v>
      </c>
      <c r="D13" s="9">
        <v>295</v>
      </c>
    </row>
    <row r="14" spans="1:4" x14ac:dyDescent="0.25">
      <c r="A14" s="4" t="s">
        <v>336</v>
      </c>
      <c r="B14" s="4">
        <v>264107</v>
      </c>
      <c r="C14" s="4" t="s">
        <v>731</v>
      </c>
      <c r="D14" s="9">
        <v>484</v>
      </c>
    </row>
    <row r="15" spans="1:4" x14ac:dyDescent="0.25">
      <c r="A15" s="4" t="s">
        <v>81</v>
      </c>
      <c r="B15" s="4">
        <v>263778</v>
      </c>
      <c r="C15" s="4" t="s">
        <v>732</v>
      </c>
      <c r="D15" s="9">
        <v>30987</v>
      </c>
    </row>
    <row r="16" spans="1:4" x14ac:dyDescent="0.25">
      <c r="A16" s="4" t="s">
        <v>81</v>
      </c>
      <c r="B16" s="4">
        <v>264048</v>
      </c>
      <c r="C16" s="4" t="s">
        <v>733</v>
      </c>
      <c r="D16" s="9">
        <v>4582</v>
      </c>
    </row>
    <row r="17" spans="1:4" x14ac:dyDescent="0.25">
      <c r="A17" s="4" t="s">
        <v>211</v>
      </c>
      <c r="B17" s="4">
        <v>263423</v>
      </c>
      <c r="C17" s="4" t="s">
        <v>711</v>
      </c>
      <c r="D17" s="9">
        <v>230</v>
      </c>
    </row>
    <row r="18" spans="1:4" x14ac:dyDescent="0.25">
      <c r="A18" s="4" t="s">
        <v>539</v>
      </c>
      <c r="B18" s="4">
        <v>263615</v>
      </c>
      <c r="C18" s="4" t="s">
        <v>734</v>
      </c>
      <c r="D18" s="9">
        <v>6430</v>
      </c>
    </row>
    <row r="19" spans="1:4" x14ac:dyDescent="0.25">
      <c r="C19" s="31" t="s">
        <v>83</v>
      </c>
      <c r="D19" s="32">
        <f>SUM(D4:D18)</f>
        <v>69048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D1455-10EC-4960-BAB0-85B46191044A}">
  <dimension ref="A3:D10"/>
  <sheetViews>
    <sheetView view="pageBreakPreview" zoomScaleNormal="100" zoomScaleSheetLayoutView="100" workbookViewId="0">
      <selection activeCell="C20" sqref="C20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735</v>
      </c>
      <c r="B4" s="4">
        <v>264293</v>
      </c>
      <c r="C4" s="4" t="s">
        <v>736</v>
      </c>
      <c r="D4" s="9">
        <v>775</v>
      </c>
    </row>
    <row r="5" spans="1:4" x14ac:dyDescent="0.25">
      <c r="A5" s="4" t="s">
        <v>500</v>
      </c>
      <c r="B5" s="4">
        <v>262307</v>
      </c>
      <c r="C5" s="4" t="s">
        <v>687</v>
      </c>
      <c r="D5" s="9">
        <v>295</v>
      </c>
    </row>
    <row r="6" spans="1:4" x14ac:dyDescent="0.25">
      <c r="A6" s="4" t="s">
        <v>336</v>
      </c>
      <c r="B6" s="4">
        <v>264107</v>
      </c>
      <c r="C6" s="4" t="s">
        <v>731</v>
      </c>
      <c r="D6" s="9">
        <v>484</v>
      </c>
    </row>
    <row r="7" spans="1:4" x14ac:dyDescent="0.25">
      <c r="A7" s="4" t="s">
        <v>81</v>
      </c>
      <c r="B7" s="4">
        <v>263778</v>
      </c>
      <c r="C7" s="4" t="s">
        <v>732</v>
      </c>
      <c r="D7" s="9">
        <v>30987</v>
      </c>
    </row>
    <row r="8" spans="1:4" x14ac:dyDescent="0.25">
      <c r="A8" s="4" t="s">
        <v>81</v>
      </c>
      <c r="B8" s="4">
        <v>264048</v>
      </c>
      <c r="C8" s="4" t="s">
        <v>733</v>
      </c>
      <c r="D8" s="9">
        <v>4582</v>
      </c>
    </row>
    <row r="9" spans="1:4" x14ac:dyDescent="0.25">
      <c r="A9" s="4" t="s">
        <v>208</v>
      </c>
      <c r="B9" s="4">
        <v>191435</v>
      </c>
      <c r="C9" s="4" t="s">
        <v>629</v>
      </c>
      <c r="D9" s="9">
        <v>4590</v>
      </c>
    </row>
    <row r="10" spans="1:4" x14ac:dyDescent="0.25">
      <c r="C10" s="31" t="s">
        <v>83</v>
      </c>
      <c r="D10" s="32">
        <f>SUM(D4:D9)</f>
        <v>41713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97C0-D694-4E6C-A004-C9033E7BB62E}">
  <dimension ref="A3:D12"/>
  <sheetViews>
    <sheetView view="pageBreakPreview" zoomScaleNormal="100" zoomScaleSheetLayoutView="100" workbookViewId="0">
      <selection activeCell="C22" sqref="C22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256</v>
      </c>
      <c r="B4" s="4">
        <v>265331</v>
      </c>
      <c r="C4" s="4" t="s">
        <v>737</v>
      </c>
      <c r="D4" s="9">
        <v>990</v>
      </c>
    </row>
    <row r="5" spans="1:4" x14ac:dyDescent="0.25">
      <c r="A5" s="4" t="s">
        <v>167</v>
      </c>
      <c r="B5" s="4">
        <v>264129</v>
      </c>
      <c r="C5" s="4" t="s">
        <v>738</v>
      </c>
      <c r="D5" s="9">
        <v>2155</v>
      </c>
    </row>
    <row r="6" spans="1:4" x14ac:dyDescent="0.25">
      <c r="A6" s="4" t="s">
        <v>81</v>
      </c>
      <c r="B6" s="4">
        <v>263778</v>
      </c>
      <c r="C6" s="4" t="s">
        <v>732</v>
      </c>
      <c r="D6" s="9">
        <v>30987</v>
      </c>
    </row>
    <row r="7" spans="1:4" x14ac:dyDescent="0.25">
      <c r="A7" s="4" t="s">
        <v>81</v>
      </c>
      <c r="B7" s="4">
        <v>264048</v>
      </c>
      <c r="C7" s="4" t="s">
        <v>733</v>
      </c>
      <c r="D7" s="9">
        <v>4582</v>
      </c>
    </row>
    <row r="8" spans="1:4" x14ac:dyDescent="0.25">
      <c r="A8" s="4" t="s">
        <v>34</v>
      </c>
      <c r="B8" s="4">
        <v>264349</v>
      </c>
      <c r="C8" s="4" t="s">
        <v>739</v>
      </c>
      <c r="D8" s="9">
        <v>19084</v>
      </c>
    </row>
    <row r="9" spans="1:4" x14ac:dyDescent="0.25">
      <c r="A9" s="4" t="s">
        <v>43</v>
      </c>
      <c r="B9" s="4">
        <v>264353</v>
      </c>
      <c r="C9" s="4" t="s">
        <v>740</v>
      </c>
      <c r="D9" s="9">
        <v>1395</v>
      </c>
    </row>
    <row r="10" spans="1:4" x14ac:dyDescent="0.25">
      <c r="A10" s="4" t="s">
        <v>208</v>
      </c>
      <c r="B10" s="4">
        <v>191435</v>
      </c>
      <c r="C10" s="4" t="s">
        <v>629</v>
      </c>
      <c r="D10" s="9">
        <v>4590</v>
      </c>
    </row>
    <row r="11" spans="1:4" x14ac:dyDescent="0.25">
      <c r="A11" s="4" t="s">
        <v>34</v>
      </c>
      <c r="B11" s="4">
        <v>264356</v>
      </c>
      <c r="C11" s="4" t="s">
        <v>741</v>
      </c>
      <c r="D11" s="9">
        <v>5651</v>
      </c>
    </row>
    <row r="12" spans="1:4" x14ac:dyDescent="0.25">
      <c r="C12" s="31" t="s">
        <v>83</v>
      </c>
      <c r="D12" s="32">
        <f>SUM(D4:D11)</f>
        <v>69434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3A91-9C01-48AD-B635-521BD6F51447}">
  <dimension ref="A3:D16"/>
  <sheetViews>
    <sheetView view="pageBreakPreview" zoomScaleNormal="100" zoomScaleSheetLayoutView="100" workbookViewId="0">
      <selection activeCell="E23" sqref="E2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680</v>
      </c>
      <c r="B4" s="4">
        <v>265612</v>
      </c>
      <c r="C4" s="4" t="s">
        <v>742</v>
      </c>
      <c r="D4" s="9">
        <v>4945</v>
      </c>
    </row>
    <row r="5" spans="1:4" x14ac:dyDescent="0.25">
      <c r="A5" s="4" t="s">
        <v>680</v>
      </c>
      <c r="B5" s="4">
        <v>266003</v>
      </c>
      <c r="C5" s="4" t="s">
        <v>743</v>
      </c>
      <c r="D5" s="9">
        <v>9990</v>
      </c>
    </row>
    <row r="6" spans="1:4" x14ac:dyDescent="0.25">
      <c r="A6" s="4" t="s">
        <v>167</v>
      </c>
      <c r="B6" s="4">
        <v>264129</v>
      </c>
      <c r="C6" s="4" t="s">
        <v>738</v>
      </c>
      <c r="D6" s="9">
        <v>2155</v>
      </c>
    </row>
    <row r="7" spans="1:4" x14ac:dyDescent="0.25">
      <c r="A7" s="4" t="s">
        <v>81</v>
      </c>
      <c r="B7" s="4">
        <v>263778</v>
      </c>
      <c r="C7" s="4" t="s">
        <v>732</v>
      </c>
      <c r="D7" s="9">
        <v>30987</v>
      </c>
    </row>
    <row r="8" spans="1:4" x14ac:dyDescent="0.25">
      <c r="A8" s="4" t="s">
        <v>81</v>
      </c>
      <c r="B8" s="4">
        <v>264048</v>
      </c>
      <c r="C8" s="4" t="s">
        <v>733</v>
      </c>
      <c r="D8" s="9">
        <v>4582</v>
      </c>
    </row>
    <row r="9" spans="1:4" x14ac:dyDescent="0.25">
      <c r="A9" s="4" t="s">
        <v>718</v>
      </c>
      <c r="B9" s="4">
        <v>266015</v>
      </c>
      <c r="C9" s="4" t="s">
        <v>744</v>
      </c>
      <c r="D9" s="9">
        <v>1242</v>
      </c>
    </row>
    <row r="10" spans="1:4" x14ac:dyDescent="0.25">
      <c r="A10" s="4" t="s">
        <v>34</v>
      </c>
      <c r="B10" s="4">
        <v>264349</v>
      </c>
      <c r="C10" s="4" t="s">
        <v>739</v>
      </c>
      <c r="D10" s="9">
        <v>19084</v>
      </c>
    </row>
    <row r="11" spans="1:4" x14ac:dyDescent="0.25">
      <c r="A11" s="4" t="s">
        <v>34</v>
      </c>
      <c r="B11" s="4">
        <v>266078</v>
      </c>
      <c r="C11" s="4" t="s">
        <v>745</v>
      </c>
      <c r="D11" s="9">
        <v>749</v>
      </c>
    </row>
    <row r="12" spans="1:4" x14ac:dyDescent="0.25">
      <c r="A12" s="4" t="s">
        <v>34</v>
      </c>
      <c r="B12" s="4">
        <v>266079</v>
      </c>
      <c r="C12" s="4" t="s">
        <v>746</v>
      </c>
      <c r="D12" s="9">
        <v>869</v>
      </c>
    </row>
    <row r="13" spans="1:4" x14ac:dyDescent="0.25">
      <c r="A13" s="4" t="s">
        <v>34</v>
      </c>
      <c r="B13" s="4">
        <v>266081</v>
      </c>
      <c r="C13" s="4" t="s">
        <v>747</v>
      </c>
      <c r="D13" s="9">
        <v>320</v>
      </c>
    </row>
    <row r="14" spans="1:4" x14ac:dyDescent="0.25">
      <c r="A14" s="4" t="s">
        <v>208</v>
      </c>
      <c r="B14" s="4">
        <v>191435</v>
      </c>
      <c r="C14" s="4" t="s">
        <v>629</v>
      </c>
      <c r="D14" s="9">
        <v>4590</v>
      </c>
    </row>
    <row r="15" spans="1:4" x14ac:dyDescent="0.25">
      <c r="A15" s="4" t="s">
        <v>34</v>
      </c>
      <c r="B15" s="4">
        <v>264356</v>
      </c>
      <c r="C15" s="4" t="s">
        <v>741</v>
      </c>
      <c r="D15" s="9">
        <v>5651</v>
      </c>
    </row>
    <row r="16" spans="1:4" x14ac:dyDescent="0.25">
      <c r="C16" s="31" t="s">
        <v>83</v>
      </c>
      <c r="D16" s="32">
        <f>SUM(D4:D15)</f>
        <v>85164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FD8D-0A10-4568-B9FF-CCD743032B49}">
  <dimension ref="A3:D11"/>
  <sheetViews>
    <sheetView view="pageBreakPreview" zoomScaleNormal="100" zoomScaleSheetLayoutView="100" workbookViewId="0">
      <selection activeCell="A22" sqref="A22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500</v>
      </c>
      <c r="B4" s="4">
        <v>266554</v>
      </c>
      <c r="C4" s="4" t="s">
        <v>748</v>
      </c>
      <c r="D4" s="9">
        <v>2331</v>
      </c>
    </row>
    <row r="5" spans="1:4" x14ac:dyDescent="0.25">
      <c r="A5" s="4" t="s">
        <v>81</v>
      </c>
      <c r="B5" s="4">
        <v>264048</v>
      </c>
      <c r="C5" s="4" t="s">
        <v>733</v>
      </c>
      <c r="D5" s="9">
        <v>4582</v>
      </c>
    </row>
    <row r="6" spans="1:4" x14ac:dyDescent="0.25">
      <c r="A6" s="4" t="s">
        <v>180</v>
      </c>
      <c r="B6" s="4">
        <v>265067</v>
      </c>
      <c r="C6" s="4" t="s">
        <v>749</v>
      </c>
      <c r="D6" s="9">
        <v>1595</v>
      </c>
    </row>
    <row r="7" spans="1:4" x14ac:dyDescent="0.25">
      <c r="A7" s="4" t="s">
        <v>718</v>
      </c>
      <c r="B7" s="4">
        <v>266015</v>
      </c>
      <c r="C7" s="4" t="s">
        <v>744</v>
      </c>
      <c r="D7" s="9">
        <v>1242</v>
      </c>
    </row>
    <row r="8" spans="1:4" x14ac:dyDescent="0.25">
      <c r="A8" s="4" t="s">
        <v>34</v>
      </c>
      <c r="B8" s="4">
        <v>264349</v>
      </c>
      <c r="C8" s="4" t="s">
        <v>739</v>
      </c>
      <c r="D8" s="9">
        <v>19084</v>
      </c>
    </row>
    <row r="9" spans="1:4" x14ac:dyDescent="0.25">
      <c r="A9" s="4" t="s">
        <v>208</v>
      </c>
      <c r="B9" s="4">
        <v>191435</v>
      </c>
      <c r="C9" s="4" t="s">
        <v>629</v>
      </c>
      <c r="D9" s="9">
        <v>4590</v>
      </c>
    </row>
    <row r="10" spans="1:4" x14ac:dyDescent="0.25">
      <c r="A10" s="4" t="s">
        <v>34</v>
      </c>
      <c r="B10" s="4">
        <v>264356</v>
      </c>
      <c r="C10" s="4" t="s">
        <v>741</v>
      </c>
      <c r="D10" s="9">
        <v>5651</v>
      </c>
    </row>
    <row r="11" spans="1:4" x14ac:dyDescent="0.25">
      <c r="C11" s="31" t="s">
        <v>83</v>
      </c>
      <c r="D11" s="32">
        <f>SUM(D4:D10)</f>
        <v>39075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1766-A114-496D-9F1D-5BE61A7FFD5D}">
  <dimension ref="A3:D13"/>
  <sheetViews>
    <sheetView view="pageBreakPreview" zoomScaleNormal="100" zoomScaleSheetLayoutView="100" workbookViewId="0">
      <selection activeCell="A21" sqref="A21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500</v>
      </c>
      <c r="B4" s="4">
        <v>266554</v>
      </c>
      <c r="C4" s="4" t="s">
        <v>748</v>
      </c>
      <c r="D4" s="9">
        <v>2331</v>
      </c>
    </row>
    <row r="5" spans="1:4" x14ac:dyDescent="0.25">
      <c r="A5" s="4" t="s">
        <v>500</v>
      </c>
      <c r="B5" s="4">
        <v>266763</v>
      </c>
      <c r="C5" s="4" t="s">
        <v>750</v>
      </c>
      <c r="D5" s="9">
        <v>9498</v>
      </c>
    </row>
    <row r="6" spans="1:4" x14ac:dyDescent="0.25">
      <c r="A6" s="4" t="s">
        <v>336</v>
      </c>
      <c r="B6" s="4">
        <v>266835</v>
      </c>
      <c r="C6" s="4" t="s">
        <v>751</v>
      </c>
      <c r="D6" s="9">
        <v>1470</v>
      </c>
    </row>
    <row r="7" spans="1:4" x14ac:dyDescent="0.25">
      <c r="A7" s="4" t="s">
        <v>81</v>
      </c>
      <c r="B7" s="4">
        <v>264048</v>
      </c>
      <c r="C7" s="4" t="s">
        <v>733</v>
      </c>
      <c r="D7" s="9">
        <v>4582</v>
      </c>
    </row>
    <row r="8" spans="1:4" x14ac:dyDescent="0.25">
      <c r="A8" s="4" t="s">
        <v>180</v>
      </c>
      <c r="B8" s="4">
        <v>265067</v>
      </c>
      <c r="C8" s="4" t="s">
        <v>749</v>
      </c>
      <c r="D8" s="9">
        <v>1595</v>
      </c>
    </row>
    <row r="9" spans="1:4" x14ac:dyDescent="0.25">
      <c r="A9" s="4" t="s">
        <v>718</v>
      </c>
      <c r="B9" s="4">
        <v>266658</v>
      </c>
      <c r="C9" s="4" t="s">
        <v>752</v>
      </c>
      <c r="D9" s="9">
        <v>1200</v>
      </c>
    </row>
    <row r="10" spans="1:4" x14ac:dyDescent="0.25">
      <c r="A10" s="4" t="s">
        <v>34</v>
      </c>
      <c r="B10" s="4">
        <v>264349</v>
      </c>
      <c r="C10" s="4" t="s">
        <v>739</v>
      </c>
      <c r="D10" s="9">
        <v>19084</v>
      </c>
    </row>
    <row r="11" spans="1:4" x14ac:dyDescent="0.25">
      <c r="A11" s="4" t="s">
        <v>208</v>
      </c>
      <c r="B11" s="4">
        <v>191435</v>
      </c>
      <c r="C11" s="4" t="s">
        <v>629</v>
      </c>
      <c r="D11" s="9">
        <v>4590</v>
      </c>
    </row>
    <row r="12" spans="1:4" x14ac:dyDescent="0.25">
      <c r="A12" s="4" t="s">
        <v>34</v>
      </c>
      <c r="B12" s="4">
        <v>264356</v>
      </c>
      <c r="C12" s="4" t="s">
        <v>741</v>
      </c>
      <c r="D12" s="9">
        <v>5651</v>
      </c>
    </row>
    <row r="13" spans="1:4" x14ac:dyDescent="0.25">
      <c r="C13" s="31" t="s">
        <v>83</v>
      </c>
      <c r="D13" s="32">
        <f>SUM(D4:D12)</f>
        <v>50001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FC04-DEA6-4EEC-8836-7A0B41862AEE}">
  <dimension ref="A3:D12"/>
  <sheetViews>
    <sheetView view="pageBreakPreview" zoomScaleNormal="100" zoomScaleSheetLayoutView="100" workbookViewId="0">
      <selection activeCell="C17" sqref="C17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336</v>
      </c>
      <c r="B4" s="4">
        <v>266835</v>
      </c>
      <c r="C4" s="4" t="s">
        <v>751</v>
      </c>
      <c r="D4" s="9">
        <v>1470</v>
      </c>
    </row>
    <row r="5" spans="1:4" x14ac:dyDescent="0.25">
      <c r="A5" s="4" t="s">
        <v>336</v>
      </c>
      <c r="B5" s="4">
        <v>266984</v>
      </c>
      <c r="C5" s="4" t="s">
        <v>753</v>
      </c>
      <c r="D5" s="9">
        <v>1276</v>
      </c>
    </row>
    <row r="6" spans="1:4" x14ac:dyDescent="0.25">
      <c r="A6" s="4" t="s">
        <v>111</v>
      </c>
      <c r="B6" s="4">
        <v>267267</v>
      </c>
      <c r="C6" s="4" t="s">
        <v>754</v>
      </c>
      <c r="D6" s="9">
        <v>16352</v>
      </c>
    </row>
    <row r="7" spans="1:4" x14ac:dyDescent="0.25">
      <c r="A7" s="4" t="s">
        <v>111</v>
      </c>
      <c r="B7" s="4">
        <v>267255</v>
      </c>
      <c r="C7" s="4" t="s">
        <v>755</v>
      </c>
      <c r="D7" s="9">
        <v>12957</v>
      </c>
    </row>
    <row r="8" spans="1:4" x14ac:dyDescent="0.25">
      <c r="A8" s="4" t="s">
        <v>180</v>
      </c>
      <c r="B8" s="4">
        <v>265067</v>
      </c>
      <c r="C8" s="4" t="s">
        <v>749</v>
      </c>
      <c r="D8" s="9">
        <v>1595</v>
      </c>
    </row>
    <row r="9" spans="1:4" x14ac:dyDescent="0.25">
      <c r="A9" s="4" t="s">
        <v>34</v>
      </c>
      <c r="B9" s="4">
        <v>264349</v>
      </c>
      <c r="C9" s="4" t="s">
        <v>739</v>
      </c>
      <c r="D9" s="9">
        <v>19084</v>
      </c>
    </row>
    <row r="10" spans="1:4" x14ac:dyDescent="0.25">
      <c r="A10" s="4" t="s">
        <v>208</v>
      </c>
      <c r="B10" s="4">
        <v>191435</v>
      </c>
      <c r="C10" s="4" t="s">
        <v>629</v>
      </c>
      <c r="D10" s="9">
        <v>100</v>
      </c>
    </row>
    <row r="11" spans="1:4" x14ac:dyDescent="0.25">
      <c r="A11" s="4" t="s">
        <v>34</v>
      </c>
      <c r="B11" s="4">
        <v>264356</v>
      </c>
      <c r="C11" s="4" t="s">
        <v>741</v>
      </c>
      <c r="D11" s="9">
        <v>5651</v>
      </c>
    </row>
    <row r="12" spans="1:4" x14ac:dyDescent="0.25">
      <c r="C12" s="31" t="s">
        <v>83</v>
      </c>
      <c r="D12" s="32">
        <f>SUM(D4:D11)</f>
        <v>58485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41AB-5B77-4E5D-BCDE-68723D6983D8}">
  <dimension ref="A3:D11"/>
  <sheetViews>
    <sheetView view="pageBreakPreview" zoomScaleNormal="100" zoomScaleSheetLayoutView="100" workbookViewId="0">
      <selection activeCell="A18" sqref="A18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756</v>
      </c>
      <c r="B4" s="4">
        <v>262973</v>
      </c>
      <c r="C4" s="4" t="s">
        <v>757</v>
      </c>
      <c r="D4" s="9">
        <v>0</v>
      </c>
    </row>
    <row r="5" spans="1:4" x14ac:dyDescent="0.25">
      <c r="A5" s="4" t="s">
        <v>336</v>
      </c>
      <c r="B5" s="4">
        <v>266835</v>
      </c>
      <c r="C5" s="4" t="s">
        <v>751</v>
      </c>
      <c r="D5" s="9">
        <v>1470</v>
      </c>
    </row>
    <row r="6" spans="1:4" x14ac:dyDescent="0.25">
      <c r="A6" s="4" t="s">
        <v>336</v>
      </c>
      <c r="B6" s="4">
        <v>266984</v>
      </c>
      <c r="C6" s="4" t="s">
        <v>753</v>
      </c>
      <c r="D6" s="9">
        <v>1276</v>
      </c>
    </row>
    <row r="7" spans="1:4" x14ac:dyDescent="0.25">
      <c r="A7" s="4" t="s">
        <v>180</v>
      </c>
      <c r="B7" s="4">
        <v>265067</v>
      </c>
      <c r="C7" s="4" t="s">
        <v>749</v>
      </c>
      <c r="D7" s="9">
        <v>1595</v>
      </c>
    </row>
    <row r="8" spans="1:4" x14ac:dyDescent="0.25">
      <c r="A8" s="4" t="s">
        <v>315</v>
      </c>
      <c r="B8" s="4">
        <v>265768</v>
      </c>
      <c r="C8" s="4" t="s">
        <v>758</v>
      </c>
      <c r="D8" s="9">
        <v>995</v>
      </c>
    </row>
    <row r="9" spans="1:4" x14ac:dyDescent="0.25">
      <c r="A9" s="4" t="s">
        <v>208</v>
      </c>
      <c r="B9" s="4">
        <v>191435</v>
      </c>
      <c r="C9" s="4" t="s">
        <v>629</v>
      </c>
      <c r="D9" s="9">
        <v>100</v>
      </c>
    </row>
    <row r="10" spans="1:4" x14ac:dyDescent="0.25">
      <c r="A10" s="4" t="s">
        <v>34</v>
      </c>
      <c r="B10" s="4">
        <v>264356</v>
      </c>
      <c r="C10" s="4" t="s">
        <v>741</v>
      </c>
      <c r="D10" s="9">
        <v>5651</v>
      </c>
    </row>
    <row r="11" spans="1:4" x14ac:dyDescent="0.25">
      <c r="C11" s="31" t="s">
        <v>83</v>
      </c>
      <c r="D11" s="32">
        <f>SUM(D4:D10)</f>
        <v>11087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5F4F-1F4E-4748-9634-3E997755DC91}">
  <dimension ref="A3:D15"/>
  <sheetViews>
    <sheetView view="pageBreakPreview" zoomScaleNormal="100" zoomScaleSheetLayoutView="100" workbookViewId="0">
      <selection activeCell="C22" sqref="C22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336</v>
      </c>
      <c r="B4" s="4">
        <v>266835</v>
      </c>
      <c r="C4" s="4" t="s">
        <v>751</v>
      </c>
      <c r="D4" s="9">
        <v>1470</v>
      </c>
    </row>
    <row r="5" spans="1:4" x14ac:dyDescent="0.25">
      <c r="A5" s="4" t="s">
        <v>336</v>
      </c>
      <c r="B5" s="4">
        <v>266984</v>
      </c>
      <c r="C5" s="4" t="s">
        <v>753</v>
      </c>
      <c r="D5" s="9">
        <v>1276</v>
      </c>
    </row>
    <row r="6" spans="1:4" x14ac:dyDescent="0.25">
      <c r="A6" s="4" t="s">
        <v>167</v>
      </c>
      <c r="B6" s="4">
        <v>265090</v>
      </c>
      <c r="C6" s="4" t="s">
        <v>759</v>
      </c>
      <c r="D6" s="9">
        <v>340</v>
      </c>
    </row>
    <row r="7" spans="1:4" x14ac:dyDescent="0.25">
      <c r="A7" s="4" t="s">
        <v>180</v>
      </c>
      <c r="B7" s="4">
        <v>265440</v>
      </c>
      <c r="C7" s="4" t="s">
        <v>760</v>
      </c>
      <c r="D7" s="9">
        <v>4880</v>
      </c>
    </row>
    <row r="8" spans="1:4" x14ac:dyDescent="0.25">
      <c r="A8" s="4" t="s">
        <v>180</v>
      </c>
      <c r="B8" s="4">
        <v>265067</v>
      </c>
      <c r="C8" s="4" t="s">
        <v>749</v>
      </c>
      <c r="D8" s="9">
        <v>1595</v>
      </c>
    </row>
    <row r="9" spans="1:4" x14ac:dyDescent="0.25">
      <c r="A9" s="4" t="s">
        <v>34</v>
      </c>
      <c r="B9" s="4">
        <v>267639</v>
      </c>
      <c r="C9" s="4" t="s">
        <v>761</v>
      </c>
      <c r="D9" s="9">
        <v>1038</v>
      </c>
    </row>
    <row r="10" spans="1:4" x14ac:dyDescent="0.25">
      <c r="A10" s="4" t="s">
        <v>315</v>
      </c>
      <c r="B10" s="4">
        <v>266489</v>
      </c>
      <c r="C10" s="4" t="s">
        <v>762</v>
      </c>
      <c r="D10" s="9">
        <v>2970</v>
      </c>
    </row>
    <row r="11" spans="1:4" x14ac:dyDescent="0.25">
      <c r="A11" s="4" t="s">
        <v>315</v>
      </c>
      <c r="B11" s="4">
        <v>265768</v>
      </c>
      <c r="C11" s="4" t="s">
        <v>758</v>
      </c>
      <c r="D11" s="9">
        <v>995</v>
      </c>
    </row>
    <row r="12" spans="1:4" x14ac:dyDescent="0.25">
      <c r="A12" s="4" t="s">
        <v>38</v>
      </c>
      <c r="B12" s="4">
        <v>267684</v>
      </c>
      <c r="C12" s="4" t="s">
        <v>763</v>
      </c>
      <c r="D12" s="9">
        <v>7050</v>
      </c>
    </row>
    <row r="13" spans="1:4" x14ac:dyDescent="0.25">
      <c r="A13" s="4" t="s">
        <v>208</v>
      </c>
      <c r="B13" s="4">
        <v>191435</v>
      </c>
      <c r="C13" s="4" t="s">
        <v>629</v>
      </c>
      <c r="D13" s="9">
        <v>100</v>
      </c>
    </row>
    <row r="14" spans="1:4" x14ac:dyDescent="0.25">
      <c r="A14" s="4" t="s">
        <v>34</v>
      </c>
      <c r="B14" s="4">
        <v>264356</v>
      </c>
      <c r="C14" s="4" t="s">
        <v>741</v>
      </c>
      <c r="D14" s="9">
        <v>5651</v>
      </c>
    </row>
    <row r="15" spans="1:4" x14ac:dyDescent="0.25">
      <c r="C15" s="31" t="s">
        <v>83</v>
      </c>
      <c r="D15" s="32">
        <f>SUM(D4:D14)</f>
        <v>27365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091A-8959-4242-A222-36A4075778B3}">
  <dimension ref="A3:D18"/>
  <sheetViews>
    <sheetView view="pageBreakPreview" zoomScaleNormal="100" zoomScaleSheetLayoutView="100" workbookViewId="0">
      <selection activeCell="C31" sqref="C31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680</v>
      </c>
      <c r="B4" s="4">
        <v>267951</v>
      </c>
      <c r="C4" s="4" t="s">
        <v>764</v>
      </c>
      <c r="D4" s="9">
        <v>1554</v>
      </c>
    </row>
    <row r="5" spans="1:4" x14ac:dyDescent="0.25">
      <c r="A5" s="4" t="s">
        <v>13</v>
      </c>
      <c r="B5" s="4">
        <v>268084</v>
      </c>
      <c r="C5" s="4" t="s">
        <v>765</v>
      </c>
      <c r="D5" s="9">
        <v>570</v>
      </c>
    </row>
    <row r="6" spans="1:4" x14ac:dyDescent="0.25">
      <c r="A6" s="4" t="s">
        <v>500</v>
      </c>
      <c r="B6" s="4">
        <v>268044</v>
      </c>
      <c r="C6" s="4" t="s">
        <v>766</v>
      </c>
      <c r="D6" s="9">
        <v>3389</v>
      </c>
    </row>
    <row r="7" spans="1:4" x14ac:dyDescent="0.25">
      <c r="A7" s="4" t="s">
        <v>767</v>
      </c>
      <c r="B7" s="4">
        <v>268108</v>
      </c>
      <c r="C7" s="4" t="s">
        <v>768</v>
      </c>
      <c r="D7" s="9">
        <v>24190</v>
      </c>
    </row>
    <row r="8" spans="1:4" x14ac:dyDescent="0.25">
      <c r="A8" s="4" t="s">
        <v>767</v>
      </c>
      <c r="B8" s="4">
        <v>268108</v>
      </c>
      <c r="C8" s="4" t="s">
        <v>769</v>
      </c>
      <c r="D8" s="9">
        <v>5355</v>
      </c>
    </row>
    <row r="9" spans="1:4" x14ac:dyDescent="0.25">
      <c r="A9" s="4" t="s">
        <v>180</v>
      </c>
      <c r="B9" s="4">
        <v>265067</v>
      </c>
      <c r="C9" s="4" t="s">
        <v>749</v>
      </c>
      <c r="D9" s="9">
        <v>1595</v>
      </c>
    </row>
    <row r="10" spans="1:4" x14ac:dyDescent="0.25">
      <c r="A10" s="4" t="s">
        <v>34</v>
      </c>
      <c r="B10" s="4">
        <v>267639</v>
      </c>
      <c r="C10" s="4" t="s">
        <v>761</v>
      </c>
      <c r="D10" s="9">
        <v>1038</v>
      </c>
    </row>
    <row r="11" spans="1:4" x14ac:dyDescent="0.25">
      <c r="A11" s="4" t="s">
        <v>34</v>
      </c>
      <c r="B11" s="4">
        <v>267704</v>
      </c>
      <c r="C11" s="4" t="s">
        <v>770</v>
      </c>
      <c r="D11" s="9">
        <v>550</v>
      </c>
    </row>
    <row r="12" spans="1:4" x14ac:dyDescent="0.25">
      <c r="A12" s="4" t="s">
        <v>38</v>
      </c>
      <c r="B12" s="4">
        <v>260931</v>
      </c>
      <c r="C12" s="4" t="s">
        <v>771</v>
      </c>
      <c r="D12" s="9">
        <v>570</v>
      </c>
    </row>
    <row r="13" spans="1:4" x14ac:dyDescent="0.25">
      <c r="A13" s="4" t="s">
        <v>38</v>
      </c>
      <c r="B13" s="4">
        <v>265417</v>
      </c>
      <c r="C13" s="4" t="s">
        <v>772</v>
      </c>
      <c r="D13" s="9">
        <v>8050</v>
      </c>
    </row>
    <row r="14" spans="1:4" x14ac:dyDescent="0.25">
      <c r="A14" s="4" t="s">
        <v>38</v>
      </c>
      <c r="B14" s="4">
        <v>265418</v>
      </c>
      <c r="C14" s="4" t="s">
        <v>773</v>
      </c>
      <c r="D14" s="9">
        <v>425</v>
      </c>
    </row>
    <row r="15" spans="1:4" x14ac:dyDescent="0.25">
      <c r="A15" s="4" t="s">
        <v>38</v>
      </c>
      <c r="B15" s="4">
        <v>265417</v>
      </c>
      <c r="C15" s="4" t="s">
        <v>774</v>
      </c>
      <c r="D15" s="9">
        <v>1675</v>
      </c>
    </row>
    <row r="16" spans="1:4" x14ac:dyDescent="0.25">
      <c r="A16" s="4" t="s">
        <v>38</v>
      </c>
      <c r="B16" s="4">
        <v>265418</v>
      </c>
      <c r="C16" s="4" t="s">
        <v>775</v>
      </c>
      <c r="D16" s="9">
        <v>500</v>
      </c>
    </row>
    <row r="17" spans="1:4" x14ac:dyDescent="0.25">
      <c r="A17" s="4" t="s">
        <v>208</v>
      </c>
      <c r="B17" s="4">
        <v>191435</v>
      </c>
      <c r="C17" s="4" t="s">
        <v>629</v>
      </c>
      <c r="D17" s="9">
        <v>100</v>
      </c>
    </row>
    <row r="18" spans="1:4" x14ac:dyDescent="0.25">
      <c r="C18" s="31" t="s">
        <v>83</v>
      </c>
      <c r="D18" s="32">
        <f>SUM(D4:D17)</f>
        <v>49561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90DE-C48F-4766-95BB-1A7CAEA9972D}">
  <dimension ref="A3:D10"/>
  <sheetViews>
    <sheetView view="pageBreakPreview" zoomScaleNormal="100" zoomScaleSheetLayoutView="100" workbookViewId="0">
      <selection activeCell="B18" sqref="B18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500</v>
      </c>
      <c r="B4" s="4">
        <v>268044</v>
      </c>
      <c r="C4" s="4" t="s">
        <v>766</v>
      </c>
      <c r="D4" s="9">
        <v>3389</v>
      </c>
    </row>
    <row r="5" spans="1:4" x14ac:dyDescent="0.25">
      <c r="A5" s="4" t="s">
        <v>180</v>
      </c>
      <c r="B5" s="4">
        <v>265067</v>
      </c>
      <c r="C5" s="4" t="s">
        <v>749</v>
      </c>
      <c r="D5" s="9">
        <v>1595</v>
      </c>
    </row>
    <row r="6" spans="1:4" x14ac:dyDescent="0.25">
      <c r="A6" s="4" t="s">
        <v>34</v>
      </c>
      <c r="B6" s="4">
        <v>267639</v>
      </c>
      <c r="C6" s="4" t="s">
        <v>761</v>
      </c>
      <c r="D6" s="9">
        <v>1038</v>
      </c>
    </row>
    <row r="7" spans="1:4" x14ac:dyDescent="0.25">
      <c r="A7" s="4" t="s">
        <v>34</v>
      </c>
      <c r="B7" s="4">
        <v>267704</v>
      </c>
      <c r="C7" s="4" t="s">
        <v>770</v>
      </c>
      <c r="D7" s="9">
        <v>550</v>
      </c>
    </row>
    <row r="8" spans="1:4" x14ac:dyDescent="0.25">
      <c r="A8" s="4" t="s">
        <v>38</v>
      </c>
      <c r="B8" s="4">
        <v>260931</v>
      </c>
      <c r="C8" s="4" t="s">
        <v>771</v>
      </c>
      <c r="D8" s="9">
        <v>570</v>
      </c>
    </row>
    <row r="9" spans="1:4" x14ac:dyDescent="0.25">
      <c r="A9" s="4" t="s">
        <v>208</v>
      </c>
      <c r="B9" s="4">
        <v>191435</v>
      </c>
      <c r="C9" s="4" t="s">
        <v>629</v>
      </c>
      <c r="D9" s="9">
        <v>100</v>
      </c>
    </row>
    <row r="10" spans="1:4" x14ac:dyDescent="0.25">
      <c r="C10" s="31" t="s">
        <v>83</v>
      </c>
      <c r="D10" s="32">
        <f>SUM(D4:D9)</f>
        <v>7242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5CBE-632D-4E45-B72C-B3B8BC92F97B}">
  <dimension ref="A3:D10"/>
  <sheetViews>
    <sheetView view="pageBreakPreview" zoomScaleNormal="100" zoomScaleSheetLayoutView="100" workbookViewId="0">
      <selection activeCell="D22" sqref="D22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167</v>
      </c>
      <c r="B4" s="4">
        <v>269676</v>
      </c>
      <c r="C4" s="4" t="s">
        <v>776</v>
      </c>
      <c r="D4" s="9">
        <v>1147</v>
      </c>
    </row>
    <row r="5" spans="1:4" x14ac:dyDescent="0.25">
      <c r="A5" s="4" t="s">
        <v>180</v>
      </c>
      <c r="B5" s="4">
        <v>265067</v>
      </c>
      <c r="C5" s="4" t="s">
        <v>749</v>
      </c>
      <c r="D5" s="9">
        <v>1595</v>
      </c>
    </row>
    <row r="6" spans="1:4" x14ac:dyDescent="0.25">
      <c r="A6" s="4" t="s">
        <v>718</v>
      </c>
      <c r="B6" s="4">
        <v>269930</v>
      </c>
      <c r="C6" s="4" t="s">
        <v>777</v>
      </c>
      <c r="D6" s="9">
        <v>199</v>
      </c>
    </row>
    <row r="7" spans="1:4" x14ac:dyDescent="0.25">
      <c r="A7" s="4" t="s">
        <v>34</v>
      </c>
      <c r="B7" s="4">
        <v>267704</v>
      </c>
      <c r="C7" s="4" t="s">
        <v>770</v>
      </c>
      <c r="D7" s="9">
        <v>550</v>
      </c>
    </row>
    <row r="8" spans="1:4" x14ac:dyDescent="0.25">
      <c r="A8" s="4" t="s">
        <v>38</v>
      </c>
      <c r="B8" s="4">
        <v>260931</v>
      </c>
      <c r="C8" s="4" t="s">
        <v>771</v>
      </c>
      <c r="D8" s="9">
        <v>570</v>
      </c>
    </row>
    <row r="9" spans="1:4" x14ac:dyDescent="0.25">
      <c r="A9" s="4" t="s">
        <v>208</v>
      </c>
      <c r="B9" s="4">
        <v>191435</v>
      </c>
      <c r="C9" s="4" t="s">
        <v>629</v>
      </c>
      <c r="D9" s="9">
        <v>100</v>
      </c>
    </row>
    <row r="10" spans="1:4" x14ac:dyDescent="0.25">
      <c r="C10" s="31" t="s">
        <v>83</v>
      </c>
      <c r="D10" s="32">
        <f>SUM(D4:D9)</f>
        <v>4161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6E6C-49E8-4150-8267-145AC631F72E}">
  <dimension ref="A3:D14"/>
  <sheetViews>
    <sheetView view="pageBreakPreview" zoomScaleNormal="100" zoomScaleSheetLayoutView="100" workbookViewId="0">
      <selection activeCell="B30" sqref="B30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500</v>
      </c>
      <c r="B4" s="4">
        <v>270379</v>
      </c>
      <c r="C4" s="4" t="s">
        <v>778</v>
      </c>
      <c r="D4" s="9">
        <v>295</v>
      </c>
    </row>
    <row r="5" spans="1:4" x14ac:dyDescent="0.25">
      <c r="A5" s="4" t="s">
        <v>180</v>
      </c>
      <c r="B5" s="4">
        <v>265067</v>
      </c>
      <c r="C5" s="4" t="s">
        <v>749</v>
      </c>
      <c r="D5" s="9">
        <v>1595</v>
      </c>
    </row>
    <row r="6" spans="1:4" x14ac:dyDescent="0.25">
      <c r="A6" s="4" t="s">
        <v>718</v>
      </c>
      <c r="B6" s="4">
        <v>269807</v>
      </c>
      <c r="C6" s="4" t="s">
        <v>779</v>
      </c>
      <c r="D6" s="9">
        <v>16380</v>
      </c>
    </row>
    <row r="7" spans="1:4" x14ac:dyDescent="0.25">
      <c r="A7" s="4" t="s">
        <v>718</v>
      </c>
      <c r="B7" s="4">
        <v>269805</v>
      </c>
      <c r="C7" s="4" t="s">
        <v>780</v>
      </c>
      <c r="D7" s="9">
        <v>11388</v>
      </c>
    </row>
    <row r="8" spans="1:4" x14ac:dyDescent="0.25">
      <c r="A8" s="4" t="s">
        <v>38</v>
      </c>
      <c r="B8" s="4">
        <v>260931</v>
      </c>
      <c r="C8" s="4" t="s">
        <v>771</v>
      </c>
      <c r="D8" s="9">
        <v>570</v>
      </c>
    </row>
    <row r="9" spans="1:4" x14ac:dyDescent="0.25">
      <c r="A9" s="4" t="s">
        <v>208</v>
      </c>
      <c r="B9" s="4">
        <v>191435</v>
      </c>
      <c r="C9" s="4" t="s">
        <v>629</v>
      </c>
      <c r="D9" s="9">
        <v>110000</v>
      </c>
    </row>
    <row r="10" spans="1:4" x14ac:dyDescent="0.25">
      <c r="A10" s="4" t="s">
        <v>718</v>
      </c>
      <c r="B10" s="4">
        <v>266879</v>
      </c>
      <c r="C10" s="4" t="s">
        <v>781</v>
      </c>
      <c r="D10" s="9">
        <v>11388</v>
      </c>
    </row>
    <row r="11" spans="1:4" x14ac:dyDescent="0.25">
      <c r="A11" s="4" t="s">
        <v>718</v>
      </c>
      <c r="B11" s="4">
        <v>268419</v>
      </c>
      <c r="C11" s="4" t="s">
        <v>782</v>
      </c>
      <c r="D11" s="9">
        <v>51948</v>
      </c>
    </row>
    <row r="12" spans="1:4" x14ac:dyDescent="0.25">
      <c r="A12" s="4" t="s">
        <v>718</v>
      </c>
      <c r="B12" s="4">
        <v>269479</v>
      </c>
      <c r="C12" s="4" t="s">
        <v>783</v>
      </c>
      <c r="D12" s="9">
        <v>19812</v>
      </c>
    </row>
    <row r="13" spans="1:4" x14ac:dyDescent="0.25">
      <c r="A13" s="4" t="s">
        <v>718</v>
      </c>
      <c r="B13" s="4">
        <v>266657</v>
      </c>
      <c r="C13" s="4" t="s">
        <v>784</v>
      </c>
      <c r="D13" s="9">
        <v>500</v>
      </c>
    </row>
    <row r="14" spans="1:4" x14ac:dyDescent="0.25">
      <c r="C14" s="31" t="s">
        <v>83</v>
      </c>
      <c r="D14" s="32">
        <f>SUM(D4:D13)</f>
        <v>223876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3E2A-B9F1-46A6-B33C-AF7A9952FE6B}">
  <dimension ref="A3:D14"/>
  <sheetViews>
    <sheetView view="pageBreakPreview" zoomScaleNormal="100" zoomScaleSheetLayoutView="100" workbookViewId="0">
      <selection activeCell="B24" sqref="B24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500</v>
      </c>
      <c r="B4" s="4">
        <v>271267</v>
      </c>
      <c r="C4" s="4" t="s">
        <v>785</v>
      </c>
      <c r="D4" s="9">
        <v>1770</v>
      </c>
    </row>
    <row r="5" spans="1:4" x14ac:dyDescent="0.25">
      <c r="A5" s="4" t="s">
        <v>500</v>
      </c>
      <c r="B5" s="4">
        <v>270379</v>
      </c>
      <c r="C5" s="4" t="s">
        <v>778</v>
      </c>
      <c r="D5" s="9">
        <v>295</v>
      </c>
    </row>
    <row r="6" spans="1:4" x14ac:dyDescent="0.25">
      <c r="A6" s="4" t="s">
        <v>336</v>
      </c>
      <c r="B6" s="4">
        <v>270908</v>
      </c>
      <c r="C6" s="4" t="s">
        <v>786</v>
      </c>
      <c r="D6" s="9">
        <v>1056</v>
      </c>
    </row>
    <row r="7" spans="1:4" x14ac:dyDescent="0.25">
      <c r="A7" s="4" t="s">
        <v>567</v>
      </c>
      <c r="B7" s="4">
        <v>270509</v>
      </c>
      <c r="C7" s="4" t="s">
        <v>787</v>
      </c>
      <c r="D7" s="9">
        <v>805</v>
      </c>
    </row>
    <row r="8" spans="1:4" x14ac:dyDescent="0.25">
      <c r="A8" s="4" t="s">
        <v>567</v>
      </c>
      <c r="B8" s="4">
        <v>270510</v>
      </c>
      <c r="C8" s="4" t="s">
        <v>788</v>
      </c>
      <c r="D8" s="9">
        <v>950</v>
      </c>
    </row>
    <row r="9" spans="1:4" x14ac:dyDescent="0.25">
      <c r="A9" s="4" t="s">
        <v>180</v>
      </c>
      <c r="B9" s="4">
        <v>268306</v>
      </c>
      <c r="C9" s="4" t="s">
        <v>789</v>
      </c>
      <c r="D9" s="9">
        <v>390</v>
      </c>
    </row>
    <row r="10" spans="1:4" x14ac:dyDescent="0.25">
      <c r="A10" s="4" t="s">
        <v>180</v>
      </c>
      <c r="B10" s="4">
        <v>268305</v>
      </c>
      <c r="C10" s="4" t="s">
        <v>790</v>
      </c>
      <c r="D10" s="9">
        <v>985</v>
      </c>
    </row>
    <row r="11" spans="1:4" x14ac:dyDescent="0.25">
      <c r="A11" s="4" t="s">
        <v>180</v>
      </c>
      <c r="B11" s="4">
        <v>265067</v>
      </c>
      <c r="C11" s="4" t="s">
        <v>749</v>
      </c>
      <c r="D11" s="9">
        <v>1595</v>
      </c>
    </row>
    <row r="12" spans="1:4" x14ac:dyDescent="0.25">
      <c r="A12" s="4" t="s">
        <v>48</v>
      </c>
      <c r="B12" s="4">
        <v>264038</v>
      </c>
      <c r="C12" s="4" t="s">
        <v>791</v>
      </c>
      <c r="D12" s="9">
        <v>1295</v>
      </c>
    </row>
    <row r="13" spans="1:4" x14ac:dyDescent="0.25">
      <c r="A13" s="4" t="s">
        <v>208</v>
      </c>
      <c r="B13" s="4">
        <v>191435</v>
      </c>
      <c r="C13" s="4" t="s">
        <v>629</v>
      </c>
      <c r="D13" s="9">
        <v>2565</v>
      </c>
    </row>
    <row r="14" spans="1:4" x14ac:dyDescent="0.25">
      <c r="C14" s="31" t="s">
        <v>83</v>
      </c>
      <c r="D14" s="32">
        <f>SUM(D4:D13)</f>
        <v>11706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CDC5-383F-4B4B-8ECB-63EB4836451C}">
  <dimension ref="A3:D16"/>
  <sheetViews>
    <sheetView view="pageBreakPreview" zoomScaleNormal="100" zoomScaleSheetLayoutView="100" workbookViewId="0">
      <selection activeCell="D21" sqref="D21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125</v>
      </c>
      <c r="B4" s="4">
        <v>271393</v>
      </c>
      <c r="C4" s="4" t="s">
        <v>792</v>
      </c>
      <c r="D4" s="9">
        <v>5360</v>
      </c>
    </row>
    <row r="5" spans="1:4" x14ac:dyDescent="0.25">
      <c r="A5" s="4" t="s">
        <v>13</v>
      </c>
      <c r="B5" s="4">
        <v>270631</v>
      </c>
      <c r="C5" s="4" t="s">
        <v>793</v>
      </c>
      <c r="D5" s="9">
        <v>2820</v>
      </c>
    </row>
    <row r="6" spans="1:4" x14ac:dyDescent="0.25">
      <c r="A6" s="4" t="s">
        <v>13</v>
      </c>
      <c r="B6" s="4">
        <v>270633</v>
      </c>
      <c r="C6" s="4" t="s">
        <v>794</v>
      </c>
      <c r="D6" s="9">
        <v>4056</v>
      </c>
    </row>
    <row r="7" spans="1:4" x14ac:dyDescent="0.25">
      <c r="A7" s="4" t="s">
        <v>500</v>
      </c>
      <c r="B7" s="4">
        <v>271608</v>
      </c>
      <c r="C7" s="4" t="s">
        <v>795</v>
      </c>
      <c r="D7" s="9">
        <v>1475</v>
      </c>
    </row>
    <row r="8" spans="1:4" x14ac:dyDescent="0.25">
      <c r="A8" s="4" t="s">
        <v>500</v>
      </c>
      <c r="B8" s="4">
        <v>271617</v>
      </c>
      <c r="C8" s="4" t="s">
        <v>796</v>
      </c>
      <c r="D8" s="9">
        <v>304</v>
      </c>
    </row>
    <row r="9" spans="1:4" x14ac:dyDescent="0.25">
      <c r="A9" s="4" t="s">
        <v>336</v>
      </c>
      <c r="B9" s="4">
        <v>270908</v>
      </c>
      <c r="C9" s="4" t="s">
        <v>786</v>
      </c>
      <c r="D9" s="9">
        <v>1056</v>
      </c>
    </row>
    <row r="10" spans="1:4" x14ac:dyDescent="0.25">
      <c r="A10" s="4" t="s">
        <v>567</v>
      </c>
      <c r="B10" s="4">
        <v>270509</v>
      </c>
      <c r="C10" s="4" t="s">
        <v>787</v>
      </c>
      <c r="D10" s="9">
        <v>805</v>
      </c>
    </row>
    <row r="11" spans="1:4" x14ac:dyDescent="0.25">
      <c r="A11" s="4" t="s">
        <v>567</v>
      </c>
      <c r="B11" s="4">
        <v>270510</v>
      </c>
      <c r="C11" s="4" t="s">
        <v>788</v>
      </c>
      <c r="D11" s="9">
        <v>950</v>
      </c>
    </row>
    <row r="12" spans="1:4" x14ac:dyDescent="0.25">
      <c r="A12" s="4" t="s">
        <v>315</v>
      </c>
      <c r="B12" s="4">
        <v>268296</v>
      </c>
      <c r="C12" s="4" t="s">
        <v>797</v>
      </c>
      <c r="D12" s="9">
        <v>2158</v>
      </c>
    </row>
    <row r="13" spans="1:4" x14ac:dyDescent="0.25">
      <c r="A13" s="4" t="s">
        <v>315</v>
      </c>
      <c r="B13" s="4">
        <v>268296</v>
      </c>
      <c r="C13" s="4" t="s">
        <v>798</v>
      </c>
      <c r="D13" s="9">
        <v>2163</v>
      </c>
    </row>
    <row r="14" spans="1:4" x14ac:dyDescent="0.25">
      <c r="A14" s="4" t="s">
        <v>48</v>
      </c>
      <c r="B14" s="4">
        <v>264038</v>
      </c>
      <c r="C14" s="4" t="s">
        <v>791</v>
      </c>
      <c r="D14" s="9">
        <v>1295</v>
      </c>
    </row>
    <row r="15" spans="1:4" x14ac:dyDescent="0.25">
      <c r="A15" s="4" t="s">
        <v>208</v>
      </c>
      <c r="B15" s="4">
        <v>191435</v>
      </c>
      <c r="C15" s="4" t="s">
        <v>629</v>
      </c>
      <c r="D15" s="9">
        <v>2565</v>
      </c>
    </row>
    <row r="16" spans="1:4" x14ac:dyDescent="0.25">
      <c r="C16" s="31" t="s">
        <v>83</v>
      </c>
      <c r="D16" s="32">
        <f>SUM(D4:D15)</f>
        <v>25007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189F-4EE3-4E17-80A7-AC6D1A32F962}">
  <dimension ref="A3:D16"/>
  <sheetViews>
    <sheetView view="pageBreakPreview" zoomScaleNormal="100" zoomScaleSheetLayoutView="100" workbookViewId="0">
      <selection activeCell="C29" sqref="C29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13</v>
      </c>
      <c r="B4" s="4">
        <v>271758</v>
      </c>
      <c r="C4" s="4" t="s">
        <v>799</v>
      </c>
      <c r="D4" s="9">
        <v>1710</v>
      </c>
    </row>
    <row r="5" spans="1:4" x14ac:dyDescent="0.25">
      <c r="A5" s="4" t="s">
        <v>13</v>
      </c>
      <c r="B5" s="4">
        <v>271759</v>
      </c>
      <c r="C5" s="4" t="s">
        <v>800</v>
      </c>
      <c r="D5" s="9">
        <v>620</v>
      </c>
    </row>
    <row r="6" spans="1:4" x14ac:dyDescent="0.25">
      <c r="A6" s="4" t="s">
        <v>500</v>
      </c>
      <c r="B6" s="4">
        <v>271608</v>
      </c>
      <c r="C6" s="4" t="s">
        <v>795</v>
      </c>
      <c r="D6" s="9">
        <v>1475</v>
      </c>
    </row>
    <row r="7" spans="1:4" x14ac:dyDescent="0.25">
      <c r="A7" s="4" t="s">
        <v>500</v>
      </c>
      <c r="B7" s="4">
        <v>271790</v>
      </c>
      <c r="C7" s="4" t="s">
        <v>801</v>
      </c>
      <c r="D7" s="9">
        <v>590</v>
      </c>
    </row>
    <row r="8" spans="1:4" x14ac:dyDescent="0.25">
      <c r="A8" s="4" t="s">
        <v>500</v>
      </c>
      <c r="B8" s="4">
        <v>271617</v>
      </c>
      <c r="C8" s="4" t="s">
        <v>796</v>
      </c>
      <c r="D8" s="9">
        <v>304</v>
      </c>
    </row>
    <row r="9" spans="1:4" x14ac:dyDescent="0.25">
      <c r="A9" s="4" t="s">
        <v>336</v>
      </c>
      <c r="B9" s="4">
        <v>270908</v>
      </c>
      <c r="C9" s="4" t="s">
        <v>786</v>
      </c>
      <c r="D9" s="9">
        <v>1056</v>
      </c>
    </row>
    <row r="10" spans="1:4" x14ac:dyDescent="0.25">
      <c r="A10" s="4" t="s">
        <v>234</v>
      </c>
      <c r="B10" s="4">
        <v>271717</v>
      </c>
      <c r="C10" s="4" t="s">
        <v>802</v>
      </c>
      <c r="D10" s="9">
        <v>4794</v>
      </c>
    </row>
    <row r="11" spans="1:4" x14ac:dyDescent="0.25">
      <c r="A11" s="4" t="s">
        <v>234</v>
      </c>
      <c r="B11" s="4">
        <v>271130</v>
      </c>
      <c r="C11" s="4" t="s">
        <v>803</v>
      </c>
      <c r="D11" s="9">
        <v>6922</v>
      </c>
    </row>
    <row r="12" spans="1:4" x14ac:dyDescent="0.25">
      <c r="A12" s="4" t="s">
        <v>234</v>
      </c>
      <c r="B12" s="4">
        <v>268361</v>
      </c>
      <c r="C12" s="4" t="s">
        <v>804</v>
      </c>
      <c r="D12" s="9">
        <v>2098</v>
      </c>
    </row>
    <row r="13" spans="1:4" x14ac:dyDescent="0.25">
      <c r="A13" s="4" t="s">
        <v>111</v>
      </c>
      <c r="B13" s="4">
        <v>271778</v>
      </c>
      <c r="C13" s="4" t="s">
        <v>805</v>
      </c>
      <c r="D13" s="9">
        <v>636</v>
      </c>
    </row>
    <row r="14" spans="1:4" x14ac:dyDescent="0.25">
      <c r="A14" s="4" t="s">
        <v>315</v>
      </c>
      <c r="B14" s="4">
        <v>268296</v>
      </c>
      <c r="C14" s="4" t="s">
        <v>798</v>
      </c>
      <c r="D14" s="9">
        <v>2163</v>
      </c>
    </row>
    <row r="15" spans="1:4" x14ac:dyDescent="0.25">
      <c r="A15" s="4" t="s">
        <v>208</v>
      </c>
      <c r="B15" s="4">
        <v>191435</v>
      </c>
      <c r="C15" s="4" t="s">
        <v>629</v>
      </c>
      <c r="D15" s="9">
        <v>2565</v>
      </c>
    </row>
    <row r="16" spans="1:4" x14ac:dyDescent="0.25">
      <c r="C16" s="31" t="s">
        <v>83</v>
      </c>
      <c r="D16" s="32">
        <f>SUM(D4:D15)</f>
        <v>24933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A55D-19CC-4299-B311-08C36C132997}">
  <dimension ref="A3:D15"/>
  <sheetViews>
    <sheetView view="pageBreakPreview" zoomScaleNormal="100" zoomScaleSheetLayoutView="100" workbookViewId="0">
      <selection activeCell="C24" sqref="C24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24</v>
      </c>
      <c r="B4" s="4">
        <v>271884</v>
      </c>
      <c r="C4" s="4" t="s">
        <v>806</v>
      </c>
      <c r="D4" s="9">
        <v>2168</v>
      </c>
    </row>
    <row r="5" spans="1:4" x14ac:dyDescent="0.25">
      <c r="A5" s="4" t="s">
        <v>24</v>
      </c>
      <c r="B5" s="4">
        <v>271843</v>
      </c>
      <c r="C5" s="4" t="s">
        <v>807</v>
      </c>
      <c r="D5" s="9">
        <v>1560</v>
      </c>
    </row>
    <row r="6" spans="1:4" x14ac:dyDescent="0.25">
      <c r="A6" s="4" t="s">
        <v>24</v>
      </c>
      <c r="B6" s="4">
        <v>271885</v>
      </c>
      <c r="C6" s="4" t="s">
        <v>808</v>
      </c>
      <c r="D6" s="9">
        <v>1771</v>
      </c>
    </row>
    <row r="7" spans="1:4" x14ac:dyDescent="0.25">
      <c r="A7" s="4" t="s">
        <v>24</v>
      </c>
      <c r="B7" s="4">
        <v>271942</v>
      </c>
      <c r="C7" s="4" t="s">
        <v>809</v>
      </c>
      <c r="D7" s="9">
        <v>3600</v>
      </c>
    </row>
    <row r="8" spans="1:4" x14ac:dyDescent="0.25">
      <c r="A8" s="4" t="s">
        <v>24</v>
      </c>
      <c r="B8" s="4">
        <v>267058</v>
      </c>
      <c r="C8" s="4" t="s">
        <v>810</v>
      </c>
      <c r="D8" s="9">
        <v>5268</v>
      </c>
    </row>
    <row r="9" spans="1:4" x14ac:dyDescent="0.25">
      <c r="A9" s="4" t="s">
        <v>24</v>
      </c>
      <c r="B9" s="4">
        <v>271893</v>
      </c>
      <c r="C9" s="4" t="s">
        <v>811</v>
      </c>
      <c r="D9" s="9">
        <v>1800</v>
      </c>
    </row>
    <row r="10" spans="1:4" x14ac:dyDescent="0.25">
      <c r="A10" s="4" t="s">
        <v>24</v>
      </c>
      <c r="B10" s="4">
        <v>271895</v>
      </c>
      <c r="C10" s="4" t="s">
        <v>812</v>
      </c>
      <c r="D10" s="9">
        <v>3600</v>
      </c>
    </row>
    <row r="11" spans="1:4" x14ac:dyDescent="0.25">
      <c r="A11" s="4" t="s">
        <v>24</v>
      </c>
      <c r="B11" s="4">
        <v>271892</v>
      </c>
      <c r="C11" s="4" t="s">
        <v>813</v>
      </c>
      <c r="D11" s="9">
        <v>8868</v>
      </c>
    </row>
    <row r="12" spans="1:4" x14ac:dyDescent="0.25">
      <c r="A12" s="4" t="s">
        <v>315</v>
      </c>
      <c r="B12" s="4">
        <v>271687</v>
      </c>
      <c r="C12" s="4" t="s">
        <v>814</v>
      </c>
      <c r="D12" s="9">
        <v>2285</v>
      </c>
    </row>
    <row r="13" spans="1:4" x14ac:dyDescent="0.25">
      <c r="A13" s="4" t="s">
        <v>208</v>
      </c>
      <c r="B13" s="4">
        <v>191435</v>
      </c>
      <c r="C13" s="4" t="s">
        <v>629</v>
      </c>
      <c r="D13" s="9">
        <v>2565</v>
      </c>
    </row>
    <row r="14" spans="1:4" x14ac:dyDescent="0.25">
      <c r="A14" s="4" t="s">
        <v>48</v>
      </c>
      <c r="B14" s="4">
        <v>267107</v>
      </c>
      <c r="C14" s="4" t="s">
        <v>815</v>
      </c>
      <c r="D14" s="9">
        <v>28895</v>
      </c>
    </row>
    <row r="15" spans="1:4" x14ac:dyDescent="0.25">
      <c r="C15" s="31" t="s">
        <v>83</v>
      </c>
      <c r="D15" s="32">
        <f>SUM(D4:D14)</f>
        <v>62380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DB66-1B63-49D1-BED2-0435D53A0BE8}">
  <dimension ref="A3:D22"/>
  <sheetViews>
    <sheetView view="pageBreakPreview" zoomScaleNormal="100" zoomScaleSheetLayoutView="100" workbookViewId="0">
      <selection activeCell="C30" sqref="C30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24</v>
      </c>
      <c r="B4" s="4">
        <v>272147</v>
      </c>
      <c r="C4" s="4" t="s">
        <v>816</v>
      </c>
      <c r="D4" s="9">
        <v>11100</v>
      </c>
    </row>
    <row r="5" spans="1:4" x14ac:dyDescent="0.25">
      <c r="A5" s="4" t="s">
        <v>24</v>
      </c>
      <c r="B5" s="4">
        <v>272113</v>
      </c>
      <c r="C5" s="4" t="s">
        <v>817</v>
      </c>
      <c r="D5" s="9">
        <v>1398</v>
      </c>
    </row>
    <row r="6" spans="1:4" x14ac:dyDescent="0.25">
      <c r="A6" s="4" t="s">
        <v>24</v>
      </c>
      <c r="B6" s="4">
        <v>272126</v>
      </c>
      <c r="C6" s="4" t="s">
        <v>818</v>
      </c>
      <c r="D6" s="9">
        <v>3600</v>
      </c>
    </row>
    <row r="7" spans="1:4" x14ac:dyDescent="0.25">
      <c r="A7" s="4" t="s">
        <v>24</v>
      </c>
      <c r="B7" s="4">
        <v>272111</v>
      </c>
      <c r="C7" s="4" t="s">
        <v>819</v>
      </c>
      <c r="D7" s="9">
        <v>1800</v>
      </c>
    </row>
    <row r="8" spans="1:4" x14ac:dyDescent="0.25">
      <c r="A8" s="4" t="s">
        <v>24</v>
      </c>
      <c r="B8" s="4">
        <v>272127</v>
      </c>
      <c r="C8" s="4" t="s">
        <v>820</v>
      </c>
      <c r="D8" s="9">
        <v>1800</v>
      </c>
    </row>
    <row r="9" spans="1:4" x14ac:dyDescent="0.25">
      <c r="A9" s="4" t="s">
        <v>24</v>
      </c>
      <c r="B9" s="4">
        <v>272107</v>
      </c>
      <c r="C9" s="4" t="s">
        <v>821</v>
      </c>
      <c r="D9" s="9">
        <v>5679</v>
      </c>
    </row>
    <row r="10" spans="1:4" x14ac:dyDescent="0.25">
      <c r="A10" s="4" t="s">
        <v>24</v>
      </c>
      <c r="B10" s="4">
        <v>272196</v>
      </c>
      <c r="C10" s="4" t="s">
        <v>822</v>
      </c>
      <c r="D10" s="9">
        <v>1941</v>
      </c>
    </row>
    <row r="11" spans="1:4" x14ac:dyDescent="0.25">
      <c r="A11" s="4" t="s">
        <v>24</v>
      </c>
      <c r="B11" s="4">
        <v>272094</v>
      </c>
      <c r="C11" s="4" t="s">
        <v>823</v>
      </c>
      <c r="D11" s="9">
        <v>2285</v>
      </c>
    </row>
    <row r="12" spans="1:4" x14ac:dyDescent="0.25">
      <c r="A12" s="4" t="s">
        <v>24</v>
      </c>
      <c r="B12" s="4">
        <v>272091</v>
      </c>
      <c r="C12" s="4" t="s">
        <v>824</v>
      </c>
      <c r="D12" s="9">
        <v>1800</v>
      </c>
    </row>
    <row r="13" spans="1:4" x14ac:dyDescent="0.25">
      <c r="A13" s="4" t="s">
        <v>180</v>
      </c>
      <c r="B13" s="4">
        <v>270034</v>
      </c>
      <c r="C13" s="4" t="s">
        <v>825</v>
      </c>
      <c r="D13" s="9">
        <v>3360</v>
      </c>
    </row>
    <row r="14" spans="1:4" x14ac:dyDescent="0.25">
      <c r="A14" s="4" t="s">
        <v>718</v>
      </c>
      <c r="B14" s="4">
        <v>272373</v>
      </c>
      <c r="C14" s="4" t="s">
        <v>826</v>
      </c>
      <c r="D14" s="9">
        <v>1932</v>
      </c>
    </row>
    <row r="15" spans="1:4" x14ac:dyDescent="0.25">
      <c r="A15" s="4" t="s">
        <v>315</v>
      </c>
      <c r="B15" s="4">
        <v>271687</v>
      </c>
      <c r="C15" s="4" t="s">
        <v>814</v>
      </c>
      <c r="D15" s="9">
        <v>2285</v>
      </c>
    </row>
    <row r="16" spans="1:4" x14ac:dyDescent="0.25">
      <c r="A16" s="4" t="s">
        <v>48</v>
      </c>
      <c r="B16" s="4">
        <v>272166</v>
      </c>
      <c r="C16" s="4" t="s">
        <v>827</v>
      </c>
      <c r="D16" s="9">
        <v>14380</v>
      </c>
    </row>
    <row r="17" spans="1:4" x14ac:dyDescent="0.25">
      <c r="A17" s="4" t="s">
        <v>48</v>
      </c>
      <c r="B17" s="4">
        <v>271192</v>
      </c>
      <c r="C17" s="4" t="s">
        <v>828</v>
      </c>
      <c r="D17" s="9">
        <v>3600</v>
      </c>
    </row>
    <row r="18" spans="1:4" x14ac:dyDescent="0.25">
      <c r="A18" s="4" t="s">
        <v>98</v>
      </c>
      <c r="B18" s="4">
        <v>254872</v>
      </c>
      <c r="C18" s="4" t="s">
        <v>829</v>
      </c>
      <c r="D18" s="9">
        <v>8100</v>
      </c>
    </row>
    <row r="19" spans="1:4" x14ac:dyDescent="0.25">
      <c r="A19" s="4" t="s">
        <v>208</v>
      </c>
      <c r="B19" s="4">
        <v>191435</v>
      </c>
      <c r="C19" s="4" t="s">
        <v>629</v>
      </c>
      <c r="D19" s="9">
        <v>2565</v>
      </c>
    </row>
    <row r="20" spans="1:4" x14ac:dyDescent="0.25">
      <c r="A20" s="4" t="s">
        <v>718</v>
      </c>
      <c r="B20" s="4">
        <v>271710</v>
      </c>
      <c r="C20" s="4" t="s">
        <v>830</v>
      </c>
      <c r="D20" s="9">
        <v>1196</v>
      </c>
    </row>
    <row r="21" spans="1:4" x14ac:dyDescent="0.25">
      <c r="A21" s="4" t="s">
        <v>48</v>
      </c>
      <c r="B21" s="4">
        <v>267107</v>
      </c>
      <c r="C21" s="4" t="s">
        <v>815</v>
      </c>
      <c r="D21" s="9">
        <v>28895</v>
      </c>
    </row>
    <row r="22" spans="1:4" x14ac:dyDescent="0.25">
      <c r="C22" s="31" t="s">
        <v>83</v>
      </c>
      <c r="D22" s="32">
        <f>SUM(D4:D21)</f>
        <v>97716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C856-C5B1-43F8-BBAE-42E60FCE8CB9}">
  <dimension ref="A3:D22"/>
  <sheetViews>
    <sheetView view="pageBreakPreview" zoomScaleNormal="100" zoomScaleSheetLayoutView="100" workbookViewId="0">
      <selection activeCell="C25" sqref="C25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24</v>
      </c>
      <c r="B4" s="4">
        <v>272147</v>
      </c>
      <c r="C4" s="4" t="s">
        <v>816</v>
      </c>
      <c r="D4" s="9">
        <v>11100</v>
      </c>
    </row>
    <row r="5" spans="1:4" x14ac:dyDescent="0.25">
      <c r="A5" s="4" t="s">
        <v>24</v>
      </c>
      <c r="B5" s="4">
        <v>272113</v>
      </c>
      <c r="C5" s="4" t="s">
        <v>817</v>
      </c>
      <c r="D5" s="9">
        <v>1398</v>
      </c>
    </row>
    <row r="6" spans="1:4" x14ac:dyDescent="0.25">
      <c r="A6" s="4" t="s">
        <v>24</v>
      </c>
      <c r="B6" s="4">
        <v>272126</v>
      </c>
      <c r="C6" s="4" t="s">
        <v>818</v>
      </c>
      <c r="D6" s="9">
        <v>3600</v>
      </c>
    </row>
    <row r="7" spans="1:4" x14ac:dyDescent="0.25">
      <c r="A7" s="4" t="s">
        <v>24</v>
      </c>
      <c r="B7" s="4">
        <v>272111</v>
      </c>
      <c r="C7" s="4" t="s">
        <v>819</v>
      </c>
      <c r="D7" s="9">
        <v>1800</v>
      </c>
    </row>
    <row r="8" spans="1:4" x14ac:dyDescent="0.25">
      <c r="A8" s="4" t="s">
        <v>24</v>
      </c>
      <c r="B8" s="4">
        <v>272127</v>
      </c>
      <c r="C8" s="4" t="s">
        <v>820</v>
      </c>
      <c r="D8" s="9">
        <v>1800</v>
      </c>
    </row>
    <row r="9" spans="1:4" x14ac:dyDescent="0.25">
      <c r="A9" s="4" t="s">
        <v>24</v>
      </c>
      <c r="B9" s="4">
        <v>272107</v>
      </c>
      <c r="C9" s="4" t="s">
        <v>821</v>
      </c>
      <c r="D9" s="9">
        <v>5679</v>
      </c>
    </row>
    <row r="10" spans="1:4" x14ac:dyDescent="0.25">
      <c r="A10" s="4" t="s">
        <v>24</v>
      </c>
      <c r="B10" s="4">
        <v>272196</v>
      </c>
      <c r="C10" s="4" t="s">
        <v>822</v>
      </c>
      <c r="D10" s="9">
        <v>1941</v>
      </c>
    </row>
    <row r="11" spans="1:4" x14ac:dyDescent="0.25">
      <c r="A11" s="4" t="s">
        <v>24</v>
      </c>
      <c r="B11" s="4">
        <v>272094</v>
      </c>
      <c r="C11" s="4" t="s">
        <v>823</v>
      </c>
      <c r="D11" s="9">
        <v>2285</v>
      </c>
    </row>
    <row r="12" spans="1:4" x14ac:dyDescent="0.25">
      <c r="A12" s="4" t="s">
        <v>24</v>
      </c>
      <c r="B12" s="4">
        <v>272091</v>
      </c>
      <c r="C12" s="4" t="s">
        <v>824</v>
      </c>
      <c r="D12" s="9">
        <v>1800</v>
      </c>
    </row>
    <row r="13" spans="1:4" x14ac:dyDescent="0.25">
      <c r="A13" s="4" t="s">
        <v>111</v>
      </c>
      <c r="B13" s="4">
        <v>272709</v>
      </c>
      <c r="C13" s="4" t="s">
        <v>831</v>
      </c>
      <c r="D13" s="9">
        <v>4465</v>
      </c>
    </row>
    <row r="14" spans="1:4" x14ac:dyDescent="0.25">
      <c r="A14" s="4" t="s">
        <v>315</v>
      </c>
      <c r="B14" s="4">
        <v>271687</v>
      </c>
      <c r="C14" s="4" t="s">
        <v>814</v>
      </c>
      <c r="D14" s="9">
        <v>2285</v>
      </c>
    </row>
    <row r="15" spans="1:4" x14ac:dyDescent="0.25">
      <c r="A15" s="4" t="s">
        <v>832</v>
      </c>
      <c r="B15" s="4">
        <v>271936</v>
      </c>
      <c r="C15" s="4" t="s">
        <v>833</v>
      </c>
      <c r="D15" s="9">
        <v>1575</v>
      </c>
    </row>
    <row r="16" spans="1:4" x14ac:dyDescent="0.25">
      <c r="A16" s="4" t="s">
        <v>48</v>
      </c>
      <c r="B16" s="4">
        <v>272166</v>
      </c>
      <c r="C16" s="4" t="s">
        <v>827</v>
      </c>
      <c r="D16" s="9">
        <v>14380</v>
      </c>
    </row>
    <row r="17" spans="1:4" x14ac:dyDescent="0.25">
      <c r="A17" s="4" t="s">
        <v>98</v>
      </c>
      <c r="B17" s="4">
        <v>254872</v>
      </c>
      <c r="C17" s="4" t="s">
        <v>829</v>
      </c>
      <c r="D17" s="9">
        <v>8100</v>
      </c>
    </row>
    <row r="18" spans="1:4" x14ac:dyDescent="0.25">
      <c r="A18" s="4" t="s">
        <v>208</v>
      </c>
      <c r="B18" s="4">
        <v>191435</v>
      </c>
      <c r="C18" s="4" t="s">
        <v>629</v>
      </c>
      <c r="D18" s="9">
        <v>2565</v>
      </c>
    </row>
    <row r="19" spans="1:4" x14ac:dyDescent="0.25">
      <c r="A19" s="4" t="s">
        <v>718</v>
      </c>
      <c r="B19" s="4">
        <v>269805</v>
      </c>
      <c r="C19" s="4" t="s">
        <v>780</v>
      </c>
      <c r="D19" s="9">
        <v>11388</v>
      </c>
    </row>
    <row r="20" spans="1:4" x14ac:dyDescent="0.25">
      <c r="C20" s="31" t="s">
        <v>83</v>
      </c>
      <c r="D20" s="32">
        <f>SUM(D4:D19)</f>
        <v>76161</v>
      </c>
    </row>
    <row r="22" spans="1:4" x14ac:dyDescent="0.25">
      <c r="D22" s="3">
        <f>SUM(D14:D19)</f>
        <v>40293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DA67-8A08-44C7-B675-5C16F2A60897}">
  <dimension ref="A3:D22"/>
  <sheetViews>
    <sheetView view="pageBreakPreview" zoomScaleNormal="100" zoomScaleSheetLayoutView="100" workbookViewId="0">
      <selection activeCell="D25" sqref="D25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192</v>
      </c>
      <c r="B4" s="4">
        <v>269895</v>
      </c>
      <c r="C4" s="4" t="s">
        <v>834</v>
      </c>
      <c r="D4" s="9">
        <v>100845</v>
      </c>
    </row>
    <row r="5" spans="1:4" x14ac:dyDescent="0.25">
      <c r="A5" s="4" t="s">
        <v>13</v>
      </c>
      <c r="B5" s="4">
        <v>272658</v>
      </c>
      <c r="C5" s="4" t="s">
        <v>835</v>
      </c>
      <c r="D5" s="9">
        <v>8550</v>
      </c>
    </row>
    <row r="6" spans="1:4" x14ac:dyDescent="0.25">
      <c r="A6" s="4" t="s">
        <v>13</v>
      </c>
      <c r="B6" s="4">
        <v>272641</v>
      </c>
      <c r="C6" s="4" t="s">
        <v>836</v>
      </c>
      <c r="D6" s="9">
        <v>18721</v>
      </c>
    </row>
    <row r="7" spans="1:4" x14ac:dyDescent="0.25">
      <c r="A7" s="4" t="s">
        <v>108</v>
      </c>
      <c r="B7" s="4">
        <v>272759</v>
      </c>
      <c r="C7" s="4" t="s">
        <v>837</v>
      </c>
      <c r="D7" s="9">
        <v>2760</v>
      </c>
    </row>
    <row r="8" spans="1:4" x14ac:dyDescent="0.25">
      <c r="A8" s="4" t="s">
        <v>108</v>
      </c>
      <c r="B8" s="4">
        <v>272756</v>
      </c>
      <c r="C8" s="4" t="s">
        <v>838</v>
      </c>
      <c r="D8" s="9">
        <v>2178</v>
      </c>
    </row>
    <row r="9" spans="1:4" x14ac:dyDescent="0.25">
      <c r="A9" s="4" t="s">
        <v>108</v>
      </c>
      <c r="B9" s="4">
        <v>272616</v>
      </c>
      <c r="C9" s="4" t="s">
        <v>839</v>
      </c>
      <c r="D9" s="9">
        <v>3254</v>
      </c>
    </row>
    <row r="10" spans="1:4" x14ac:dyDescent="0.25">
      <c r="A10" s="4" t="s">
        <v>108</v>
      </c>
      <c r="B10" s="4">
        <v>272755</v>
      </c>
      <c r="C10" s="4" t="s">
        <v>840</v>
      </c>
      <c r="D10" s="9">
        <v>1136</v>
      </c>
    </row>
    <row r="11" spans="1:4" x14ac:dyDescent="0.25">
      <c r="A11" s="4" t="s">
        <v>108</v>
      </c>
      <c r="B11" s="4">
        <v>272754</v>
      </c>
      <c r="C11" s="4" t="s">
        <v>841</v>
      </c>
      <c r="D11" s="9">
        <v>4822</v>
      </c>
    </row>
    <row r="12" spans="1:4" x14ac:dyDescent="0.25">
      <c r="A12" s="4" t="s">
        <v>111</v>
      </c>
      <c r="B12" s="4">
        <v>272709</v>
      </c>
      <c r="C12" s="4" t="s">
        <v>831</v>
      </c>
      <c r="D12" s="9">
        <v>4465</v>
      </c>
    </row>
    <row r="13" spans="1:4" x14ac:dyDescent="0.25">
      <c r="A13" s="4" t="s">
        <v>718</v>
      </c>
      <c r="B13" s="4">
        <v>273017</v>
      </c>
      <c r="C13" s="4" t="s">
        <v>842</v>
      </c>
      <c r="D13" s="9">
        <v>199</v>
      </c>
    </row>
    <row r="14" spans="1:4" x14ac:dyDescent="0.25">
      <c r="A14" s="4" t="s">
        <v>718</v>
      </c>
      <c r="B14" s="4">
        <v>273018</v>
      </c>
      <c r="C14" s="4" t="s">
        <v>843</v>
      </c>
      <c r="D14" s="9">
        <v>199</v>
      </c>
    </row>
    <row r="15" spans="1:4" x14ac:dyDescent="0.25">
      <c r="A15" s="4" t="s">
        <v>718</v>
      </c>
      <c r="B15" s="4">
        <v>273019</v>
      </c>
      <c r="C15" s="4" t="s">
        <v>844</v>
      </c>
      <c r="D15" s="9">
        <v>538</v>
      </c>
    </row>
    <row r="16" spans="1:4" x14ac:dyDescent="0.25">
      <c r="A16" s="4" t="s">
        <v>718</v>
      </c>
      <c r="B16" s="4">
        <v>273020</v>
      </c>
      <c r="C16" s="4" t="s">
        <v>845</v>
      </c>
      <c r="D16" s="9">
        <v>2902</v>
      </c>
    </row>
    <row r="17" spans="1:4" x14ac:dyDescent="0.25">
      <c r="A17" s="4" t="s">
        <v>718</v>
      </c>
      <c r="B17" s="4">
        <v>273021</v>
      </c>
      <c r="C17" s="4" t="s">
        <v>846</v>
      </c>
      <c r="D17" s="9">
        <v>1449</v>
      </c>
    </row>
    <row r="18" spans="1:4" x14ac:dyDescent="0.25">
      <c r="A18" s="4" t="s">
        <v>48</v>
      </c>
      <c r="B18" s="4">
        <v>272166</v>
      </c>
      <c r="C18" s="4" t="s">
        <v>827</v>
      </c>
      <c r="D18" s="9">
        <v>14380</v>
      </c>
    </row>
    <row r="19" spans="1:4" x14ac:dyDescent="0.25">
      <c r="A19" s="4" t="s">
        <v>98</v>
      </c>
      <c r="B19" s="4">
        <v>254872</v>
      </c>
      <c r="C19" s="4" t="s">
        <v>829</v>
      </c>
      <c r="D19" s="9">
        <v>8100</v>
      </c>
    </row>
    <row r="20" spans="1:4" x14ac:dyDescent="0.25">
      <c r="A20" s="4" t="s">
        <v>208</v>
      </c>
      <c r="B20" s="4">
        <v>191435</v>
      </c>
      <c r="C20" s="4" t="s">
        <v>629</v>
      </c>
      <c r="D20" s="9">
        <v>2565</v>
      </c>
    </row>
    <row r="21" spans="1:4" x14ac:dyDescent="0.25">
      <c r="A21" s="4" t="s">
        <v>718</v>
      </c>
      <c r="B21" s="4">
        <v>269805</v>
      </c>
      <c r="C21" s="4" t="s">
        <v>780</v>
      </c>
      <c r="D21" s="9">
        <v>11388</v>
      </c>
    </row>
    <row r="22" spans="1:4" x14ac:dyDescent="0.25">
      <c r="C22" s="31" t="s">
        <v>83</v>
      </c>
      <c r="D22" s="32">
        <f>SUM(D4:D21)</f>
        <v>188451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D8B7-8F18-4243-BCEE-F633E4F854B3}">
  <dimension ref="A3:E36"/>
  <sheetViews>
    <sheetView view="pageBreakPreview" topLeftCell="A13" zoomScaleNormal="100" zoomScaleSheetLayoutView="100" workbookViewId="0">
      <selection activeCell="G7" sqref="G7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5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5" x14ac:dyDescent="0.25">
      <c r="A4" s="4" t="s">
        <v>256</v>
      </c>
      <c r="B4" s="4">
        <v>273158</v>
      </c>
      <c r="C4" s="4" t="s">
        <v>847</v>
      </c>
      <c r="D4" s="9">
        <v>295</v>
      </c>
      <c r="E4" t="s">
        <v>864</v>
      </c>
    </row>
    <row r="5" spans="1:5" x14ac:dyDescent="0.25">
      <c r="A5" s="4" t="s">
        <v>256</v>
      </c>
      <c r="B5" s="4">
        <v>271566</v>
      </c>
      <c r="C5" s="4" t="s">
        <v>848</v>
      </c>
      <c r="D5" s="9">
        <v>31400</v>
      </c>
      <c r="E5" t="s">
        <v>864</v>
      </c>
    </row>
    <row r="6" spans="1:5" x14ac:dyDescent="0.25">
      <c r="A6" s="4" t="s">
        <v>256</v>
      </c>
      <c r="B6" s="4">
        <v>271566</v>
      </c>
      <c r="C6" s="4" t="s">
        <v>849</v>
      </c>
      <c r="D6" s="9">
        <v>6580</v>
      </c>
      <c r="E6" t="s">
        <v>864</v>
      </c>
    </row>
    <row r="7" spans="1:5" x14ac:dyDescent="0.25">
      <c r="A7" s="4" t="s">
        <v>256</v>
      </c>
      <c r="B7" s="4">
        <v>271566</v>
      </c>
      <c r="C7" s="4" t="s">
        <v>850</v>
      </c>
      <c r="D7" s="9">
        <v>11723</v>
      </c>
      <c r="E7" t="s">
        <v>864</v>
      </c>
    </row>
    <row r="8" spans="1:5" x14ac:dyDescent="0.25">
      <c r="A8" s="4" t="s">
        <v>13</v>
      </c>
      <c r="B8" s="4">
        <v>272641</v>
      </c>
      <c r="C8" s="4" t="s">
        <v>836</v>
      </c>
      <c r="D8" s="9">
        <v>18721</v>
      </c>
    </row>
    <row r="9" spans="1:5" x14ac:dyDescent="0.25">
      <c r="A9" s="4" t="s">
        <v>108</v>
      </c>
      <c r="B9" s="4">
        <v>272759</v>
      </c>
      <c r="C9" s="4" t="s">
        <v>837</v>
      </c>
      <c r="D9" s="9">
        <v>2760</v>
      </c>
    </row>
    <row r="10" spans="1:5" x14ac:dyDescent="0.25">
      <c r="A10" s="4" t="s">
        <v>108</v>
      </c>
      <c r="B10" s="4">
        <v>272756</v>
      </c>
      <c r="C10" s="4" t="s">
        <v>838</v>
      </c>
      <c r="D10" s="9">
        <v>2178</v>
      </c>
    </row>
    <row r="11" spans="1:5" x14ac:dyDescent="0.25">
      <c r="A11" s="4" t="s">
        <v>108</v>
      </c>
      <c r="B11" s="4">
        <v>272980</v>
      </c>
      <c r="C11" s="4" t="s">
        <v>851</v>
      </c>
      <c r="D11" s="9">
        <v>14495</v>
      </c>
    </row>
    <row r="12" spans="1:5" x14ac:dyDescent="0.25">
      <c r="A12" s="4" t="s">
        <v>108</v>
      </c>
      <c r="B12" s="4">
        <v>272984</v>
      </c>
      <c r="C12" s="4" t="s">
        <v>852</v>
      </c>
      <c r="D12" s="9">
        <v>6363</v>
      </c>
    </row>
    <row r="13" spans="1:5" x14ac:dyDescent="0.25">
      <c r="A13" s="4" t="s">
        <v>108</v>
      </c>
      <c r="B13" s="4">
        <v>272950</v>
      </c>
      <c r="C13" s="4" t="s">
        <v>853</v>
      </c>
      <c r="D13" s="9">
        <v>5072</v>
      </c>
    </row>
    <row r="14" spans="1:5" x14ac:dyDescent="0.25">
      <c r="A14" s="4" t="s">
        <v>108</v>
      </c>
      <c r="B14" s="4">
        <v>272925</v>
      </c>
      <c r="C14" s="4" t="s">
        <v>854</v>
      </c>
      <c r="D14" s="9">
        <v>2975</v>
      </c>
    </row>
    <row r="15" spans="1:5" x14ac:dyDescent="0.25">
      <c r="A15" s="4" t="s">
        <v>108</v>
      </c>
      <c r="B15" s="4">
        <v>272755</v>
      </c>
      <c r="C15" s="4" t="s">
        <v>840</v>
      </c>
      <c r="D15" s="9">
        <v>1136</v>
      </c>
    </row>
    <row r="16" spans="1:5" x14ac:dyDescent="0.25">
      <c r="A16" s="4" t="s">
        <v>108</v>
      </c>
      <c r="B16" s="4">
        <v>272928</v>
      </c>
      <c r="C16" s="4" t="s">
        <v>855</v>
      </c>
      <c r="D16" s="9">
        <v>14816</v>
      </c>
    </row>
    <row r="17" spans="1:4" x14ac:dyDescent="0.25">
      <c r="A17" s="4" t="s">
        <v>108</v>
      </c>
      <c r="B17" s="4">
        <v>272754</v>
      </c>
      <c r="C17" s="4" t="s">
        <v>841</v>
      </c>
      <c r="D17" s="9">
        <v>4822</v>
      </c>
    </row>
    <row r="18" spans="1:4" x14ac:dyDescent="0.25">
      <c r="A18" s="4" t="s">
        <v>24</v>
      </c>
      <c r="B18" s="4">
        <v>272194</v>
      </c>
      <c r="C18" s="4" t="s">
        <v>856</v>
      </c>
      <c r="D18" s="9">
        <v>1506</v>
      </c>
    </row>
    <row r="19" spans="1:4" x14ac:dyDescent="0.25">
      <c r="A19" s="4" t="s">
        <v>24</v>
      </c>
      <c r="B19" s="4">
        <v>272095</v>
      </c>
      <c r="C19" s="4" t="s">
        <v>857</v>
      </c>
      <c r="D19" s="9">
        <v>1291</v>
      </c>
    </row>
    <row r="20" spans="1:4" x14ac:dyDescent="0.25">
      <c r="A20" s="4" t="s">
        <v>24</v>
      </c>
      <c r="B20" s="4">
        <v>272246</v>
      </c>
      <c r="C20" s="4" t="s">
        <v>858</v>
      </c>
      <c r="D20" s="9">
        <v>3342</v>
      </c>
    </row>
    <row r="21" spans="1:4" x14ac:dyDescent="0.25">
      <c r="A21" s="4" t="s">
        <v>24</v>
      </c>
      <c r="B21" s="4">
        <v>273016</v>
      </c>
      <c r="C21" s="4" t="s">
        <v>859</v>
      </c>
      <c r="D21" s="9">
        <v>1125</v>
      </c>
    </row>
    <row r="22" spans="1:4" x14ac:dyDescent="0.25">
      <c r="A22" s="4" t="s">
        <v>111</v>
      </c>
      <c r="B22" s="4">
        <v>272709</v>
      </c>
      <c r="C22" s="4" t="s">
        <v>831</v>
      </c>
      <c r="D22" s="9">
        <v>4465</v>
      </c>
    </row>
    <row r="23" spans="1:4" x14ac:dyDescent="0.25">
      <c r="A23" s="4" t="s">
        <v>111</v>
      </c>
      <c r="B23" s="4">
        <v>273242</v>
      </c>
      <c r="C23" s="4" t="s">
        <v>860</v>
      </c>
      <c r="D23" s="9">
        <v>824</v>
      </c>
    </row>
    <row r="24" spans="1:4" x14ac:dyDescent="0.25">
      <c r="A24" s="4" t="s">
        <v>111</v>
      </c>
      <c r="B24" s="4">
        <v>273240</v>
      </c>
      <c r="C24" s="4" t="s">
        <v>861</v>
      </c>
      <c r="D24" s="9">
        <v>957</v>
      </c>
    </row>
    <row r="25" spans="1:4" x14ac:dyDescent="0.25">
      <c r="A25" s="4" t="s">
        <v>81</v>
      </c>
      <c r="B25" s="4">
        <v>272562</v>
      </c>
      <c r="C25" s="4" t="s">
        <v>862</v>
      </c>
      <c r="D25" s="9">
        <v>2187</v>
      </c>
    </row>
    <row r="26" spans="1:4" x14ac:dyDescent="0.25">
      <c r="A26" s="4" t="s">
        <v>718</v>
      </c>
      <c r="B26" s="4">
        <v>273017</v>
      </c>
      <c r="C26" s="4" t="s">
        <v>842</v>
      </c>
      <c r="D26" s="9">
        <v>199</v>
      </c>
    </row>
    <row r="27" spans="1:4" x14ac:dyDescent="0.25">
      <c r="A27" s="4" t="s">
        <v>718</v>
      </c>
      <c r="B27" s="4">
        <v>273018</v>
      </c>
      <c r="C27" s="4" t="s">
        <v>843</v>
      </c>
      <c r="D27" s="9">
        <v>199</v>
      </c>
    </row>
    <row r="28" spans="1:4" x14ac:dyDescent="0.25">
      <c r="A28" s="4" t="s">
        <v>718</v>
      </c>
      <c r="B28" s="4">
        <v>273019</v>
      </c>
      <c r="C28" s="4" t="s">
        <v>844</v>
      </c>
      <c r="D28" s="9">
        <v>538</v>
      </c>
    </row>
    <row r="29" spans="1:4" x14ac:dyDescent="0.25">
      <c r="A29" s="4" t="s">
        <v>718</v>
      </c>
      <c r="B29" s="4">
        <v>273020</v>
      </c>
      <c r="C29" s="4" t="s">
        <v>845</v>
      </c>
      <c r="D29" s="9">
        <v>2902</v>
      </c>
    </row>
    <row r="30" spans="1:4" x14ac:dyDescent="0.25">
      <c r="A30" s="4" t="s">
        <v>718</v>
      </c>
      <c r="B30" s="4">
        <v>273021</v>
      </c>
      <c r="C30" s="4" t="s">
        <v>846</v>
      </c>
      <c r="D30" s="9">
        <v>1449</v>
      </c>
    </row>
    <row r="31" spans="1:4" x14ac:dyDescent="0.25">
      <c r="A31" s="4" t="s">
        <v>269</v>
      </c>
      <c r="B31" s="4">
        <v>272725</v>
      </c>
      <c r="C31" s="4" t="s">
        <v>863</v>
      </c>
      <c r="D31" s="9">
        <v>2780</v>
      </c>
    </row>
    <row r="32" spans="1:4" x14ac:dyDescent="0.25">
      <c r="A32" s="4" t="s">
        <v>48</v>
      </c>
      <c r="B32" s="4">
        <v>272166</v>
      </c>
      <c r="C32" s="4" t="s">
        <v>827</v>
      </c>
      <c r="D32" s="9">
        <v>14380</v>
      </c>
    </row>
    <row r="33" spans="1:4" x14ac:dyDescent="0.25">
      <c r="A33" s="4" t="s">
        <v>98</v>
      </c>
      <c r="B33" s="4">
        <v>254872</v>
      </c>
      <c r="C33" s="4" t="s">
        <v>829</v>
      </c>
      <c r="D33" s="9">
        <v>8100</v>
      </c>
    </row>
    <row r="34" spans="1:4" x14ac:dyDescent="0.25">
      <c r="A34" s="4" t="s">
        <v>208</v>
      </c>
      <c r="B34" s="4">
        <v>191435</v>
      </c>
      <c r="C34" s="4" t="s">
        <v>629</v>
      </c>
      <c r="D34" s="9">
        <v>2565</v>
      </c>
    </row>
    <row r="35" spans="1:4" x14ac:dyDescent="0.25">
      <c r="A35" s="4" t="s">
        <v>718</v>
      </c>
      <c r="B35" s="4">
        <v>269805</v>
      </c>
      <c r="C35" s="4" t="s">
        <v>780</v>
      </c>
      <c r="D35" s="9">
        <v>11388</v>
      </c>
    </row>
    <row r="36" spans="1:4" x14ac:dyDescent="0.25">
      <c r="C36" s="31" t="s">
        <v>83</v>
      </c>
      <c r="D36" s="32">
        <f>SUM(D4:D35)</f>
        <v>183533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0CE2-0397-4F88-A281-A1C15BE86577}">
  <dimension ref="A3:D28"/>
  <sheetViews>
    <sheetView view="pageBreakPreview" zoomScaleNormal="100" zoomScaleSheetLayoutView="100" workbookViewId="0">
      <selection activeCell="F12" sqref="F12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108</v>
      </c>
      <c r="B4" s="4">
        <v>272759</v>
      </c>
      <c r="C4" s="4" t="s">
        <v>837</v>
      </c>
      <c r="D4" s="9">
        <v>2760</v>
      </c>
    </row>
    <row r="5" spans="1:4" x14ac:dyDescent="0.25">
      <c r="A5" s="4" t="s">
        <v>108</v>
      </c>
      <c r="B5" s="4">
        <v>272756</v>
      </c>
      <c r="C5" s="4" t="s">
        <v>838</v>
      </c>
      <c r="D5" s="9">
        <v>2178</v>
      </c>
    </row>
    <row r="6" spans="1:4" x14ac:dyDescent="0.25">
      <c r="A6" s="4" t="s">
        <v>108</v>
      </c>
      <c r="B6" s="4">
        <v>273518</v>
      </c>
      <c r="C6" s="4" t="s">
        <v>865</v>
      </c>
      <c r="D6" s="9">
        <v>10800</v>
      </c>
    </row>
    <row r="7" spans="1:4" x14ac:dyDescent="0.25">
      <c r="A7" s="4" t="s">
        <v>108</v>
      </c>
      <c r="B7" s="4">
        <v>272980</v>
      </c>
      <c r="C7" s="4" t="s">
        <v>851</v>
      </c>
      <c r="D7" s="9">
        <v>14495</v>
      </c>
    </row>
    <row r="8" spans="1:4" x14ac:dyDescent="0.25">
      <c r="A8" s="4" t="s">
        <v>108</v>
      </c>
      <c r="B8" s="4">
        <v>272950</v>
      </c>
      <c r="C8" s="4" t="s">
        <v>853</v>
      </c>
      <c r="D8" s="9">
        <v>5072</v>
      </c>
    </row>
    <row r="9" spans="1:4" x14ac:dyDescent="0.25">
      <c r="A9" s="4" t="s">
        <v>108</v>
      </c>
      <c r="B9" s="4">
        <v>272925</v>
      </c>
      <c r="C9" s="4" t="s">
        <v>854</v>
      </c>
      <c r="D9" s="9">
        <v>2975</v>
      </c>
    </row>
    <row r="10" spans="1:4" x14ac:dyDescent="0.25">
      <c r="A10" s="4" t="s">
        <v>108</v>
      </c>
      <c r="B10" s="4">
        <v>272755</v>
      </c>
      <c r="C10" s="4" t="s">
        <v>840</v>
      </c>
      <c r="D10" s="9">
        <v>1136</v>
      </c>
    </row>
    <row r="11" spans="1:4" x14ac:dyDescent="0.25">
      <c r="A11" s="4" t="s">
        <v>108</v>
      </c>
      <c r="B11" s="4">
        <v>272928</v>
      </c>
      <c r="C11" s="4" t="s">
        <v>855</v>
      </c>
      <c r="D11" s="9">
        <v>14816</v>
      </c>
    </row>
    <row r="12" spans="1:4" x14ac:dyDescent="0.25">
      <c r="A12" s="4" t="s">
        <v>108</v>
      </c>
      <c r="B12" s="4">
        <v>272754</v>
      </c>
      <c r="C12" s="4" t="s">
        <v>841</v>
      </c>
      <c r="D12" s="9">
        <v>4822</v>
      </c>
    </row>
    <row r="13" spans="1:4" x14ac:dyDescent="0.25">
      <c r="A13" s="4" t="s">
        <v>336</v>
      </c>
      <c r="B13" s="4">
        <v>274878</v>
      </c>
      <c r="C13" s="4" t="s">
        <v>866</v>
      </c>
      <c r="D13" s="9">
        <v>4316</v>
      </c>
    </row>
    <row r="14" spans="1:4" x14ac:dyDescent="0.25">
      <c r="A14" s="4" t="s">
        <v>24</v>
      </c>
      <c r="B14" s="4">
        <v>272194</v>
      </c>
      <c r="C14" s="4" t="s">
        <v>856</v>
      </c>
      <c r="D14" s="9">
        <v>1506</v>
      </c>
    </row>
    <row r="15" spans="1:4" x14ac:dyDescent="0.25">
      <c r="A15" s="4" t="s">
        <v>24</v>
      </c>
      <c r="B15" s="4">
        <v>272095</v>
      </c>
      <c r="C15" s="4" t="s">
        <v>857</v>
      </c>
      <c r="D15" s="9">
        <v>1291</v>
      </c>
    </row>
    <row r="16" spans="1:4" x14ac:dyDescent="0.25">
      <c r="A16" s="4" t="s">
        <v>24</v>
      </c>
      <c r="B16" s="4">
        <v>272246</v>
      </c>
      <c r="C16" s="4" t="s">
        <v>858</v>
      </c>
      <c r="D16" s="9">
        <v>3342</v>
      </c>
    </row>
    <row r="17" spans="1:4" x14ac:dyDescent="0.25">
      <c r="A17" s="4" t="s">
        <v>24</v>
      </c>
      <c r="B17" s="4">
        <v>273016</v>
      </c>
      <c r="C17" s="4" t="s">
        <v>859</v>
      </c>
      <c r="D17" s="9">
        <v>1125</v>
      </c>
    </row>
    <row r="18" spans="1:4" x14ac:dyDescent="0.25">
      <c r="A18" s="4" t="s">
        <v>718</v>
      </c>
      <c r="B18" s="4">
        <v>273017</v>
      </c>
      <c r="C18" s="4" t="s">
        <v>842</v>
      </c>
      <c r="D18" s="9">
        <v>199</v>
      </c>
    </row>
    <row r="19" spans="1:4" x14ac:dyDescent="0.25">
      <c r="A19" s="4" t="s">
        <v>718</v>
      </c>
      <c r="B19" s="4">
        <v>273018</v>
      </c>
      <c r="C19" s="4" t="s">
        <v>843</v>
      </c>
      <c r="D19" s="9">
        <v>199</v>
      </c>
    </row>
    <row r="20" spans="1:4" x14ac:dyDescent="0.25">
      <c r="A20" s="4" t="s">
        <v>718</v>
      </c>
      <c r="B20" s="4">
        <v>273019</v>
      </c>
      <c r="C20" s="4" t="s">
        <v>844</v>
      </c>
      <c r="D20" s="9">
        <v>538</v>
      </c>
    </row>
    <row r="21" spans="1:4" x14ac:dyDescent="0.25">
      <c r="A21" s="4" t="s">
        <v>718</v>
      </c>
      <c r="B21" s="4">
        <v>273020</v>
      </c>
      <c r="C21" s="4" t="s">
        <v>845</v>
      </c>
      <c r="D21" s="9">
        <v>2902</v>
      </c>
    </row>
    <row r="22" spans="1:4" x14ac:dyDescent="0.25">
      <c r="A22" s="4" t="s">
        <v>718</v>
      </c>
      <c r="B22" s="4">
        <v>273021</v>
      </c>
      <c r="C22" s="4" t="s">
        <v>846</v>
      </c>
      <c r="D22" s="9">
        <v>1449</v>
      </c>
    </row>
    <row r="23" spans="1:4" x14ac:dyDescent="0.25">
      <c r="A23" s="4" t="s">
        <v>48</v>
      </c>
      <c r="B23" s="4">
        <v>272166</v>
      </c>
      <c r="C23" s="4" t="s">
        <v>827</v>
      </c>
      <c r="D23" s="9">
        <v>14380</v>
      </c>
    </row>
    <row r="24" spans="1:4" x14ac:dyDescent="0.25">
      <c r="A24" s="4" t="s">
        <v>50</v>
      </c>
      <c r="B24" s="4">
        <v>272770</v>
      </c>
      <c r="C24" s="4" t="s">
        <v>867</v>
      </c>
      <c r="D24" s="9">
        <v>4810</v>
      </c>
    </row>
    <row r="25" spans="1:4" x14ac:dyDescent="0.25">
      <c r="A25" s="4" t="s">
        <v>98</v>
      </c>
      <c r="B25" s="4">
        <v>254872</v>
      </c>
      <c r="C25" s="4" t="s">
        <v>829</v>
      </c>
      <c r="D25" s="9">
        <v>8100</v>
      </c>
    </row>
    <row r="26" spans="1:4" x14ac:dyDescent="0.25">
      <c r="A26" s="4" t="s">
        <v>208</v>
      </c>
      <c r="B26" s="4">
        <v>191435</v>
      </c>
      <c r="C26" s="4" t="s">
        <v>629</v>
      </c>
      <c r="D26" s="9">
        <v>2565</v>
      </c>
    </row>
    <row r="27" spans="1:4" x14ac:dyDescent="0.25">
      <c r="A27" s="4" t="s">
        <v>718</v>
      </c>
      <c r="B27" s="4">
        <v>269805</v>
      </c>
      <c r="C27" s="4" t="s">
        <v>780</v>
      </c>
      <c r="D27" s="9">
        <v>11388</v>
      </c>
    </row>
    <row r="28" spans="1:4" x14ac:dyDescent="0.25">
      <c r="C28" s="31" t="s">
        <v>83</v>
      </c>
      <c r="D28" s="32">
        <f>SUM(D4:D27)</f>
        <v>117164</v>
      </c>
    </row>
  </sheetData>
  <pageMargins left="0.7" right="0.7" top="0.75" bottom="0.75" header="0.3" footer="0.3"/>
  <pageSetup paperSize="17" scale="11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3ADC-6EE5-4F94-A699-CD757683F52F}">
  <dimension ref="A3:D42"/>
  <sheetViews>
    <sheetView view="pageBreakPreview" zoomScaleNormal="100" zoomScaleSheetLayoutView="100" workbookViewId="0">
      <selection activeCell="C49" sqref="C49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7</v>
      </c>
      <c r="B4" s="4">
        <v>273560</v>
      </c>
      <c r="C4" s="4" t="s">
        <v>868</v>
      </c>
      <c r="D4" s="9">
        <v>495</v>
      </c>
    </row>
    <row r="5" spans="1:4" x14ac:dyDescent="0.25">
      <c r="A5" s="4" t="s">
        <v>13</v>
      </c>
      <c r="B5" s="4">
        <v>273015</v>
      </c>
      <c r="C5" s="4" t="s">
        <v>869</v>
      </c>
      <c r="D5" s="9">
        <v>1255</v>
      </c>
    </row>
    <row r="6" spans="1:4" x14ac:dyDescent="0.25">
      <c r="A6" s="4" t="s">
        <v>108</v>
      </c>
      <c r="B6" s="4">
        <v>272759</v>
      </c>
      <c r="C6" s="4" t="s">
        <v>837</v>
      </c>
      <c r="D6" s="9">
        <v>2760</v>
      </c>
    </row>
    <row r="7" spans="1:4" x14ac:dyDescent="0.25">
      <c r="A7" s="4" t="s">
        <v>108</v>
      </c>
      <c r="B7" s="4">
        <v>272756</v>
      </c>
      <c r="C7" s="4" t="s">
        <v>838</v>
      </c>
      <c r="D7" s="9">
        <v>2178</v>
      </c>
    </row>
    <row r="8" spans="1:4" x14ac:dyDescent="0.25">
      <c r="A8" s="4" t="s">
        <v>108</v>
      </c>
      <c r="B8" s="4">
        <v>273518</v>
      </c>
      <c r="C8" s="4" t="s">
        <v>865</v>
      </c>
      <c r="D8" s="9">
        <v>10800</v>
      </c>
    </row>
    <row r="9" spans="1:4" x14ac:dyDescent="0.25">
      <c r="A9" s="4" t="s">
        <v>108</v>
      </c>
      <c r="B9" s="4">
        <v>272980</v>
      </c>
      <c r="C9" s="4" t="s">
        <v>851</v>
      </c>
      <c r="D9" s="9">
        <v>14495</v>
      </c>
    </row>
    <row r="10" spans="1:4" x14ac:dyDescent="0.25">
      <c r="A10" s="4" t="s">
        <v>108</v>
      </c>
      <c r="B10" s="4">
        <v>275135</v>
      </c>
      <c r="C10" s="4" t="s">
        <v>870</v>
      </c>
      <c r="D10" s="9">
        <v>3230</v>
      </c>
    </row>
    <row r="11" spans="1:4" x14ac:dyDescent="0.25">
      <c r="A11" s="4" t="s">
        <v>108</v>
      </c>
      <c r="B11" s="4">
        <v>275134</v>
      </c>
      <c r="C11" s="4" t="s">
        <v>871</v>
      </c>
      <c r="D11" s="9">
        <v>2410</v>
      </c>
    </row>
    <row r="12" spans="1:4" x14ac:dyDescent="0.25">
      <c r="A12" s="4" t="s">
        <v>108</v>
      </c>
      <c r="B12" s="4">
        <v>274962</v>
      </c>
      <c r="C12" s="4" t="s">
        <v>872</v>
      </c>
      <c r="D12" s="9">
        <v>1150</v>
      </c>
    </row>
    <row r="13" spans="1:4" x14ac:dyDescent="0.25">
      <c r="A13" s="4" t="s">
        <v>108</v>
      </c>
      <c r="B13" s="4">
        <v>274960</v>
      </c>
      <c r="C13" s="4" t="s">
        <v>873</v>
      </c>
      <c r="D13" s="9">
        <v>7500</v>
      </c>
    </row>
    <row r="14" spans="1:4" x14ac:dyDescent="0.25">
      <c r="A14" s="4" t="s">
        <v>108</v>
      </c>
      <c r="B14" s="4">
        <v>274959</v>
      </c>
      <c r="C14" s="4" t="s">
        <v>874</v>
      </c>
      <c r="D14" s="9">
        <v>2335</v>
      </c>
    </row>
    <row r="15" spans="1:4" x14ac:dyDescent="0.25">
      <c r="A15" s="4" t="s">
        <v>108</v>
      </c>
      <c r="B15" s="4">
        <v>273833</v>
      </c>
      <c r="C15" s="4" t="s">
        <v>875</v>
      </c>
      <c r="D15" s="9">
        <v>4705</v>
      </c>
    </row>
    <row r="16" spans="1:4" x14ac:dyDescent="0.25">
      <c r="A16" s="4" t="s">
        <v>108</v>
      </c>
      <c r="B16" s="4">
        <v>273831</v>
      </c>
      <c r="C16" s="4" t="s">
        <v>876</v>
      </c>
      <c r="D16" s="9">
        <v>4825</v>
      </c>
    </row>
    <row r="17" spans="1:4" x14ac:dyDescent="0.25">
      <c r="A17" s="4" t="s">
        <v>108</v>
      </c>
      <c r="B17" s="4">
        <v>273826</v>
      </c>
      <c r="C17" s="4" t="s">
        <v>877</v>
      </c>
      <c r="D17" s="9">
        <v>4495</v>
      </c>
    </row>
    <row r="18" spans="1:4" x14ac:dyDescent="0.25">
      <c r="A18" s="4" t="s">
        <v>108</v>
      </c>
      <c r="B18" s="4">
        <v>273754</v>
      </c>
      <c r="C18" s="4" t="s">
        <v>878</v>
      </c>
      <c r="D18" s="9">
        <v>705</v>
      </c>
    </row>
    <row r="19" spans="1:4" x14ac:dyDescent="0.25">
      <c r="A19" s="4" t="s">
        <v>108</v>
      </c>
      <c r="B19" s="4">
        <v>273753</v>
      </c>
      <c r="C19" s="4" t="s">
        <v>879</v>
      </c>
      <c r="D19" s="9">
        <v>6375</v>
      </c>
    </row>
    <row r="20" spans="1:4" x14ac:dyDescent="0.25">
      <c r="A20" s="4" t="s">
        <v>108</v>
      </c>
      <c r="B20" s="4">
        <v>273720</v>
      </c>
      <c r="C20" s="4" t="s">
        <v>880</v>
      </c>
      <c r="D20" s="9">
        <v>6395</v>
      </c>
    </row>
    <row r="21" spans="1:4" x14ac:dyDescent="0.25">
      <c r="A21" s="4" t="s">
        <v>108</v>
      </c>
      <c r="B21" s="4">
        <v>273718</v>
      </c>
      <c r="C21" s="4" t="s">
        <v>881</v>
      </c>
      <c r="D21" s="9">
        <v>3135</v>
      </c>
    </row>
    <row r="22" spans="1:4" x14ac:dyDescent="0.25">
      <c r="A22" s="4" t="s">
        <v>108</v>
      </c>
      <c r="B22" s="4">
        <v>273716</v>
      </c>
      <c r="C22" s="4" t="s">
        <v>882</v>
      </c>
      <c r="D22" s="9">
        <v>6395</v>
      </c>
    </row>
    <row r="23" spans="1:4" x14ac:dyDescent="0.25">
      <c r="A23" s="4" t="s">
        <v>108</v>
      </c>
      <c r="B23" s="4">
        <v>273714</v>
      </c>
      <c r="C23" s="4" t="s">
        <v>883</v>
      </c>
      <c r="D23" s="9">
        <v>5390</v>
      </c>
    </row>
    <row r="24" spans="1:4" x14ac:dyDescent="0.25">
      <c r="A24" s="4" t="s">
        <v>108</v>
      </c>
      <c r="B24" s="4">
        <v>272950</v>
      </c>
      <c r="C24" s="4" t="s">
        <v>853</v>
      </c>
      <c r="D24" s="9">
        <v>5072</v>
      </c>
    </row>
    <row r="25" spans="1:4" x14ac:dyDescent="0.25">
      <c r="A25" s="4" t="s">
        <v>108</v>
      </c>
      <c r="B25" s="4">
        <v>272925</v>
      </c>
      <c r="C25" s="4" t="s">
        <v>854</v>
      </c>
      <c r="D25" s="9">
        <v>2975</v>
      </c>
    </row>
    <row r="26" spans="1:4" x14ac:dyDescent="0.25">
      <c r="A26" s="4" t="s">
        <v>108</v>
      </c>
      <c r="B26" s="4">
        <v>272755</v>
      </c>
      <c r="C26" s="4" t="s">
        <v>840</v>
      </c>
      <c r="D26" s="9">
        <v>1136</v>
      </c>
    </row>
    <row r="27" spans="1:4" x14ac:dyDescent="0.25">
      <c r="A27" s="4" t="s">
        <v>108</v>
      </c>
      <c r="B27" s="4">
        <v>272928</v>
      </c>
      <c r="C27" s="4" t="s">
        <v>855</v>
      </c>
      <c r="D27" s="9">
        <v>14816</v>
      </c>
    </row>
    <row r="28" spans="1:4" x14ac:dyDescent="0.25">
      <c r="A28" s="4" t="s">
        <v>108</v>
      </c>
      <c r="B28" s="4">
        <v>272754</v>
      </c>
      <c r="C28" s="4" t="s">
        <v>841</v>
      </c>
      <c r="D28" s="9">
        <v>4822</v>
      </c>
    </row>
    <row r="29" spans="1:4" x14ac:dyDescent="0.25">
      <c r="A29" s="4" t="s">
        <v>24</v>
      </c>
      <c r="B29" s="4">
        <v>272194</v>
      </c>
      <c r="C29" s="4" t="s">
        <v>856</v>
      </c>
      <c r="D29" s="9">
        <v>1506</v>
      </c>
    </row>
    <row r="30" spans="1:4" x14ac:dyDescent="0.25">
      <c r="A30" s="4" t="s">
        <v>24</v>
      </c>
      <c r="B30" s="4">
        <v>272095</v>
      </c>
      <c r="C30" s="4" t="s">
        <v>857</v>
      </c>
      <c r="D30" s="9">
        <v>1291</v>
      </c>
    </row>
    <row r="31" spans="1:4" x14ac:dyDescent="0.25">
      <c r="A31" s="4" t="s">
        <v>24</v>
      </c>
      <c r="B31" s="4">
        <v>272246</v>
      </c>
      <c r="C31" s="4" t="s">
        <v>858</v>
      </c>
      <c r="D31" s="9">
        <v>3342</v>
      </c>
    </row>
    <row r="32" spans="1:4" x14ac:dyDescent="0.25">
      <c r="A32" s="4" t="s">
        <v>24</v>
      </c>
      <c r="B32" s="4">
        <v>273016</v>
      </c>
      <c r="C32" s="4" t="s">
        <v>859</v>
      </c>
      <c r="D32" s="9">
        <v>1125</v>
      </c>
    </row>
    <row r="33" spans="1:4" x14ac:dyDescent="0.25">
      <c r="A33" s="4" t="s">
        <v>111</v>
      </c>
      <c r="B33" s="4">
        <v>275231</v>
      </c>
      <c r="C33" s="4" t="s">
        <v>884</v>
      </c>
      <c r="D33" s="9">
        <v>478</v>
      </c>
    </row>
    <row r="34" spans="1:4" x14ac:dyDescent="0.25">
      <c r="A34" s="4" t="s">
        <v>111</v>
      </c>
      <c r="B34" s="4">
        <v>275384</v>
      </c>
      <c r="C34" s="4" t="s">
        <v>885</v>
      </c>
      <c r="D34" s="9">
        <v>326</v>
      </c>
    </row>
    <row r="35" spans="1:4" x14ac:dyDescent="0.25">
      <c r="A35" s="4" t="s">
        <v>718</v>
      </c>
      <c r="B35" s="4">
        <v>273019</v>
      </c>
      <c r="C35" s="4" t="s">
        <v>844</v>
      </c>
      <c r="D35" s="9">
        <v>538</v>
      </c>
    </row>
    <row r="36" spans="1:4" x14ac:dyDescent="0.25">
      <c r="A36" s="4" t="s">
        <v>718</v>
      </c>
      <c r="B36" s="4">
        <v>273020</v>
      </c>
      <c r="C36" s="4" t="s">
        <v>845</v>
      </c>
      <c r="D36" s="9">
        <v>2212</v>
      </c>
    </row>
    <row r="37" spans="1:4" x14ac:dyDescent="0.25">
      <c r="A37" s="4" t="s">
        <v>718</v>
      </c>
      <c r="B37" s="4">
        <v>273021</v>
      </c>
      <c r="C37" s="4" t="s">
        <v>846</v>
      </c>
      <c r="D37" s="9">
        <v>1449</v>
      </c>
    </row>
    <row r="38" spans="1:4" x14ac:dyDescent="0.25">
      <c r="A38" s="4" t="s">
        <v>48</v>
      </c>
      <c r="B38" s="4">
        <v>273621</v>
      </c>
      <c r="C38" s="4" t="s">
        <v>886</v>
      </c>
      <c r="D38" s="9">
        <v>1595</v>
      </c>
    </row>
    <row r="39" spans="1:4" x14ac:dyDescent="0.25">
      <c r="A39" s="4" t="s">
        <v>98</v>
      </c>
      <c r="B39" s="4">
        <v>254872</v>
      </c>
      <c r="C39" s="4" t="s">
        <v>829</v>
      </c>
      <c r="D39" s="9">
        <v>8100</v>
      </c>
    </row>
    <row r="40" spans="1:4" x14ac:dyDescent="0.25">
      <c r="A40" s="4" t="s">
        <v>208</v>
      </c>
      <c r="B40" s="4">
        <v>191435</v>
      </c>
      <c r="C40" s="4" t="s">
        <v>629</v>
      </c>
      <c r="D40" s="9">
        <v>2565</v>
      </c>
    </row>
    <row r="41" spans="1:4" x14ac:dyDescent="0.25">
      <c r="A41" s="4" t="s">
        <v>718</v>
      </c>
      <c r="B41" s="4">
        <v>269805</v>
      </c>
      <c r="C41" s="4" t="s">
        <v>780</v>
      </c>
      <c r="D41" s="9">
        <v>11388</v>
      </c>
    </row>
    <row r="42" spans="1:4" x14ac:dyDescent="0.25">
      <c r="C42" s="31" t="s">
        <v>83</v>
      </c>
      <c r="D42" s="32">
        <f>SUM(D4:D41)</f>
        <v>155764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051A-96AD-4181-84FA-EBCF9E6D0011}">
  <dimension ref="A3:D34"/>
  <sheetViews>
    <sheetView view="pageBreakPreview" zoomScaleNormal="100" zoomScaleSheetLayoutView="100" workbookViewId="0">
      <selection activeCell="C40" sqref="C40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7</v>
      </c>
      <c r="B4" s="4">
        <v>273560</v>
      </c>
      <c r="C4" s="4" t="s">
        <v>868</v>
      </c>
      <c r="D4" s="9">
        <v>495</v>
      </c>
    </row>
    <row r="5" spans="1:4" x14ac:dyDescent="0.25">
      <c r="A5" s="4" t="s">
        <v>13</v>
      </c>
      <c r="B5" s="4">
        <v>272656</v>
      </c>
      <c r="C5" s="4" t="s">
        <v>887</v>
      </c>
      <c r="D5" s="9">
        <v>5961</v>
      </c>
    </row>
    <row r="6" spans="1:4" x14ac:dyDescent="0.25">
      <c r="A6" s="4" t="s">
        <v>13</v>
      </c>
      <c r="B6" s="4">
        <v>272657</v>
      </c>
      <c r="C6" s="4" t="s">
        <v>888</v>
      </c>
      <c r="D6" s="9">
        <v>4423</v>
      </c>
    </row>
    <row r="7" spans="1:4" x14ac:dyDescent="0.25">
      <c r="A7" s="4" t="s">
        <v>13</v>
      </c>
      <c r="B7" s="4">
        <v>272628</v>
      </c>
      <c r="C7" s="4" t="s">
        <v>889</v>
      </c>
      <c r="D7" s="9">
        <v>4983</v>
      </c>
    </row>
    <row r="8" spans="1:4" x14ac:dyDescent="0.25">
      <c r="A8" s="4" t="s">
        <v>13</v>
      </c>
      <c r="B8" s="4">
        <v>273015</v>
      </c>
      <c r="C8" s="4" t="s">
        <v>869</v>
      </c>
      <c r="D8" s="9">
        <v>1255</v>
      </c>
    </row>
    <row r="9" spans="1:4" x14ac:dyDescent="0.25">
      <c r="A9" s="4" t="s">
        <v>500</v>
      </c>
      <c r="B9" s="4">
        <v>275454</v>
      </c>
      <c r="C9" s="4" t="s">
        <v>890</v>
      </c>
      <c r="D9" s="9">
        <v>147</v>
      </c>
    </row>
    <row r="10" spans="1:4" x14ac:dyDescent="0.25">
      <c r="A10" s="4" t="s">
        <v>500</v>
      </c>
      <c r="B10" s="4">
        <v>275741</v>
      </c>
      <c r="C10" s="4" t="s">
        <v>891</v>
      </c>
      <c r="D10" s="9">
        <v>1568</v>
      </c>
    </row>
    <row r="11" spans="1:4" x14ac:dyDescent="0.25">
      <c r="A11" s="4" t="s">
        <v>500</v>
      </c>
      <c r="B11" s="4">
        <v>275743</v>
      </c>
      <c r="C11" s="4" t="s">
        <v>892</v>
      </c>
      <c r="D11" s="9">
        <v>147</v>
      </c>
    </row>
    <row r="12" spans="1:4" x14ac:dyDescent="0.25">
      <c r="A12" s="4" t="s">
        <v>500</v>
      </c>
      <c r="B12" s="4">
        <v>275752</v>
      </c>
      <c r="C12" s="4" t="s">
        <v>893</v>
      </c>
      <c r="D12" s="9">
        <v>2009</v>
      </c>
    </row>
    <row r="13" spans="1:4" x14ac:dyDescent="0.25">
      <c r="A13" s="4" t="s">
        <v>500</v>
      </c>
      <c r="B13" s="4">
        <v>275744</v>
      </c>
      <c r="C13" s="4" t="s">
        <v>894</v>
      </c>
      <c r="D13" s="9">
        <v>490</v>
      </c>
    </row>
    <row r="14" spans="1:4" x14ac:dyDescent="0.25">
      <c r="A14" s="4" t="s">
        <v>500</v>
      </c>
      <c r="B14" s="4">
        <v>275753</v>
      </c>
      <c r="C14" s="4" t="s">
        <v>895</v>
      </c>
      <c r="D14" s="9">
        <v>1470</v>
      </c>
    </row>
    <row r="15" spans="1:4" x14ac:dyDescent="0.25">
      <c r="A15" s="4" t="s">
        <v>500</v>
      </c>
      <c r="B15" s="4">
        <v>275505</v>
      </c>
      <c r="C15" s="4" t="s">
        <v>896</v>
      </c>
      <c r="D15" s="9">
        <v>588</v>
      </c>
    </row>
    <row r="16" spans="1:4" x14ac:dyDescent="0.25">
      <c r="A16" s="4" t="s">
        <v>500</v>
      </c>
      <c r="B16" s="4">
        <v>275177</v>
      </c>
      <c r="C16" s="4" t="s">
        <v>897</v>
      </c>
      <c r="D16" s="9">
        <v>1180</v>
      </c>
    </row>
    <row r="17" spans="1:4" x14ac:dyDescent="0.25">
      <c r="A17" s="4" t="s">
        <v>336</v>
      </c>
      <c r="B17" s="4">
        <v>275147</v>
      </c>
      <c r="C17" s="4" t="s">
        <v>898</v>
      </c>
      <c r="D17" s="9">
        <v>375</v>
      </c>
    </row>
    <row r="18" spans="1:4" x14ac:dyDescent="0.25">
      <c r="A18" s="4" t="s">
        <v>24</v>
      </c>
      <c r="B18" s="4">
        <v>272194</v>
      </c>
      <c r="C18" s="4" t="s">
        <v>856</v>
      </c>
      <c r="D18" s="9">
        <v>1506</v>
      </c>
    </row>
    <row r="19" spans="1:4" x14ac:dyDescent="0.25">
      <c r="A19" s="4" t="s">
        <v>24</v>
      </c>
      <c r="B19" s="4">
        <v>272246</v>
      </c>
      <c r="C19" s="4" t="s">
        <v>858</v>
      </c>
      <c r="D19" s="9">
        <v>3342</v>
      </c>
    </row>
    <row r="20" spans="1:4" x14ac:dyDescent="0.25">
      <c r="A20" s="4" t="s">
        <v>24</v>
      </c>
      <c r="B20" s="4">
        <v>273016</v>
      </c>
      <c r="C20" s="4" t="s">
        <v>859</v>
      </c>
      <c r="D20" s="9">
        <v>1125</v>
      </c>
    </row>
    <row r="21" spans="1:4" x14ac:dyDescent="0.25">
      <c r="A21" s="4" t="s">
        <v>111</v>
      </c>
      <c r="B21" s="4">
        <v>275413</v>
      </c>
      <c r="C21" s="4" t="s">
        <v>899</v>
      </c>
      <c r="D21" s="9">
        <v>8699</v>
      </c>
    </row>
    <row r="22" spans="1:4" x14ac:dyDescent="0.25">
      <c r="A22" s="4" t="s">
        <v>111</v>
      </c>
      <c r="B22" s="4">
        <v>275416</v>
      </c>
      <c r="C22" s="4" t="s">
        <v>900</v>
      </c>
      <c r="D22" s="9">
        <v>54917</v>
      </c>
    </row>
    <row r="23" spans="1:4" x14ac:dyDescent="0.25">
      <c r="A23" s="4" t="s">
        <v>111</v>
      </c>
      <c r="B23" s="4">
        <v>275424</v>
      </c>
      <c r="C23" s="4" t="s">
        <v>901</v>
      </c>
      <c r="D23" s="9">
        <v>159</v>
      </c>
    </row>
    <row r="24" spans="1:4" x14ac:dyDescent="0.25">
      <c r="A24" s="4" t="s">
        <v>111</v>
      </c>
      <c r="B24" s="4">
        <v>275231</v>
      </c>
      <c r="C24" s="4" t="s">
        <v>884</v>
      </c>
      <c r="D24" s="9">
        <v>478</v>
      </c>
    </row>
    <row r="25" spans="1:4" x14ac:dyDescent="0.25">
      <c r="A25" s="4" t="s">
        <v>111</v>
      </c>
      <c r="B25" s="4">
        <v>275423</v>
      </c>
      <c r="C25" s="4" t="s">
        <v>902</v>
      </c>
      <c r="D25" s="9">
        <v>70</v>
      </c>
    </row>
    <row r="26" spans="1:4" x14ac:dyDescent="0.25">
      <c r="A26" s="4" t="s">
        <v>111</v>
      </c>
      <c r="B26" s="4">
        <v>275421</v>
      </c>
      <c r="C26" s="4" t="s">
        <v>903</v>
      </c>
      <c r="D26" s="9">
        <v>131</v>
      </c>
    </row>
    <row r="27" spans="1:4" x14ac:dyDescent="0.25">
      <c r="A27" s="4" t="s">
        <v>718</v>
      </c>
      <c r="B27" s="4">
        <v>275356</v>
      </c>
      <c r="C27" s="4" t="s">
        <v>904</v>
      </c>
      <c r="D27" s="9">
        <v>19656</v>
      </c>
    </row>
    <row r="28" spans="1:4" x14ac:dyDescent="0.25">
      <c r="A28" s="4" t="s">
        <v>718</v>
      </c>
      <c r="B28" s="4">
        <v>273019</v>
      </c>
      <c r="C28" s="4" t="s">
        <v>844</v>
      </c>
      <c r="D28" s="9">
        <v>538</v>
      </c>
    </row>
    <row r="29" spans="1:4" x14ac:dyDescent="0.25">
      <c r="A29" s="4" t="s">
        <v>48</v>
      </c>
      <c r="B29" s="4">
        <v>273621</v>
      </c>
      <c r="C29" s="4" t="s">
        <v>886</v>
      </c>
      <c r="D29" s="9">
        <v>1595</v>
      </c>
    </row>
    <row r="30" spans="1:4" x14ac:dyDescent="0.25">
      <c r="A30" s="4" t="s">
        <v>98</v>
      </c>
      <c r="B30" s="4">
        <v>254872</v>
      </c>
      <c r="C30" s="4" t="s">
        <v>829</v>
      </c>
      <c r="D30" s="9">
        <v>8100</v>
      </c>
    </row>
    <row r="31" spans="1:4" x14ac:dyDescent="0.25">
      <c r="A31" s="4" t="s">
        <v>500</v>
      </c>
      <c r="B31" s="4">
        <v>275176</v>
      </c>
      <c r="C31" s="4" t="s">
        <v>905</v>
      </c>
      <c r="D31" s="9">
        <v>1260</v>
      </c>
    </row>
    <row r="32" spans="1:4" x14ac:dyDescent="0.25">
      <c r="A32" s="4" t="s">
        <v>208</v>
      </c>
      <c r="B32" s="4">
        <v>191435</v>
      </c>
      <c r="C32" s="4" t="s">
        <v>629</v>
      </c>
      <c r="D32" s="9">
        <v>2565</v>
      </c>
    </row>
    <row r="33" spans="1:4" x14ac:dyDescent="0.25">
      <c r="A33" s="4" t="s">
        <v>718</v>
      </c>
      <c r="B33" s="4">
        <v>269805</v>
      </c>
      <c r="C33" s="4" t="s">
        <v>780</v>
      </c>
      <c r="D33" s="9">
        <v>11388</v>
      </c>
    </row>
    <row r="34" spans="1:4" x14ac:dyDescent="0.25">
      <c r="C34" s="31" t="s">
        <v>83</v>
      </c>
      <c r="D34" s="32">
        <f>SUM(D4:D33)</f>
        <v>140620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A61D-6D57-440E-BECB-FD2F00BE6C3A}">
  <dimension ref="A3:D12"/>
  <sheetViews>
    <sheetView zoomScaleNormal="100" zoomScaleSheetLayoutView="100" workbookViewId="0">
      <selection activeCell="E30" sqref="E30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7</v>
      </c>
      <c r="B4" s="4">
        <v>273560</v>
      </c>
      <c r="C4" s="4" t="s">
        <v>868</v>
      </c>
      <c r="D4" s="9">
        <v>495</v>
      </c>
    </row>
    <row r="5" spans="1:4" x14ac:dyDescent="0.25">
      <c r="A5" s="4" t="s">
        <v>906</v>
      </c>
      <c r="B5" s="4">
        <v>276127</v>
      </c>
      <c r="C5" s="4" t="s">
        <v>907</v>
      </c>
      <c r="D5" s="9">
        <v>0</v>
      </c>
    </row>
    <row r="6" spans="1:4" x14ac:dyDescent="0.25">
      <c r="A6" s="4" t="s">
        <v>718</v>
      </c>
      <c r="B6" s="4">
        <v>276208</v>
      </c>
      <c r="C6" s="4" t="s">
        <v>908</v>
      </c>
      <c r="D6" s="9">
        <v>6552</v>
      </c>
    </row>
    <row r="7" spans="1:4" x14ac:dyDescent="0.25">
      <c r="A7" s="4" t="s">
        <v>832</v>
      </c>
      <c r="B7" s="4">
        <v>272589</v>
      </c>
      <c r="C7" s="4" t="s">
        <v>909</v>
      </c>
      <c r="D7" s="9">
        <v>230</v>
      </c>
    </row>
    <row r="8" spans="1:4" x14ac:dyDescent="0.25">
      <c r="A8" s="4" t="s">
        <v>832</v>
      </c>
      <c r="B8" s="4">
        <v>273478</v>
      </c>
      <c r="C8" s="4" t="s">
        <v>910</v>
      </c>
      <c r="D8" s="9">
        <v>795</v>
      </c>
    </row>
    <row r="9" spans="1:4" x14ac:dyDescent="0.25">
      <c r="A9" s="4" t="s">
        <v>48</v>
      </c>
      <c r="B9" s="4">
        <v>273621</v>
      </c>
      <c r="C9" s="4" t="s">
        <v>886</v>
      </c>
      <c r="D9" s="9">
        <v>1595</v>
      </c>
    </row>
    <row r="10" spans="1:4" x14ac:dyDescent="0.25">
      <c r="A10" s="4" t="s">
        <v>98</v>
      </c>
      <c r="B10" s="4">
        <v>254872</v>
      </c>
      <c r="C10" s="4" t="s">
        <v>829</v>
      </c>
      <c r="D10" s="9">
        <v>8100</v>
      </c>
    </row>
    <row r="11" spans="1:4" x14ac:dyDescent="0.25">
      <c r="A11" s="4" t="s">
        <v>208</v>
      </c>
      <c r="B11" s="4">
        <v>191435</v>
      </c>
      <c r="C11" s="4" t="s">
        <v>629</v>
      </c>
      <c r="D11" s="9">
        <v>2565</v>
      </c>
    </row>
    <row r="12" spans="1:4" x14ac:dyDescent="0.25">
      <c r="C12" s="31" t="s">
        <v>83</v>
      </c>
      <c r="D12" s="32">
        <f>SUM(D4:D11)</f>
        <v>20332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8FE8-DBDD-47D6-9D3E-1D297A87D2C6}">
  <dimension ref="A3:D8"/>
  <sheetViews>
    <sheetView zoomScaleNormal="100" zoomScaleSheetLayoutView="100" workbookViewId="0">
      <selection activeCell="C28" sqref="C28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33" t="s">
        <v>111</v>
      </c>
      <c r="B4" s="35">
        <v>276288</v>
      </c>
      <c r="C4" s="33" t="s">
        <v>911</v>
      </c>
      <c r="D4" s="34">
        <v>478</v>
      </c>
    </row>
    <row r="5" spans="1:4" x14ac:dyDescent="0.25">
      <c r="A5" s="33" t="s">
        <v>180</v>
      </c>
      <c r="B5" s="35">
        <v>266774</v>
      </c>
      <c r="C5" s="33" t="s">
        <v>912</v>
      </c>
      <c r="D5" s="34">
        <v>735</v>
      </c>
    </row>
    <row r="6" spans="1:4" x14ac:dyDescent="0.25">
      <c r="A6" s="33" t="s">
        <v>98</v>
      </c>
      <c r="B6" s="35">
        <v>254872</v>
      </c>
      <c r="C6" s="33" t="s">
        <v>829</v>
      </c>
      <c r="D6" s="34">
        <v>8100</v>
      </c>
    </row>
    <row r="7" spans="1:4" x14ac:dyDescent="0.25">
      <c r="A7" s="33" t="s">
        <v>208</v>
      </c>
      <c r="B7" s="35">
        <v>191435</v>
      </c>
      <c r="C7" s="33" t="s">
        <v>629</v>
      </c>
      <c r="D7" s="34">
        <v>2565</v>
      </c>
    </row>
    <row r="8" spans="1:4" x14ac:dyDescent="0.25">
      <c r="C8" s="31" t="s">
        <v>83</v>
      </c>
      <c r="D8" s="32">
        <f>SUM(D4:D7)</f>
        <v>11878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8840-82CE-442E-B925-7188B86A4E9E}">
  <dimension ref="A3:D10"/>
  <sheetViews>
    <sheetView zoomScaleNormal="100" zoomScaleSheetLayoutView="100" workbookViewId="0">
      <selection activeCell="C29" sqref="C29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33" t="s">
        <v>111</v>
      </c>
      <c r="B4" s="35">
        <v>276829</v>
      </c>
      <c r="C4" s="33" t="s">
        <v>913</v>
      </c>
      <c r="D4" s="34">
        <v>25572</v>
      </c>
    </row>
    <row r="5" spans="1:4" x14ac:dyDescent="0.25">
      <c r="A5" s="33" t="s">
        <v>81</v>
      </c>
      <c r="B5" s="35">
        <v>275121</v>
      </c>
      <c r="C5" s="33" t="s">
        <v>914</v>
      </c>
      <c r="D5" s="34">
        <v>11124</v>
      </c>
    </row>
    <row r="6" spans="1:4" x14ac:dyDescent="0.25">
      <c r="A6" s="33" t="s">
        <v>180</v>
      </c>
      <c r="B6" s="35">
        <v>266774</v>
      </c>
      <c r="C6" s="33" t="s">
        <v>912</v>
      </c>
      <c r="D6" s="34">
        <v>735</v>
      </c>
    </row>
    <row r="7" spans="1:4" x14ac:dyDescent="0.25">
      <c r="A7" s="33" t="s">
        <v>832</v>
      </c>
      <c r="B7" s="35">
        <v>276371</v>
      </c>
      <c r="C7" s="33" t="s">
        <v>915</v>
      </c>
      <c r="D7" s="34">
        <v>295</v>
      </c>
    </row>
    <row r="8" spans="1:4" x14ac:dyDescent="0.25">
      <c r="A8" s="33" t="s">
        <v>98</v>
      </c>
      <c r="B8" s="35">
        <v>254872</v>
      </c>
      <c r="C8" s="33" t="s">
        <v>829</v>
      </c>
      <c r="D8" s="34">
        <v>8100</v>
      </c>
    </row>
    <row r="9" spans="1:4" x14ac:dyDescent="0.25">
      <c r="A9" s="33" t="s">
        <v>208</v>
      </c>
      <c r="B9" s="35">
        <v>191435</v>
      </c>
      <c r="C9" s="33" t="s">
        <v>629</v>
      </c>
      <c r="D9" s="34">
        <v>2565</v>
      </c>
    </row>
    <row r="10" spans="1:4" x14ac:dyDescent="0.25">
      <c r="C10" s="31" t="s">
        <v>83</v>
      </c>
      <c r="D10" s="32">
        <f>SUM(D4:D9)</f>
        <v>48391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3D68-B0A3-4EEC-AC24-FED9F9D51164}">
  <dimension ref="A3:D17"/>
  <sheetViews>
    <sheetView zoomScaleNormal="100" zoomScaleSheetLayoutView="100" workbookViewId="0">
      <selection activeCell="C32" sqref="C32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61</v>
      </c>
      <c r="B4" s="4">
        <v>277226</v>
      </c>
      <c r="C4" s="4" t="s">
        <v>916</v>
      </c>
      <c r="D4" s="9">
        <v>750</v>
      </c>
    </row>
    <row r="5" spans="1:4" x14ac:dyDescent="0.25">
      <c r="A5" s="4" t="s">
        <v>336</v>
      </c>
      <c r="B5" s="4">
        <v>277024</v>
      </c>
      <c r="C5" s="4" t="s">
        <v>917</v>
      </c>
      <c r="D5" s="9">
        <v>6242</v>
      </c>
    </row>
    <row r="6" spans="1:4" x14ac:dyDescent="0.25">
      <c r="A6" s="4" t="s">
        <v>111</v>
      </c>
      <c r="B6" s="4">
        <v>277159</v>
      </c>
      <c r="C6" s="4" t="s">
        <v>918</v>
      </c>
      <c r="D6" s="9">
        <v>159</v>
      </c>
    </row>
    <row r="7" spans="1:4" x14ac:dyDescent="0.25">
      <c r="A7" s="4" t="s">
        <v>832</v>
      </c>
      <c r="B7" s="4">
        <v>276371</v>
      </c>
      <c r="C7" s="4" t="s">
        <v>915</v>
      </c>
      <c r="D7" s="9">
        <v>295</v>
      </c>
    </row>
    <row r="8" spans="1:4" x14ac:dyDescent="0.25">
      <c r="A8" s="4" t="s">
        <v>98</v>
      </c>
      <c r="B8" s="4">
        <v>254872</v>
      </c>
      <c r="C8" s="4" t="s">
        <v>829</v>
      </c>
      <c r="D8" s="9">
        <v>8100</v>
      </c>
    </row>
    <row r="9" spans="1:4" x14ac:dyDescent="0.25">
      <c r="A9" s="4" t="s">
        <v>61</v>
      </c>
      <c r="B9" s="4">
        <v>277220</v>
      </c>
      <c r="C9" s="4" t="s">
        <v>919</v>
      </c>
      <c r="D9" s="9">
        <v>45</v>
      </c>
    </row>
    <row r="10" spans="1:4" x14ac:dyDescent="0.25">
      <c r="A10" s="4" t="s">
        <v>61</v>
      </c>
      <c r="B10" s="4">
        <v>277179</v>
      </c>
      <c r="C10" s="4" t="s">
        <v>920</v>
      </c>
      <c r="D10" s="9">
        <v>45</v>
      </c>
    </row>
    <row r="11" spans="1:4" x14ac:dyDescent="0.25">
      <c r="A11" s="4" t="s">
        <v>61</v>
      </c>
      <c r="B11" s="4">
        <v>277206</v>
      </c>
      <c r="C11" s="4" t="s">
        <v>921</v>
      </c>
      <c r="D11" s="9">
        <v>15265</v>
      </c>
    </row>
    <row r="12" spans="1:4" x14ac:dyDescent="0.25">
      <c r="A12" s="4" t="s">
        <v>61</v>
      </c>
      <c r="B12" s="4">
        <v>277224</v>
      </c>
      <c r="C12" s="4" t="s">
        <v>922</v>
      </c>
      <c r="D12" s="9">
        <v>490</v>
      </c>
    </row>
    <row r="13" spans="1:4" x14ac:dyDescent="0.25">
      <c r="A13" s="4" t="s">
        <v>61</v>
      </c>
      <c r="B13" s="4">
        <v>277216</v>
      </c>
      <c r="C13" s="4" t="s">
        <v>923</v>
      </c>
      <c r="D13" s="9">
        <v>750</v>
      </c>
    </row>
    <row r="14" spans="1:4" x14ac:dyDescent="0.25">
      <c r="A14" s="33" t="s">
        <v>208</v>
      </c>
      <c r="B14" s="35">
        <v>191435</v>
      </c>
      <c r="C14" s="33" t="s">
        <v>629</v>
      </c>
      <c r="D14" s="34">
        <v>2565</v>
      </c>
    </row>
    <row r="15" spans="1:4" x14ac:dyDescent="0.25">
      <c r="A15" s="33" t="s">
        <v>539</v>
      </c>
      <c r="B15" s="35">
        <v>276716</v>
      </c>
      <c r="C15" s="33" t="s">
        <v>924</v>
      </c>
      <c r="D15" s="34">
        <v>68880</v>
      </c>
    </row>
    <row r="16" spans="1:4" x14ac:dyDescent="0.25">
      <c r="A16" s="33" t="s">
        <v>539</v>
      </c>
      <c r="B16" s="35">
        <v>276818</v>
      </c>
      <c r="C16" s="33" t="s">
        <v>925</v>
      </c>
      <c r="D16" s="34">
        <v>26660</v>
      </c>
    </row>
    <row r="17" spans="3:4" x14ac:dyDescent="0.25">
      <c r="C17" s="31" t="s">
        <v>83</v>
      </c>
      <c r="D17" s="32">
        <f>SUM(D4:D16)</f>
        <v>130246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811A-A5A4-4DFB-932A-CAAC54831FE6}">
  <dimension ref="A3:D28"/>
  <sheetViews>
    <sheetView zoomScaleNormal="100" zoomScaleSheetLayoutView="100" workbookViewId="0">
      <selection activeCell="G31" sqref="G31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680</v>
      </c>
      <c r="B4" s="4">
        <v>277462</v>
      </c>
      <c r="C4" s="4" t="s">
        <v>926</v>
      </c>
      <c r="D4" s="9">
        <v>4126</v>
      </c>
    </row>
    <row r="5" spans="1:4" x14ac:dyDescent="0.25">
      <c r="A5" s="4" t="s">
        <v>13</v>
      </c>
      <c r="B5" s="4">
        <v>270624</v>
      </c>
      <c r="C5" s="4" t="s">
        <v>927</v>
      </c>
      <c r="D5" s="9">
        <v>4045</v>
      </c>
    </row>
    <row r="6" spans="1:4" x14ac:dyDescent="0.25">
      <c r="A6" s="4" t="s">
        <v>13</v>
      </c>
      <c r="B6" s="4">
        <v>270612</v>
      </c>
      <c r="C6" s="4" t="s">
        <v>928</v>
      </c>
      <c r="D6" s="9">
        <v>3867</v>
      </c>
    </row>
    <row r="7" spans="1:4" x14ac:dyDescent="0.25">
      <c r="A7" s="4" t="s">
        <v>108</v>
      </c>
      <c r="B7" s="4">
        <v>275355</v>
      </c>
      <c r="C7" s="4" t="s">
        <v>929</v>
      </c>
      <c r="D7" s="9">
        <v>4395</v>
      </c>
    </row>
    <row r="8" spans="1:4" x14ac:dyDescent="0.25">
      <c r="A8" s="4" t="s">
        <v>108</v>
      </c>
      <c r="B8" s="4">
        <v>275348</v>
      </c>
      <c r="C8" s="4" t="s">
        <v>930</v>
      </c>
      <c r="D8" s="9">
        <v>1910</v>
      </c>
    </row>
    <row r="9" spans="1:4" x14ac:dyDescent="0.25">
      <c r="A9" s="4" t="s">
        <v>108</v>
      </c>
      <c r="B9" s="4">
        <v>275304</v>
      </c>
      <c r="C9" s="4" t="s">
        <v>931</v>
      </c>
      <c r="D9" s="9">
        <v>160</v>
      </c>
    </row>
    <row r="10" spans="1:4" x14ac:dyDescent="0.25">
      <c r="A10" s="4" t="s">
        <v>108</v>
      </c>
      <c r="B10" s="4">
        <v>275300</v>
      </c>
      <c r="C10" s="4" t="s">
        <v>932</v>
      </c>
      <c r="D10" s="9">
        <v>3860</v>
      </c>
    </row>
    <row r="11" spans="1:4" x14ac:dyDescent="0.25">
      <c r="A11" s="4" t="s">
        <v>108</v>
      </c>
      <c r="B11" s="4">
        <v>275293</v>
      </c>
      <c r="C11" s="4" t="s">
        <v>933</v>
      </c>
      <c r="D11" s="9">
        <v>1175</v>
      </c>
    </row>
    <row r="12" spans="1:4" x14ac:dyDescent="0.25">
      <c r="A12" s="4" t="s">
        <v>108</v>
      </c>
      <c r="B12" s="4">
        <v>275291</v>
      </c>
      <c r="C12" s="4" t="s">
        <v>934</v>
      </c>
      <c r="D12" s="9">
        <v>3820</v>
      </c>
    </row>
    <row r="13" spans="1:4" x14ac:dyDescent="0.25">
      <c r="A13" s="33" t="s">
        <v>108</v>
      </c>
      <c r="B13" s="35">
        <v>275288</v>
      </c>
      <c r="C13" s="33" t="s">
        <v>935</v>
      </c>
      <c r="D13" s="34">
        <v>3325</v>
      </c>
    </row>
    <row r="14" spans="1:4" x14ac:dyDescent="0.25">
      <c r="A14" s="4" t="s">
        <v>108</v>
      </c>
      <c r="B14" s="4">
        <v>275286</v>
      </c>
      <c r="C14" s="4" t="s">
        <v>936</v>
      </c>
      <c r="D14" s="9">
        <v>1680</v>
      </c>
    </row>
    <row r="15" spans="1:4" x14ac:dyDescent="0.25">
      <c r="A15" s="4" t="s">
        <v>108</v>
      </c>
      <c r="B15" s="4">
        <v>275283</v>
      </c>
      <c r="C15" s="4" t="s">
        <v>937</v>
      </c>
      <c r="D15" s="9">
        <v>4625</v>
      </c>
    </row>
    <row r="16" spans="1:4" x14ac:dyDescent="0.25">
      <c r="A16" s="4" t="s">
        <v>108</v>
      </c>
      <c r="B16" s="4">
        <v>275345</v>
      </c>
      <c r="C16" s="4" t="s">
        <v>938</v>
      </c>
      <c r="D16" s="9">
        <v>2960</v>
      </c>
    </row>
    <row r="17" spans="1:4" x14ac:dyDescent="0.25">
      <c r="A17" s="4" t="s">
        <v>108</v>
      </c>
      <c r="B17" s="4">
        <v>275344</v>
      </c>
      <c r="C17" s="4" t="s">
        <v>939</v>
      </c>
      <c r="D17" s="9">
        <v>750</v>
      </c>
    </row>
    <row r="18" spans="1:4" x14ac:dyDescent="0.25">
      <c r="A18" s="4" t="s">
        <v>108</v>
      </c>
      <c r="B18" s="4">
        <v>275343</v>
      </c>
      <c r="C18" s="4" t="s">
        <v>940</v>
      </c>
      <c r="D18" s="9">
        <v>595</v>
      </c>
    </row>
    <row r="19" spans="1:4" x14ac:dyDescent="0.25">
      <c r="A19" s="4" t="s">
        <v>336</v>
      </c>
      <c r="B19" s="4">
        <v>278521</v>
      </c>
      <c r="C19" s="4" t="s">
        <v>941</v>
      </c>
      <c r="D19" s="9">
        <v>30312</v>
      </c>
    </row>
    <row r="20" spans="1:4" x14ac:dyDescent="0.25">
      <c r="A20" s="4" t="s">
        <v>336</v>
      </c>
      <c r="B20" s="4">
        <v>277319</v>
      </c>
      <c r="C20" s="4" t="s">
        <v>942</v>
      </c>
      <c r="D20" s="9">
        <v>2393</v>
      </c>
    </row>
    <row r="21" spans="1:4" x14ac:dyDescent="0.25">
      <c r="A21" s="4" t="s">
        <v>111</v>
      </c>
      <c r="B21" s="4">
        <v>278691</v>
      </c>
      <c r="C21" s="4" t="s">
        <v>943</v>
      </c>
      <c r="D21" s="9">
        <v>159</v>
      </c>
    </row>
    <row r="22" spans="1:4" x14ac:dyDescent="0.25">
      <c r="A22" s="33" t="s">
        <v>111</v>
      </c>
      <c r="B22" s="35">
        <v>278697</v>
      </c>
      <c r="C22" s="33" t="s">
        <v>944</v>
      </c>
      <c r="D22" s="34">
        <v>1276</v>
      </c>
    </row>
    <row r="23" spans="1:4" x14ac:dyDescent="0.25">
      <c r="A23" s="33" t="s">
        <v>175</v>
      </c>
      <c r="B23" s="35">
        <v>271844</v>
      </c>
      <c r="C23" s="33" t="s">
        <v>945</v>
      </c>
      <c r="D23" s="34">
        <v>2700</v>
      </c>
    </row>
    <row r="24" spans="1:4" x14ac:dyDescent="0.25">
      <c r="A24" s="4" t="s">
        <v>832</v>
      </c>
      <c r="B24" s="4">
        <v>276371</v>
      </c>
      <c r="C24" s="4" t="s">
        <v>915</v>
      </c>
      <c r="D24" s="9">
        <v>295</v>
      </c>
    </row>
    <row r="25" spans="1:4" x14ac:dyDescent="0.25">
      <c r="A25" s="4" t="s">
        <v>98</v>
      </c>
      <c r="B25" s="4">
        <v>254872</v>
      </c>
      <c r="C25" s="4" t="s">
        <v>829</v>
      </c>
      <c r="D25" s="9">
        <v>8100</v>
      </c>
    </row>
    <row r="26" spans="1:4" x14ac:dyDescent="0.25">
      <c r="A26" s="4" t="s">
        <v>208</v>
      </c>
      <c r="B26" s="4">
        <v>191435</v>
      </c>
      <c r="C26" s="4" t="s">
        <v>629</v>
      </c>
      <c r="D26" s="9">
        <v>2565</v>
      </c>
    </row>
    <row r="27" spans="1:4" x14ac:dyDescent="0.25">
      <c r="A27" s="4" t="s">
        <v>332</v>
      </c>
      <c r="B27" s="4">
        <v>265409</v>
      </c>
      <c r="C27" s="4" t="s">
        <v>946</v>
      </c>
      <c r="D27" s="9">
        <v>12212</v>
      </c>
    </row>
    <row r="28" spans="1:4" x14ac:dyDescent="0.25">
      <c r="C28" s="31" t="s">
        <v>83</v>
      </c>
      <c r="D28" s="32">
        <f>SUM(D4:D27)</f>
        <v>101305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8172-7B98-4730-8CAD-8740B5474BD4}">
  <dimension ref="A3:D43"/>
  <sheetViews>
    <sheetView topLeftCell="A20" zoomScaleNormal="100" zoomScaleSheetLayoutView="100" workbookViewId="0">
      <selection activeCell="C60" sqref="C60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680</v>
      </c>
      <c r="B4" s="4">
        <v>277462</v>
      </c>
      <c r="C4" s="4" t="s">
        <v>926</v>
      </c>
      <c r="D4" s="9">
        <v>4126</v>
      </c>
    </row>
    <row r="5" spans="1:4" x14ac:dyDescent="0.25">
      <c r="A5" s="4" t="s">
        <v>13</v>
      </c>
      <c r="B5" s="4">
        <v>272630</v>
      </c>
      <c r="C5" s="4" t="s">
        <v>947</v>
      </c>
      <c r="D5" s="9">
        <v>26670</v>
      </c>
    </row>
    <row r="6" spans="1:4" x14ac:dyDescent="0.25">
      <c r="A6" s="4" t="s">
        <v>108</v>
      </c>
      <c r="B6" s="4">
        <v>275355</v>
      </c>
      <c r="C6" s="4" t="s">
        <v>929</v>
      </c>
      <c r="D6" s="9">
        <v>4395</v>
      </c>
    </row>
    <row r="7" spans="1:4" x14ac:dyDescent="0.25">
      <c r="A7" s="4" t="s">
        <v>108</v>
      </c>
      <c r="B7" s="4">
        <v>275348</v>
      </c>
      <c r="C7" s="4" t="s">
        <v>930</v>
      </c>
      <c r="D7" s="9">
        <v>1910</v>
      </c>
    </row>
    <row r="8" spans="1:4" x14ac:dyDescent="0.25">
      <c r="A8" s="4" t="s">
        <v>108</v>
      </c>
      <c r="B8" s="4">
        <v>275304</v>
      </c>
      <c r="C8" s="4" t="s">
        <v>931</v>
      </c>
      <c r="D8" s="9">
        <v>160</v>
      </c>
    </row>
    <row r="9" spans="1:4" x14ac:dyDescent="0.25">
      <c r="A9" s="4" t="s">
        <v>108</v>
      </c>
      <c r="B9" s="4">
        <v>275300</v>
      </c>
      <c r="C9" s="4" t="s">
        <v>932</v>
      </c>
      <c r="D9" s="9">
        <v>3860</v>
      </c>
    </row>
    <row r="10" spans="1:4" x14ac:dyDescent="0.25">
      <c r="A10" s="4" t="s">
        <v>108</v>
      </c>
      <c r="B10" s="4">
        <v>275293</v>
      </c>
      <c r="C10" s="4" t="s">
        <v>933</v>
      </c>
      <c r="D10" s="9">
        <v>1175</v>
      </c>
    </row>
    <row r="11" spans="1:4" x14ac:dyDescent="0.25">
      <c r="A11" s="4" t="s">
        <v>108</v>
      </c>
      <c r="B11" s="4">
        <v>275291</v>
      </c>
      <c r="C11" s="4" t="s">
        <v>934</v>
      </c>
      <c r="D11" s="9">
        <v>3820</v>
      </c>
    </row>
    <row r="12" spans="1:4" x14ac:dyDescent="0.25">
      <c r="A12" s="33" t="s">
        <v>108</v>
      </c>
      <c r="B12" s="35">
        <v>275288</v>
      </c>
      <c r="C12" s="33" t="s">
        <v>935</v>
      </c>
      <c r="D12" s="34">
        <v>3325</v>
      </c>
    </row>
    <row r="13" spans="1:4" x14ac:dyDescent="0.25">
      <c r="A13" s="4" t="s">
        <v>108</v>
      </c>
      <c r="B13" s="4">
        <v>275286</v>
      </c>
      <c r="C13" s="4" t="s">
        <v>936</v>
      </c>
      <c r="D13" s="9">
        <v>1680</v>
      </c>
    </row>
    <row r="14" spans="1:4" x14ac:dyDescent="0.25">
      <c r="A14" s="4" t="s">
        <v>108</v>
      </c>
      <c r="B14" s="4">
        <v>275345</v>
      </c>
      <c r="C14" s="4" t="s">
        <v>938</v>
      </c>
      <c r="D14" s="9">
        <v>2960</v>
      </c>
    </row>
    <row r="15" spans="1:4" x14ac:dyDescent="0.25">
      <c r="A15" s="4" t="s">
        <v>108</v>
      </c>
      <c r="B15" s="4">
        <v>275344</v>
      </c>
      <c r="C15" s="4" t="s">
        <v>939</v>
      </c>
      <c r="D15" s="9">
        <v>750</v>
      </c>
    </row>
    <row r="16" spans="1:4" x14ac:dyDescent="0.25">
      <c r="A16" s="4" t="s">
        <v>108</v>
      </c>
      <c r="B16" s="4">
        <v>275343</v>
      </c>
      <c r="C16" s="4" t="s">
        <v>940</v>
      </c>
      <c r="D16" s="9">
        <v>595</v>
      </c>
    </row>
    <row r="17" spans="1:4" x14ac:dyDescent="0.25">
      <c r="A17" s="4" t="s">
        <v>336</v>
      </c>
      <c r="B17" s="4">
        <v>278521</v>
      </c>
      <c r="C17" s="4" t="s">
        <v>941</v>
      </c>
      <c r="D17" s="9">
        <v>30312</v>
      </c>
    </row>
    <row r="18" spans="1:4" x14ac:dyDescent="0.25">
      <c r="A18" s="4" t="s">
        <v>336</v>
      </c>
      <c r="B18" s="4">
        <v>277319</v>
      </c>
      <c r="C18" s="4" t="s">
        <v>942</v>
      </c>
      <c r="D18" s="9">
        <v>2393</v>
      </c>
    </row>
    <row r="19" spans="1:4" x14ac:dyDescent="0.25">
      <c r="A19" s="4" t="s">
        <v>336</v>
      </c>
      <c r="B19" s="4">
        <v>278775</v>
      </c>
      <c r="C19" s="4" t="s">
        <v>948</v>
      </c>
      <c r="D19" s="9">
        <v>2925</v>
      </c>
    </row>
    <row r="20" spans="1:4" x14ac:dyDescent="0.25">
      <c r="A20" s="4" t="s">
        <v>336</v>
      </c>
      <c r="B20" s="4">
        <v>278843</v>
      </c>
      <c r="C20" s="4" t="s">
        <v>949</v>
      </c>
      <c r="D20" s="9">
        <v>1928</v>
      </c>
    </row>
    <row r="21" spans="1:4" x14ac:dyDescent="0.25">
      <c r="A21" s="33" t="s">
        <v>336</v>
      </c>
      <c r="B21" s="35">
        <v>279975</v>
      </c>
      <c r="C21" s="33" t="s">
        <v>950</v>
      </c>
      <c r="D21" s="34">
        <v>507</v>
      </c>
    </row>
    <row r="22" spans="1:4" x14ac:dyDescent="0.25">
      <c r="A22" s="33" t="s">
        <v>111</v>
      </c>
      <c r="B22" s="35">
        <v>279957</v>
      </c>
      <c r="C22" s="33" t="s">
        <v>951</v>
      </c>
      <c r="D22" s="34">
        <v>319</v>
      </c>
    </row>
    <row r="23" spans="1:4" x14ac:dyDescent="0.25">
      <c r="A23" s="4" t="s">
        <v>111</v>
      </c>
      <c r="B23" s="4">
        <v>279943</v>
      </c>
      <c r="C23" s="4" t="s">
        <v>952</v>
      </c>
      <c r="D23" s="9">
        <v>131</v>
      </c>
    </row>
    <row r="24" spans="1:4" x14ac:dyDescent="0.25">
      <c r="A24" s="4" t="s">
        <v>111</v>
      </c>
      <c r="B24" s="4">
        <v>279958</v>
      </c>
      <c r="C24" s="4" t="s">
        <v>953</v>
      </c>
      <c r="D24" s="9">
        <v>131</v>
      </c>
    </row>
    <row r="25" spans="1:4" x14ac:dyDescent="0.25">
      <c r="A25" s="4" t="s">
        <v>200</v>
      </c>
      <c r="B25" s="4">
        <v>273288</v>
      </c>
      <c r="C25" s="4" t="s">
        <v>954</v>
      </c>
      <c r="D25" s="9">
        <v>5535</v>
      </c>
    </row>
    <row r="26" spans="1:4" x14ac:dyDescent="0.25">
      <c r="A26" s="4" t="s">
        <v>200</v>
      </c>
      <c r="B26" s="4">
        <v>273283</v>
      </c>
      <c r="C26" s="4" t="s">
        <v>955</v>
      </c>
      <c r="D26" s="9">
        <v>695</v>
      </c>
    </row>
    <row r="27" spans="1:4" x14ac:dyDescent="0.25">
      <c r="A27" s="4" t="s">
        <v>200</v>
      </c>
      <c r="B27" s="4">
        <v>273282</v>
      </c>
      <c r="C27" s="4" t="s">
        <v>956</v>
      </c>
      <c r="D27" s="9">
        <v>2519</v>
      </c>
    </row>
    <row r="28" spans="1:4" x14ac:dyDescent="0.25">
      <c r="A28" s="4" t="s">
        <v>200</v>
      </c>
      <c r="B28" s="4">
        <v>273286</v>
      </c>
      <c r="C28" s="4" t="s">
        <v>957</v>
      </c>
      <c r="D28" s="9">
        <v>1875</v>
      </c>
    </row>
    <row r="29" spans="1:4" x14ac:dyDescent="0.25">
      <c r="A29" s="4" t="s">
        <v>200</v>
      </c>
      <c r="B29" s="4">
        <v>273290</v>
      </c>
      <c r="C29" s="4" t="s">
        <v>958</v>
      </c>
      <c r="D29" s="9">
        <v>16708</v>
      </c>
    </row>
    <row r="30" spans="1:4" x14ac:dyDescent="0.25">
      <c r="A30" s="4" t="s">
        <v>200</v>
      </c>
      <c r="B30" s="4">
        <v>273284</v>
      </c>
      <c r="C30" s="4" t="s">
        <v>959</v>
      </c>
      <c r="D30" s="9">
        <v>4275</v>
      </c>
    </row>
    <row r="31" spans="1:4" x14ac:dyDescent="0.25">
      <c r="A31" s="4" t="s">
        <v>200</v>
      </c>
      <c r="B31" s="4">
        <v>273285</v>
      </c>
      <c r="C31" s="4" t="s">
        <v>960</v>
      </c>
      <c r="D31" s="9">
        <v>6080</v>
      </c>
    </row>
    <row r="32" spans="1:4" x14ac:dyDescent="0.25">
      <c r="A32" s="4" t="s">
        <v>200</v>
      </c>
      <c r="B32" s="4">
        <v>273289</v>
      </c>
      <c r="C32" s="4" t="s">
        <v>961</v>
      </c>
      <c r="D32" s="9">
        <v>15208</v>
      </c>
    </row>
    <row r="33" spans="1:4" x14ac:dyDescent="0.25">
      <c r="A33" s="4" t="s">
        <v>832</v>
      </c>
      <c r="B33" s="4">
        <v>276371</v>
      </c>
      <c r="C33" s="4" t="s">
        <v>962</v>
      </c>
      <c r="D33" s="9">
        <v>295</v>
      </c>
    </row>
    <row r="34" spans="1:4" x14ac:dyDescent="0.25">
      <c r="A34" s="33" t="s">
        <v>61</v>
      </c>
      <c r="B34" s="35">
        <v>281016</v>
      </c>
      <c r="C34" s="33" t="s">
        <v>963</v>
      </c>
      <c r="D34" s="34">
        <v>375</v>
      </c>
    </row>
    <row r="35" spans="1:4" x14ac:dyDescent="0.25">
      <c r="A35" s="4" t="s">
        <v>61</v>
      </c>
      <c r="B35" s="4">
        <v>281018</v>
      </c>
      <c r="C35" s="4" t="s">
        <v>964</v>
      </c>
      <c r="D35" s="9">
        <v>375</v>
      </c>
    </row>
    <row r="36" spans="1:4" x14ac:dyDescent="0.25">
      <c r="A36" s="4" t="s">
        <v>61</v>
      </c>
      <c r="B36" s="4">
        <v>281014</v>
      </c>
      <c r="C36" s="4" t="s">
        <v>965</v>
      </c>
      <c r="D36" s="9">
        <v>295</v>
      </c>
    </row>
    <row r="37" spans="1:4" x14ac:dyDescent="0.25">
      <c r="A37" s="4" t="s">
        <v>61</v>
      </c>
      <c r="B37" s="4">
        <v>278876</v>
      </c>
      <c r="C37" s="4" t="s">
        <v>966</v>
      </c>
      <c r="D37" s="9">
        <v>45</v>
      </c>
    </row>
    <row r="38" spans="1:4" x14ac:dyDescent="0.25">
      <c r="A38" s="4" t="s">
        <v>61</v>
      </c>
      <c r="B38" s="4">
        <v>281013</v>
      </c>
      <c r="C38" s="4" t="s">
        <v>967</v>
      </c>
      <c r="D38" s="9">
        <v>495</v>
      </c>
    </row>
    <row r="39" spans="1:4" x14ac:dyDescent="0.25">
      <c r="A39" s="4" t="s">
        <v>61</v>
      </c>
      <c r="B39" s="4">
        <v>281019</v>
      </c>
      <c r="C39" s="4" t="s">
        <v>968</v>
      </c>
      <c r="D39" s="9">
        <v>375</v>
      </c>
    </row>
    <row r="40" spans="1:4" x14ac:dyDescent="0.25">
      <c r="A40" s="4" t="s">
        <v>61</v>
      </c>
      <c r="B40" s="4">
        <v>278877</v>
      </c>
      <c r="C40" s="4" t="s">
        <v>969</v>
      </c>
      <c r="D40" s="9">
        <v>750</v>
      </c>
    </row>
    <row r="41" spans="1:4" x14ac:dyDescent="0.25">
      <c r="A41" s="4" t="s">
        <v>61</v>
      </c>
      <c r="B41" s="4">
        <v>278878</v>
      </c>
      <c r="C41" s="4" t="s">
        <v>970</v>
      </c>
      <c r="D41" s="9">
        <v>1365</v>
      </c>
    </row>
    <row r="42" spans="1:4" x14ac:dyDescent="0.25">
      <c r="A42" s="4" t="s">
        <v>332</v>
      </c>
      <c r="B42" s="4">
        <v>265409</v>
      </c>
      <c r="C42" s="4" t="s">
        <v>946</v>
      </c>
      <c r="D42" s="9">
        <v>12212</v>
      </c>
    </row>
    <row r="43" spans="1:4" x14ac:dyDescent="0.25">
      <c r="C43" s="31" t="s">
        <v>83</v>
      </c>
      <c r="D43" s="32">
        <f>SUM(D25:D42)</f>
        <v>69477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4D2-988C-430F-A71E-F0CEECBF8CAE}">
  <dimension ref="A3:D22"/>
  <sheetViews>
    <sheetView zoomScaleNormal="100" zoomScaleSheetLayoutView="100" workbookViewId="0">
      <selection activeCell="C27" sqref="C27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680</v>
      </c>
      <c r="B4" s="4">
        <v>277462</v>
      </c>
      <c r="C4" s="4" t="s">
        <v>926</v>
      </c>
      <c r="D4" s="9">
        <v>4126</v>
      </c>
    </row>
    <row r="5" spans="1:4" x14ac:dyDescent="0.25">
      <c r="A5" s="4" t="s">
        <v>500</v>
      </c>
      <c r="B5" s="4">
        <v>282181</v>
      </c>
      <c r="C5" s="4" t="s">
        <v>971</v>
      </c>
      <c r="D5" s="9">
        <v>10770</v>
      </c>
    </row>
    <row r="6" spans="1:4" x14ac:dyDescent="0.25">
      <c r="A6" s="4" t="s">
        <v>336</v>
      </c>
      <c r="B6" s="4">
        <v>278521</v>
      </c>
      <c r="C6" s="4" t="s">
        <v>941</v>
      </c>
      <c r="D6" s="9">
        <v>30312</v>
      </c>
    </row>
    <row r="7" spans="1:4" x14ac:dyDescent="0.25">
      <c r="A7" s="4" t="s">
        <v>336</v>
      </c>
      <c r="B7" s="4">
        <v>277319</v>
      </c>
      <c r="C7" s="4" t="s">
        <v>942</v>
      </c>
      <c r="D7" s="9">
        <v>2393</v>
      </c>
    </row>
    <row r="8" spans="1:4" x14ac:dyDescent="0.25">
      <c r="A8" s="4" t="s">
        <v>336</v>
      </c>
      <c r="B8" s="4">
        <v>278775</v>
      </c>
      <c r="C8" s="4" t="s">
        <v>948</v>
      </c>
      <c r="D8" s="9">
        <v>2925</v>
      </c>
    </row>
    <row r="9" spans="1:4" x14ac:dyDescent="0.25">
      <c r="A9" s="4" t="s">
        <v>336</v>
      </c>
      <c r="B9" s="4">
        <v>278843</v>
      </c>
      <c r="C9" s="4" t="s">
        <v>949</v>
      </c>
      <c r="D9" s="9">
        <v>1928</v>
      </c>
    </row>
    <row r="10" spans="1:4" x14ac:dyDescent="0.25">
      <c r="A10" s="4" t="s">
        <v>336</v>
      </c>
      <c r="B10" s="4">
        <v>282087</v>
      </c>
      <c r="C10" s="4" t="s">
        <v>972</v>
      </c>
      <c r="D10" s="9">
        <v>6504</v>
      </c>
    </row>
    <row r="11" spans="1:4" x14ac:dyDescent="0.25">
      <c r="A11" s="4" t="s">
        <v>336</v>
      </c>
      <c r="B11" s="4">
        <v>282128</v>
      </c>
      <c r="C11" s="4" t="s">
        <v>973</v>
      </c>
      <c r="D11" s="9">
        <v>770</v>
      </c>
    </row>
    <row r="12" spans="1:4" x14ac:dyDescent="0.25">
      <c r="A12" s="33" t="s">
        <v>336</v>
      </c>
      <c r="B12" s="35">
        <v>279975</v>
      </c>
      <c r="C12" s="33" t="s">
        <v>950</v>
      </c>
      <c r="D12" s="34">
        <v>507</v>
      </c>
    </row>
    <row r="13" spans="1:4" x14ac:dyDescent="0.25">
      <c r="A13" s="4" t="s">
        <v>111</v>
      </c>
      <c r="B13" s="4">
        <v>282402</v>
      </c>
      <c r="C13" s="4" t="s">
        <v>974</v>
      </c>
      <c r="D13" s="9">
        <v>478</v>
      </c>
    </row>
    <row r="14" spans="1:4" x14ac:dyDescent="0.25">
      <c r="A14" s="4" t="s">
        <v>718</v>
      </c>
      <c r="B14" s="4">
        <v>281006</v>
      </c>
      <c r="C14" s="4" t="s">
        <v>975</v>
      </c>
      <c r="D14" s="9">
        <v>19656</v>
      </c>
    </row>
    <row r="15" spans="1:4" x14ac:dyDescent="0.25">
      <c r="A15" s="4" t="s">
        <v>718</v>
      </c>
      <c r="B15" s="4">
        <v>281007</v>
      </c>
      <c r="C15" s="4" t="s">
        <v>976</v>
      </c>
      <c r="D15" s="9">
        <v>1380</v>
      </c>
    </row>
    <row r="16" spans="1:4" x14ac:dyDescent="0.25">
      <c r="A16" s="4" t="s">
        <v>718</v>
      </c>
      <c r="B16" s="4">
        <v>281008</v>
      </c>
      <c r="C16" s="4" t="s">
        <v>977</v>
      </c>
      <c r="D16" s="9">
        <v>1173</v>
      </c>
    </row>
    <row r="17" spans="1:4" x14ac:dyDescent="0.25">
      <c r="A17" s="4" t="s">
        <v>718</v>
      </c>
      <c r="B17" s="4">
        <v>281009</v>
      </c>
      <c r="C17" s="4" t="s">
        <v>978</v>
      </c>
      <c r="D17" s="9">
        <v>1518</v>
      </c>
    </row>
    <row r="18" spans="1:4" x14ac:dyDescent="0.25">
      <c r="A18" s="4" t="s">
        <v>832</v>
      </c>
      <c r="B18" s="4">
        <v>276371</v>
      </c>
      <c r="C18" s="4" t="s">
        <v>962</v>
      </c>
      <c r="D18" s="9">
        <v>295</v>
      </c>
    </row>
    <row r="19" spans="1:4" x14ac:dyDescent="0.25">
      <c r="A19" s="4" t="s">
        <v>48</v>
      </c>
      <c r="B19" s="4">
        <v>278508</v>
      </c>
      <c r="C19" s="4" t="s">
        <v>979</v>
      </c>
      <c r="D19" s="9">
        <v>150</v>
      </c>
    </row>
    <row r="20" spans="1:4" x14ac:dyDescent="0.25">
      <c r="A20" s="4" t="s">
        <v>48</v>
      </c>
      <c r="B20" s="4">
        <v>282137</v>
      </c>
      <c r="C20" s="4" t="s">
        <v>980</v>
      </c>
      <c r="D20" s="9">
        <v>1280</v>
      </c>
    </row>
    <row r="21" spans="1:4" x14ac:dyDescent="0.25">
      <c r="A21" s="33" t="s">
        <v>332</v>
      </c>
      <c r="B21" s="35">
        <v>265409</v>
      </c>
      <c r="C21" s="33" t="s">
        <v>946</v>
      </c>
      <c r="D21" s="34">
        <v>12212</v>
      </c>
    </row>
    <row r="22" spans="1:4" x14ac:dyDescent="0.25">
      <c r="C22" s="31" t="s">
        <v>83</v>
      </c>
      <c r="D22" s="32">
        <f>SUM(D4:D21)</f>
        <v>98377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3548-254D-4CDD-8C82-770D0B0D1812}">
  <dimension ref="A3:D22"/>
  <sheetViews>
    <sheetView zoomScaleNormal="100" zoomScaleSheetLayoutView="100" workbookViewId="0">
      <selection activeCell="C25" sqref="C25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680</v>
      </c>
      <c r="B4" s="4">
        <v>277462</v>
      </c>
      <c r="C4" s="4" t="s">
        <v>926</v>
      </c>
      <c r="D4" s="9">
        <v>4126</v>
      </c>
    </row>
    <row r="5" spans="1:4" x14ac:dyDescent="0.25">
      <c r="A5" s="4" t="s">
        <v>108</v>
      </c>
      <c r="B5" s="4">
        <v>282470</v>
      </c>
      <c r="C5" s="4" t="s">
        <v>982</v>
      </c>
      <c r="D5" s="9">
        <v>11560</v>
      </c>
    </row>
    <row r="6" spans="1:4" x14ac:dyDescent="0.25">
      <c r="A6" s="4" t="s">
        <v>61</v>
      </c>
      <c r="B6" s="4">
        <v>282553</v>
      </c>
      <c r="C6" s="4" t="s">
        <v>987</v>
      </c>
      <c r="D6" s="9">
        <v>295</v>
      </c>
    </row>
    <row r="7" spans="1:4" x14ac:dyDescent="0.25">
      <c r="A7" s="4" t="s">
        <v>61</v>
      </c>
      <c r="B7" s="4">
        <v>282580</v>
      </c>
      <c r="C7" s="4" t="s">
        <v>988</v>
      </c>
      <c r="D7" s="9">
        <v>1180</v>
      </c>
    </row>
    <row r="8" spans="1:4" x14ac:dyDescent="0.25">
      <c r="A8" s="4" t="s">
        <v>336</v>
      </c>
      <c r="B8" s="4">
        <v>278521</v>
      </c>
      <c r="C8" s="4" t="s">
        <v>941</v>
      </c>
      <c r="D8" s="9">
        <v>30312</v>
      </c>
    </row>
    <row r="9" spans="1:4" x14ac:dyDescent="0.25">
      <c r="A9" s="4" t="s">
        <v>336</v>
      </c>
      <c r="B9" s="4">
        <v>277319</v>
      </c>
      <c r="C9" s="4" t="s">
        <v>942</v>
      </c>
      <c r="D9" s="9">
        <v>2393</v>
      </c>
    </row>
    <row r="10" spans="1:4" x14ac:dyDescent="0.25">
      <c r="A10" s="33" t="s">
        <v>336</v>
      </c>
      <c r="B10" s="35">
        <v>278775</v>
      </c>
      <c r="C10" s="33" t="s">
        <v>948</v>
      </c>
      <c r="D10" s="34">
        <v>2925</v>
      </c>
    </row>
    <row r="11" spans="1:4" x14ac:dyDescent="0.25">
      <c r="A11" s="4" t="s">
        <v>336</v>
      </c>
      <c r="B11" s="4">
        <v>278843</v>
      </c>
      <c r="C11" s="4" t="s">
        <v>949</v>
      </c>
      <c r="D11" s="9">
        <v>1928</v>
      </c>
    </row>
    <row r="12" spans="1:4" x14ac:dyDescent="0.25">
      <c r="A12" s="4" t="s">
        <v>336</v>
      </c>
      <c r="B12" s="4">
        <v>282087</v>
      </c>
      <c r="C12" s="4" t="s">
        <v>972</v>
      </c>
      <c r="D12" s="9">
        <v>6504</v>
      </c>
    </row>
    <row r="13" spans="1:4" x14ac:dyDescent="0.25">
      <c r="A13" s="4" t="s">
        <v>336</v>
      </c>
      <c r="B13" s="4">
        <v>282128</v>
      </c>
      <c r="C13" s="4" t="s">
        <v>973</v>
      </c>
      <c r="D13" s="9">
        <v>770</v>
      </c>
    </row>
    <row r="14" spans="1:4" x14ac:dyDescent="0.25">
      <c r="A14" s="4" t="s">
        <v>336</v>
      </c>
      <c r="B14" s="4">
        <v>282475</v>
      </c>
      <c r="C14" s="4" t="s">
        <v>983</v>
      </c>
      <c r="D14" s="9">
        <v>1797</v>
      </c>
    </row>
    <row r="15" spans="1:4" x14ac:dyDescent="0.25">
      <c r="A15" s="4" t="s">
        <v>336</v>
      </c>
      <c r="B15" s="4">
        <v>282477</v>
      </c>
      <c r="C15" s="4" t="s">
        <v>984</v>
      </c>
      <c r="D15" s="9">
        <v>1369</v>
      </c>
    </row>
    <row r="16" spans="1:4" x14ac:dyDescent="0.25">
      <c r="A16" s="4" t="s">
        <v>336</v>
      </c>
      <c r="B16" s="4">
        <v>279975</v>
      </c>
      <c r="C16" s="4" t="s">
        <v>950</v>
      </c>
      <c r="D16" s="9">
        <v>507</v>
      </c>
    </row>
    <row r="17" spans="1:4" x14ac:dyDescent="0.25">
      <c r="A17" s="4" t="s">
        <v>5</v>
      </c>
      <c r="B17" s="4">
        <v>272595</v>
      </c>
      <c r="C17" s="4" t="s">
        <v>981</v>
      </c>
      <c r="D17" s="9">
        <v>1990</v>
      </c>
    </row>
    <row r="18" spans="1:4" x14ac:dyDescent="0.25">
      <c r="A18" s="4" t="s">
        <v>718</v>
      </c>
      <c r="B18" s="4">
        <v>282550</v>
      </c>
      <c r="C18" s="4" t="s">
        <v>985</v>
      </c>
      <c r="D18" s="9">
        <v>5616</v>
      </c>
    </row>
    <row r="19" spans="1:4" x14ac:dyDescent="0.25">
      <c r="A19" s="4" t="s">
        <v>832</v>
      </c>
      <c r="B19" s="4">
        <v>276371</v>
      </c>
      <c r="C19" s="4" t="s">
        <v>962</v>
      </c>
      <c r="D19" s="9">
        <v>295</v>
      </c>
    </row>
    <row r="20" spans="1:4" x14ac:dyDescent="0.25">
      <c r="A20" s="4" t="s">
        <v>986</v>
      </c>
      <c r="B20" s="4">
        <v>282137</v>
      </c>
      <c r="C20" s="4" t="s">
        <v>980</v>
      </c>
      <c r="D20" s="9">
        <v>1280</v>
      </c>
    </row>
    <row r="21" spans="1:4" x14ac:dyDescent="0.25">
      <c r="A21" s="33" t="s">
        <v>332</v>
      </c>
      <c r="B21" s="35">
        <v>265409</v>
      </c>
      <c r="C21" s="33" t="s">
        <v>946</v>
      </c>
      <c r="D21" s="34">
        <v>12212</v>
      </c>
    </row>
    <row r="22" spans="1:4" x14ac:dyDescent="0.25">
      <c r="C22" s="31" t="s">
        <v>83</v>
      </c>
      <c r="D22" s="32">
        <f>SUM(D4:D21)</f>
        <v>87059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1977-3162-484C-BD20-43C7A594D043}">
  <dimension ref="A3:D15"/>
  <sheetViews>
    <sheetView zoomScaleNormal="100" zoomScaleSheetLayoutView="100" workbookViewId="0">
      <selection activeCell="C31" sqref="C31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125</v>
      </c>
      <c r="B4" s="4">
        <v>275888</v>
      </c>
      <c r="C4" s="4" t="s">
        <v>989</v>
      </c>
      <c r="D4" s="9">
        <v>21580</v>
      </c>
    </row>
    <row r="5" spans="1:4" x14ac:dyDescent="0.25">
      <c r="A5" s="4" t="s">
        <v>990</v>
      </c>
      <c r="B5" s="4">
        <v>282584</v>
      </c>
      <c r="C5" s="4" t="s">
        <v>991</v>
      </c>
      <c r="D5" s="9">
        <v>18390</v>
      </c>
    </row>
    <row r="6" spans="1:4" x14ac:dyDescent="0.25">
      <c r="A6" s="4" t="s">
        <v>177</v>
      </c>
      <c r="B6" s="4">
        <v>282906</v>
      </c>
      <c r="C6" s="4" t="s">
        <v>992</v>
      </c>
      <c r="D6" s="9">
        <v>4965</v>
      </c>
    </row>
    <row r="7" spans="1:4" x14ac:dyDescent="0.25">
      <c r="A7" s="4" t="s">
        <v>718</v>
      </c>
      <c r="B7" s="4">
        <v>282425</v>
      </c>
      <c r="C7" s="4" t="s">
        <v>993</v>
      </c>
      <c r="D7" s="9">
        <v>2879</v>
      </c>
    </row>
    <row r="8" spans="1:4" x14ac:dyDescent="0.25">
      <c r="A8" s="4" t="s">
        <v>832</v>
      </c>
      <c r="B8" s="4">
        <v>282742</v>
      </c>
      <c r="C8" s="4" t="s">
        <v>994</v>
      </c>
      <c r="D8" s="9">
        <v>0</v>
      </c>
    </row>
    <row r="9" spans="1:4" x14ac:dyDescent="0.25">
      <c r="A9" s="4" t="s">
        <v>832</v>
      </c>
      <c r="B9" s="4">
        <v>276371</v>
      </c>
      <c r="C9" s="4" t="s">
        <v>962</v>
      </c>
      <c r="D9" s="9">
        <v>295</v>
      </c>
    </row>
    <row r="10" spans="1:4" x14ac:dyDescent="0.25">
      <c r="A10" s="33" t="s">
        <v>995</v>
      </c>
      <c r="B10" s="35">
        <v>282137</v>
      </c>
      <c r="C10" s="33" t="s">
        <v>980</v>
      </c>
      <c r="D10" s="34">
        <v>1280</v>
      </c>
    </row>
    <row r="11" spans="1:4" x14ac:dyDescent="0.25">
      <c r="A11" s="4" t="s">
        <v>151</v>
      </c>
      <c r="B11" s="4">
        <v>282088</v>
      </c>
      <c r="C11" s="4" t="s">
        <v>996</v>
      </c>
      <c r="D11" s="9">
        <v>2125</v>
      </c>
    </row>
    <row r="12" spans="1:4" x14ac:dyDescent="0.25">
      <c r="A12" s="4" t="s">
        <v>108</v>
      </c>
      <c r="B12" s="4">
        <v>272950</v>
      </c>
      <c r="C12" s="4" t="s">
        <v>853</v>
      </c>
      <c r="D12" s="9">
        <v>5072</v>
      </c>
    </row>
    <row r="13" spans="1:4" x14ac:dyDescent="0.25">
      <c r="A13" s="4" t="s">
        <v>61</v>
      </c>
      <c r="B13" s="4">
        <v>284273</v>
      </c>
      <c r="C13" s="4" t="s">
        <v>997</v>
      </c>
      <c r="D13" s="9">
        <v>1125</v>
      </c>
    </row>
    <row r="14" spans="1:4" x14ac:dyDescent="0.25">
      <c r="A14" s="4" t="s">
        <v>332</v>
      </c>
      <c r="B14" s="4">
        <v>265409</v>
      </c>
      <c r="C14" s="4" t="s">
        <v>946</v>
      </c>
      <c r="D14" s="9">
        <v>12212</v>
      </c>
    </row>
    <row r="15" spans="1:4" x14ac:dyDescent="0.25">
      <c r="C15" s="31" t="s">
        <v>83</v>
      </c>
      <c r="D15" s="32">
        <f>SUM(D4:D14)</f>
        <v>69923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9DB3-E035-4AE7-96FB-DA1D43CBA1B7}">
  <dimension ref="A3:D24"/>
  <sheetViews>
    <sheetView zoomScaleNormal="100" zoomScaleSheetLayoutView="100" workbookViewId="0">
      <selection activeCell="C28" sqref="C28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98</v>
      </c>
      <c r="B4" s="4">
        <v>282797</v>
      </c>
      <c r="C4" s="4" t="s">
        <v>998</v>
      </c>
      <c r="D4" s="9">
        <v>36335</v>
      </c>
    </row>
    <row r="5" spans="1:4" x14ac:dyDescent="0.25">
      <c r="A5" s="4" t="s">
        <v>336</v>
      </c>
      <c r="B5" s="4">
        <v>284643</v>
      </c>
      <c r="C5" s="4" t="s">
        <v>999</v>
      </c>
      <c r="D5" s="9">
        <v>5542</v>
      </c>
    </row>
    <row r="6" spans="1:4" x14ac:dyDescent="0.25">
      <c r="A6" s="4" t="s">
        <v>1000</v>
      </c>
      <c r="B6" s="4">
        <v>272319</v>
      </c>
      <c r="C6" s="4" t="s">
        <v>1001</v>
      </c>
      <c r="D6" s="9">
        <v>28577</v>
      </c>
    </row>
    <row r="7" spans="1:4" x14ac:dyDescent="0.25">
      <c r="A7" s="4" t="s">
        <v>175</v>
      </c>
      <c r="B7" s="4">
        <v>284379</v>
      </c>
      <c r="C7" s="4" t="s">
        <v>1002</v>
      </c>
      <c r="D7" s="9">
        <v>1995</v>
      </c>
    </row>
    <row r="8" spans="1:4" x14ac:dyDescent="0.25">
      <c r="A8" s="4" t="s">
        <v>177</v>
      </c>
      <c r="B8" s="4">
        <v>284316</v>
      </c>
      <c r="C8" s="4" t="s">
        <v>1003</v>
      </c>
      <c r="D8" s="9">
        <v>2550</v>
      </c>
    </row>
    <row r="9" spans="1:4" x14ac:dyDescent="0.25">
      <c r="A9" s="33" t="s">
        <v>180</v>
      </c>
      <c r="B9" s="35">
        <v>284123</v>
      </c>
      <c r="C9" s="33" t="s">
        <v>1004</v>
      </c>
      <c r="D9" s="34">
        <v>17230</v>
      </c>
    </row>
    <row r="10" spans="1:4" x14ac:dyDescent="0.25">
      <c r="A10" s="4" t="s">
        <v>86</v>
      </c>
      <c r="B10" s="4">
        <v>276765</v>
      </c>
      <c r="C10" s="4" t="s">
        <v>1005</v>
      </c>
      <c r="D10" s="9">
        <v>800</v>
      </c>
    </row>
    <row r="11" spans="1:4" x14ac:dyDescent="0.25">
      <c r="A11" s="4" t="s">
        <v>86</v>
      </c>
      <c r="B11" s="4">
        <v>276762</v>
      </c>
      <c r="C11" s="4" t="s">
        <v>1006</v>
      </c>
      <c r="D11" s="9">
        <v>1680</v>
      </c>
    </row>
    <row r="12" spans="1:4" x14ac:dyDescent="0.25">
      <c r="A12" s="4" t="s">
        <v>86</v>
      </c>
      <c r="B12" s="4">
        <v>276784</v>
      </c>
      <c r="C12" s="4" t="s">
        <v>1007</v>
      </c>
      <c r="D12" s="9">
        <v>5700</v>
      </c>
    </row>
    <row r="13" spans="1:4" x14ac:dyDescent="0.25">
      <c r="A13" s="4" t="s">
        <v>86</v>
      </c>
      <c r="B13" s="4">
        <v>276958</v>
      </c>
      <c r="C13" s="4" t="s">
        <v>1008</v>
      </c>
      <c r="D13" s="9">
        <v>4810</v>
      </c>
    </row>
    <row r="14" spans="1:4" x14ac:dyDescent="0.25">
      <c r="A14" s="4" t="s">
        <v>86</v>
      </c>
      <c r="B14" s="4">
        <v>276781</v>
      </c>
      <c r="C14" s="4" t="s">
        <v>1009</v>
      </c>
      <c r="D14" s="9">
        <v>1235</v>
      </c>
    </row>
    <row r="15" spans="1:4" x14ac:dyDescent="0.25">
      <c r="A15" s="4" t="s">
        <v>86</v>
      </c>
      <c r="B15" s="4">
        <v>276780</v>
      </c>
      <c r="C15" s="4" t="s">
        <v>1010</v>
      </c>
      <c r="D15" s="9">
        <v>4350</v>
      </c>
    </row>
    <row r="16" spans="1:4" x14ac:dyDescent="0.25">
      <c r="A16" s="4" t="s">
        <v>86</v>
      </c>
      <c r="B16" s="4">
        <v>276768</v>
      </c>
      <c r="C16" s="4" t="s">
        <v>1011</v>
      </c>
      <c r="D16" s="9">
        <v>3815</v>
      </c>
    </row>
    <row r="17" spans="1:4" x14ac:dyDescent="0.25">
      <c r="A17" s="4" t="s">
        <v>86</v>
      </c>
      <c r="B17" s="4">
        <v>278724</v>
      </c>
      <c r="C17" s="4" t="s">
        <v>1012</v>
      </c>
      <c r="D17" s="9">
        <v>3675</v>
      </c>
    </row>
    <row r="18" spans="1:4" x14ac:dyDescent="0.25">
      <c r="A18" s="4" t="s">
        <v>86</v>
      </c>
      <c r="B18" s="4">
        <v>276767</v>
      </c>
      <c r="C18" s="4" t="s">
        <v>1013</v>
      </c>
      <c r="D18" s="9">
        <v>4300</v>
      </c>
    </row>
    <row r="19" spans="1:4" x14ac:dyDescent="0.25">
      <c r="A19" s="33" t="s">
        <v>86</v>
      </c>
      <c r="B19" s="35">
        <v>276760</v>
      </c>
      <c r="C19" s="33" t="s">
        <v>1014</v>
      </c>
      <c r="D19" s="34">
        <v>3535</v>
      </c>
    </row>
    <row r="20" spans="1:4" x14ac:dyDescent="0.25">
      <c r="A20" s="4" t="s">
        <v>832</v>
      </c>
      <c r="B20" s="4">
        <v>282742</v>
      </c>
      <c r="C20" s="4" t="s">
        <v>994</v>
      </c>
      <c r="D20" s="9">
        <v>0</v>
      </c>
    </row>
    <row r="21" spans="1:4" x14ac:dyDescent="0.25">
      <c r="A21" s="4" t="s">
        <v>832</v>
      </c>
      <c r="B21" s="4">
        <v>276371</v>
      </c>
      <c r="C21" s="4" t="s">
        <v>962</v>
      </c>
      <c r="D21" s="9">
        <v>295</v>
      </c>
    </row>
    <row r="22" spans="1:4" x14ac:dyDescent="0.25">
      <c r="A22" s="4" t="s">
        <v>995</v>
      </c>
      <c r="B22" s="4">
        <v>282137</v>
      </c>
      <c r="C22" s="4" t="s">
        <v>980</v>
      </c>
      <c r="D22" s="9">
        <v>1280</v>
      </c>
    </row>
    <row r="23" spans="1:4" x14ac:dyDescent="0.25">
      <c r="A23" s="4" t="s">
        <v>332</v>
      </c>
      <c r="B23" s="4">
        <v>265409</v>
      </c>
      <c r="C23" s="4" t="s">
        <v>946</v>
      </c>
      <c r="D23" s="9">
        <v>12212</v>
      </c>
    </row>
    <row r="24" spans="1:4" x14ac:dyDescent="0.25">
      <c r="C24" s="31" t="s">
        <v>83</v>
      </c>
      <c r="D24" s="32">
        <f>SUM(D4:D23)</f>
        <v>139916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AB1A-A95E-4008-89C4-DC4396BF5A73}">
  <dimension ref="A3:D70"/>
  <sheetViews>
    <sheetView zoomScaleNormal="100" zoomScaleSheetLayoutView="100" workbookViewId="0">
      <selection activeCell="C86" sqref="C86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256</v>
      </c>
      <c r="B4" s="4">
        <v>277014</v>
      </c>
      <c r="C4" s="4" t="s">
        <v>1015</v>
      </c>
      <c r="D4" s="9">
        <v>15950</v>
      </c>
    </row>
    <row r="5" spans="1:4" x14ac:dyDescent="0.25">
      <c r="A5" s="4" t="s">
        <v>256</v>
      </c>
      <c r="B5" s="4">
        <v>284824</v>
      </c>
      <c r="C5" s="4" t="s">
        <v>1016</v>
      </c>
      <c r="D5" s="9">
        <v>6760</v>
      </c>
    </row>
    <row r="6" spans="1:4" x14ac:dyDescent="0.25">
      <c r="A6" s="4" t="s">
        <v>256</v>
      </c>
      <c r="B6" s="4">
        <v>284324</v>
      </c>
      <c r="C6" s="4" t="s">
        <v>1017</v>
      </c>
      <c r="D6" s="9">
        <v>7305</v>
      </c>
    </row>
    <row r="7" spans="1:4" x14ac:dyDescent="0.25">
      <c r="A7" s="33" t="s">
        <v>147</v>
      </c>
      <c r="B7" s="35">
        <v>270664</v>
      </c>
      <c r="C7" s="33" t="s">
        <v>1018</v>
      </c>
      <c r="D7" s="34">
        <v>4368</v>
      </c>
    </row>
    <row r="8" spans="1:4" x14ac:dyDescent="0.25">
      <c r="A8" s="4" t="s">
        <v>336</v>
      </c>
      <c r="B8" s="4">
        <v>284643</v>
      </c>
      <c r="C8" s="4" t="s">
        <v>999</v>
      </c>
      <c r="D8" s="9">
        <v>5542</v>
      </c>
    </row>
    <row r="9" spans="1:4" x14ac:dyDescent="0.25">
      <c r="A9" s="4" t="s">
        <v>24</v>
      </c>
      <c r="B9" s="4">
        <v>284500</v>
      </c>
      <c r="C9" s="4" t="s">
        <v>1019</v>
      </c>
      <c r="D9" s="9">
        <v>1056</v>
      </c>
    </row>
    <row r="10" spans="1:4" x14ac:dyDescent="0.25">
      <c r="A10" s="4" t="s">
        <v>24</v>
      </c>
      <c r="B10" s="4">
        <v>284501</v>
      </c>
      <c r="C10" s="4" t="s">
        <v>1020</v>
      </c>
      <c r="D10" s="9">
        <v>313</v>
      </c>
    </row>
    <row r="11" spans="1:4" x14ac:dyDescent="0.25">
      <c r="A11" s="4" t="s">
        <v>24</v>
      </c>
      <c r="B11" s="4">
        <v>284507</v>
      </c>
      <c r="C11" s="4" t="s">
        <v>1021</v>
      </c>
      <c r="D11" s="9">
        <v>976</v>
      </c>
    </row>
    <row r="12" spans="1:4" x14ac:dyDescent="0.25">
      <c r="A12" s="4" t="s">
        <v>24</v>
      </c>
      <c r="B12" s="4">
        <v>284516</v>
      </c>
      <c r="C12" s="4" t="s">
        <v>1022</v>
      </c>
      <c r="D12" s="9">
        <v>746</v>
      </c>
    </row>
    <row r="13" spans="1:4" x14ac:dyDescent="0.25">
      <c r="A13" s="4" t="s">
        <v>24</v>
      </c>
      <c r="B13" s="4">
        <v>284504</v>
      </c>
      <c r="C13" s="4" t="s">
        <v>1023</v>
      </c>
      <c r="D13" s="9">
        <v>279</v>
      </c>
    </row>
    <row r="14" spans="1:4" x14ac:dyDescent="0.25">
      <c r="A14" s="4" t="s">
        <v>24</v>
      </c>
      <c r="B14" s="4">
        <v>284510</v>
      </c>
      <c r="C14" s="4" t="s">
        <v>1024</v>
      </c>
      <c r="D14" s="9">
        <v>214</v>
      </c>
    </row>
    <row r="15" spans="1:4" x14ac:dyDescent="0.25">
      <c r="A15" s="4" t="s">
        <v>24</v>
      </c>
      <c r="B15" s="4">
        <v>284512</v>
      </c>
      <c r="C15" s="4" t="s">
        <v>1025</v>
      </c>
      <c r="D15" s="9">
        <v>626</v>
      </c>
    </row>
    <row r="16" spans="1:4" x14ac:dyDescent="0.25">
      <c r="A16" s="4" t="s">
        <v>24</v>
      </c>
      <c r="B16" s="4">
        <v>284511</v>
      </c>
      <c r="C16" s="4" t="s">
        <v>1026</v>
      </c>
      <c r="D16" s="9">
        <v>269</v>
      </c>
    </row>
    <row r="17" spans="1:4" x14ac:dyDescent="0.25">
      <c r="A17" s="33" t="s">
        <v>24</v>
      </c>
      <c r="B17" s="35">
        <v>284508</v>
      </c>
      <c r="C17" s="33" t="s">
        <v>1027</v>
      </c>
      <c r="D17" s="34">
        <v>214</v>
      </c>
    </row>
    <row r="18" spans="1:4" x14ac:dyDescent="0.25">
      <c r="A18" s="4" t="s">
        <v>24</v>
      </c>
      <c r="B18" s="4">
        <v>284502</v>
      </c>
      <c r="C18" s="4" t="s">
        <v>1028</v>
      </c>
      <c r="D18" s="9">
        <v>1454</v>
      </c>
    </row>
    <row r="19" spans="1:4" x14ac:dyDescent="0.25">
      <c r="A19" s="4" t="s">
        <v>24</v>
      </c>
      <c r="B19" s="4">
        <v>284509</v>
      </c>
      <c r="C19" s="4" t="s">
        <v>1029</v>
      </c>
      <c r="D19" s="9">
        <v>505</v>
      </c>
    </row>
    <row r="20" spans="1:4" x14ac:dyDescent="0.25">
      <c r="A20" s="4" t="s">
        <v>24</v>
      </c>
      <c r="B20" s="4">
        <v>284506</v>
      </c>
      <c r="C20" s="4" t="s">
        <v>1030</v>
      </c>
      <c r="D20" s="9">
        <v>241</v>
      </c>
    </row>
    <row r="21" spans="1:4" x14ac:dyDescent="0.25">
      <c r="A21" s="4" t="s">
        <v>24</v>
      </c>
      <c r="B21" s="4">
        <v>284515</v>
      </c>
      <c r="C21" s="4" t="s">
        <v>1031</v>
      </c>
      <c r="D21" s="9">
        <v>315</v>
      </c>
    </row>
    <row r="22" spans="1:4" x14ac:dyDescent="0.25">
      <c r="A22" s="4" t="s">
        <v>24</v>
      </c>
      <c r="B22" s="4">
        <v>284514</v>
      </c>
      <c r="C22" s="4" t="s">
        <v>1032</v>
      </c>
      <c r="D22" s="9">
        <v>598</v>
      </c>
    </row>
    <row r="23" spans="1:4" x14ac:dyDescent="0.25">
      <c r="A23" s="4" t="s">
        <v>24</v>
      </c>
      <c r="B23" s="4">
        <v>284505</v>
      </c>
      <c r="C23" s="4" t="s">
        <v>1033</v>
      </c>
      <c r="D23" s="9">
        <v>790</v>
      </c>
    </row>
    <row r="24" spans="1:4" x14ac:dyDescent="0.25">
      <c r="A24" s="4" t="s">
        <v>24</v>
      </c>
      <c r="B24" s="4">
        <v>284503</v>
      </c>
      <c r="C24" s="4" t="s">
        <v>1034</v>
      </c>
      <c r="D24" s="9">
        <v>384</v>
      </c>
    </row>
    <row r="25" spans="1:4" x14ac:dyDescent="0.25">
      <c r="A25" s="4" t="s">
        <v>81</v>
      </c>
      <c r="B25" s="4">
        <v>283045</v>
      </c>
      <c r="C25" s="4" t="s">
        <v>1035</v>
      </c>
      <c r="D25" s="9">
        <v>30200</v>
      </c>
    </row>
    <row r="26" spans="1:4" x14ac:dyDescent="0.25">
      <c r="A26" s="33" t="s">
        <v>26</v>
      </c>
      <c r="B26" s="35">
        <v>284357</v>
      </c>
      <c r="C26" s="33" t="s">
        <v>1036</v>
      </c>
      <c r="D26" s="34">
        <v>595</v>
      </c>
    </row>
    <row r="27" spans="1:4" x14ac:dyDescent="0.25">
      <c r="A27" s="4" t="s">
        <v>26</v>
      </c>
      <c r="B27" s="4">
        <v>284356</v>
      </c>
      <c r="C27" s="4" t="s">
        <v>1037</v>
      </c>
      <c r="D27" s="9">
        <v>1795</v>
      </c>
    </row>
    <row r="28" spans="1:4" x14ac:dyDescent="0.25">
      <c r="A28" s="4" t="s">
        <v>180</v>
      </c>
      <c r="B28" s="4">
        <v>284723</v>
      </c>
      <c r="C28" s="4" t="s">
        <v>1038</v>
      </c>
      <c r="D28" s="9">
        <v>9110</v>
      </c>
    </row>
    <row r="29" spans="1:4" x14ac:dyDescent="0.25">
      <c r="A29" s="4" t="s">
        <v>180</v>
      </c>
      <c r="B29" s="4">
        <v>285051</v>
      </c>
      <c r="C29" s="4" t="s">
        <v>1039</v>
      </c>
      <c r="D29" s="9">
        <v>14950</v>
      </c>
    </row>
    <row r="30" spans="1:4" x14ac:dyDescent="0.25">
      <c r="A30" s="4" t="s">
        <v>180</v>
      </c>
      <c r="B30" s="4">
        <v>284830</v>
      </c>
      <c r="C30" s="4" t="s">
        <v>1040</v>
      </c>
      <c r="D30" s="9">
        <v>1880</v>
      </c>
    </row>
    <row r="31" spans="1:4" x14ac:dyDescent="0.25">
      <c r="A31" s="4" t="s">
        <v>180</v>
      </c>
      <c r="B31" s="4">
        <v>275978</v>
      </c>
      <c r="C31" s="4" t="s">
        <v>1041</v>
      </c>
      <c r="D31" s="9">
        <v>2195</v>
      </c>
    </row>
    <row r="32" spans="1:4" x14ac:dyDescent="0.25">
      <c r="A32" s="4" t="s">
        <v>718</v>
      </c>
      <c r="B32" s="4">
        <v>284729</v>
      </c>
      <c r="C32" s="4" t="s">
        <v>1042</v>
      </c>
      <c r="D32" s="9">
        <v>5772</v>
      </c>
    </row>
    <row r="33" spans="1:4" x14ac:dyDescent="0.25">
      <c r="A33" s="4" t="s">
        <v>718</v>
      </c>
      <c r="B33" s="4">
        <v>284733</v>
      </c>
      <c r="C33" s="4" t="s">
        <v>1043</v>
      </c>
      <c r="D33" s="9">
        <v>624</v>
      </c>
    </row>
    <row r="34" spans="1:4" x14ac:dyDescent="0.25">
      <c r="A34" s="4" t="s">
        <v>718</v>
      </c>
      <c r="B34" s="4">
        <v>284730</v>
      </c>
      <c r="C34" s="4" t="s">
        <v>1044</v>
      </c>
      <c r="D34" s="9">
        <v>13825</v>
      </c>
    </row>
    <row r="35" spans="1:4" x14ac:dyDescent="0.25">
      <c r="A35" s="4" t="s">
        <v>718</v>
      </c>
      <c r="B35" s="4">
        <v>284734</v>
      </c>
      <c r="C35" s="4" t="s">
        <v>1045</v>
      </c>
      <c r="D35" s="9">
        <v>936</v>
      </c>
    </row>
    <row r="36" spans="1:4" x14ac:dyDescent="0.25">
      <c r="A36" s="33" t="s">
        <v>718</v>
      </c>
      <c r="B36" s="35">
        <v>284732</v>
      </c>
      <c r="C36" s="33" t="s">
        <v>1046</v>
      </c>
      <c r="D36" s="34">
        <v>9672</v>
      </c>
    </row>
    <row r="37" spans="1:4" x14ac:dyDescent="0.25">
      <c r="A37" s="4" t="s">
        <v>1047</v>
      </c>
      <c r="B37" s="4">
        <v>284587</v>
      </c>
      <c r="C37" s="4" t="s">
        <v>1048</v>
      </c>
      <c r="D37" s="9">
        <v>2200</v>
      </c>
    </row>
    <row r="38" spans="1:4" x14ac:dyDescent="0.25">
      <c r="A38" s="4" t="s">
        <v>86</v>
      </c>
      <c r="B38" s="4">
        <v>276765</v>
      </c>
      <c r="C38" s="4" t="s">
        <v>1005</v>
      </c>
      <c r="D38" s="9">
        <v>800</v>
      </c>
    </row>
    <row r="39" spans="1:4" x14ac:dyDescent="0.25">
      <c r="A39" s="4" t="s">
        <v>86</v>
      </c>
      <c r="B39" s="4">
        <v>276762</v>
      </c>
      <c r="C39" s="4" t="s">
        <v>1006</v>
      </c>
      <c r="D39" s="9">
        <v>1680</v>
      </c>
    </row>
    <row r="40" spans="1:4" x14ac:dyDescent="0.25">
      <c r="A40" s="4" t="s">
        <v>86</v>
      </c>
      <c r="B40" s="4">
        <v>276784</v>
      </c>
      <c r="C40" s="4" t="s">
        <v>1007</v>
      </c>
      <c r="D40" s="9">
        <v>5700</v>
      </c>
    </row>
    <row r="41" spans="1:4" x14ac:dyDescent="0.25">
      <c r="A41" s="4" t="s">
        <v>86</v>
      </c>
      <c r="B41" s="4">
        <v>276958</v>
      </c>
      <c r="C41" s="4" t="s">
        <v>1008</v>
      </c>
      <c r="D41" s="9">
        <v>4810</v>
      </c>
    </row>
    <row r="42" spans="1:4" x14ac:dyDescent="0.25">
      <c r="A42" s="4" t="s">
        <v>86</v>
      </c>
      <c r="B42" s="4">
        <v>276781</v>
      </c>
      <c r="C42" s="4" t="s">
        <v>1009</v>
      </c>
      <c r="D42" s="9">
        <v>1235</v>
      </c>
    </row>
    <row r="43" spans="1:4" x14ac:dyDescent="0.25">
      <c r="A43" s="33" t="s">
        <v>86</v>
      </c>
      <c r="B43" s="35">
        <v>276780</v>
      </c>
      <c r="C43" s="33" t="s">
        <v>1010</v>
      </c>
      <c r="D43" s="34">
        <v>4350</v>
      </c>
    </row>
    <row r="44" spans="1:4" x14ac:dyDescent="0.25">
      <c r="A44" s="4" t="s">
        <v>86</v>
      </c>
      <c r="B44" s="4">
        <v>276768</v>
      </c>
      <c r="C44" s="4" t="s">
        <v>1011</v>
      </c>
      <c r="D44" s="9">
        <v>3815</v>
      </c>
    </row>
    <row r="45" spans="1:4" x14ac:dyDescent="0.25">
      <c r="A45" s="4" t="s">
        <v>86</v>
      </c>
      <c r="B45" s="4">
        <v>278724</v>
      </c>
      <c r="C45" s="4" t="s">
        <v>1012</v>
      </c>
      <c r="D45" s="9">
        <v>3675</v>
      </c>
    </row>
    <row r="46" spans="1:4" x14ac:dyDescent="0.25">
      <c r="A46" s="4" t="s">
        <v>86</v>
      </c>
      <c r="B46" s="4">
        <v>276767</v>
      </c>
      <c r="C46" s="4" t="s">
        <v>1013</v>
      </c>
      <c r="D46" s="9">
        <v>4300</v>
      </c>
    </row>
    <row r="47" spans="1:4" x14ac:dyDescent="0.25">
      <c r="A47" s="4" t="s">
        <v>86</v>
      </c>
      <c r="B47" s="4">
        <v>276760</v>
      </c>
      <c r="C47" s="4" t="s">
        <v>1014</v>
      </c>
      <c r="D47" s="9">
        <v>3535</v>
      </c>
    </row>
    <row r="48" spans="1:4" x14ac:dyDescent="0.25">
      <c r="A48" s="4" t="s">
        <v>315</v>
      </c>
      <c r="B48" s="4">
        <v>272388</v>
      </c>
      <c r="C48" s="4" t="s">
        <v>1049</v>
      </c>
      <c r="D48" s="9">
        <v>3285</v>
      </c>
    </row>
    <row r="49" spans="1:4" x14ac:dyDescent="0.25">
      <c r="A49" s="4" t="s">
        <v>315</v>
      </c>
      <c r="B49" s="4">
        <v>278797</v>
      </c>
      <c r="C49" s="4" t="s">
        <v>1050</v>
      </c>
      <c r="D49" s="9">
        <v>2185</v>
      </c>
    </row>
    <row r="50" spans="1:4" x14ac:dyDescent="0.25">
      <c r="A50" s="4" t="s">
        <v>832</v>
      </c>
      <c r="B50" s="4">
        <v>276753</v>
      </c>
      <c r="C50" s="4" t="s">
        <v>1051</v>
      </c>
      <c r="D50" s="9">
        <v>1120</v>
      </c>
    </row>
    <row r="51" spans="1:4" x14ac:dyDescent="0.25">
      <c r="A51" s="4" t="s">
        <v>832</v>
      </c>
      <c r="B51" s="4">
        <v>282742</v>
      </c>
      <c r="C51" s="4" t="s">
        <v>994</v>
      </c>
      <c r="D51" s="9">
        <v>0</v>
      </c>
    </row>
    <row r="52" spans="1:4" x14ac:dyDescent="0.25">
      <c r="A52" s="4" t="s">
        <v>832</v>
      </c>
      <c r="B52" s="4">
        <v>276775</v>
      </c>
      <c r="C52" s="4" t="s">
        <v>1052</v>
      </c>
      <c r="D52" s="9">
        <v>3600</v>
      </c>
    </row>
    <row r="53" spans="1:4" x14ac:dyDescent="0.25">
      <c r="A53" s="33" t="s">
        <v>832</v>
      </c>
      <c r="B53" s="35">
        <v>276371</v>
      </c>
      <c r="C53" s="33" t="s">
        <v>962</v>
      </c>
      <c r="D53" s="34">
        <v>295</v>
      </c>
    </row>
    <row r="54" spans="1:4" x14ac:dyDescent="0.25">
      <c r="A54" s="4" t="s">
        <v>832</v>
      </c>
      <c r="B54" s="4">
        <v>282492</v>
      </c>
      <c r="C54" s="4" t="s">
        <v>1053</v>
      </c>
      <c r="D54" s="9">
        <v>10285</v>
      </c>
    </row>
    <row r="55" spans="1:4" x14ac:dyDescent="0.25">
      <c r="A55" s="4" t="s">
        <v>1054</v>
      </c>
      <c r="B55" s="4">
        <v>277191</v>
      </c>
      <c r="C55" s="4" t="s">
        <v>1055</v>
      </c>
      <c r="D55" s="9">
        <v>13160</v>
      </c>
    </row>
    <row r="56" spans="1:4" x14ac:dyDescent="0.25">
      <c r="A56" s="4" t="s">
        <v>43</v>
      </c>
      <c r="B56" s="4">
        <v>276746</v>
      </c>
      <c r="C56" s="4" t="s">
        <v>1056</v>
      </c>
      <c r="D56" s="9">
        <v>1695</v>
      </c>
    </row>
    <row r="57" spans="1:4" x14ac:dyDescent="0.25">
      <c r="A57" s="4" t="s">
        <v>995</v>
      </c>
      <c r="B57" s="4">
        <v>282137</v>
      </c>
      <c r="C57" s="4" t="s">
        <v>980</v>
      </c>
      <c r="D57" s="9">
        <v>1280</v>
      </c>
    </row>
    <row r="58" spans="1:4" x14ac:dyDescent="0.25">
      <c r="A58" s="4" t="s">
        <v>1057</v>
      </c>
      <c r="B58" s="4">
        <v>278824</v>
      </c>
      <c r="C58" s="4" t="s">
        <v>1058</v>
      </c>
      <c r="D58" s="9">
        <v>4700</v>
      </c>
    </row>
    <row r="59" spans="1:4" x14ac:dyDescent="0.25">
      <c r="A59" s="4" t="s">
        <v>1057</v>
      </c>
      <c r="B59" s="4">
        <v>278820</v>
      </c>
      <c r="C59" s="4" t="s">
        <v>1059</v>
      </c>
      <c r="D59" s="9">
        <v>2520</v>
      </c>
    </row>
    <row r="60" spans="1:4" x14ac:dyDescent="0.25">
      <c r="A60" s="4" t="s">
        <v>332</v>
      </c>
      <c r="B60" s="4">
        <v>275738</v>
      </c>
      <c r="C60" s="4" t="s">
        <v>1060</v>
      </c>
      <c r="D60" s="9">
        <v>18935</v>
      </c>
    </row>
    <row r="61" spans="1:4" x14ac:dyDescent="0.25">
      <c r="A61" s="4" t="s">
        <v>61</v>
      </c>
      <c r="B61" s="4">
        <v>284811</v>
      </c>
      <c r="C61" s="4" t="s">
        <v>1061</v>
      </c>
      <c r="D61" s="9">
        <v>1695</v>
      </c>
    </row>
    <row r="62" spans="1:4" x14ac:dyDescent="0.25">
      <c r="A62" s="33" t="s">
        <v>61</v>
      </c>
      <c r="B62" s="35">
        <v>285007</v>
      </c>
      <c r="C62" s="33" t="s">
        <v>1062</v>
      </c>
      <c r="D62" s="34">
        <v>910</v>
      </c>
    </row>
    <row r="63" spans="1:4" x14ac:dyDescent="0.25">
      <c r="A63" s="4" t="s">
        <v>61</v>
      </c>
      <c r="B63" s="4">
        <v>285026</v>
      </c>
      <c r="C63" s="4" t="s">
        <v>1063</v>
      </c>
      <c r="D63" s="9">
        <v>17024</v>
      </c>
    </row>
    <row r="64" spans="1:4" x14ac:dyDescent="0.25">
      <c r="A64" s="4" t="s">
        <v>61</v>
      </c>
      <c r="B64" s="4">
        <v>285009</v>
      </c>
      <c r="C64" s="4" t="s">
        <v>1064</v>
      </c>
      <c r="D64" s="9">
        <v>695</v>
      </c>
    </row>
    <row r="65" spans="1:4" x14ac:dyDescent="0.25">
      <c r="A65" s="4" t="s">
        <v>61</v>
      </c>
      <c r="B65" s="4">
        <v>285002</v>
      </c>
      <c r="C65" s="4" t="s">
        <v>1065</v>
      </c>
      <c r="D65" s="9">
        <v>1685</v>
      </c>
    </row>
    <row r="66" spans="1:4" x14ac:dyDescent="0.25">
      <c r="A66" s="4" t="s">
        <v>61</v>
      </c>
      <c r="B66" s="4">
        <v>285046</v>
      </c>
      <c r="C66" s="4" t="s">
        <v>1066</v>
      </c>
      <c r="D66" s="9">
        <v>5934</v>
      </c>
    </row>
    <row r="67" spans="1:4" x14ac:dyDescent="0.25">
      <c r="A67" s="4" t="s">
        <v>61</v>
      </c>
      <c r="B67" s="4">
        <v>285006</v>
      </c>
      <c r="C67" s="4" t="s">
        <v>1067</v>
      </c>
      <c r="D67" s="9">
        <v>1095</v>
      </c>
    </row>
    <row r="68" spans="1:4" x14ac:dyDescent="0.25">
      <c r="A68" s="4" t="s">
        <v>61</v>
      </c>
      <c r="B68" s="4">
        <v>285099</v>
      </c>
      <c r="C68" s="4" t="s">
        <v>1068</v>
      </c>
      <c r="D68" s="9">
        <v>13632</v>
      </c>
    </row>
    <row r="69" spans="1:4" x14ac:dyDescent="0.25">
      <c r="A69" s="4" t="s">
        <v>332</v>
      </c>
      <c r="B69" s="4">
        <v>265409</v>
      </c>
      <c r="C69" s="4" t="s">
        <v>946</v>
      </c>
      <c r="D69" s="9">
        <v>12212</v>
      </c>
    </row>
    <row r="70" spans="1:4" x14ac:dyDescent="0.25">
      <c r="C70" s="31" t="s">
        <v>83</v>
      </c>
      <c r="D70" s="32">
        <f>SUM(D4:D69)</f>
        <v>294501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6806-785F-497F-B817-C7F1C7450C09}">
  <dimension ref="A3:D54"/>
  <sheetViews>
    <sheetView zoomScaleNormal="100" zoomScaleSheetLayoutView="100" workbookViewId="0">
      <selection activeCell="A71" sqref="A71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336</v>
      </c>
      <c r="B4" s="4">
        <v>284659</v>
      </c>
      <c r="C4" s="4" t="s">
        <v>1069</v>
      </c>
      <c r="D4" s="9">
        <v>1125</v>
      </c>
    </row>
    <row r="5" spans="1:4" x14ac:dyDescent="0.25">
      <c r="A5" s="4" t="s">
        <v>336</v>
      </c>
      <c r="B5" s="4">
        <v>284658</v>
      </c>
      <c r="C5" s="4" t="s">
        <v>1070</v>
      </c>
      <c r="D5" s="9">
        <v>1041</v>
      </c>
    </row>
    <row r="6" spans="1:4" x14ac:dyDescent="0.25">
      <c r="A6" s="4" t="s">
        <v>336</v>
      </c>
      <c r="B6" s="4">
        <v>284643</v>
      </c>
      <c r="C6" s="4" t="s">
        <v>999</v>
      </c>
      <c r="D6" s="9">
        <v>5542</v>
      </c>
    </row>
    <row r="7" spans="1:4" x14ac:dyDescent="0.25">
      <c r="A7" s="33" t="s">
        <v>24</v>
      </c>
      <c r="B7" s="35">
        <v>284509</v>
      </c>
      <c r="C7" s="33" t="s">
        <v>1029</v>
      </c>
      <c r="D7" s="34">
        <v>505</v>
      </c>
    </row>
    <row r="8" spans="1:4" x14ac:dyDescent="0.25">
      <c r="A8" s="4" t="s">
        <v>24</v>
      </c>
      <c r="B8" s="4">
        <v>284515</v>
      </c>
      <c r="C8" s="4" t="s">
        <v>1031</v>
      </c>
      <c r="D8" s="9">
        <v>315</v>
      </c>
    </row>
    <row r="9" spans="1:4" x14ac:dyDescent="0.25">
      <c r="A9" s="4" t="s">
        <v>24</v>
      </c>
      <c r="B9" s="4">
        <v>284514</v>
      </c>
      <c r="C9" s="4" t="s">
        <v>1032</v>
      </c>
      <c r="D9" s="9">
        <v>598</v>
      </c>
    </row>
    <row r="10" spans="1:4" x14ac:dyDescent="0.25">
      <c r="A10" s="4" t="s">
        <v>24</v>
      </c>
      <c r="B10" s="4">
        <v>284500</v>
      </c>
      <c r="C10" s="4" t="s">
        <v>1071</v>
      </c>
      <c r="D10" s="9">
        <v>1056</v>
      </c>
    </row>
    <row r="11" spans="1:4" x14ac:dyDescent="0.25">
      <c r="A11" s="4" t="s">
        <v>24</v>
      </c>
      <c r="B11" s="4">
        <v>284501</v>
      </c>
      <c r="C11" s="4" t="s">
        <v>1072</v>
      </c>
      <c r="D11" s="9">
        <v>313</v>
      </c>
    </row>
    <row r="12" spans="1:4" x14ac:dyDescent="0.25">
      <c r="A12" s="4" t="s">
        <v>24</v>
      </c>
      <c r="B12" s="4">
        <v>284507</v>
      </c>
      <c r="C12" s="4" t="s">
        <v>1073</v>
      </c>
      <c r="D12" s="9">
        <v>976</v>
      </c>
    </row>
    <row r="13" spans="1:4" x14ac:dyDescent="0.25">
      <c r="A13" s="4" t="s">
        <v>24</v>
      </c>
      <c r="B13" s="4">
        <v>284516</v>
      </c>
      <c r="C13" s="4" t="s">
        <v>1074</v>
      </c>
      <c r="D13" s="9">
        <v>746</v>
      </c>
    </row>
    <row r="14" spans="1:4" x14ac:dyDescent="0.25">
      <c r="A14" s="4" t="s">
        <v>24</v>
      </c>
      <c r="B14" s="4">
        <v>284504</v>
      </c>
      <c r="C14" s="4" t="s">
        <v>1075</v>
      </c>
      <c r="D14" s="9">
        <v>279</v>
      </c>
    </row>
    <row r="15" spans="1:4" x14ac:dyDescent="0.25">
      <c r="A15" s="4" t="s">
        <v>24</v>
      </c>
      <c r="B15" s="4">
        <v>284510</v>
      </c>
      <c r="C15" s="4" t="s">
        <v>1076</v>
      </c>
      <c r="D15" s="9">
        <v>214</v>
      </c>
    </row>
    <row r="16" spans="1:4" x14ac:dyDescent="0.25">
      <c r="A16" s="4" t="s">
        <v>24</v>
      </c>
      <c r="B16" s="4">
        <v>284512</v>
      </c>
      <c r="C16" s="4" t="s">
        <v>1077</v>
      </c>
      <c r="D16" s="9">
        <v>434</v>
      </c>
    </row>
    <row r="17" spans="1:4" x14ac:dyDescent="0.25">
      <c r="A17" s="33" t="s">
        <v>24</v>
      </c>
      <c r="B17" s="35">
        <v>284511</v>
      </c>
      <c r="C17" s="33" t="s">
        <v>1078</v>
      </c>
      <c r="D17" s="34">
        <v>269</v>
      </c>
    </row>
    <row r="18" spans="1:4" x14ac:dyDescent="0.25">
      <c r="A18" s="4" t="s">
        <v>24</v>
      </c>
      <c r="B18" s="4">
        <v>284508</v>
      </c>
      <c r="C18" s="4" t="s">
        <v>1079</v>
      </c>
      <c r="D18" s="9">
        <v>214</v>
      </c>
    </row>
    <row r="19" spans="1:4" x14ac:dyDescent="0.25">
      <c r="A19" s="4" t="s">
        <v>24</v>
      </c>
      <c r="B19" s="4">
        <v>284502</v>
      </c>
      <c r="C19" s="4" t="s">
        <v>1080</v>
      </c>
      <c r="D19" s="9">
        <v>1454</v>
      </c>
    </row>
    <row r="20" spans="1:4" x14ac:dyDescent="0.25">
      <c r="A20" s="4" t="s">
        <v>24</v>
      </c>
      <c r="B20" s="4">
        <v>284506</v>
      </c>
      <c r="C20" s="4" t="s">
        <v>1081</v>
      </c>
      <c r="D20" s="9">
        <v>241</v>
      </c>
    </row>
    <row r="21" spans="1:4" x14ac:dyDescent="0.25">
      <c r="A21" s="4" t="s">
        <v>24</v>
      </c>
      <c r="B21" s="4">
        <v>285031</v>
      </c>
      <c r="C21" s="4" t="s">
        <v>1082</v>
      </c>
      <c r="D21" s="9">
        <v>8388</v>
      </c>
    </row>
    <row r="22" spans="1:4" x14ac:dyDescent="0.25">
      <c r="A22" s="4" t="s">
        <v>24</v>
      </c>
      <c r="B22" s="4">
        <v>284997</v>
      </c>
      <c r="C22" s="4" t="s">
        <v>1083</v>
      </c>
      <c r="D22" s="9">
        <v>2595</v>
      </c>
    </row>
    <row r="23" spans="1:4" x14ac:dyDescent="0.25">
      <c r="A23" s="4" t="s">
        <v>24</v>
      </c>
      <c r="B23" s="4">
        <v>285005</v>
      </c>
      <c r="C23" s="4" t="s">
        <v>1084</v>
      </c>
      <c r="D23" s="9">
        <v>17287</v>
      </c>
    </row>
    <row r="24" spans="1:4" x14ac:dyDescent="0.25">
      <c r="A24" s="4" t="s">
        <v>24</v>
      </c>
      <c r="B24" s="4">
        <v>284998</v>
      </c>
      <c r="C24" s="4" t="s">
        <v>1085</v>
      </c>
      <c r="D24" s="9">
        <v>53982</v>
      </c>
    </row>
    <row r="25" spans="1:4" x14ac:dyDescent="0.25">
      <c r="A25" s="4" t="s">
        <v>24</v>
      </c>
      <c r="B25" s="4">
        <v>285017</v>
      </c>
      <c r="C25" s="4" t="s">
        <v>1086</v>
      </c>
      <c r="D25" s="9">
        <v>19099</v>
      </c>
    </row>
    <row r="26" spans="1:4" x14ac:dyDescent="0.25">
      <c r="A26" s="33" t="s">
        <v>24</v>
      </c>
      <c r="B26" s="35">
        <v>285019</v>
      </c>
      <c r="C26" s="33" t="s">
        <v>1087</v>
      </c>
      <c r="D26" s="34">
        <v>7874</v>
      </c>
    </row>
    <row r="27" spans="1:4" x14ac:dyDescent="0.25">
      <c r="A27" s="4" t="s">
        <v>24</v>
      </c>
      <c r="B27" s="4">
        <v>284505</v>
      </c>
      <c r="C27" s="4" t="s">
        <v>1088</v>
      </c>
      <c r="D27" s="9">
        <v>790</v>
      </c>
    </row>
    <row r="28" spans="1:4" x14ac:dyDescent="0.25">
      <c r="A28" s="4" t="s">
        <v>24</v>
      </c>
      <c r="B28" s="4">
        <v>284503</v>
      </c>
      <c r="C28" s="4" t="s">
        <v>1089</v>
      </c>
      <c r="D28" s="9">
        <v>384</v>
      </c>
    </row>
    <row r="29" spans="1:4" x14ac:dyDescent="0.25">
      <c r="A29" s="4" t="s">
        <v>111</v>
      </c>
      <c r="B29" s="4">
        <v>285320</v>
      </c>
      <c r="C29" s="4" t="s">
        <v>1090</v>
      </c>
      <c r="D29" s="9">
        <v>10649</v>
      </c>
    </row>
    <row r="30" spans="1:4" x14ac:dyDescent="0.25">
      <c r="A30" s="4" t="s">
        <v>177</v>
      </c>
      <c r="B30" s="4">
        <v>285258</v>
      </c>
      <c r="C30" s="4" t="s">
        <v>1091</v>
      </c>
      <c r="D30" s="9">
        <v>2900</v>
      </c>
    </row>
    <row r="31" spans="1:4" x14ac:dyDescent="0.25">
      <c r="A31" s="4" t="s">
        <v>177</v>
      </c>
      <c r="B31" s="4">
        <v>285345</v>
      </c>
      <c r="C31" s="4" t="s">
        <v>1092</v>
      </c>
      <c r="D31" s="9">
        <v>2625</v>
      </c>
    </row>
    <row r="32" spans="1:4" x14ac:dyDescent="0.25">
      <c r="A32" s="4" t="s">
        <v>718</v>
      </c>
      <c r="B32" s="4">
        <v>284729</v>
      </c>
      <c r="C32" s="4" t="s">
        <v>1042</v>
      </c>
      <c r="D32" s="9">
        <v>5772</v>
      </c>
    </row>
    <row r="33" spans="1:4" x14ac:dyDescent="0.25">
      <c r="A33" s="4" t="s">
        <v>718</v>
      </c>
      <c r="B33" s="4">
        <v>284733</v>
      </c>
      <c r="C33" s="4" t="s">
        <v>1043</v>
      </c>
      <c r="D33" s="9">
        <v>624</v>
      </c>
    </row>
    <row r="34" spans="1:4" x14ac:dyDescent="0.25">
      <c r="A34" s="4" t="s">
        <v>718</v>
      </c>
      <c r="B34" s="4">
        <v>284730</v>
      </c>
      <c r="C34" s="4" t="s">
        <v>1044</v>
      </c>
      <c r="D34" s="9">
        <v>13825</v>
      </c>
    </row>
    <row r="35" spans="1:4" x14ac:dyDescent="0.25">
      <c r="A35" s="4" t="s">
        <v>718</v>
      </c>
      <c r="B35" s="4">
        <v>284734</v>
      </c>
      <c r="C35" s="4" t="s">
        <v>1045</v>
      </c>
      <c r="D35" s="9">
        <v>936</v>
      </c>
    </row>
    <row r="36" spans="1:4" x14ac:dyDescent="0.25">
      <c r="A36" s="33" t="s">
        <v>718</v>
      </c>
      <c r="B36" s="35">
        <v>284732</v>
      </c>
      <c r="C36" s="33" t="s">
        <v>1046</v>
      </c>
      <c r="D36" s="34">
        <v>9672</v>
      </c>
    </row>
    <row r="37" spans="1:4" x14ac:dyDescent="0.25">
      <c r="A37" s="4" t="s">
        <v>1093</v>
      </c>
      <c r="B37" s="4">
        <v>285140</v>
      </c>
      <c r="C37" s="4" t="s">
        <v>1094</v>
      </c>
      <c r="D37" s="9">
        <v>2200</v>
      </c>
    </row>
    <row r="38" spans="1:4" x14ac:dyDescent="0.25">
      <c r="A38" s="4" t="s">
        <v>1047</v>
      </c>
      <c r="B38" s="4">
        <v>282314</v>
      </c>
      <c r="C38" s="4" t="s">
        <v>1095</v>
      </c>
      <c r="D38" s="9">
        <v>4800</v>
      </c>
    </row>
    <row r="39" spans="1:4" x14ac:dyDescent="0.25">
      <c r="A39" s="4" t="s">
        <v>1047</v>
      </c>
      <c r="B39" s="4">
        <v>284587</v>
      </c>
      <c r="C39" s="4" t="s">
        <v>1048</v>
      </c>
      <c r="D39" s="9">
        <v>2200</v>
      </c>
    </row>
    <row r="40" spans="1:4" x14ac:dyDescent="0.25">
      <c r="A40" s="4" t="s">
        <v>86</v>
      </c>
      <c r="B40" s="4">
        <v>276765</v>
      </c>
      <c r="C40" s="4" t="s">
        <v>1005</v>
      </c>
      <c r="D40" s="9">
        <v>800</v>
      </c>
    </row>
    <row r="41" spans="1:4" x14ac:dyDescent="0.25">
      <c r="A41" s="4" t="s">
        <v>86</v>
      </c>
      <c r="B41" s="4">
        <v>276762</v>
      </c>
      <c r="C41" s="4" t="s">
        <v>1006</v>
      </c>
      <c r="D41" s="9">
        <v>1680</v>
      </c>
    </row>
    <row r="42" spans="1:4" x14ac:dyDescent="0.25">
      <c r="A42" s="4" t="s">
        <v>86</v>
      </c>
      <c r="B42" s="4">
        <v>276784</v>
      </c>
      <c r="C42" s="4" t="s">
        <v>1007</v>
      </c>
      <c r="D42" s="9">
        <v>5700</v>
      </c>
    </row>
    <row r="43" spans="1:4" x14ac:dyDescent="0.25">
      <c r="A43" s="33" t="s">
        <v>86</v>
      </c>
      <c r="B43" s="35">
        <v>276958</v>
      </c>
      <c r="C43" s="33" t="s">
        <v>1008</v>
      </c>
      <c r="D43" s="34">
        <v>4810</v>
      </c>
    </row>
    <row r="44" spans="1:4" x14ac:dyDescent="0.25">
      <c r="A44" s="4" t="s">
        <v>86</v>
      </c>
      <c r="B44" s="4">
        <v>276781</v>
      </c>
      <c r="C44" s="4" t="s">
        <v>1009</v>
      </c>
      <c r="D44" s="9">
        <v>1235</v>
      </c>
    </row>
    <row r="45" spans="1:4" x14ac:dyDescent="0.25">
      <c r="A45" s="4" t="s">
        <v>86</v>
      </c>
      <c r="B45" s="4">
        <v>276780</v>
      </c>
      <c r="C45" s="4" t="s">
        <v>1010</v>
      </c>
      <c r="D45" s="9">
        <v>4350</v>
      </c>
    </row>
    <row r="46" spans="1:4" x14ac:dyDescent="0.25">
      <c r="A46" s="4" t="s">
        <v>86</v>
      </c>
      <c r="B46" s="4">
        <v>276768</v>
      </c>
      <c r="C46" s="4" t="s">
        <v>1011</v>
      </c>
      <c r="D46" s="9">
        <v>3815</v>
      </c>
    </row>
    <row r="47" spans="1:4" x14ac:dyDescent="0.25">
      <c r="A47" s="4" t="s">
        <v>86</v>
      </c>
      <c r="B47" s="4">
        <v>278724</v>
      </c>
      <c r="C47" s="4" t="s">
        <v>1012</v>
      </c>
      <c r="D47" s="9">
        <v>3675</v>
      </c>
    </row>
    <row r="48" spans="1:4" x14ac:dyDescent="0.25">
      <c r="A48" s="4" t="s">
        <v>86</v>
      </c>
      <c r="B48" s="4">
        <v>276767</v>
      </c>
      <c r="C48" s="4" t="s">
        <v>1013</v>
      </c>
      <c r="D48" s="9">
        <v>4300</v>
      </c>
    </row>
    <row r="49" spans="1:4" x14ac:dyDescent="0.25">
      <c r="A49" s="4" t="s">
        <v>86</v>
      </c>
      <c r="B49" s="4">
        <v>276760</v>
      </c>
      <c r="C49" s="4" t="s">
        <v>1014</v>
      </c>
      <c r="D49" s="9">
        <v>3535</v>
      </c>
    </row>
    <row r="50" spans="1:4" x14ac:dyDescent="0.25">
      <c r="A50" s="4" t="s">
        <v>832</v>
      </c>
      <c r="B50" s="4">
        <v>276371</v>
      </c>
      <c r="C50" s="4" t="s">
        <v>962</v>
      </c>
      <c r="D50" s="9">
        <v>295</v>
      </c>
    </row>
    <row r="51" spans="1:4" x14ac:dyDescent="0.25">
      <c r="A51" s="4" t="s">
        <v>279</v>
      </c>
      <c r="B51" s="4">
        <v>278518</v>
      </c>
      <c r="C51" s="4" t="s">
        <v>1096</v>
      </c>
      <c r="D51" s="9">
        <v>1900</v>
      </c>
    </row>
    <row r="52" spans="1:4" x14ac:dyDescent="0.25">
      <c r="A52" s="4" t="s">
        <v>61</v>
      </c>
      <c r="B52" s="4">
        <v>285471</v>
      </c>
      <c r="C52" s="4" t="s">
        <v>1097</v>
      </c>
      <c r="D52" s="9">
        <v>8677</v>
      </c>
    </row>
    <row r="53" spans="1:4" x14ac:dyDescent="0.25">
      <c r="A53" s="33" t="s">
        <v>332</v>
      </c>
      <c r="B53" s="35">
        <v>265409</v>
      </c>
      <c r="C53" s="33" t="s">
        <v>946</v>
      </c>
      <c r="D53" s="34">
        <v>12212</v>
      </c>
    </row>
    <row r="54" spans="1:4" x14ac:dyDescent="0.25">
      <c r="C54" s="31" t="s">
        <v>83</v>
      </c>
      <c r="D54" s="32">
        <f>SUM(D4:D53)</f>
        <v>238908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A63E-F1B6-444E-8565-26C31EDACC06}">
  <dimension ref="A3:D25"/>
  <sheetViews>
    <sheetView zoomScaleNormal="100" zoomScaleSheetLayoutView="100" workbookViewId="0">
      <selection activeCell="A4" sqref="A4:D24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61</v>
      </c>
      <c r="B4" s="4">
        <v>285785</v>
      </c>
      <c r="C4" s="4" t="s">
        <v>1108</v>
      </c>
      <c r="D4" s="9">
        <v>5085</v>
      </c>
    </row>
    <row r="5" spans="1:4" x14ac:dyDescent="0.25">
      <c r="A5" s="4" t="s">
        <v>61</v>
      </c>
      <c r="B5" s="4">
        <v>285797</v>
      </c>
      <c r="C5" s="4" t="s">
        <v>865</v>
      </c>
      <c r="D5" s="9">
        <v>1685</v>
      </c>
    </row>
    <row r="6" spans="1:4" x14ac:dyDescent="0.25">
      <c r="A6" s="4" t="s">
        <v>61</v>
      </c>
      <c r="B6" s="4">
        <v>285800</v>
      </c>
      <c r="C6" s="4" t="s">
        <v>1109</v>
      </c>
      <c r="D6" s="9">
        <v>3245</v>
      </c>
    </row>
    <row r="7" spans="1:4" x14ac:dyDescent="0.25">
      <c r="A7" s="33" t="s">
        <v>61</v>
      </c>
      <c r="B7" s="35">
        <v>285783</v>
      </c>
      <c r="C7" s="33" t="s">
        <v>1110</v>
      </c>
      <c r="D7" s="34">
        <v>695</v>
      </c>
    </row>
    <row r="8" spans="1:4" x14ac:dyDescent="0.25">
      <c r="A8" s="4" t="s">
        <v>61</v>
      </c>
      <c r="B8" s="4">
        <v>285796</v>
      </c>
      <c r="C8" s="4" t="s">
        <v>1111</v>
      </c>
      <c r="D8" s="9">
        <v>590</v>
      </c>
    </row>
    <row r="9" spans="1:4" x14ac:dyDescent="0.25">
      <c r="A9" s="4" t="s">
        <v>61</v>
      </c>
      <c r="B9" s="4">
        <v>285784</v>
      </c>
      <c r="C9" s="4" t="s">
        <v>1112</v>
      </c>
      <c r="D9" s="9">
        <v>295</v>
      </c>
    </row>
    <row r="10" spans="1:4" x14ac:dyDescent="0.25">
      <c r="A10" s="4" t="s">
        <v>61</v>
      </c>
      <c r="B10" s="4">
        <v>285790</v>
      </c>
      <c r="C10" s="4" t="s">
        <v>1113</v>
      </c>
      <c r="D10" s="9">
        <v>295</v>
      </c>
    </row>
    <row r="11" spans="1:4" x14ac:dyDescent="0.25">
      <c r="A11" s="4" t="s">
        <v>61</v>
      </c>
      <c r="B11" s="4">
        <v>285734</v>
      </c>
      <c r="C11" s="4" t="s">
        <v>1114</v>
      </c>
      <c r="D11" s="9">
        <v>1125</v>
      </c>
    </row>
    <row r="12" spans="1:4" x14ac:dyDescent="0.25">
      <c r="A12" s="4" t="s">
        <v>336</v>
      </c>
      <c r="B12" s="4">
        <v>285395</v>
      </c>
      <c r="C12" s="4" t="s">
        <v>1098</v>
      </c>
      <c r="D12" s="9">
        <v>1522</v>
      </c>
    </row>
    <row r="13" spans="1:4" x14ac:dyDescent="0.25">
      <c r="A13" s="4" t="s">
        <v>111</v>
      </c>
      <c r="B13" s="4">
        <v>285320</v>
      </c>
      <c r="C13" s="4" t="s">
        <v>1090</v>
      </c>
      <c r="D13" s="9">
        <v>10649</v>
      </c>
    </row>
    <row r="14" spans="1:4" x14ac:dyDescent="0.25">
      <c r="A14" s="4" t="s">
        <v>111</v>
      </c>
      <c r="B14" s="4">
        <v>285846</v>
      </c>
      <c r="C14" s="4" t="s">
        <v>1099</v>
      </c>
      <c r="D14" s="9">
        <v>957</v>
      </c>
    </row>
    <row r="15" spans="1:4" x14ac:dyDescent="0.25">
      <c r="A15" s="4" t="s">
        <v>111</v>
      </c>
      <c r="B15" s="4">
        <v>285356</v>
      </c>
      <c r="C15" s="4" t="s">
        <v>1100</v>
      </c>
      <c r="D15" s="9">
        <v>1087</v>
      </c>
    </row>
    <row r="16" spans="1:4" x14ac:dyDescent="0.25">
      <c r="A16" s="4" t="s">
        <v>111</v>
      </c>
      <c r="B16" s="4">
        <v>285813</v>
      </c>
      <c r="C16" s="4" t="s">
        <v>1115</v>
      </c>
      <c r="D16" s="9">
        <v>420</v>
      </c>
    </row>
    <row r="17" spans="1:4" x14ac:dyDescent="0.25">
      <c r="A17" s="33" t="s">
        <v>1101</v>
      </c>
      <c r="B17" s="35">
        <v>275714</v>
      </c>
      <c r="C17" s="33" t="s">
        <v>1102</v>
      </c>
      <c r="D17" s="34">
        <v>14096</v>
      </c>
    </row>
    <row r="18" spans="1:4" x14ac:dyDescent="0.25">
      <c r="A18" s="4" t="s">
        <v>1047</v>
      </c>
      <c r="B18" s="4">
        <v>282314</v>
      </c>
      <c r="C18" s="4" t="s">
        <v>1095</v>
      </c>
      <c r="D18" s="9">
        <v>4800</v>
      </c>
    </row>
    <row r="19" spans="1:4" x14ac:dyDescent="0.25">
      <c r="A19" s="4" t="s">
        <v>1047</v>
      </c>
      <c r="B19" s="4">
        <v>284587</v>
      </c>
      <c r="C19" s="4" t="s">
        <v>1048</v>
      </c>
      <c r="D19" s="9">
        <v>2200</v>
      </c>
    </row>
    <row r="20" spans="1:4" x14ac:dyDescent="0.25">
      <c r="A20" s="4" t="s">
        <v>1103</v>
      </c>
      <c r="B20" s="4">
        <v>285279</v>
      </c>
      <c r="C20" s="4" t="s">
        <v>1104</v>
      </c>
      <c r="D20" s="9">
        <v>21323</v>
      </c>
    </row>
    <row r="21" spans="1:4" x14ac:dyDescent="0.25">
      <c r="A21" s="4" t="s">
        <v>1103</v>
      </c>
      <c r="B21" s="4">
        <v>284967</v>
      </c>
      <c r="C21" s="4" t="s">
        <v>1105</v>
      </c>
      <c r="D21" s="9">
        <v>5000</v>
      </c>
    </row>
    <row r="22" spans="1:4" x14ac:dyDescent="0.25">
      <c r="A22" s="4" t="s">
        <v>832</v>
      </c>
      <c r="B22" s="4">
        <v>276371</v>
      </c>
      <c r="C22" s="4" t="s">
        <v>962</v>
      </c>
      <c r="D22" s="9">
        <v>295</v>
      </c>
    </row>
    <row r="23" spans="1:4" x14ac:dyDescent="0.25">
      <c r="A23" s="4" t="s">
        <v>332</v>
      </c>
      <c r="B23" s="4">
        <v>265409</v>
      </c>
      <c r="C23" s="4" t="s">
        <v>946</v>
      </c>
      <c r="D23" s="9">
        <v>12212</v>
      </c>
    </row>
    <row r="24" spans="1:4" x14ac:dyDescent="0.25">
      <c r="A24" s="4" t="s">
        <v>1106</v>
      </c>
      <c r="B24" s="4">
        <v>282701</v>
      </c>
      <c r="C24" s="4" t="s">
        <v>1107</v>
      </c>
      <c r="D24" s="9">
        <v>48000</v>
      </c>
    </row>
    <row r="25" spans="1:4" x14ac:dyDescent="0.25">
      <c r="C25" s="31" t="s">
        <v>83</v>
      </c>
      <c r="D25" s="32">
        <f>SUM(D4:D24)</f>
        <v>135576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ACA8-B9B1-4A28-A06D-47FB6511CCA7}">
  <dimension ref="A3:D39"/>
  <sheetViews>
    <sheetView zoomScaleNormal="100" zoomScaleSheetLayoutView="100" workbookViewId="0">
      <selection activeCell="H23" sqref="H2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1116</v>
      </c>
      <c r="B4" s="4">
        <v>285882</v>
      </c>
      <c r="C4" s="4" t="s">
        <v>1117</v>
      </c>
      <c r="D4" s="9">
        <v>1955</v>
      </c>
    </row>
    <row r="5" spans="1:4" x14ac:dyDescent="0.25">
      <c r="A5" s="33" t="s">
        <v>24</v>
      </c>
      <c r="B5" s="35">
        <v>285043</v>
      </c>
      <c r="C5" s="33" t="s">
        <v>1118</v>
      </c>
      <c r="D5" s="34">
        <v>36999</v>
      </c>
    </row>
    <row r="6" spans="1:4" x14ac:dyDescent="0.25">
      <c r="A6" s="4" t="s">
        <v>24</v>
      </c>
      <c r="B6" s="4">
        <v>285074</v>
      </c>
      <c r="C6" s="4" t="s">
        <v>1119</v>
      </c>
      <c r="D6" s="9">
        <v>26401</v>
      </c>
    </row>
    <row r="7" spans="1:4" x14ac:dyDescent="0.25">
      <c r="A7" s="4" t="s">
        <v>24</v>
      </c>
      <c r="B7" s="4">
        <v>286168</v>
      </c>
      <c r="C7" s="4" t="s">
        <v>1120</v>
      </c>
      <c r="D7" s="9">
        <v>16551</v>
      </c>
    </row>
    <row r="8" spans="1:4" x14ac:dyDescent="0.25">
      <c r="A8" s="4" t="s">
        <v>24</v>
      </c>
      <c r="B8" s="4">
        <v>285072</v>
      </c>
      <c r="C8" s="4" t="s">
        <v>1121</v>
      </c>
      <c r="D8" s="9">
        <v>41868</v>
      </c>
    </row>
    <row r="9" spans="1:4" x14ac:dyDescent="0.25">
      <c r="A9" s="4" t="s">
        <v>24</v>
      </c>
      <c r="B9" s="4">
        <v>285915</v>
      </c>
      <c r="C9" s="4" t="s">
        <v>1122</v>
      </c>
      <c r="D9" s="9">
        <v>434</v>
      </c>
    </row>
    <row r="10" spans="1:4" x14ac:dyDescent="0.25">
      <c r="A10" s="4" t="s">
        <v>24</v>
      </c>
      <c r="B10" s="4">
        <v>286242</v>
      </c>
      <c r="C10" s="4" t="s">
        <v>1123</v>
      </c>
      <c r="D10" s="9">
        <v>329</v>
      </c>
    </row>
    <row r="11" spans="1:4" x14ac:dyDescent="0.25">
      <c r="A11" s="4" t="s">
        <v>24</v>
      </c>
      <c r="B11" s="4">
        <v>285990</v>
      </c>
      <c r="C11" s="4" t="s">
        <v>1124</v>
      </c>
      <c r="D11" s="9">
        <v>1835</v>
      </c>
    </row>
    <row r="12" spans="1:4" x14ac:dyDescent="0.25">
      <c r="A12" s="4" t="s">
        <v>111</v>
      </c>
      <c r="B12" s="4">
        <v>285954</v>
      </c>
      <c r="C12" s="4" t="s">
        <v>1125</v>
      </c>
      <c r="D12" s="9">
        <v>106</v>
      </c>
    </row>
    <row r="13" spans="1:4" x14ac:dyDescent="0.25">
      <c r="A13" s="33" t="s">
        <v>111</v>
      </c>
      <c r="B13" s="35">
        <v>285846</v>
      </c>
      <c r="C13" s="33" t="s">
        <v>1099</v>
      </c>
      <c r="D13" s="34">
        <v>957</v>
      </c>
    </row>
    <row r="14" spans="1:4" x14ac:dyDescent="0.25">
      <c r="A14" s="4" t="s">
        <v>111</v>
      </c>
      <c r="B14" s="4">
        <v>285356</v>
      </c>
      <c r="C14" s="4" t="s">
        <v>1100</v>
      </c>
      <c r="D14" s="9">
        <v>1087</v>
      </c>
    </row>
    <row r="15" spans="1:4" x14ac:dyDescent="0.25">
      <c r="A15" s="4" t="s">
        <v>111</v>
      </c>
      <c r="B15" s="4">
        <v>285951</v>
      </c>
      <c r="C15" s="4" t="s">
        <v>1126</v>
      </c>
      <c r="D15" s="9">
        <v>131</v>
      </c>
    </row>
    <row r="16" spans="1:4" x14ac:dyDescent="0.25">
      <c r="A16" s="4" t="s">
        <v>81</v>
      </c>
      <c r="B16" s="4">
        <v>286097</v>
      </c>
      <c r="C16" s="4" t="s">
        <v>1127</v>
      </c>
      <c r="D16" s="9">
        <v>2268</v>
      </c>
    </row>
    <row r="17" spans="1:4" x14ac:dyDescent="0.25">
      <c r="A17" s="4" t="s">
        <v>567</v>
      </c>
      <c r="B17" s="4">
        <v>286243</v>
      </c>
      <c r="C17" s="4" t="s">
        <v>1128</v>
      </c>
      <c r="D17" s="9">
        <v>1500</v>
      </c>
    </row>
    <row r="18" spans="1:4" x14ac:dyDescent="0.25">
      <c r="A18" s="4" t="s">
        <v>718</v>
      </c>
      <c r="B18" s="4">
        <v>286043</v>
      </c>
      <c r="C18" s="4" t="s">
        <v>1129</v>
      </c>
      <c r="D18" s="9">
        <v>398</v>
      </c>
    </row>
    <row r="19" spans="1:4" x14ac:dyDescent="0.25">
      <c r="A19" s="4" t="s">
        <v>718</v>
      </c>
      <c r="B19" s="4">
        <v>286042</v>
      </c>
      <c r="C19" s="4" t="s">
        <v>1130</v>
      </c>
      <c r="D19" s="9">
        <v>398</v>
      </c>
    </row>
    <row r="20" spans="1:4" x14ac:dyDescent="0.25">
      <c r="A20" s="4" t="s">
        <v>1047</v>
      </c>
      <c r="B20" s="4">
        <v>282314</v>
      </c>
      <c r="C20" s="4" t="s">
        <v>1095</v>
      </c>
      <c r="D20" s="9">
        <v>4800</v>
      </c>
    </row>
    <row r="21" spans="1:4" x14ac:dyDescent="0.25">
      <c r="A21" s="4" t="s">
        <v>1047</v>
      </c>
      <c r="B21" s="4">
        <v>284587</v>
      </c>
      <c r="C21" s="4" t="s">
        <v>1048</v>
      </c>
      <c r="D21" s="9">
        <v>2200</v>
      </c>
    </row>
    <row r="22" spans="1:4" x14ac:dyDescent="0.25">
      <c r="A22" s="4" t="s">
        <v>1103</v>
      </c>
      <c r="B22" s="4">
        <v>284967</v>
      </c>
      <c r="C22" s="4" t="s">
        <v>1105</v>
      </c>
      <c r="D22" s="9">
        <v>5000</v>
      </c>
    </row>
    <row r="23" spans="1:4" x14ac:dyDescent="0.25">
      <c r="A23" s="33" t="s">
        <v>315</v>
      </c>
      <c r="B23" s="35">
        <v>272590</v>
      </c>
      <c r="C23" s="33" t="s">
        <v>1131</v>
      </c>
      <c r="D23" s="34">
        <v>695</v>
      </c>
    </row>
    <row r="24" spans="1:4" x14ac:dyDescent="0.25">
      <c r="A24" s="4" t="s">
        <v>832</v>
      </c>
      <c r="B24" s="4">
        <v>285194</v>
      </c>
      <c r="C24" s="4" t="s">
        <v>1132</v>
      </c>
      <c r="D24" s="9">
        <v>1190</v>
      </c>
    </row>
    <row r="25" spans="1:4" x14ac:dyDescent="0.25">
      <c r="A25" s="4" t="s">
        <v>832</v>
      </c>
      <c r="B25" s="4">
        <v>276371</v>
      </c>
      <c r="C25" s="4" t="s">
        <v>962</v>
      </c>
      <c r="D25" s="9">
        <v>295</v>
      </c>
    </row>
    <row r="26" spans="1:4" x14ac:dyDescent="0.25">
      <c r="A26" s="4" t="s">
        <v>558</v>
      </c>
      <c r="B26" s="4">
        <v>285894</v>
      </c>
      <c r="C26" s="4" t="s">
        <v>1133</v>
      </c>
      <c r="D26" s="9">
        <v>10</v>
      </c>
    </row>
    <row r="27" spans="1:4" x14ac:dyDescent="0.25">
      <c r="A27" s="4" t="s">
        <v>995</v>
      </c>
      <c r="B27" s="4">
        <v>284391</v>
      </c>
      <c r="C27" s="4" t="s">
        <v>1134</v>
      </c>
      <c r="D27" s="9">
        <v>2040</v>
      </c>
    </row>
    <row r="28" spans="1:4" x14ac:dyDescent="0.25">
      <c r="A28" s="4" t="s">
        <v>443</v>
      </c>
      <c r="B28" s="4">
        <v>285574</v>
      </c>
      <c r="C28" s="4" t="s">
        <v>1135</v>
      </c>
      <c r="D28" s="9">
        <v>560</v>
      </c>
    </row>
    <row r="29" spans="1:4" x14ac:dyDescent="0.25">
      <c r="A29" s="4" t="s">
        <v>125</v>
      </c>
      <c r="B29" s="4">
        <v>275888</v>
      </c>
      <c r="C29" s="4" t="s">
        <v>1136</v>
      </c>
      <c r="D29" s="9">
        <v>21580</v>
      </c>
    </row>
    <row r="30" spans="1:4" x14ac:dyDescent="0.25">
      <c r="A30" s="4" t="s">
        <v>61</v>
      </c>
      <c r="B30" s="4">
        <v>286257</v>
      </c>
      <c r="C30" s="4" t="s">
        <v>1137</v>
      </c>
      <c r="D30" s="9">
        <v>4875</v>
      </c>
    </row>
    <row r="31" spans="1:4" x14ac:dyDescent="0.25">
      <c r="A31" s="4" t="s">
        <v>61</v>
      </c>
      <c r="B31" s="4">
        <v>286244</v>
      </c>
      <c r="C31" s="4" t="s">
        <v>1138</v>
      </c>
      <c r="D31" s="9">
        <v>375</v>
      </c>
    </row>
    <row r="32" spans="1:4" x14ac:dyDescent="0.25">
      <c r="A32" s="4" t="s">
        <v>61</v>
      </c>
      <c r="B32" s="4">
        <v>286255</v>
      </c>
      <c r="C32" s="4" t="s">
        <v>1139</v>
      </c>
      <c r="D32" s="9">
        <v>730</v>
      </c>
    </row>
    <row r="33" spans="1:4" x14ac:dyDescent="0.25">
      <c r="A33" s="4" t="s">
        <v>61</v>
      </c>
      <c r="B33" s="4">
        <v>286246</v>
      </c>
      <c r="C33" s="4" t="s">
        <v>1140</v>
      </c>
      <c r="D33" s="9">
        <v>2250</v>
      </c>
    </row>
    <row r="34" spans="1:4" x14ac:dyDescent="0.25">
      <c r="A34" s="4" t="s">
        <v>336</v>
      </c>
      <c r="B34" s="4">
        <v>277319</v>
      </c>
      <c r="C34" s="4" t="s">
        <v>942</v>
      </c>
      <c r="D34" s="9">
        <v>2393</v>
      </c>
    </row>
    <row r="35" spans="1:4" x14ac:dyDescent="0.25">
      <c r="A35" s="4" t="s">
        <v>336</v>
      </c>
      <c r="B35" s="4">
        <v>282128</v>
      </c>
      <c r="C35" s="4" t="s">
        <v>973</v>
      </c>
      <c r="D35" s="9">
        <v>770</v>
      </c>
    </row>
    <row r="36" spans="1:4" x14ac:dyDescent="0.25">
      <c r="A36" s="4" t="s">
        <v>24</v>
      </c>
      <c r="B36" s="4">
        <v>286235</v>
      </c>
      <c r="C36" s="4" t="s">
        <v>1141</v>
      </c>
      <c r="D36" s="9">
        <v>2692</v>
      </c>
    </row>
    <row r="37" spans="1:4" x14ac:dyDescent="0.25">
      <c r="A37" s="4" t="s">
        <v>24</v>
      </c>
      <c r="B37" s="4">
        <v>285256</v>
      </c>
      <c r="C37" s="4" t="s">
        <v>1142</v>
      </c>
      <c r="D37" s="9">
        <v>100085</v>
      </c>
    </row>
    <row r="38" spans="1:4" x14ac:dyDescent="0.25">
      <c r="A38" s="4" t="s">
        <v>175</v>
      </c>
      <c r="B38" s="4">
        <v>272308</v>
      </c>
      <c r="C38" s="4" t="s">
        <v>1143</v>
      </c>
      <c r="D38" s="9">
        <v>80</v>
      </c>
    </row>
    <row r="39" spans="1:4" x14ac:dyDescent="0.25">
      <c r="C39" s="31" t="s">
        <v>83</v>
      </c>
      <c r="D39" s="32">
        <f>SUM(D4:D38)</f>
        <v>285837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9ABC-1A09-458B-B556-C670B0B229A8}">
  <dimension ref="A3:D39"/>
  <sheetViews>
    <sheetView zoomScaleNormal="100" zoomScaleSheetLayoutView="100" workbookViewId="0">
      <selection activeCell="C57" sqref="C57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24</v>
      </c>
      <c r="B4" s="4">
        <v>285074</v>
      </c>
      <c r="C4" s="4" t="s">
        <v>1119</v>
      </c>
      <c r="D4" s="9">
        <v>26401</v>
      </c>
    </row>
    <row r="5" spans="1:4" x14ac:dyDescent="0.25">
      <c r="A5" s="33" t="s">
        <v>24</v>
      </c>
      <c r="B5" s="35">
        <v>286168</v>
      </c>
      <c r="C5" s="33" t="s">
        <v>1120</v>
      </c>
      <c r="D5" s="34">
        <v>16551</v>
      </c>
    </row>
    <row r="6" spans="1:4" x14ac:dyDescent="0.25">
      <c r="A6" s="4" t="s">
        <v>24</v>
      </c>
      <c r="B6" s="4">
        <v>285915</v>
      </c>
      <c r="C6" s="4" t="s">
        <v>1122</v>
      </c>
      <c r="D6" s="9">
        <v>434</v>
      </c>
    </row>
    <row r="7" spans="1:4" x14ac:dyDescent="0.25">
      <c r="A7" s="4" t="s">
        <v>24</v>
      </c>
      <c r="B7" s="4">
        <v>285990</v>
      </c>
      <c r="C7" s="4" t="s">
        <v>1124</v>
      </c>
      <c r="D7" s="9">
        <v>1835</v>
      </c>
    </row>
    <row r="8" spans="1:4" x14ac:dyDescent="0.25">
      <c r="A8" s="4" t="s">
        <v>111</v>
      </c>
      <c r="B8" s="4">
        <v>284168</v>
      </c>
      <c r="C8" s="4" t="s">
        <v>1144</v>
      </c>
      <c r="D8" s="9">
        <v>217</v>
      </c>
    </row>
    <row r="9" spans="1:4" x14ac:dyDescent="0.25">
      <c r="A9" s="4" t="s">
        <v>111</v>
      </c>
      <c r="B9" s="4">
        <v>285954</v>
      </c>
      <c r="C9" s="4" t="s">
        <v>1125</v>
      </c>
      <c r="D9" s="9">
        <v>106</v>
      </c>
    </row>
    <row r="10" spans="1:4" x14ac:dyDescent="0.25">
      <c r="A10" s="4" t="s">
        <v>111</v>
      </c>
      <c r="B10" s="4">
        <v>286949</v>
      </c>
      <c r="C10" s="4" t="s">
        <v>1145</v>
      </c>
      <c r="D10" s="9">
        <v>159</v>
      </c>
    </row>
    <row r="11" spans="1:4" x14ac:dyDescent="0.25">
      <c r="A11" s="33" t="s">
        <v>111</v>
      </c>
      <c r="B11" s="35">
        <v>286651</v>
      </c>
      <c r="C11" s="33" t="s">
        <v>1146</v>
      </c>
      <c r="D11" s="34">
        <v>2711</v>
      </c>
    </row>
    <row r="12" spans="1:4" x14ac:dyDescent="0.25">
      <c r="A12" s="4" t="s">
        <v>111</v>
      </c>
      <c r="B12" s="4">
        <v>286878</v>
      </c>
      <c r="C12" s="4" t="s">
        <v>1147</v>
      </c>
      <c r="D12" s="9">
        <v>70</v>
      </c>
    </row>
    <row r="13" spans="1:4" x14ac:dyDescent="0.25">
      <c r="A13" s="4" t="s">
        <v>111</v>
      </c>
      <c r="B13" s="4">
        <v>285951</v>
      </c>
      <c r="C13" s="4" t="s">
        <v>1126</v>
      </c>
      <c r="D13" s="9">
        <v>131</v>
      </c>
    </row>
    <row r="14" spans="1:4" x14ac:dyDescent="0.25">
      <c r="A14" s="4" t="s">
        <v>111</v>
      </c>
      <c r="B14" s="4">
        <v>279943</v>
      </c>
      <c r="C14" s="4" t="s">
        <v>952</v>
      </c>
      <c r="D14" s="9">
        <v>131</v>
      </c>
    </row>
    <row r="15" spans="1:4" x14ac:dyDescent="0.25">
      <c r="A15" s="4" t="s">
        <v>167</v>
      </c>
      <c r="B15" s="4">
        <v>286340</v>
      </c>
      <c r="C15" s="4" t="s">
        <v>1148</v>
      </c>
      <c r="D15" s="9">
        <v>1154</v>
      </c>
    </row>
    <row r="16" spans="1:4" x14ac:dyDescent="0.25">
      <c r="A16" s="4" t="s">
        <v>167</v>
      </c>
      <c r="B16" s="4">
        <v>286342</v>
      </c>
      <c r="C16" s="4" t="s">
        <v>1149</v>
      </c>
      <c r="D16" s="9">
        <v>1656</v>
      </c>
    </row>
    <row r="17" spans="1:4" x14ac:dyDescent="0.25">
      <c r="A17" s="4" t="s">
        <v>718</v>
      </c>
      <c r="B17" s="4">
        <v>286043</v>
      </c>
      <c r="C17" s="4" t="s">
        <v>1129</v>
      </c>
      <c r="D17" s="9">
        <v>398</v>
      </c>
    </row>
    <row r="18" spans="1:4" x14ac:dyDescent="0.25">
      <c r="A18" s="4" t="s">
        <v>1047</v>
      </c>
      <c r="B18" s="4">
        <v>284587</v>
      </c>
      <c r="C18" s="4" t="s">
        <v>1150</v>
      </c>
      <c r="D18" s="9">
        <v>2200</v>
      </c>
    </row>
    <row r="19" spans="1:4" x14ac:dyDescent="0.25">
      <c r="A19" s="4" t="s">
        <v>1047</v>
      </c>
      <c r="B19" s="4">
        <v>282314</v>
      </c>
      <c r="C19" s="4" t="s">
        <v>1151</v>
      </c>
      <c r="D19" s="9">
        <v>4800</v>
      </c>
    </row>
    <row r="20" spans="1:4" x14ac:dyDescent="0.25">
      <c r="A20" s="4" t="s">
        <v>315</v>
      </c>
      <c r="B20" s="4">
        <v>285539</v>
      </c>
      <c r="C20" s="4" t="s">
        <v>1152</v>
      </c>
      <c r="D20" s="9">
        <v>1690</v>
      </c>
    </row>
    <row r="21" spans="1:4" x14ac:dyDescent="0.25">
      <c r="A21" s="33" t="s">
        <v>315</v>
      </c>
      <c r="B21" s="35">
        <v>285303</v>
      </c>
      <c r="C21" s="33" t="s">
        <v>1153</v>
      </c>
      <c r="D21" s="34">
        <v>125</v>
      </c>
    </row>
    <row r="22" spans="1:4" x14ac:dyDescent="0.25">
      <c r="A22" s="4" t="s">
        <v>315</v>
      </c>
      <c r="B22" s="4">
        <v>284624</v>
      </c>
      <c r="C22" s="4" t="s">
        <v>1154</v>
      </c>
      <c r="D22" s="9">
        <v>395</v>
      </c>
    </row>
    <row r="23" spans="1:4" x14ac:dyDescent="0.25">
      <c r="A23" s="4" t="s">
        <v>315</v>
      </c>
      <c r="B23" s="4">
        <v>286822</v>
      </c>
      <c r="C23" s="4" t="s">
        <v>1155</v>
      </c>
      <c r="D23" s="9">
        <v>563</v>
      </c>
    </row>
    <row r="24" spans="1:4" x14ac:dyDescent="0.25">
      <c r="A24" s="4" t="s">
        <v>832</v>
      </c>
      <c r="B24" s="4">
        <v>285194</v>
      </c>
      <c r="C24" s="4" t="s">
        <v>1156</v>
      </c>
      <c r="D24" s="9">
        <v>1190</v>
      </c>
    </row>
    <row r="25" spans="1:4" x14ac:dyDescent="0.25">
      <c r="A25" s="4" t="s">
        <v>832</v>
      </c>
      <c r="B25" s="4">
        <v>276371</v>
      </c>
      <c r="C25" s="4" t="s">
        <v>1157</v>
      </c>
      <c r="D25" s="9">
        <v>295</v>
      </c>
    </row>
    <row r="26" spans="1:4" x14ac:dyDescent="0.25">
      <c r="A26" s="4" t="s">
        <v>832</v>
      </c>
      <c r="B26" s="4">
        <v>287014</v>
      </c>
      <c r="C26" s="4" t="s">
        <v>1158</v>
      </c>
      <c r="D26" s="9">
        <v>2650</v>
      </c>
    </row>
    <row r="27" spans="1:4" x14ac:dyDescent="0.25">
      <c r="A27" s="4" t="s">
        <v>558</v>
      </c>
      <c r="B27" s="4">
        <v>285894</v>
      </c>
      <c r="C27" s="4" t="s">
        <v>1133</v>
      </c>
      <c r="D27" s="9">
        <v>10</v>
      </c>
    </row>
    <row r="28" spans="1:4" x14ac:dyDescent="0.25">
      <c r="A28" s="4" t="s">
        <v>125</v>
      </c>
      <c r="B28" s="4">
        <v>275888</v>
      </c>
      <c r="C28" s="4" t="s">
        <v>1159</v>
      </c>
      <c r="D28" s="9">
        <v>21580</v>
      </c>
    </row>
    <row r="29" spans="1:4" x14ac:dyDescent="0.25">
      <c r="A29" s="4" t="s">
        <v>336</v>
      </c>
      <c r="B29" s="4">
        <v>277319</v>
      </c>
      <c r="C29" s="4" t="s">
        <v>942</v>
      </c>
      <c r="D29" s="9">
        <v>2393</v>
      </c>
    </row>
    <row r="30" spans="1:4" x14ac:dyDescent="0.25">
      <c r="A30" s="4" t="s">
        <v>336</v>
      </c>
      <c r="B30" s="4">
        <v>286587</v>
      </c>
      <c r="C30" s="4" t="s">
        <v>1160</v>
      </c>
      <c r="D30" s="9">
        <v>3545</v>
      </c>
    </row>
    <row r="31" spans="1:4" x14ac:dyDescent="0.25">
      <c r="A31" s="4" t="s">
        <v>24</v>
      </c>
      <c r="B31" s="4">
        <v>286113</v>
      </c>
      <c r="C31" s="4" t="s">
        <v>1161</v>
      </c>
      <c r="D31" s="9">
        <v>81593</v>
      </c>
    </row>
    <row r="32" spans="1:4" x14ac:dyDescent="0.25">
      <c r="A32" s="4" t="s">
        <v>111</v>
      </c>
      <c r="B32" s="4">
        <v>286952</v>
      </c>
      <c r="C32" s="4" t="s">
        <v>1162</v>
      </c>
      <c r="D32" s="9">
        <v>1740</v>
      </c>
    </row>
    <row r="33" spans="1:4" x14ac:dyDescent="0.25">
      <c r="A33" s="4" t="s">
        <v>111</v>
      </c>
      <c r="B33" s="4">
        <v>286780</v>
      </c>
      <c r="C33" s="4" t="s">
        <v>1163</v>
      </c>
      <c r="D33" s="9">
        <v>811</v>
      </c>
    </row>
    <row r="34" spans="1:4" x14ac:dyDescent="0.25">
      <c r="A34" s="4" t="s">
        <v>111</v>
      </c>
      <c r="B34" s="4">
        <v>286649</v>
      </c>
      <c r="C34" s="4" t="s">
        <v>1164</v>
      </c>
      <c r="D34" s="9">
        <v>2711</v>
      </c>
    </row>
    <row r="35" spans="1:4" x14ac:dyDescent="0.25">
      <c r="A35" s="4" t="s">
        <v>111</v>
      </c>
      <c r="B35" s="4">
        <v>286988</v>
      </c>
      <c r="C35" s="4" t="s">
        <v>1165</v>
      </c>
      <c r="D35" s="9">
        <v>261</v>
      </c>
    </row>
    <row r="36" spans="1:4" x14ac:dyDescent="0.25">
      <c r="A36" s="4" t="s">
        <v>111</v>
      </c>
      <c r="B36" s="4">
        <v>287001</v>
      </c>
      <c r="C36" s="4" t="s">
        <v>1166</v>
      </c>
      <c r="D36" s="9">
        <v>131</v>
      </c>
    </row>
    <row r="37" spans="1:4" x14ac:dyDescent="0.25">
      <c r="A37" s="33" t="s">
        <v>175</v>
      </c>
      <c r="B37" s="35">
        <v>272308</v>
      </c>
      <c r="C37" s="33" t="s">
        <v>1167</v>
      </c>
      <c r="D37" s="34">
        <v>80</v>
      </c>
    </row>
    <row r="38" spans="1:4" x14ac:dyDescent="0.25">
      <c r="A38" s="4" t="s">
        <v>718</v>
      </c>
      <c r="B38" s="4">
        <v>284734</v>
      </c>
      <c r="C38" s="4" t="s">
        <v>1045</v>
      </c>
      <c r="D38" s="9">
        <v>936</v>
      </c>
    </row>
    <row r="39" spans="1:4" x14ac:dyDescent="0.25">
      <c r="C39" s="31" t="s">
        <v>83</v>
      </c>
      <c r="D39" s="32">
        <f>SUM(D4:D38)</f>
        <v>181653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5F88-DDA4-4D2C-8AB7-7A35ED0A162F}">
  <dimension ref="A3:D16"/>
  <sheetViews>
    <sheetView zoomScaleNormal="100" zoomScaleSheetLayoutView="100" workbookViewId="0">
      <selection activeCell="D16" sqref="D16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3" spans="1:4" x14ac:dyDescent="0.25">
      <c r="A3" s="6" t="s">
        <v>0</v>
      </c>
      <c r="B3" s="6" t="s">
        <v>1</v>
      </c>
      <c r="C3" s="6" t="s">
        <v>2</v>
      </c>
      <c r="D3" s="8" t="s">
        <v>4</v>
      </c>
    </row>
    <row r="4" spans="1:4" x14ac:dyDescent="0.25">
      <c r="A4" s="4" t="s">
        <v>1116</v>
      </c>
      <c r="B4" s="4">
        <v>287462</v>
      </c>
      <c r="C4" s="4" t="s">
        <v>1168</v>
      </c>
      <c r="D4" s="9">
        <v>9980</v>
      </c>
    </row>
    <row r="5" spans="1:4" x14ac:dyDescent="0.25">
      <c r="A5" s="33" t="s">
        <v>24</v>
      </c>
      <c r="B5" s="35">
        <v>285915</v>
      </c>
      <c r="C5" s="33" t="s">
        <v>1122</v>
      </c>
      <c r="D5" s="34">
        <v>434</v>
      </c>
    </row>
    <row r="6" spans="1:4" x14ac:dyDescent="0.25">
      <c r="A6" s="4" t="s">
        <v>24</v>
      </c>
      <c r="B6" s="4">
        <v>285990</v>
      </c>
      <c r="C6" s="4" t="s">
        <v>1124</v>
      </c>
      <c r="D6" s="9">
        <v>1835</v>
      </c>
    </row>
    <row r="7" spans="1:4" x14ac:dyDescent="0.25">
      <c r="A7" s="4" t="s">
        <v>718</v>
      </c>
      <c r="B7" s="4">
        <v>287472</v>
      </c>
      <c r="C7" s="4" t="s">
        <v>1169</v>
      </c>
      <c r="D7" s="9">
        <v>1656</v>
      </c>
    </row>
    <row r="8" spans="1:4" x14ac:dyDescent="0.25">
      <c r="A8" s="4" t="s">
        <v>718</v>
      </c>
      <c r="B8" s="4">
        <v>287514</v>
      </c>
      <c r="C8" s="4" t="s">
        <v>1170</v>
      </c>
      <c r="D8" s="9">
        <v>2400</v>
      </c>
    </row>
    <row r="9" spans="1:4" x14ac:dyDescent="0.25">
      <c r="A9" s="4" t="s">
        <v>832</v>
      </c>
      <c r="B9" s="4">
        <v>285642</v>
      </c>
      <c r="C9" s="4" t="s">
        <v>1171</v>
      </c>
      <c r="D9" s="9">
        <v>15000</v>
      </c>
    </row>
    <row r="10" spans="1:4" x14ac:dyDescent="0.25">
      <c r="A10" s="4" t="s">
        <v>832</v>
      </c>
      <c r="B10" s="4">
        <v>286124</v>
      </c>
      <c r="C10" s="4" t="s">
        <v>1172</v>
      </c>
      <c r="D10" s="9">
        <v>1050</v>
      </c>
    </row>
    <row r="11" spans="1:4" x14ac:dyDescent="0.25">
      <c r="A11" s="33" t="s">
        <v>832</v>
      </c>
      <c r="B11" s="35">
        <v>276371</v>
      </c>
      <c r="C11" s="33" t="s">
        <v>1157</v>
      </c>
      <c r="D11" s="34">
        <v>295</v>
      </c>
    </row>
    <row r="12" spans="1:4" x14ac:dyDescent="0.25">
      <c r="A12" s="4" t="s">
        <v>24</v>
      </c>
      <c r="B12" s="4">
        <v>286113</v>
      </c>
      <c r="C12" s="4" t="s">
        <v>1161</v>
      </c>
      <c r="D12" s="9">
        <v>81593</v>
      </c>
    </row>
    <row r="13" spans="1:4" x14ac:dyDescent="0.25">
      <c r="A13" s="4" t="s">
        <v>111</v>
      </c>
      <c r="B13" s="4">
        <v>287438</v>
      </c>
      <c r="C13" s="4" t="s">
        <v>1173</v>
      </c>
      <c r="D13" s="9">
        <v>319</v>
      </c>
    </row>
    <row r="14" spans="1:4" x14ac:dyDescent="0.25">
      <c r="A14" s="4" t="s">
        <v>175</v>
      </c>
      <c r="B14" s="4">
        <v>272308</v>
      </c>
      <c r="C14" s="4" t="s">
        <v>1167</v>
      </c>
      <c r="D14" s="9">
        <v>80</v>
      </c>
    </row>
    <row r="15" spans="1:4" x14ac:dyDescent="0.25">
      <c r="A15" s="4" t="s">
        <v>558</v>
      </c>
      <c r="B15" s="4">
        <v>285894</v>
      </c>
      <c r="C15" s="4" t="s">
        <v>1133</v>
      </c>
      <c r="D15" s="9">
        <v>10</v>
      </c>
    </row>
    <row r="16" spans="1:4" x14ac:dyDescent="0.25">
      <c r="C16" s="31" t="s">
        <v>83</v>
      </c>
      <c r="D16" s="32">
        <f>SUM(D4:D15)</f>
        <v>114652</v>
      </c>
    </row>
  </sheetData>
  <printOptions horizontalCentered="1"/>
  <pageMargins left="0.7" right="0.7" top="0.7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A8CD-6C8C-4E9C-A15F-5095F67BB46B}">
  <dimension ref="A1:D21"/>
  <sheetViews>
    <sheetView zoomScaleNormal="100" zoomScaleSheetLayoutView="100" workbookViewId="0">
      <selection activeCell="J9" sqref="J9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8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36" t="s">
        <v>4</v>
      </c>
    </row>
    <row r="2" spans="1:4" x14ac:dyDescent="0.25">
      <c r="A2" s="4" t="s">
        <v>5</v>
      </c>
      <c r="B2" s="40">
        <v>287162</v>
      </c>
      <c r="C2" s="4" t="s">
        <v>1174</v>
      </c>
      <c r="D2" s="39">
        <v>900</v>
      </c>
    </row>
    <row r="3" spans="1:4" x14ac:dyDescent="0.25">
      <c r="A3" s="33" t="s">
        <v>638</v>
      </c>
      <c r="B3" s="40">
        <v>287265</v>
      </c>
      <c r="C3" s="33" t="s">
        <v>1175</v>
      </c>
      <c r="D3" s="39">
        <v>120</v>
      </c>
    </row>
    <row r="4" spans="1:4" x14ac:dyDescent="0.25">
      <c r="A4" s="4" t="s">
        <v>282</v>
      </c>
      <c r="B4" s="40">
        <v>287402</v>
      </c>
      <c r="C4" s="4" t="s">
        <v>1176</v>
      </c>
      <c r="D4" s="39">
        <v>3190</v>
      </c>
    </row>
    <row r="5" spans="1:4" x14ac:dyDescent="0.25">
      <c r="A5" s="4" t="s">
        <v>282</v>
      </c>
      <c r="B5" s="40">
        <v>287401</v>
      </c>
      <c r="C5" s="4" t="s">
        <v>1177</v>
      </c>
      <c r="D5" s="39">
        <v>110200</v>
      </c>
    </row>
    <row r="6" spans="1:4" x14ac:dyDescent="0.25">
      <c r="A6" s="4" t="s">
        <v>1116</v>
      </c>
      <c r="B6" s="40">
        <v>287462</v>
      </c>
      <c r="C6" s="4" t="s">
        <v>1168</v>
      </c>
      <c r="D6" s="39">
        <v>9980</v>
      </c>
    </row>
    <row r="7" spans="1:4" x14ac:dyDescent="0.25">
      <c r="A7" s="4" t="s">
        <v>24</v>
      </c>
      <c r="B7" s="40">
        <v>285915</v>
      </c>
      <c r="C7" s="4" t="s">
        <v>1122</v>
      </c>
      <c r="D7" s="39">
        <v>434</v>
      </c>
    </row>
    <row r="8" spans="1:4" x14ac:dyDescent="0.25">
      <c r="A8" s="4" t="s">
        <v>24</v>
      </c>
      <c r="B8" s="40">
        <v>287544</v>
      </c>
      <c r="C8" s="4" t="s">
        <v>1178</v>
      </c>
      <c r="D8" s="39">
        <v>375</v>
      </c>
    </row>
    <row r="9" spans="1:4" x14ac:dyDescent="0.25">
      <c r="A9" s="4" t="s">
        <v>211</v>
      </c>
      <c r="B9" s="40">
        <v>287350</v>
      </c>
      <c r="C9" s="4" t="s">
        <v>1179</v>
      </c>
      <c r="D9" s="39">
        <v>130</v>
      </c>
    </row>
    <row r="10" spans="1:4" x14ac:dyDescent="0.25">
      <c r="A10" s="4" t="s">
        <v>1180</v>
      </c>
      <c r="B10" s="40">
        <v>286524</v>
      </c>
      <c r="C10" s="4" t="s">
        <v>1181</v>
      </c>
      <c r="D10" s="39">
        <v>8505</v>
      </c>
    </row>
    <row r="11" spans="1:4" x14ac:dyDescent="0.25">
      <c r="A11" s="4" t="s">
        <v>315</v>
      </c>
      <c r="B11" s="40">
        <v>287649</v>
      </c>
      <c r="C11" s="4" t="s">
        <v>1182</v>
      </c>
      <c r="D11" s="39">
        <v>5715</v>
      </c>
    </row>
    <row r="12" spans="1:4" x14ac:dyDescent="0.25">
      <c r="A12" s="4" t="s">
        <v>1183</v>
      </c>
      <c r="B12" s="40">
        <v>287456</v>
      </c>
      <c r="C12" s="4" t="s">
        <v>1184</v>
      </c>
      <c r="D12" s="39">
        <v>2700</v>
      </c>
    </row>
    <row r="13" spans="1:4" x14ac:dyDescent="0.25">
      <c r="A13" s="4" t="s">
        <v>832</v>
      </c>
      <c r="B13" s="40">
        <v>276371</v>
      </c>
      <c r="C13" s="4" t="s">
        <v>1157</v>
      </c>
      <c r="D13" s="39">
        <v>295</v>
      </c>
    </row>
    <row r="14" spans="1:4" x14ac:dyDescent="0.25">
      <c r="A14" s="4" t="s">
        <v>61</v>
      </c>
      <c r="B14" s="40">
        <v>287768</v>
      </c>
      <c r="C14" s="4" t="s">
        <v>1185</v>
      </c>
      <c r="D14" s="39">
        <v>1035</v>
      </c>
    </row>
    <row r="15" spans="1:4" x14ac:dyDescent="0.25">
      <c r="A15" s="4" t="s">
        <v>61</v>
      </c>
      <c r="B15" s="40">
        <v>287770</v>
      </c>
      <c r="C15" s="4" t="s">
        <v>1186</v>
      </c>
      <c r="D15" s="39">
        <v>375</v>
      </c>
    </row>
    <row r="16" spans="1:4" x14ac:dyDescent="0.25">
      <c r="A16" s="4" t="s">
        <v>24</v>
      </c>
      <c r="B16" s="40">
        <v>284997</v>
      </c>
      <c r="C16" s="4" t="s">
        <v>1187</v>
      </c>
      <c r="D16" s="39">
        <v>2595</v>
      </c>
    </row>
    <row r="17" spans="1:4" x14ac:dyDescent="0.25">
      <c r="A17" s="33" t="s">
        <v>111</v>
      </c>
      <c r="B17" s="40">
        <v>284168</v>
      </c>
      <c r="C17" s="33" t="s">
        <v>1144</v>
      </c>
      <c r="D17" s="39">
        <v>217</v>
      </c>
    </row>
    <row r="18" spans="1:4" x14ac:dyDescent="0.25">
      <c r="A18" s="4" t="s">
        <v>175</v>
      </c>
      <c r="B18" s="40">
        <v>272308</v>
      </c>
      <c r="C18" s="4" t="s">
        <v>1167</v>
      </c>
      <c r="D18" s="39">
        <v>80</v>
      </c>
    </row>
    <row r="19" spans="1:4" x14ac:dyDescent="0.25">
      <c r="A19" s="4" t="s">
        <v>1188</v>
      </c>
      <c r="B19" s="40">
        <v>285080</v>
      </c>
      <c r="C19" s="4" t="s">
        <v>1189</v>
      </c>
      <c r="D19" s="39">
        <v>65000</v>
      </c>
    </row>
    <row r="20" spans="1:4" x14ac:dyDescent="0.25">
      <c r="A20" s="4" t="s">
        <v>558</v>
      </c>
      <c r="B20" s="40">
        <v>285894</v>
      </c>
      <c r="C20" s="4" t="s">
        <v>1133</v>
      </c>
      <c r="D20" s="39">
        <v>10</v>
      </c>
    </row>
    <row r="21" spans="1:4" x14ac:dyDescent="0.25">
      <c r="C21" s="31" t="s">
        <v>83</v>
      </c>
      <c r="D21" s="37">
        <f>SUM(D2:D20)</f>
        <v>211856</v>
      </c>
    </row>
  </sheetData>
  <printOptions horizontalCentered="1"/>
  <pageMargins left="0.5" right="0.5" top="1" bottom="0.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F3B3-E14A-4FC1-AE22-7F0453BD9D36}">
  <dimension ref="A1:D35"/>
  <sheetViews>
    <sheetView topLeftCell="A20" zoomScaleNormal="100" zoomScaleSheetLayoutView="100" workbookViewId="0">
      <selection activeCell="C38" sqref="C38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8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36" t="s">
        <v>4</v>
      </c>
    </row>
    <row r="2" spans="1:4" x14ac:dyDescent="0.25">
      <c r="A2" s="4" t="s">
        <v>5</v>
      </c>
      <c r="B2" s="40">
        <v>287162</v>
      </c>
      <c r="C2" s="4" t="s">
        <v>1174</v>
      </c>
      <c r="D2" s="39">
        <v>900</v>
      </c>
    </row>
    <row r="3" spans="1:4" x14ac:dyDescent="0.25">
      <c r="A3" s="4" t="s">
        <v>638</v>
      </c>
      <c r="B3" s="40">
        <v>287265</v>
      </c>
      <c r="C3" s="4" t="s">
        <v>1175</v>
      </c>
      <c r="D3" s="39">
        <v>120</v>
      </c>
    </row>
    <row r="4" spans="1:4" x14ac:dyDescent="0.25">
      <c r="A4" s="4" t="s">
        <v>1116</v>
      </c>
      <c r="B4" s="40">
        <v>287462</v>
      </c>
      <c r="C4" s="4" t="s">
        <v>1168</v>
      </c>
      <c r="D4" s="39">
        <v>9980</v>
      </c>
    </row>
    <row r="5" spans="1:4" x14ac:dyDescent="0.25">
      <c r="A5" s="4" t="s">
        <v>108</v>
      </c>
      <c r="B5" s="40">
        <v>287980</v>
      </c>
      <c r="C5" s="4" t="s">
        <v>1190</v>
      </c>
      <c r="D5" s="39">
        <v>705</v>
      </c>
    </row>
    <row r="6" spans="1:4" x14ac:dyDescent="0.25">
      <c r="A6" s="4" t="s">
        <v>108</v>
      </c>
      <c r="B6" s="40">
        <v>287991</v>
      </c>
      <c r="C6" s="4" t="s">
        <v>1191</v>
      </c>
      <c r="D6" s="39">
        <v>315</v>
      </c>
    </row>
    <row r="7" spans="1:4" x14ac:dyDescent="0.25">
      <c r="A7" s="4" t="s">
        <v>108</v>
      </c>
      <c r="B7" s="40">
        <v>287977</v>
      </c>
      <c r="C7" s="4" t="s">
        <v>1192</v>
      </c>
      <c r="D7" s="39">
        <v>150</v>
      </c>
    </row>
    <row r="8" spans="1:4" x14ac:dyDescent="0.25">
      <c r="A8" s="4" t="s">
        <v>500</v>
      </c>
      <c r="B8" s="40">
        <v>288005</v>
      </c>
      <c r="C8" s="4" t="s">
        <v>1193</v>
      </c>
      <c r="D8" s="39">
        <v>22562</v>
      </c>
    </row>
    <row r="9" spans="1:4" x14ac:dyDescent="0.25">
      <c r="A9" s="4" t="s">
        <v>500</v>
      </c>
      <c r="B9" s="40">
        <v>287997</v>
      </c>
      <c r="C9" s="4" t="s">
        <v>1194</v>
      </c>
      <c r="D9" s="39">
        <v>6466</v>
      </c>
    </row>
    <row r="10" spans="1:4" x14ac:dyDescent="0.25">
      <c r="A10" s="4" t="s">
        <v>500</v>
      </c>
      <c r="B10" s="40">
        <v>287996</v>
      </c>
      <c r="C10" s="4" t="s">
        <v>1195</v>
      </c>
      <c r="D10" s="39">
        <v>4473</v>
      </c>
    </row>
    <row r="11" spans="1:4" x14ac:dyDescent="0.25">
      <c r="A11" s="4" t="s">
        <v>61</v>
      </c>
      <c r="B11" s="40">
        <v>287841</v>
      </c>
      <c r="C11" s="4" t="s">
        <v>1196</v>
      </c>
      <c r="D11" s="39">
        <v>43161</v>
      </c>
    </row>
    <row r="12" spans="1:4" x14ac:dyDescent="0.25">
      <c r="A12" s="4" t="s">
        <v>61</v>
      </c>
      <c r="B12" s="40">
        <v>287913</v>
      </c>
      <c r="C12" s="4" t="s">
        <v>1197</v>
      </c>
      <c r="D12" s="39">
        <v>862</v>
      </c>
    </row>
    <row r="13" spans="1:4" x14ac:dyDescent="0.25">
      <c r="A13" s="4" t="s">
        <v>61</v>
      </c>
      <c r="B13" s="40">
        <v>287811</v>
      </c>
      <c r="C13" s="4" t="s">
        <v>1198</v>
      </c>
      <c r="D13" s="39">
        <v>5391</v>
      </c>
    </row>
    <row r="14" spans="1:4" x14ac:dyDescent="0.25">
      <c r="A14" s="4" t="s">
        <v>336</v>
      </c>
      <c r="B14" s="40">
        <v>288014</v>
      </c>
      <c r="C14" s="4" t="s">
        <v>1199</v>
      </c>
      <c r="D14" s="39">
        <v>1447</v>
      </c>
    </row>
    <row r="15" spans="1:4" x14ac:dyDescent="0.25">
      <c r="A15" s="4" t="s">
        <v>336</v>
      </c>
      <c r="B15" s="40">
        <v>288019</v>
      </c>
      <c r="C15" s="4" t="s">
        <v>1200</v>
      </c>
      <c r="D15" s="39">
        <v>2212</v>
      </c>
    </row>
    <row r="16" spans="1:4" x14ac:dyDescent="0.25">
      <c r="A16" s="33" t="s">
        <v>336</v>
      </c>
      <c r="B16" s="40">
        <v>288023</v>
      </c>
      <c r="C16" s="33" t="s">
        <v>1201</v>
      </c>
      <c r="D16" s="39">
        <v>3609</v>
      </c>
    </row>
    <row r="17" spans="1:4" x14ac:dyDescent="0.25">
      <c r="A17" s="4" t="s">
        <v>336</v>
      </c>
      <c r="B17" s="40">
        <v>288097</v>
      </c>
      <c r="C17" s="4" t="s">
        <v>1202</v>
      </c>
      <c r="D17" s="39">
        <v>5700</v>
      </c>
    </row>
    <row r="18" spans="1:4" x14ac:dyDescent="0.25">
      <c r="A18" s="33" t="s">
        <v>336</v>
      </c>
      <c r="B18" s="40">
        <v>288072</v>
      </c>
      <c r="C18" s="33" t="s">
        <v>1203</v>
      </c>
      <c r="D18" s="39">
        <v>906</v>
      </c>
    </row>
    <row r="19" spans="1:4" x14ac:dyDescent="0.25">
      <c r="A19" s="4" t="s">
        <v>24</v>
      </c>
      <c r="B19" s="40">
        <v>286140</v>
      </c>
      <c r="C19" s="4" t="s">
        <v>1204</v>
      </c>
      <c r="D19" s="39">
        <v>20274</v>
      </c>
    </row>
    <row r="20" spans="1:4" x14ac:dyDescent="0.25">
      <c r="A20" s="4" t="s">
        <v>24</v>
      </c>
      <c r="B20" s="40">
        <v>285222</v>
      </c>
      <c r="C20" s="4" t="s">
        <v>1205</v>
      </c>
      <c r="D20" s="39">
        <v>28183</v>
      </c>
    </row>
    <row r="21" spans="1:4" x14ac:dyDescent="0.25">
      <c r="A21" s="4" t="s">
        <v>24</v>
      </c>
      <c r="B21" s="40">
        <v>286298</v>
      </c>
      <c r="C21" s="4" t="s">
        <v>1206</v>
      </c>
      <c r="D21" s="39">
        <v>17489</v>
      </c>
    </row>
    <row r="22" spans="1:4" x14ac:dyDescent="0.25">
      <c r="A22" s="4" t="s">
        <v>24</v>
      </c>
      <c r="B22" s="40">
        <v>286323</v>
      </c>
      <c r="C22" s="4" t="s">
        <v>1207</v>
      </c>
      <c r="D22" s="39">
        <v>12433</v>
      </c>
    </row>
    <row r="23" spans="1:4" x14ac:dyDescent="0.25">
      <c r="A23" s="4" t="s">
        <v>24</v>
      </c>
      <c r="B23" s="40">
        <v>286344</v>
      </c>
      <c r="C23" s="4" t="s">
        <v>1208</v>
      </c>
      <c r="D23" s="39">
        <v>10196</v>
      </c>
    </row>
    <row r="24" spans="1:4" x14ac:dyDescent="0.25">
      <c r="A24" s="4" t="s">
        <v>24</v>
      </c>
      <c r="B24" s="40">
        <v>286301</v>
      </c>
      <c r="C24" s="4" t="s">
        <v>1209</v>
      </c>
      <c r="D24" s="39">
        <v>3296</v>
      </c>
    </row>
    <row r="25" spans="1:4" x14ac:dyDescent="0.25">
      <c r="A25" s="4" t="s">
        <v>24</v>
      </c>
      <c r="B25" s="40">
        <v>285915</v>
      </c>
      <c r="C25" s="4" t="s">
        <v>1122</v>
      </c>
      <c r="D25" s="39">
        <v>434</v>
      </c>
    </row>
    <row r="26" spans="1:4" x14ac:dyDescent="0.25">
      <c r="A26" s="4" t="s">
        <v>24</v>
      </c>
      <c r="B26" s="40">
        <v>286315</v>
      </c>
      <c r="C26" s="4" t="s">
        <v>1210</v>
      </c>
      <c r="D26" s="39">
        <v>1302</v>
      </c>
    </row>
    <row r="27" spans="1:4" x14ac:dyDescent="0.25">
      <c r="A27" s="4" t="s">
        <v>24</v>
      </c>
      <c r="B27" s="40">
        <v>286361</v>
      </c>
      <c r="C27" s="4" t="s">
        <v>1211</v>
      </c>
      <c r="D27" s="39">
        <v>4812</v>
      </c>
    </row>
    <row r="28" spans="1:4" x14ac:dyDescent="0.25">
      <c r="A28" s="4" t="s">
        <v>211</v>
      </c>
      <c r="B28" s="40">
        <v>287350</v>
      </c>
      <c r="C28" s="4" t="s">
        <v>1179</v>
      </c>
      <c r="D28" s="39">
        <v>130</v>
      </c>
    </row>
    <row r="29" spans="1:4" x14ac:dyDescent="0.25">
      <c r="A29" s="4" t="s">
        <v>315</v>
      </c>
      <c r="B29" s="40">
        <v>287649</v>
      </c>
      <c r="C29" s="4" t="s">
        <v>1182</v>
      </c>
      <c r="D29" s="39">
        <v>5715</v>
      </c>
    </row>
    <row r="30" spans="1:4" x14ac:dyDescent="0.25">
      <c r="A30" s="4" t="s">
        <v>61</v>
      </c>
      <c r="B30" s="40">
        <v>287770</v>
      </c>
      <c r="C30" s="4" t="s">
        <v>1186</v>
      </c>
      <c r="D30" s="39">
        <v>375</v>
      </c>
    </row>
    <row r="31" spans="1:4" x14ac:dyDescent="0.25">
      <c r="A31" s="4" t="s">
        <v>61</v>
      </c>
      <c r="B31" s="40">
        <v>287771</v>
      </c>
      <c r="C31" s="4" t="s">
        <v>1212</v>
      </c>
      <c r="D31" s="39">
        <v>375</v>
      </c>
    </row>
    <row r="32" spans="1:4" x14ac:dyDescent="0.25">
      <c r="A32" s="33" t="s">
        <v>61</v>
      </c>
      <c r="B32" s="40">
        <v>287772</v>
      </c>
      <c r="C32" s="33" t="s">
        <v>1213</v>
      </c>
      <c r="D32" s="39">
        <v>1500</v>
      </c>
    </row>
    <row r="33" spans="1:4" x14ac:dyDescent="0.25">
      <c r="A33" s="4" t="s">
        <v>1188</v>
      </c>
      <c r="B33" s="40">
        <v>285080</v>
      </c>
      <c r="C33" s="4" t="s">
        <v>1189</v>
      </c>
      <c r="D33" s="39">
        <v>65000</v>
      </c>
    </row>
    <row r="34" spans="1:4" x14ac:dyDescent="0.25">
      <c r="A34" s="4" t="s">
        <v>24</v>
      </c>
      <c r="B34" s="40">
        <v>284997</v>
      </c>
      <c r="C34" s="4" t="s">
        <v>1187</v>
      </c>
      <c r="D34" s="39">
        <v>2595</v>
      </c>
    </row>
    <row r="35" spans="1:4" x14ac:dyDescent="0.25">
      <c r="C35" s="31" t="s">
        <v>83</v>
      </c>
      <c r="D35" s="37">
        <f>SUM(D2:D34)</f>
        <v>283068</v>
      </c>
    </row>
  </sheetData>
  <printOptions horizontalCentered="1"/>
  <pageMargins left="0.5" right="0.5" top="1" bottom="0.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D7AB-980F-442D-8EC4-7566C19D01E9}">
  <dimension ref="A1:D42"/>
  <sheetViews>
    <sheetView zoomScaleNormal="100" zoomScaleSheetLayoutView="100" workbookViewId="0">
      <selection activeCell="A60" sqref="A60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8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36" t="s">
        <v>4</v>
      </c>
    </row>
    <row r="2" spans="1:4" x14ac:dyDescent="0.25">
      <c r="A2" s="4" t="s">
        <v>5</v>
      </c>
      <c r="B2" s="40">
        <v>287162</v>
      </c>
      <c r="C2" s="4" t="s">
        <v>1174</v>
      </c>
      <c r="D2" s="39">
        <v>900</v>
      </c>
    </row>
    <row r="3" spans="1:4" x14ac:dyDescent="0.25">
      <c r="A3" s="4" t="s">
        <v>638</v>
      </c>
      <c r="B3" s="40">
        <v>287265</v>
      </c>
      <c r="C3" s="4" t="s">
        <v>1175</v>
      </c>
      <c r="D3" s="39">
        <v>120</v>
      </c>
    </row>
    <row r="4" spans="1:4" x14ac:dyDescent="0.25">
      <c r="A4" s="4" t="s">
        <v>256</v>
      </c>
      <c r="B4" s="40">
        <v>288220</v>
      </c>
      <c r="C4" s="4" t="s">
        <v>1214</v>
      </c>
      <c r="D4" s="39">
        <v>900</v>
      </c>
    </row>
    <row r="5" spans="1:4" x14ac:dyDescent="0.25">
      <c r="A5" s="4" t="s">
        <v>108</v>
      </c>
      <c r="B5" s="40">
        <v>287980</v>
      </c>
      <c r="C5" s="4" t="s">
        <v>1190</v>
      </c>
      <c r="D5" s="39">
        <v>705</v>
      </c>
    </row>
    <row r="6" spans="1:4" x14ac:dyDescent="0.25">
      <c r="A6" s="4" t="s">
        <v>108</v>
      </c>
      <c r="B6" s="40">
        <v>287991</v>
      </c>
      <c r="C6" s="4" t="s">
        <v>1191</v>
      </c>
      <c r="D6" s="39">
        <v>315</v>
      </c>
    </row>
    <row r="7" spans="1:4" x14ac:dyDescent="0.25">
      <c r="A7" s="4" t="s">
        <v>108</v>
      </c>
      <c r="B7" s="40">
        <v>287977</v>
      </c>
      <c r="C7" s="4" t="s">
        <v>1192</v>
      </c>
      <c r="D7" s="39">
        <v>150</v>
      </c>
    </row>
    <row r="8" spans="1:4" x14ac:dyDescent="0.25">
      <c r="A8" s="4" t="s">
        <v>61</v>
      </c>
      <c r="B8" s="40">
        <v>287841</v>
      </c>
      <c r="C8" s="4" t="s">
        <v>1196</v>
      </c>
      <c r="D8" s="39">
        <v>43161</v>
      </c>
    </row>
    <row r="9" spans="1:4" x14ac:dyDescent="0.25">
      <c r="A9" s="4" t="s">
        <v>336</v>
      </c>
      <c r="B9" s="40">
        <v>288014</v>
      </c>
      <c r="C9" s="4" t="s">
        <v>1199</v>
      </c>
      <c r="D9" s="39">
        <v>1447</v>
      </c>
    </row>
    <row r="10" spans="1:4" x14ac:dyDescent="0.25">
      <c r="A10" s="4" t="s">
        <v>336</v>
      </c>
      <c r="B10" s="40">
        <v>288019</v>
      </c>
      <c r="C10" s="4" t="s">
        <v>1200</v>
      </c>
      <c r="D10" s="39">
        <v>2212</v>
      </c>
    </row>
    <row r="11" spans="1:4" x14ac:dyDescent="0.25">
      <c r="A11" s="4" t="s">
        <v>336</v>
      </c>
      <c r="B11" s="40">
        <v>288023</v>
      </c>
      <c r="C11" s="4" t="s">
        <v>1201</v>
      </c>
      <c r="D11" s="39">
        <v>3609</v>
      </c>
    </row>
    <row r="12" spans="1:4" x14ac:dyDescent="0.25">
      <c r="A12" s="4" t="s">
        <v>336</v>
      </c>
      <c r="B12" s="40">
        <v>288097</v>
      </c>
      <c r="C12" s="4" t="s">
        <v>1202</v>
      </c>
      <c r="D12" s="39">
        <v>5700</v>
      </c>
    </row>
    <row r="13" spans="1:4" x14ac:dyDescent="0.25">
      <c r="A13" s="4" t="s">
        <v>336</v>
      </c>
      <c r="B13" s="40">
        <v>288072</v>
      </c>
      <c r="C13" s="4" t="s">
        <v>1203</v>
      </c>
      <c r="D13" s="39">
        <v>906</v>
      </c>
    </row>
    <row r="14" spans="1:4" x14ac:dyDescent="0.25">
      <c r="A14" s="33" t="s">
        <v>24</v>
      </c>
      <c r="B14" s="40">
        <v>286140</v>
      </c>
      <c r="C14" s="33" t="s">
        <v>1204</v>
      </c>
      <c r="D14" s="39">
        <v>20274</v>
      </c>
    </row>
    <row r="15" spans="1:4" x14ac:dyDescent="0.25">
      <c r="A15" s="4" t="s">
        <v>24</v>
      </c>
      <c r="B15" s="40">
        <v>286035</v>
      </c>
      <c r="C15" s="4" t="s">
        <v>1215</v>
      </c>
      <c r="D15" s="39">
        <v>17504</v>
      </c>
    </row>
    <row r="16" spans="1:4" x14ac:dyDescent="0.25">
      <c r="A16" s="33" t="s">
        <v>24</v>
      </c>
      <c r="B16" s="40">
        <v>284520</v>
      </c>
      <c r="C16" s="33" t="s">
        <v>1216</v>
      </c>
      <c r="D16" s="39">
        <v>3657</v>
      </c>
    </row>
    <row r="17" spans="1:4" x14ac:dyDescent="0.25">
      <c r="A17" s="4" t="s">
        <v>24</v>
      </c>
      <c r="B17" s="40">
        <v>286038</v>
      </c>
      <c r="C17" s="4" t="s">
        <v>1217</v>
      </c>
      <c r="D17" s="39">
        <v>2044</v>
      </c>
    </row>
    <row r="18" spans="1:4" x14ac:dyDescent="0.25">
      <c r="A18" s="4" t="s">
        <v>24</v>
      </c>
      <c r="B18" s="40">
        <v>284522</v>
      </c>
      <c r="C18" s="4" t="s">
        <v>1218</v>
      </c>
      <c r="D18" s="39">
        <v>13537</v>
      </c>
    </row>
    <row r="19" spans="1:4" x14ac:dyDescent="0.25">
      <c r="A19" s="4" t="s">
        <v>24</v>
      </c>
      <c r="B19" s="40">
        <v>286298</v>
      </c>
      <c r="C19" s="4" t="s">
        <v>1206</v>
      </c>
      <c r="D19" s="39">
        <v>17489</v>
      </c>
    </row>
    <row r="20" spans="1:4" x14ac:dyDescent="0.25">
      <c r="A20" s="4" t="s">
        <v>24</v>
      </c>
      <c r="B20" s="40">
        <v>286323</v>
      </c>
      <c r="C20" s="4" t="s">
        <v>1207</v>
      </c>
      <c r="D20" s="39">
        <v>12433</v>
      </c>
    </row>
    <row r="21" spans="1:4" x14ac:dyDescent="0.25">
      <c r="A21" s="4" t="s">
        <v>24</v>
      </c>
      <c r="B21" s="40">
        <v>286344</v>
      </c>
      <c r="C21" s="4" t="s">
        <v>1208</v>
      </c>
      <c r="D21" s="39">
        <v>10196</v>
      </c>
    </row>
    <row r="22" spans="1:4" x14ac:dyDescent="0.25">
      <c r="A22" s="4" t="s">
        <v>24</v>
      </c>
      <c r="B22" s="40">
        <v>286301</v>
      </c>
      <c r="C22" s="4" t="s">
        <v>1209</v>
      </c>
      <c r="D22" s="39">
        <v>3296</v>
      </c>
    </row>
    <row r="23" spans="1:4" x14ac:dyDescent="0.25">
      <c r="A23" s="4" t="s">
        <v>24</v>
      </c>
      <c r="B23" s="40">
        <v>285915</v>
      </c>
      <c r="C23" s="4" t="s">
        <v>1122</v>
      </c>
      <c r="D23" s="39">
        <v>434</v>
      </c>
    </row>
    <row r="24" spans="1:4" x14ac:dyDescent="0.25">
      <c r="A24" s="4" t="s">
        <v>24</v>
      </c>
      <c r="B24" s="40">
        <v>284523</v>
      </c>
      <c r="C24" s="4" t="s">
        <v>1219</v>
      </c>
      <c r="D24" s="39">
        <v>3837</v>
      </c>
    </row>
    <row r="25" spans="1:4" x14ac:dyDescent="0.25">
      <c r="A25" s="4" t="s">
        <v>24</v>
      </c>
      <c r="B25" s="40">
        <v>286315</v>
      </c>
      <c r="C25" s="4" t="s">
        <v>1210</v>
      </c>
      <c r="D25" s="39">
        <v>1302</v>
      </c>
    </row>
    <row r="26" spans="1:4" x14ac:dyDescent="0.25">
      <c r="A26" s="4" t="s">
        <v>24</v>
      </c>
      <c r="B26" s="40">
        <v>286361</v>
      </c>
      <c r="C26" s="4" t="s">
        <v>1211</v>
      </c>
      <c r="D26" s="39">
        <v>4812</v>
      </c>
    </row>
    <row r="27" spans="1:4" x14ac:dyDescent="0.25">
      <c r="A27" s="4" t="s">
        <v>111</v>
      </c>
      <c r="B27" s="40">
        <v>288259</v>
      </c>
      <c r="C27" s="4" t="s">
        <v>1220</v>
      </c>
      <c r="D27" s="39">
        <v>9588</v>
      </c>
    </row>
    <row r="28" spans="1:4" x14ac:dyDescent="0.25">
      <c r="A28" s="4" t="s">
        <v>111</v>
      </c>
      <c r="B28" s="40">
        <v>288500</v>
      </c>
      <c r="C28" s="4" t="s">
        <v>1221</v>
      </c>
      <c r="D28" s="39">
        <v>159</v>
      </c>
    </row>
    <row r="29" spans="1:4" x14ac:dyDescent="0.25">
      <c r="A29" s="4" t="s">
        <v>111</v>
      </c>
      <c r="B29" s="40">
        <v>288391</v>
      </c>
      <c r="C29" s="4" t="s">
        <v>1222</v>
      </c>
      <c r="D29" s="39">
        <v>210</v>
      </c>
    </row>
    <row r="30" spans="1:4" x14ac:dyDescent="0.25">
      <c r="A30" s="4" t="s">
        <v>111</v>
      </c>
      <c r="B30" s="40">
        <v>288268</v>
      </c>
      <c r="C30" s="4" t="s">
        <v>1223</v>
      </c>
      <c r="D30" s="39">
        <v>70</v>
      </c>
    </row>
    <row r="31" spans="1:4" x14ac:dyDescent="0.25">
      <c r="A31" s="4" t="s">
        <v>111</v>
      </c>
      <c r="B31" s="40">
        <v>288290</v>
      </c>
      <c r="C31" s="4" t="s">
        <v>1224</v>
      </c>
      <c r="D31" s="39">
        <v>70</v>
      </c>
    </row>
    <row r="32" spans="1:4" x14ac:dyDescent="0.25">
      <c r="A32" s="4" t="s">
        <v>111</v>
      </c>
      <c r="B32" s="40">
        <v>288216</v>
      </c>
      <c r="C32" s="4" t="s">
        <v>1225</v>
      </c>
      <c r="D32" s="39">
        <v>196</v>
      </c>
    </row>
    <row r="33" spans="1:4" x14ac:dyDescent="0.25">
      <c r="A33" s="4" t="s">
        <v>167</v>
      </c>
      <c r="B33" s="40">
        <v>286838</v>
      </c>
      <c r="C33" s="4" t="s">
        <v>1226</v>
      </c>
      <c r="D33" s="39">
        <v>2881</v>
      </c>
    </row>
    <row r="34" spans="1:4" x14ac:dyDescent="0.25">
      <c r="A34" s="4" t="s">
        <v>167</v>
      </c>
      <c r="B34" s="40">
        <v>288252</v>
      </c>
      <c r="C34" s="4" t="s">
        <v>1227</v>
      </c>
      <c r="D34" s="39">
        <v>1840</v>
      </c>
    </row>
    <row r="35" spans="1:4" x14ac:dyDescent="0.25">
      <c r="A35" s="4" t="s">
        <v>718</v>
      </c>
      <c r="B35" s="40">
        <v>284732</v>
      </c>
      <c r="C35" s="4" t="s">
        <v>1046</v>
      </c>
      <c r="D35" s="39">
        <v>9672</v>
      </c>
    </row>
    <row r="36" spans="1:4" x14ac:dyDescent="0.25">
      <c r="A36" s="4" t="s">
        <v>718</v>
      </c>
      <c r="B36" s="40">
        <v>288201</v>
      </c>
      <c r="C36" s="4" t="s">
        <v>1228</v>
      </c>
      <c r="D36" s="39">
        <v>1414</v>
      </c>
    </row>
    <row r="37" spans="1:4" x14ac:dyDescent="0.25">
      <c r="A37" s="4" t="s">
        <v>718</v>
      </c>
      <c r="B37" s="40">
        <v>288199</v>
      </c>
      <c r="C37" s="4" t="s">
        <v>1229</v>
      </c>
      <c r="D37" s="39">
        <v>199</v>
      </c>
    </row>
    <row r="38" spans="1:4" x14ac:dyDescent="0.25">
      <c r="A38" s="4" t="s">
        <v>718</v>
      </c>
      <c r="B38" s="40">
        <v>288200</v>
      </c>
      <c r="C38" s="4" t="s">
        <v>1230</v>
      </c>
      <c r="D38" s="39">
        <v>156</v>
      </c>
    </row>
    <row r="39" spans="1:4" x14ac:dyDescent="0.25">
      <c r="A39" s="4" t="s">
        <v>718</v>
      </c>
      <c r="B39" s="40">
        <v>288115</v>
      </c>
      <c r="C39" s="4" t="s">
        <v>1231</v>
      </c>
      <c r="D39" s="39">
        <v>50544</v>
      </c>
    </row>
    <row r="40" spans="1:4" x14ac:dyDescent="0.25">
      <c r="A40" s="4" t="s">
        <v>32</v>
      </c>
      <c r="B40" s="40">
        <v>287486</v>
      </c>
      <c r="C40" s="4" t="s">
        <v>1232</v>
      </c>
      <c r="D40" s="39">
        <v>1190</v>
      </c>
    </row>
    <row r="41" spans="1:4" x14ac:dyDescent="0.25">
      <c r="A41" s="33" t="s">
        <v>24</v>
      </c>
      <c r="B41" s="40">
        <v>284997</v>
      </c>
      <c r="C41" s="33" t="s">
        <v>1187</v>
      </c>
      <c r="D41" s="39">
        <v>2595</v>
      </c>
    </row>
    <row r="42" spans="1:4" x14ac:dyDescent="0.25">
      <c r="C42" s="31" t="s">
        <v>83</v>
      </c>
      <c r="D42" s="37">
        <f>SUM(D2:D41)</f>
        <v>251724</v>
      </c>
    </row>
  </sheetData>
  <printOptions horizontalCentered="1"/>
  <pageMargins left="0.5" right="0.5" top="1" bottom="0.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B0A3-3985-4B50-A4B7-5FA4F10A1725}">
  <dimension ref="A1:D38"/>
  <sheetViews>
    <sheetView zoomScaleNormal="100" zoomScaleSheetLayoutView="100" workbookViewId="0">
      <selection activeCell="D38" sqref="D38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8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36" t="s">
        <v>4</v>
      </c>
    </row>
    <row r="2" spans="1:4" x14ac:dyDescent="0.25">
      <c r="A2" s="4" t="s">
        <v>5</v>
      </c>
      <c r="B2" s="40">
        <v>287162</v>
      </c>
      <c r="C2" s="4" t="s">
        <v>1174</v>
      </c>
      <c r="D2" s="39">
        <v>900</v>
      </c>
    </row>
    <row r="3" spans="1:4" x14ac:dyDescent="0.25">
      <c r="A3" s="4" t="s">
        <v>638</v>
      </c>
      <c r="B3" s="40">
        <v>287265</v>
      </c>
      <c r="C3" s="4" t="s">
        <v>1175</v>
      </c>
      <c r="D3" s="39">
        <v>120</v>
      </c>
    </row>
    <row r="4" spans="1:4" x14ac:dyDescent="0.25">
      <c r="A4" s="4" t="s">
        <v>256</v>
      </c>
      <c r="B4" s="40">
        <v>288220</v>
      </c>
      <c r="C4" s="4" t="s">
        <v>1214</v>
      </c>
      <c r="D4" s="39">
        <v>900</v>
      </c>
    </row>
    <row r="5" spans="1:4" x14ac:dyDescent="0.25">
      <c r="A5" s="4" t="s">
        <v>108</v>
      </c>
      <c r="B5" s="40">
        <v>287980</v>
      </c>
      <c r="C5" s="4" t="s">
        <v>1190</v>
      </c>
      <c r="D5" s="39">
        <v>705</v>
      </c>
    </row>
    <row r="6" spans="1:4" x14ac:dyDescent="0.25">
      <c r="A6" s="4" t="s">
        <v>108</v>
      </c>
      <c r="B6" s="40">
        <v>287991</v>
      </c>
      <c r="C6" s="4" t="s">
        <v>1191</v>
      </c>
      <c r="D6" s="39">
        <v>315</v>
      </c>
    </row>
    <row r="7" spans="1:4" x14ac:dyDescent="0.25">
      <c r="A7" s="4" t="s">
        <v>108</v>
      </c>
      <c r="B7" s="40">
        <v>287977</v>
      </c>
      <c r="C7" s="4" t="s">
        <v>1192</v>
      </c>
      <c r="D7" s="39">
        <v>150</v>
      </c>
    </row>
    <row r="8" spans="1:4" x14ac:dyDescent="0.25">
      <c r="A8" s="4" t="s">
        <v>500</v>
      </c>
      <c r="B8" s="40">
        <v>289004</v>
      </c>
      <c r="C8" s="4" t="s">
        <v>1233</v>
      </c>
      <c r="D8" s="39">
        <v>360</v>
      </c>
    </row>
    <row r="9" spans="1:4" x14ac:dyDescent="0.25">
      <c r="A9" s="4" t="s">
        <v>336</v>
      </c>
      <c r="B9" s="40">
        <v>288023</v>
      </c>
      <c r="C9" s="4" t="s">
        <v>1201</v>
      </c>
      <c r="D9" s="39">
        <v>3609</v>
      </c>
    </row>
    <row r="10" spans="1:4" x14ac:dyDescent="0.25">
      <c r="A10" s="4" t="s">
        <v>336</v>
      </c>
      <c r="B10" s="40">
        <v>288072</v>
      </c>
      <c r="C10" s="4" t="s">
        <v>1203</v>
      </c>
      <c r="D10" s="39">
        <v>906</v>
      </c>
    </row>
    <row r="11" spans="1:4" x14ac:dyDescent="0.25">
      <c r="A11" s="4" t="s">
        <v>24</v>
      </c>
      <c r="B11" s="40">
        <v>286038</v>
      </c>
      <c r="C11" s="4" t="s">
        <v>1217</v>
      </c>
      <c r="D11" s="39">
        <v>2044</v>
      </c>
    </row>
    <row r="12" spans="1:4" x14ac:dyDescent="0.25">
      <c r="A12" s="4" t="s">
        <v>24</v>
      </c>
      <c r="B12" s="40">
        <v>284522</v>
      </c>
      <c r="C12" s="4" t="s">
        <v>1218</v>
      </c>
      <c r="D12" s="39">
        <v>13537</v>
      </c>
    </row>
    <row r="13" spans="1:4" x14ac:dyDescent="0.25">
      <c r="A13" s="4" t="s">
        <v>24</v>
      </c>
      <c r="B13" s="40">
        <v>286298</v>
      </c>
      <c r="C13" s="4" t="s">
        <v>1206</v>
      </c>
      <c r="D13" s="39">
        <v>17489</v>
      </c>
    </row>
    <row r="14" spans="1:4" x14ac:dyDescent="0.25">
      <c r="A14" s="33" t="s">
        <v>24</v>
      </c>
      <c r="B14" s="40">
        <v>286323</v>
      </c>
      <c r="C14" s="33" t="s">
        <v>1207</v>
      </c>
      <c r="D14" s="39">
        <v>12433</v>
      </c>
    </row>
    <row r="15" spans="1:4" x14ac:dyDescent="0.25">
      <c r="A15" s="4" t="s">
        <v>24</v>
      </c>
      <c r="B15" s="40">
        <v>286344</v>
      </c>
      <c r="C15" s="4" t="s">
        <v>1208</v>
      </c>
      <c r="D15" s="39">
        <v>10196</v>
      </c>
    </row>
    <row r="16" spans="1:4" x14ac:dyDescent="0.25">
      <c r="A16" s="33" t="s">
        <v>24</v>
      </c>
      <c r="B16" s="40">
        <v>286301</v>
      </c>
      <c r="C16" s="33" t="s">
        <v>1209</v>
      </c>
      <c r="D16" s="39">
        <v>3296</v>
      </c>
    </row>
    <row r="17" spans="1:4" x14ac:dyDescent="0.25">
      <c r="A17" s="4" t="s">
        <v>24</v>
      </c>
      <c r="B17" s="40">
        <v>285915</v>
      </c>
      <c r="C17" s="4" t="s">
        <v>1122</v>
      </c>
      <c r="D17" s="39">
        <v>434</v>
      </c>
    </row>
    <row r="18" spans="1:4" x14ac:dyDescent="0.25">
      <c r="A18" s="4" t="s">
        <v>24</v>
      </c>
      <c r="B18" s="40">
        <v>284523</v>
      </c>
      <c r="C18" s="4" t="s">
        <v>1219</v>
      </c>
      <c r="D18" s="39">
        <v>3837</v>
      </c>
    </row>
    <row r="19" spans="1:4" x14ac:dyDescent="0.25">
      <c r="A19" s="4" t="s">
        <v>24</v>
      </c>
      <c r="B19" s="40">
        <v>286315</v>
      </c>
      <c r="C19" s="4" t="s">
        <v>1210</v>
      </c>
      <c r="D19" s="39">
        <v>1302</v>
      </c>
    </row>
    <row r="20" spans="1:4" x14ac:dyDescent="0.25">
      <c r="A20" s="4" t="s">
        <v>24</v>
      </c>
      <c r="B20" s="40">
        <v>286361</v>
      </c>
      <c r="C20" s="4" t="s">
        <v>1211</v>
      </c>
      <c r="D20" s="39">
        <v>4812</v>
      </c>
    </row>
    <row r="21" spans="1:4" x14ac:dyDescent="0.25">
      <c r="A21" s="4" t="s">
        <v>111</v>
      </c>
      <c r="B21" s="40">
        <v>288259</v>
      </c>
      <c r="C21" s="4" t="s">
        <v>1220</v>
      </c>
      <c r="D21" s="39">
        <v>2612</v>
      </c>
    </row>
    <row r="22" spans="1:4" x14ac:dyDescent="0.25">
      <c r="A22" s="4" t="s">
        <v>111</v>
      </c>
      <c r="B22" s="40">
        <v>288500</v>
      </c>
      <c r="C22" s="4" t="s">
        <v>1221</v>
      </c>
      <c r="D22" s="39">
        <v>159</v>
      </c>
    </row>
    <row r="23" spans="1:4" x14ac:dyDescent="0.25">
      <c r="A23" s="4" t="s">
        <v>111</v>
      </c>
      <c r="B23" s="40">
        <v>288707</v>
      </c>
      <c r="C23" s="4" t="s">
        <v>1234</v>
      </c>
      <c r="D23" s="39">
        <v>159</v>
      </c>
    </row>
    <row r="24" spans="1:4" x14ac:dyDescent="0.25">
      <c r="A24" s="4" t="s">
        <v>111</v>
      </c>
      <c r="B24" s="40">
        <v>288391</v>
      </c>
      <c r="C24" s="4" t="s">
        <v>1222</v>
      </c>
      <c r="D24" s="39">
        <v>210</v>
      </c>
    </row>
    <row r="25" spans="1:4" x14ac:dyDescent="0.25">
      <c r="A25" s="4" t="s">
        <v>111</v>
      </c>
      <c r="B25" s="40">
        <v>288268</v>
      </c>
      <c r="C25" s="4" t="s">
        <v>1223</v>
      </c>
      <c r="D25" s="39">
        <v>70</v>
      </c>
    </row>
    <row r="26" spans="1:4" x14ac:dyDescent="0.25">
      <c r="A26" s="4" t="s">
        <v>111</v>
      </c>
      <c r="B26" s="40">
        <v>288290</v>
      </c>
      <c r="C26" s="4" t="s">
        <v>1224</v>
      </c>
      <c r="D26" s="39">
        <v>70</v>
      </c>
    </row>
    <row r="27" spans="1:4" x14ac:dyDescent="0.25">
      <c r="A27" s="4" t="s">
        <v>167</v>
      </c>
      <c r="B27" s="40">
        <v>286838</v>
      </c>
      <c r="C27" s="4" t="s">
        <v>1226</v>
      </c>
      <c r="D27" s="39">
        <v>2881</v>
      </c>
    </row>
    <row r="28" spans="1:4" x14ac:dyDescent="0.25">
      <c r="A28" s="4" t="s">
        <v>167</v>
      </c>
      <c r="B28" s="40">
        <v>288252</v>
      </c>
      <c r="C28" s="4" t="s">
        <v>1227</v>
      </c>
      <c r="D28" s="39">
        <v>1840</v>
      </c>
    </row>
    <row r="29" spans="1:4" x14ac:dyDescent="0.25">
      <c r="A29" s="4" t="s">
        <v>32</v>
      </c>
      <c r="B29" s="40">
        <v>287486</v>
      </c>
      <c r="C29" s="4" t="s">
        <v>1232</v>
      </c>
      <c r="D29" s="39">
        <v>1190</v>
      </c>
    </row>
    <row r="30" spans="1:4" x14ac:dyDescent="0.25">
      <c r="A30" s="4" t="s">
        <v>256</v>
      </c>
      <c r="B30" s="40">
        <v>288217</v>
      </c>
      <c r="C30" s="4" t="s">
        <v>1235</v>
      </c>
      <c r="D30" s="39">
        <v>125</v>
      </c>
    </row>
    <row r="31" spans="1:4" x14ac:dyDescent="0.25">
      <c r="A31" s="4" t="s">
        <v>61</v>
      </c>
      <c r="B31" s="40">
        <v>289009</v>
      </c>
      <c r="C31" s="4" t="s">
        <v>1236</v>
      </c>
      <c r="D31" s="39">
        <v>79640</v>
      </c>
    </row>
    <row r="32" spans="1:4" x14ac:dyDescent="0.25">
      <c r="A32" s="4" t="s">
        <v>61</v>
      </c>
      <c r="B32" s="40">
        <v>288620</v>
      </c>
      <c r="C32" s="4" t="s">
        <v>1237</v>
      </c>
      <c r="D32" s="39">
        <v>131919</v>
      </c>
    </row>
    <row r="33" spans="1:4" x14ac:dyDescent="0.25">
      <c r="A33" s="4" t="s">
        <v>61</v>
      </c>
      <c r="B33" s="40">
        <v>288640</v>
      </c>
      <c r="C33" s="4" t="s">
        <v>1238</v>
      </c>
      <c r="D33" s="39">
        <v>2580</v>
      </c>
    </row>
    <row r="34" spans="1:4" x14ac:dyDescent="0.25">
      <c r="A34" s="4" t="s">
        <v>61</v>
      </c>
      <c r="B34" s="40">
        <v>288876</v>
      </c>
      <c r="C34" s="4" t="s">
        <v>1239</v>
      </c>
      <c r="D34" s="39">
        <v>5327</v>
      </c>
    </row>
    <row r="35" spans="1:4" x14ac:dyDescent="0.25">
      <c r="A35" s="4" t="s">
        <v>61</v>
      </c>
      <c r="B35" s="40">
        <v>288796</v>
      </c>
      <c r="C35" s="4" t="s">
        <v>1240</v>
      </c>
      <c r="D35" s="39">
        <v>4075</v>
      </c>
    </row>
    <row r="36" spans="1:4" x14ac:dyDescent="0.25">
      <c r="A36" s="4" t="s">
        <v>61</v>
      </c>
      <c r="B36" s="40">
        <v>288602</v>
      </c>
      <c r="C36" s="4" t="s">
        <v>1241</v>
      </c>
      <c r="D36" s="39">
        <v>1365</v>
      </c>
    </row>
    <row r="37" spans="1:4" x14ac:dyDescent="0.25">
      <c r="A37" s="4" t="s">
        <v>24</v>
      </c>
      <c r="B37" s="40">
        <v>284997</v>
      </c>
      <c r="C37" s="4" t="s">
        <v>1187</v>
      </c>
      <c r="D37" s="39">
        <v>2595</v>
      </c>
    </row>
    <row r="38" spans="1:4" x14ac:dyDescent="0.25">
      <c r="C38" s="31" t="s">
        <v>83</v>
      </c>
      <c r="D38" s="37">
        <f>SUM(D2:D37)</f>
        <v>314162</v>
      </c>
    </row>
  </sheetData>
  <printOptions horizontalCentered="1"/>
  <pageMargins left="0.5" right="0.5" top="1" bottom="0.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F7CF-A07A-47AC-A98B-F8E5741C6C34}">
  <dimension ref="A1:D31"/>
  <sheetViews>
    <sheetView zoomScaleNormal="100" zoomScaleSheetLayoutView="100" workbookViewId="0">
      <selection activeCell="D31" sqref="D31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8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36" t="s">
        <v>4</v>
      </c>
    </row>
    <row r="2" spans="1:4" x14ac:dyDescent="0.25">
      <c r="A2" s="4" t="s">
        <v>5</v>
      </c>
      <c r="B2" s="40">
        <v>287162</v>
      </c>
      <c r="C2" s="4" t="s">
        <v>1174</v>
      </c>
      <c r="D2" s="39">
        <v>900</v>
      </c>
    </row>
    <row r="3" spans="1:4" x14ac:dyDescent="0.25">
      <c r="A3" s="4" t="s">
        <v>638</v>
      </c>
      <c r="B3" s="40">
        <v>287265</v>
      </c>
      <c r="C3" s="4" t="s">
        <v>1175</v>
      </c>
      <c r="D3" s="39">
        <v>120</v>
      </c>
    </row>
    <row r="4" spans="1:4" x14ac:dyDescent="0.25">
      <c r="A4" s="4" t="s">
        <v>256</v>
      </c>
      <c r="B4" s="40">
        <v>288220</v>
      </c>
      <c r="C4" s="4" t="s">
        <v>1214</v>
      </c>
      <c r="D4" s="39">
        <v>900</v>
      </c>
    </row>
    <row r="5" spans="1:4" x14ac:dyDescent="0.25">
      <c r="A5" s="4" t="s">
        <v>256</v>
      </c>
      <c r="B5" s="40">
        <v>288733</v>
      </c>
      <c r="C5" s="4" t="s">
        <v>1242</v>
      </c>
      <c r="D5" s="39">
        <v>495</v>
      </c>
    </row>
    <row r="6" spans="1:4" x14ac:dyDescent="0.25">
      <c r="A6" s="4" t="s">
        <v>108</v>
      </c>
      <c r="B6" s="40">
        <v>287980</v>
      </c>
      <c r="C6" s="4" t="s">
        <v>1190</v>
      </c>
      <c r="D6" s="39">
        <v>705</v>
      </c>
    </row>
    <row r="7" spans="1:4" x14ac:dyDescent="0.25">
      <c r="A7" s="4" t="s">
        <v>108</v>
      </c>
      <c r="B7" s="40">
        <v>287991</v>
      </c>
      <c r="C7" s="4" t="s">
        <v>1191</v>
      </c>
      <c r="D7" s="39">
        <v>315</v>
      </c>
    </row>
    <row r="8" spans="1:4" x14ac:dyDescent="0.25">
      <c r="A8" s="4" t="s">
        <v>108</v>
      </c>
      <c r="B8" s="40">
        <v>287977</v>
      </c>
      <c r="C8" s="4" t="s">
        <v>1192</v>
      </c>
      <c r="D8" s="39">
        <v>150</v>
      </c>
    </row>
    <row r="9" spans="1:4" x14ac:dyDescent="0.25">
      <c r="A9" s="4" t="s">
        <v>500</v>
      </c>
      <c r="B9" s="40">
        <v>289004</v>
      </c>
      <c r="C9" s="4" t="s">
        <v>1233</v>
      </c>
      <c r="D9" s="39">
        <v>360</v>
      </c>
    </row>
    <row r="10" spans="1:4" x14ac:dyDescent="0.25">
      <c r="A10" s="4" t="s">
        <v>336</v>
      </c>
      <c r="B10" s="40">
        <v>288023</v>
      </c>
      <c r="C10" s="4" t="s">
        <v>1201</v>
      </c>
      <c r="D10" s="39">
        <v>3609</v>
      </c>
    </row>
    <row r="11" spans="1:4" x14ac:dyDescent="0.25">
      <c r="A11" s="4" t="s">
        <v>24</v>
      </c>
      <c r="B11" s="40">
        <v>285915</v>
      </c>
      <c r="C11" s="4" t="s">
        <v>1122</v>
      </c>
      <c r="D11" s="39">
        <v>434</v>
      </c>
    </row>
    <row r="12" spans="1:4" x14ac:dyDescent="0.25">
      <c r="A12" s="4" t="s">
        <v>111</v>
      </c>
      <c r="B12" s="40">
        <v>288259</v>
      </c>
      <c r="C12" s="4" t="s">
        <v>1220</v>
      </c>
      <c r="D12" s="39">
        <v>2612</v>
      </c>
    </row>
    <row r="13" spans="1:4" x14ac:dyDescent="0.25">
      <c r="A13" s="4" t="s">
        <v>111</v>
      </c>
      <c r="B13" s="40">
        <v>288500</v>
      </c>
      <c r="C13" s="4" t="s">
        <v>1221</v>
      </c>
      <c r="D13" s="39">
        <v>159</v>
      </c>
    </row>
    <row r="14" spans="1:4" x14ac:dyDescent="0.25">
      <c r="A14" s="33" t="s">
        <v>111</v>
      </c>
      <c r="B14" s="40">
        <v>288707</v>
      </c>
      <c r="C14" s="33" t="s">
        <v>1234</v>
      </c>
      <c r="D14" s="39">
        <v>159</v>
      </c>
    </row>
    <row r="15" spans="1:4" x14ac:dyDescent="0.25">
      <c r="A15" s="4" t="s">
        <v>111</v>
      </c>
      <c r="B15" s="40">
        <v>288391</v>
      </c>
      <c r="C15" s="4" t="s">
        <v>1222</v>
      </c>
      <c r="D15" s="39">
        <v>210</v>
      </c>
    </row>
    <row r="16" spans="1:4" x14ac:dyDescent="0.25">
      <c r="A16" s="33" t="s">
        <v>167</v>
      </c>
      <c r="B16" s="40">
        <v>288252</v>
      </c>
      <c r="C16" s="33" t="s">
        <v>1227</v>
      </c>
      <c r="D16" s="39">
        <v>1840</v>
      </c>
    </row>
    <row r="17" spans="1:4" x14ac:dyDescent="0.25">
      <c r="A17" s="4" t="s">
        <v>180</v>
      </c>
      <c r="B17" s="40">
        <v>287191</v>
      </c>
      <c r="C17" s="4" t="s">
        <v>1243</v>
      </c>
      <c r="D17" s="39">
        <v>5570</v>
      </c>
    </row>
    <row r="18" spans="1:4" x14ac:dyDescent="0.25">
      <c r="A18" s="4" t="s">
        <v>718</v>
      </c>
      <c r="B18" s="40">
        <v>289016</v>
      </c>
      <c r="C18" s="4" t="s">
        <v>1244</v>
      </c>
      <c r="D18" s="39">
        <v>7332</v>
      </c>
    </row>
    <row r="19" spans="1:4" x14ac:dyDescent="0.25">
      <c r="A19" s="4" t="s">
        <v>718</v>
      </c>
      <c r="B19" s="40">
        <v>289002</v>
      </c>
      <c r="C19" s="4" t="s">
        <v>1245</v>
      </c>
      <c r="D19" s="39">
        <v>20124</v>
      </c>
    </row>
    <row r="20" spans="1:4" x14ac:dyDescent="0.25">
      <c r="A20" s="4" t="s">
        <v>32</v>
      </c>
      <c r="B20" s="40">
        <v>287486</v>
      </c>
      <c r="C20" s="4" t="s">
        <v>1232</v>
      </c>
      <c r="D20" s="39">
        <v>1190</v>
      </c>
    </row>
    <row r="21" spans="1:4" x14ac:dyDescent="0.25">
      <c r="A21" s="4" t="s">
        <v>539</v>
      </c>
      <c r="B21" s="40">
        <v>286091</v>
      </c>
      <c r="C21" s="4" t="s">
        <v>1246</v>
      </c>
      <c r="D21" s="39">
        <v>8690</v>
      </c>
    </row>
    <row r="22" spans="1:4" x14ac:dyDescent="0.25">
      <c r="A22" s="4" t="s">
        <v>61</v>
      </c>
      <c r="B22" s="40">
        <v>289009</v>
      </c>
      <c r="C22" s="4" t="s">
        <v>1236</v>
      </c>
      <c r="D22" s="39">
        <v>79553</v>
      </c>
    </row>
    <row r="23" spans="1:4" x14ac:dyDescent="0.25">
      <c r="A23" s="4" t="s">
        <v>61</v>
      </c>
      <c r="B23" s="40">
        <v>290347</v>
      </c>
      <c r="C23" s="4" t="s">
        <v>1247</v>
      </c>
      <c r="D23" s="39">
        <v>365</v>
      </c>
    </row>
    <row r="24" spans="1:4" x14ac:dyDescent="0.25">
      <c r="A24" s="4" t="s">
        <v>61</v>
      </c>
      <c r="B24" s="40">
        <v>290352</v>
      </c>
      <c r="C24" s="4" t="s">
        <v>1248</v>
      </c>
      <c r="D24" s="39">
        <v>375</v>
      </c>
    </row>
    <row r="25" spans="1:4" x14ac:dyDescent="0.25">
      <c r="A25" s="4" t="s">
        <v>61</v>
      </c>
      <c r="B25" s="40">
        <v>290351</v>
      </c>
      <c r="C25" s="4" t="s">
        <v>1249</v>
      </c>
      <c r="D25" s="39">
        <v>5475</v>
      </c>
    </row>
    <row r="26" spans="1:4" x14ac:dyDescent="0.25">
      <c r="A26" s="4" t="s">
        <v>61</v>
      </c>
      <c r="B26" s="40">
        <v>290355</v>
      </c>
      <c r="C26" s="4" t="s">
        <v>1250</v>
      </c>
      <c r="D26" s="39">
        <v>375</v>
      </c>
    </row>
    <row r="27" spans="1:4" x14ac:dyDescent="0.25">
      <c r="A27" s="4" t="s">
        <v>61</v>
      </c>
      <c r="B27" s="40">
        <v>288640</v>
      </c>
      <c r="C27" s="4" t="s">
        <v>1238</v>
      </c>
      <c r="D27" s="39">
        <v>2580</v>
      </c>
    </row>
    <row r="28" spans="1:4" x14ac:dyDescent="0.25">
      <c r="A28" s="4" t="s">
        <v>61</v>
      </c>
      <c r="B28" s="40">
        <v>288876</v>
      </c>
      <c r="C28" s="4" t="s">
        <v>1239</v>
      </c>
      <c r="D28" s="39">
        <v>5327</v>
      </c>
    </row>
    <row r="29" spans="1:4" x14ac:dyDescent="0.25">
      <c r="A29" s="4" t="s">
        <v>61</v>
      </c>
      <c r="B29" s="40">
        <v>288602</v>
      </c>
      <c r="C29" s="4" t="s">
        <v>1241</v>
      </c>
      <c r="D29" s="39">
        <v>1365</v>
      </c>
    </row>
    <row r="30" spans="1:4" x14ac:dyDescent="0.25">
      <c r="A30" s="4" t="s">
        <v>24</v>
      </c>
      <c r="B30" s="40">
        <v>284997</v>
      </c>
      <c r="C30" s="4" t="s">
        <v>1187</v>
      </c>
      <c r="D30" s="39">
        <v>2595</v>
      </c>
    </row>
    <row r="31" spans="1:4" x14ac:dyDescent="0.25">
      <c r="C31" s="31" t="s">
        <v>83</v>
      </c>
      <c r="D31" s="37">
        <f>SUM(D2:D30)</f>
        <v>153884</v>
      </c>
    </row>
  </sheetData>
  <printOptions horizontalCentered="1"/>
  <pageMargins left="0.5" right="0.5" top="1" bottom="0.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75F6-2766-4B5A-A27F-2A175618193D}">
  <dimension ref="A1:D35"/>
  <sheetViews>
    <sheetView zoomScaleNormal="100" zoomScaleSheetLayoutView="100" workbookViewId="0">
      <selection activeCell="A44" sqref="A44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8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36" t="s">
        <v>4</v>
      </c>
    </row>
    <row r="2" spans="1:4" x14ac:dyDescent="0.25">
      <c r="A2" s="4" t="s">
        <v>638</v>
      </c>
      <c r="B2" s="40">
        <v>287265</v>
      </c>
      <c r="C2" s="4" t="s">
        <v>1175</v>
      </c>
      <c r="D2" s="39">
        <v>120</v>
      </c>
    </row>
    <row r="3" spans="1:4" x14ac:dyDescent="0.25">
      <c r="A3" s="4" t="s">
        <v>256</v>
      </c>
      <c r="B3" s="40">
        <v>288733</v>
      </c>
      <c r="C3" s="4" t="s">
        <v>1242</v>
      </c>
      <c r="D3" s="39">
        <v>495</v>
      </c>
    </row>
    <row r="4" spans="1:4" x14ac:dyDescent="0.25">
      <c r="A4" s="4" t="s">
        <v>108</v>
      </c>
      <c r="B4" s="40">
        <v>287980</v>
      </c>
      <c r="C4" s="4" t="s">
        <v>1190</v>
      </c>
      <c r="D4" s="39">
        <v>705</v>
      </c>
    </row>
    <row r="5" spans="1:4" x14ac:dyDescent="0.25">
      <c r="A5" s="4" t="s">
        <v>108</v>
      </c>
      <c r="B5" s="40">
        <v>287991</v>
      </c>
      <c r="C5" s="4" t="s">
        <v>1191</v>
      </c>
      <c r="D5" s="39">
        <v>315</v>
      </c>
    </row>
    <row r="6" spans="1:4" x14ac:dyDescent="0.25">
      <c r="A6" s="4" t="s">
        <v>108</v>
      </c>
      <c r="B6" s="40">
        <v>287977</v>
      </c>
      <c r="C6" s="4" t="s">
        <v>1192</v>
      </c>
      <c r="D6" s="39">
        <v>150</v>
      </c>
    </row>
    <row r="7" spans="1:4" x14ac:dyDescent="0.25">
      <c r="A7" s="4" t="s">
        <v>61</v>
      </c>
      <c r="B7" s="40">
        <v>289224</v>
      </c>
      <c r="C7" s="4" t="s">
        <v>1251</v>
      </c>
      <c r="D7" s="39">
        <v>5540</v>
      </c>
    </row>
    <row r="8" spans="1:4" x14ac:dyDescent="0.25">
      <c r="A8" s="4" t="s">
        <v>24</v>
      </c>
      <c r="B8" s="40">
        <v>285915</v>
      </c>
      <c r="C8" s="4" t="s">
        <v>1122</v>
      </c>
      <c r="D8" s="39">
        <v>434</v>
      </c>
    </row>
    <row r="9" spans="1:4" x14ac:dyDescent="0.25">
      <c r="A9" s="4" t="s">
        <v>111</v>
      </c>
      <c r="B9" s="40">
        <v>288259</v>
      </c>
      <c r="C9" s="4" t="s">
        <v>1220</v>
      </c>
      <c r="D9" s="39">
        <v>2612</v>
      </c>
    </row>
    <row r="10" spans="1:4" x14ac:dyDescent="0.25">
      <c r="A10" s="4" t="s">
        <v>111</v>
      </c>
      <c r="B10" s="40">
        <v>288500</v>
      </c>
      <c r="C10" s="4" t="s">
        <v>1221</v>
      </c>
      <c r="D10" s="39">
        <v>159</v>
      </c>
    </row>
    <row r="11" spans="1:4" x14ac:dyDescent="0.25">
      <c r="A11" s="33" t="s">
        <v>111</v>
      </c>
      <c r="B11" s="40">
        <v>288707</v>
      </c>
      <c r="C11" s="33" t="s">
        <v>1234</v>
      </c>
      <c r="D11" s="39">
        <v>159</v>
      </c>
    </row>
    <row r="12" spans="1:4" x14ac:dyDescent="0.25">
      <c r="A12" s="4" t="s">
        <v>111</v>
      </c>
      <c r="B12" s="40">
        <v>288391</v>
      </c>
      <c r="C12" s="4" t="s">
        <v>1222</v>
      </c>
      <c r="D12" s="39">
        <v>210</v>
      </c>
    </row>
    <row r="13" spans="1:4" x14ac:dyDescent="0.25">
      <c r="A13" s="33" t="s">
        <v>1252</v>
      </c>
      <c r="B13" s="40">
        <v>294695</v>
      </c>
      <c r="C13" s="33" t="s">
        <v>1253</v>
      </c>
      <c r="D13" s="39">
        <v>1120</v>
      </c>
    </row>
    <row r="14" spans="1:4" x14ac:dyDescent="0.25">
      <c r="A14" s="4" t="s">
        <v>180</v>
      </c>
      <c r="B14" s="40">
        <v>288408</v>
      </c>
      <c r="C14" s="4" t="s">
        <v>1254</v>
      </c>
      <c r="D14" s="39">
        <v>4190</v>
      </c>
    </row>
    <row r="15" spans="1:4" x14ac:dyDescent="0.25">
      <c r="A15" s="4" t="s">
        <v>718</v>
      </c>
      <c r="B15" s="40">
        <v>288897</v>
      </c>
      <c r="C15" s="4" t="s">
        <v>1255</v>
      </c>
      <c r="D15" s="39">
        <v>12000</v>
      </c>
    </row>
    <row r="16" spans="1:4" x14ac:dyDescent="0.25">
      <c r="A16" s="4" t="s">
        <v>32</v>
      </c>
      <c r="B16" s="40">
        <v>287486</v>
      </c>
      <c r="C16" s="4" t="s">
        <v>1232</v>
      </c>
      <c r="D16" s="39">
        <v>1190</v>
      </c>
    </row>
    <row r="17" spans="1:4" x14ac:dyDescent="0.25">
      <c r="A17" s="4" t="s">
        <v>539</v>
      </c>
      <c r="B17" s="40">
        <v>286091</v>
      </c>
      <c r="C17" s="4" t="s">
        <v>1246</v>
      </c>
      <c r="D17" s="39">
        <v>8690</v>
      </c>
    </row>
    <row r="18" spans="1:4" x14ac:dyDescent="0.25">
      <c r="A18" s="4" t="s">
        <v>61</v>
      </c>
      <c r="B18" s="40">
        <v>293573</v>
      </c>
      <c r="C18" s="4" t="s">
        <v>1236</v>
      </c>
      <c r="D18" s="39">
        <v>76311</v>
      </c>
    </row>
    <row r="19" spans="1:4" x14ac:dyDescent="0.25">
      <c r="A19" s="4" t="s">
        <v>61</v>
      </c>
      <c r="B19" s="40">
        <v>293662</v>
      </c>
      <c r="C19" s="4" t="s">
        <v>1256</v>
      </c>
      <c r="D19" s="39">
        <v>1190</v>
      </c>
    </row>
    <row r="20" spans="1:4" x14ac:dyDescent="0.25">
      <c r="A20" s="4" t="s">
        <v>61</v>
      </c>
      <c r="B20" s="40">
        <v>293663</v>
      </c>
      <c r="C20" s="4" t="s">
        <v>1257</v>
      </c>
      <c r="D20" s="39">
        <v>295</v>
      </c>
    </row>
    <row r="21" spans="1:4" x14ac:dyDescent="0.25">
      <c r="A21" s="4" t="s">
        <v>61</v>
      </c>
      <c r="B21" s="40">
        <v>290347</v>
      </c>
      <c r="C21" s="4" t="s">
        <v>1247</v>
      </c>
      <c r="D21" s="39">
        <v>365</v>
      </c>
    </row>
    <row r="22" spans="1:4" x14ac:dyDescent="0.25">
      <c r="A22" s="4" t="s">
        <v>61</v>
      </c>
      <c r="B22" s="40">
        <v>294812</v>
      </c>
      <c r="C22" s="4" t="s">
        <v>1258</v>
      </c>
      <c r="D22" s="39">
        <v>295</v>
      </c>
    </row>
    <row r="23" spans="1:4" x14ac:dyDescent="0.25">
      <c r="A23" s="4" t="s">
        <v>61</v>
      </c>
      <c r="B23" s="40">
        <v>294818</v>
      </c>
      <c r="C23" s="4" t="s">
        <v>1259</v>
      </c>
      <c r="D23" s="39">
        <v>2625</v>
      </c>
    </row>
    <row r="24" spans="1:4" x14ac:dyDescent="0.25">
      <c r="A24" s="33" t="s">
        <v>61</v>
      </c>
      <c r="B24" s="40">
        <v>290352</v>
      </c>
      <c r="C24" s="33" t="s">
        <v>1248</v>
      </c>
      <c r="D24" s="39">
        <v>375</v>
      </c>
    </row>
    <row r="25" spans="1:4" x14ac:dyDescent="0.25">
      <c r="A25" s="4" t="s">
        <v>61</v>
      </c>
      <c r="B25" s="40">
        <v>294911</v>
      </c>
      <c r="C25" s="4" t="s">
        <v>1260</v>
      </c>
      <c r="D25" s="39">
        <v>50475</v>
      </c>
    </row>
    <row r="26" spans="1:4" x14ac:dyDescent="0.25">
      <c r="A26" s="33" t="s">
        <v>61</v>
      </c>
      <c r="B26" s="40">
        <v>294925</v>
      </c>
      <c r="C26" s="33" t="s">
        <v>1261</v>
      </c>
      <c r="D26" s="39">
        <v>9197</v>
      </c>
    </row>
    <row r="27" spans="1:4" x14ac:dyDescent="0.25">
      <c r="A27" s="4" t="s">
        <v>61</v>
      </c>
      <c r="B27" s="40">
        <v>288640</v>
      </c>
      <c r="C27" s="4" t="s">
        <v>1238</v>
      </c>
      <c r="D27" s="39">
        <v>2580</v>
      </c>
    </row>
    <row r="28" spans="1:4" x14ac:dyDescent="0.25">
      <c r="A28" s="4" t="s">
        <v>61</v>
      </c>
      <c r="B28" s="40">
        <v>288876</v>
      </c>
      <c r="C28" s="4" t="s">
        <v>1239</v>
      </c>
      <c r="D28" s="39">
        <v>5327</v>
      </c>
    </row>
    <row r="29" spans="1:4" x14ac:dyDescent="0.25">
      <c r="A29" s="4" t="s">
        <v>61</v>
      </c>
      <c r="B29" s="40">
        <v>288602</v>
      </c>
      <c r="C29" s="4" t="s">
        <v>1241</v>
      </c>
      <c r="D29" s="39">
        <v>1365</v>
      </c>
    </row>
    <row r="30" spans="1:4" x14ac:dyDescent="0.25">
      <c r="A30" s="4" t="s">
        <v>61</v>
      </c>
      <c r="B30" s="40">
        <v>294931</v>
      </c>
      <c r="C30" s="4" t="s">
        <v>1262</v>
      </c>
      <c r="D30" s="39">
        <v>2701</v>
      </c>
    </row>
    <row r="31" spans="1:4" x14ac:dyDescent="0.25">
      <c r="A31" s="4" t="s">
        <v>24</v>
      </c>
      <c r="B31" s="40">
        <v>284997</v>
      </c>
      <c r="C31" s="4" t="s">
        <v>1187</v>
      </c>
      <c r="D31" s="39">
        <v>2595</v>
      </c>
    </row>
    <row r="32" spans="1:4" x14ac:dyDescent="0.25">
      <c r="A32" s="4" t="s">
        <v>1252</v>
      </c>
      <c r="B32" s="40">
        <v>294699</v>
      </c>
      <c r="C32" s="4" t="s">
        <v>1263</v>
      </c>
      <c r="D32" s="39">
        <v>300</v>
      </c>
    </row>
    <row r="33" spans="1:4" x14ac:dyDescent="0.25">
      <c r="A33" s="4" t="s">
        <v>1252</v>
      </c>
      <c r="B33" s="40">
        <v>294701</v>
      </c>
      <c r="C33" s="4" t="s">
        <v>1264</v>
      </c>
      <c r="D33" s="39">
        <v>465</v>
      </c>
    </row>
    <row r="34" spans="1:4" x14ac:dyDescent="0.25">
      <c r="A34" s="4" t="s">
        <v>832</v>
      </c>
      <c r="B34" s="40">
        <v>282745</v>
      </c>
      <c r="C34" s="4" t="s">
        <v>1265</v>
      </c>
      <c r="D34" s="39">
        <v>35459</v>
      </c>
    </row>
    <row r="35" spans="1:4" x14ac:dyDescent="0.25">
      <c r="C35" s="31" t="s">
        <v>83</v>
      </c>
      <c r="D35" s="37">
        <f>SUM(D2:D34)</f>
        <v>230009</v>
      </c>
    </row>
  </sheetData>
  <printOptions horizontalCentered="1"/>
  <pageMargins left="0.5" right="0.5" top="1" bottom="0.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51D64-2D13-46CD-9AC8-DB0D5AE61147}">
  <dimension ref="A1:D17"/>
  <sheetViews>
    <sheetView zoomScaleNormal="100" zoomScaleSheetLayoutView="100" workbookViewId="0">
      <selection activeCell="F28" sqref="F28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0.7109375" style="38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36" t="s">
        <v>4</v>
      </c>
    </row>
    <row r="2" spans="1:4" x14ac:dyDescent="0.25">
      <c r="A2" s="4" t="s">
        <v>256</v>
      </c>
      <c r="B2" s="40">
        <v>288733</v>
      </c>
      <c r="C2" s="4" t="s">
        <v>1242</v>
      </c>
      <c r="D2" s="39">
        <v>495</v>
      </c>
    </row>
    <row r="3" spans="1:4" x14ac:dyDescent="0.25">
      <c r="A3" s="4" t="s">
        <v>26</v>
      </c>
      <c r="B3" s="40">
        <v>287729</v>
      </c>
      <c r="C3" s="4" t="s">
        <v>1266</v>
      </c>
      <c r="D3" s="39">
        <v>1990</v>
      </c>
    </row>
    <row r="4" spans="1:4" x14ac:dyDescent="0.25">
      <c r="A4" s="4" t="s">
        <v>1252</v>
      </c>
      <c r="B4" s="40">
        <v>294695</v>
      </c>
      <c r="C4" s="4" t="s">
        <v>1253</v>
      </c>
      <c r="D4" s="39">
        <v>1120</v>
      </c>
    </row>
    <row r="5" spans="1:4" x14ac:dyDescent="0.25">
      <c r="A5" s="4" t="s">
        <v>1252</v>
      </c>
      <c r="B5" s="40">
        <v>294699</v>
      </c>
      <c r="C5" s="4" t="s">
        <v>1263</v>
      </c>
      <c r="D5" s="39">
        <v>300</v>
      </c>
    </row>
    <row r="6" spans="1:4" x14ac:dyDescent="0.25">
      <c r="A6" s="4" t="s">
        <v>1252</v>
      </c>
      <c r="B6" s="40">
        <v>294701</v>
      </c>
      <c r="C6" s="4" t="s">
        <v>1264</v>
      </c>
      <c r="D6" s="39">
        <v>465</v>
      </c>
    </row>
    <row r="7" spans="1:4" x14ac:dyDescent="0.25">
      <c r="A7" s="4" t="s">
        <v>180</v>
      </c>
      <c r="B7" s="40">
        <v>288408</v>
      </c>
      <c r="C7" s="4" t="s">
        <v>1254</v>
      </c>
      <c r="D7" s="39">
        <v>4190</v>
      </c>
    </row>
    <row r="8" spans="1:4" x14ac:dyDescent="0.25">
      <c r="A8" s="4" t="s">
        <v>32</v>
      </c>
      <c r="B8" s="40">
        <v>287486</v>
      </c>
      <c r="C8" s="4" t="s">
        <v>1232</v>
      </c>
      <c r="D8" s="39">
        <v>1190</v>
      </c>
    </row>
    <row r="9" spans="1:4" x14ac:dyDescent="0.25">
      <c r="A9" s="4" t="s">
        <v>1267</v>
      </c>
      <c r="B9" s="40">
        <v>294680</v>
      </c>
      <c r="C9" s="4" t="s">
        <v>1268</v>
      </c>
      <c r="D9" s="39">
        <v>4880</v>
      </c>
    </row>
    <row r="10" spans="1:4" x14ac:dyDescent="0.25">
      <c r="A10" s="4" t="s">
        <v>1267</v>
      </c>
      <c r="B10" s="40">
        <v>294678</v>
      </c>
      <c r="C10" s="4" t="s">
        <v>1269</v>
      </c>
      <c r="D10" s="39">
        <v>750</v>
      </c>
    </row>
    <row r="11" spans="1:4" x14ac:dyDescent="0.25">
      <c r="A11" s="33" t="s">
        <v>1180</v>
      </c>
      <c r="B11" s="40">
        <v>295170</v>
      </c>
      <c r="C11" s="33" t="s">
        <v>1270</v>
      </c>
      <c r="D11" s="39">
        <v>1243</v>
      </c>
    </row>
    <row r="12" spans="1:4" x14ac:dyDescent="0.25">
      <c r="A12" s="4" t="s">
        <v>1180</v>
      </c>
      <c r="B12" s="40">
        <v>295168</v>
      </c>
      <c r="C12" s="4" t="s">
        <v>1271</v>
      </c>
      <c r="D12" s="39">
        <v>195</v>
      </c>
    </row>
    <row r="13" spans="1:4" x14ac:dyDescent="0.25">
      <c r="A13" s="33" t="s">
        <v>1180</v>
      </c>
      <c r="B13" s="40">
        <v>295169</v>
      </c>
      <c r="C13" s="33" t="s">
        <v>1272</v>
      </c>
      <c r="D13" s="39">
        <v>4074</v>
      </c>
    </row>
    <row r="14" spans="1:4" x14ac:dyDescent="0.25">
      <c r="A14" s="4" t="s">
        <v>315</v>
      </c>
      <c r="B14" s="40">
        <v>288041</v>
      </c>
      <c r="C14" s="4" t="s">
        <v>1273</v>
      </c>
      <c r="D14" s="39">
        <v>7613</v>
      </c>
    </row>
    <row r="15" spans="1:4" x14ac:dyDescent="0.25">
      <c r="A15" s="4" t="s">
        <v>315</v>
      </c>
      <c r="B15" s="40">
        <v>288044</v>
      </c>
      <c r="C15" s="4" t="s">
        <v>1274</v>
      </c>
      <c r="D15" s="39">
        <v>6455</v>
      </c>
    </row>
    <row r="16" spans="1:4" x14ac:dyDescent="0.25">
      <c r="A16" s="4" t="s">
        <v>832</v>
      </c>
      <c r="B16" s="40">
        <v>282745</v>
      </c>
      <c r="C16" s="4" t="s">
        <v>1265</v>
      </c>
      <c r="D16" s="39">
        <v>35459</v>
      </c>
    </row>
    <row r="17" spans="3:4" x14ac:dyDescent="0.25">
      <c r="C17" s="31" t="s">
        <v>83</v>
      </c>
      <c r="D17" s="37">
        <f>SUM(D2:D16)</f>
        <v>70419</v>
      </c>
    </row>
  </sheetData>
  <printOptions horizontalCentered="1"/>
  <pageMargins left="0.5" right="0.5" top="1" bottom="0.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F8F9-78FA-4258-99F8-82B5637E647C}">
  <dimension ref="A1:D39"/>
  <sheetViews>
    <sheetView zoomScaleNormal="100" zoomScaleSheetLayoutView="100" workbookViewId="0">
      <selection activeCell="F29" sqref="F29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8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36" t="s">
        <v>4</v>
      </c>
    </row>
    <row r="2" spans="1:4" x14ac:dyDescent="0.25">
      <c r="A2" t="s">
        <v>13</v>
      </c>
      <c r="B2" s="41">
        <v>294854</v>
      </c>
      <c r="C2" t="s">
        <v>1275</v>
      </c>
      <c r="D2" s="42">
        <v>3501</v>
      </c>
    </row>
    <row r="3" spans="1:4" x14ac:dyDescent="0.25">
      <c r="A3" t="s">
        <v>108</v>
      </c>
      <c r="B3" s="41">
        <v>287980</v>
      </c>
      <c r="C3" t="s">
        <v>1190</v>
      </c>
      <c r="D3" s="42">
        <v>705</v>
      </c>
    </row>
    <row r="4" spans="1:4" x14ac:dyDescent="0.25">
      <c r="A4" t="s">
        <v>108</v>
      </c>
      <c r="B4" s="41">
        <v>287991</v>
      </c>
      <c r="C4" t="s">
        <v>1191</v>
      </c>
      <c r="D4" s="42">
        <v>315</v>
      </c>
    </row>
    <row r="5" spans="1:4" x14ac:dyDescent="0.25">
      <c r="A5" t="s">
        <v>108</v>
      </c>
      <c r="B5" s="41">
        <v>287977</v>
      </c>
      <c r="C5" t="s">
        <v>1192</v>
      </c>
      <c r="D5" s="42">
        <v>150</v>
      </c>
    </row>
    <row r="6" spans="1:4" x14ac:dyDescent="0.25">
      <c r="A6" t="s">
        <v>61</v>
      </c>
      <c r="B6" s="41">
        <v>295514</v>
      </c>
      <c r="C6" t="s">
        <v>1276</v>
      </c>
      <c r="D6" s="42">
        <v>424</v>
      </c>
    </row>
    <row r="7" spans="1:4" x14ac:dyDescent="0.25">
      <c r="A7" t="s">
        <v>61</v>
      </c>
      <c r="B7" s="41">
        <v>295443</v>
      </c>
      <c r="C7" t="s">
        <v>1277</v>
      </c>
      <c r="D7" s="42">
        <v>750</v>
      </c>
    </row>
    <row r="8" spans="1:4" x14ac:dyDescent="0.25">
      <c r="A8" t="s">
        <v>24</v>
      </c>
      <c r="B8" s="41">
        <v>295161</v>
      </c>
      <c r="C8" t="s">
        <v>1278</v>
      </c>
      <c r="D8" s="42">
        <v>3975</v>
      </c>
    </row>
    <row r="9" spans="1:4" x14ac:dyDescent="0.25">
      <c r="A9" t="s">
        <v>24</v>
      </c>
      <c r="B9" s="41">
        <v>295561</v>
      </c>
      <c r="C9" t="s">
        <v>1279</v>
      </c>
      <c r="D9" s="42">
        <v>76225</v>
      </c>
    </row>
    <row r="10" spans="1:4" x14ac:dyDescent="0.25">
      <c r="A10" t="s">
        <v>24</v>
      </c>
      <c r="B10" s="41">
        <v>295559</v>
      </c>
      <c r="C10" t="s">
        <v>1280</v>
      </c>
      <c r="D10" s="42">
        <v>43735</v>
      </c>
    </row>
    <row r="11" spans="1:4" x14ac:dyDescent="0.25">
      <c r="A11" t="s">
        <v>24</v>
      </c>
      <c r="B11" s="41">
        <v>295563</v>
      </c>
      <c r="C11" t="s">
        <v>1281</v>
      </c>
      <c r="D11" s="42">
        <v>18568</v>
      </c>
    </row>
    <row r="12" spans="1:4" x14ac:dyDescent="0.25">
      <c r="A12" t="s">
        <v>111</v>
      </c>
      <c r="B12" s="41">
        <v>288259</v>
      </c>
      <c r="C12" t="s">
        <v>1220</v>
      </c>
      <c r="D12" s="42">
        <v>2612</v>
      </c>
    </row>
    <row r="13" spans="1:4" x14ac:dyDescent="0.25">
      <c r="A13" t="s">
        <v>111</v>
      </c>
      <c r="B13" s="41">
        <v>288500</v>
      </c>
      <c r="C13" t="s">
        <v>1221</v>
      </c>
      <c r="D13" s="42">
        <v>159</v>
      </c>
    </row>
    <row r="14" spans="1:4" x14ac:dyDescent="0.25">
      <c r="A14" t="s">
        <v>111</v>
      </c>
      <c r="B14" s="41">
        <v>288707</v>
      </c>
      <c r="C14" t="s">
        <v>1234</v>
      </c>
      <c r="D14" s="42">
        <v>159</v>
      </c>
    </row>
    <row r="15" spans="1:4" x14ac:dyDescent="0.25">
      <c r="A15" t="s">
        <v>111</v>
      </c>
      <c r="B15" s="41">
        <v>295415</v>
      </c>
      <c r="C15" t="s">
        <v>1282</v>
      </c>
      <c r="D15" s="42">
        <v>159</v>
      </c>
    </row>
    <row r="16" spans="1:4" x14ac:dyDescent="0.25">
      <c r="A16" t="s">
        <v>111</v>
      </c>
      <c r="B16" s="41">
        <v>295418</v>
      </c>
      <c r="C16" t="s">
        <v>1283</v>
      </c>
      <c r="D16" s="42">
        <v>159</v>
      </c>
    </row>
    <row r="17" spans="1:4" x14ac:dyDescent="0.25">
      <c r="A17" t="s">
        <v>111</v>
      </c>
      <c r="B17" s="41">
        <v>288391</v>
      </c>
      <c r="C17" t="s">
        <v>1222</v>
      </c>
      <c r="D17" s="42">
        <v>210</v>
      </c>
    </row>
    <row r="18" spans="1:4" x14ac:dyDescent="0.25">
      <c r="A18" t="s">
        <v>81</v>
      </c>
      <c r="B18" s="41">
        <v>231339</v>
      </c>
      <c r="C18" t="s">
        <v>1284</v>
      </c>
      <c r="D18" s="42">
        <v>3465</v>
      </c>
    </row>
    <row r="19" spans="1:4" x14ac:dyDescent="0.25">
      <c r="A19" t="s">
        <v>81</v>
      </c>
      <c r="B19" s="41">
        <v>293616</v>
      </c>
      <c r="C19" t="s">
        <v>1285</v>
      </c>
      <c r="D19" s="42">
        <v>2624</v>
      </c>
    </row>
    <row r="20" spans="1:4" x14ac:dyDescent="0.25">
      <c r="A20" t="s">
        <v>81</v>
      </c>
      <c r="B20" s="41">
        <v>293633</v>
      </c>
      <c r="C20" t="s">
        <v>1286</v>
      </c>
      <c r="D20" s="42">
        <v>1874</v>
      </c>
    </row>
    <row r="21" spans="1:4" x14ac:dyDescent="0.25">
      <c r="A21" t="s">
        <v>81</v>
      </c>
      <c r="B21" s="41">
        <v>294711</v>
      </c>
      <c r="C21" t="s">
        <v>1287</v>
      </c>
      <c r="D21" s="42">
        <v>1559</v>
      </c>
    </row>
    <row r="22" spans="1:4" x14ac:dyDescent="0.25">
      <c r="A22" t="s">
        <v>81</v>
      </c>
      <c r="B22" s="41">
        <v>294710</v>
      </c>
      <c r="C22" t="s">
        <v>1288</v>
      </c>
      <c r="D22" s="42">
        <v>17465</v>
      </c>
    </row>
    <row r="23" spans="1:4" x14ac:dyDescent="0.25">
      <c r="A23" t="s">
        <v>81</v>
      </c>
      <c r="B23" s="41">
        <v>293647</v>
      </c>
      <c r="C23" t="s">
        <v>1289</v>
      </c>
      <c r="D23" s="42">
        <v>1687</v>
      </c>
    </row>
    <row r="24" spans="1:4" x14ac:dyDescent="0.25">
      <c r="A24" t="s">
        <v>81</v>
      </c>
      <c r="B24" s="41">
        <v>293604</v>
      </c>
      <c r="C24" t="s">
        <v>1290</v>
      </c>
      <c r="D24" s="42">
        <v>2749</v>
      </c>
    </row>
    <row r="25" spans="1:4" x14ac:dyDescent="0.25">
      <c r="A25" t="s">
        <v>81</v>
      </c>
      <c r="B25" s="41">
        <v>293626</v>
      </c>
      <c r="C25" t="s">
        <v>1291</v>
      </c>
      <c r="D25" s="42">
        <v>3743</v>
      </c>
    </row>
    <row r="26" spans="1:4" x14ac:dyDescent="0.25">
      <c r="A26" t="s">
        <v>1000</v>
      </c>
      <c r="B26" s="41">
        <v>295344</v>
      </c>
      <c r="C26" t="s">
        <v>1292</v>
      </c>
      <c r="D26" s="42">
        <v>17064</v>
      </c>
    </row>
    <row r="27" spans="1:4" x14ac:dyDescent="0.25">
      <c r="A27" t="s">
        <v>177</v>
      </c>
      <c r="B27" s="41">
        <v>295380</v>
      </c>
      <c r="C27" t="s">
        <v>1293</v>
      </c>
      <c r="D27" s="42">
        <v>9475</v>
      </c>
    </row>
    <row r="28" spans="1:4" x14ac:dyDescent="0.25">
      <c r="A28" t="s">
        <v>180</v>
      </c>
      <c r="B28" s="41">
        <v>288408</v>
      </c>
      <c r="C28" t="s">
        <v>1254</v>
      </c>
      <c r="D28" s="42">
        <v>4190</v>
      </c>
    </row>
    <row r="29" spans="1:4" x14ac:dyDescent="0.25">
      <c r="A29" t="s">
        <v>1267</v>
      </c>
      <c r="B29" s="41">
        <v>294680</v>
      </c>
      <c r="C29" t="s">
        <v>1268</v>
      </c>
      <c r="D29" s="42">
        <v>4880</v>
      </c>
    </row>
    <row r="30" spans="1:4" x14ac:dyDescent="0.25">
      <c r="A30" t="s">
        <v>1267</v>
      </c>
      <c r="B30" s="41">
        <v>294678</v>
      </c>
      <c r="C30" t="s">
        <v>1269</v>
      </c>
      <c r="D30" s="42">
        <v>750</v>
      </c>
    </row>
    <row r="31" spans="1:4" x14ac:dyDescent="0.25">
      <c r="A31" t="s">
        <v>315</v>
      </c>
      <c r="B31" s="41">
        <v>287744</v>
      </c>
      <c r="C31" t="s">
        <v>1294</v>
      </c>
      <c r="D31" s="42">
        <v>11355</v>
      </c>
    </row>
    <row r="32" spans="1:4" x14ac:dyDescent="0.25">
      <c r="A32" t="s">
        <v>315</v>
      </c>
      <c r="B32" s="41">
        <v>287744</v>
      </c>
      <c r="C32" t="s">
        <v>1295</v>
      </c>
      <c r="D32" s="42">
        <v>15385</v>
      </c>
    </row>
    <row r="33" spans="1:4" x14ac:dyDescent="0.25">
      <c r="A33" t="s">
        <v>718</v>
      </c>
      <c r="B33" s="41">
        <v>287752</v>
      </c>
      <c r="C33" t="s">
        <v>1296</v>
      </c>
      <c r="D33" s="42">
        <v>2133</v>
      </c>
    </row>
    <row r="34" spans="1:4" x14ac:dyDescent="0.25">
      <c r="A34" t="s">
        <v>61</v>
      </c>
      <c r="B34" s="41">
        <v>295439</v>
      </c>
      <c r="C34" t="s">
        <v>1297</v>
      </c>
      <c r="D34" s="42">
        <v>17885</v>
      </c>
    </row>
    <row r="35" spans="1:4" x14ac:dyDescent="0.25">
      <c r="A35" t="s">
        <v>61</v>
      </c>
      <c r="B35" s="41">
        <v>293573</v>
      </c>
      <c r="C35" t="s">
        <v>1236</v>
      </c>
      <c r="D35" s="42">
        <v>76116</v>
      </c>
    </row>
    <row r="36" spans="1:4" x14ac:dyDescent="0.25">
      <c r="A36" t="s">
        <v>61</v>
      </c>
      <c r="B36" s="41">
        <v>295706</v>
      </c>
      <c r="C36" t="s">
        <v>1298</v>
      </c>
      <c r="D36" s="42">
        <v>0</v>
      </c>
    </row>
    <row r="37" spans="1:4" x14ac:dyDescent="0.25">
      <c r="A37" t="s">
        <v>61</v>
      </c>
      <c r="B37" s="41">
        <v>294925</v>
      </c>
      <c r="C37" t="s">
        <v>1261</v>
      </c>
      <c r="D37" s="42">
        <v>9197</v>
      </c>
    </row>
    <row r="38" spans="1:4" x14ac:dyDescent="0.25">
      <c r="A38" t="s">
        <v>24</v>
      </c>
      <c r="B38" s="41">
        <v>284997</v>
      </c>
      <c r="C38" t="s">
        <v>1187</v>
      </c>
      <c r="D38" s="42">
        <v>2595</v>
      </c>
    </row>
    <row r="39" spans="1:4" x14ac:dyDescent="0.25">
      <c r="C39" s="31" t="s">
        <v>83</v>
      </c>
      <c r="D39" s="37">
        <f>SUM(D2:D38)</f>
        <v>357997</v>
      </c>
    </row>
  </sheetData>
  <printOptions horizontalCentered="1"/>
  <pageMargins left="0.5" right="0.5" top="1" bottom="0.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843E1-512B-4915-BFFE-1BB62B624285}">
  <dimension ref="A1:D40"/>
  <sheetViews>
    <sheetView zoomScaleNormal="100" zoomScaleSheetLayoutView="100" workbookViewId="0">
      <selection activeCell="D41" sqref="D41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8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36" t="s">
        <v>4</v>
      </c>
    </row>
    <row r="2" spans="1:4" x14ac:dyDescent="0.25">
      <c r="A2" t="s">
        <v>680</v>
      </c>
      <c r="B2" s="41">
        <v>289129</v>
      </c>
      <c r="C2" t="s">
        <v>1299</v>
      </c>
      <c r="D2" s="42">
        <v>2415</v>
      </c>
    </row>
    <row r="3" spans="1:4" x14ac:dyDescent="0.25">
      <c r="A3" t="s">
        <v>680</v>
      </c>
      <c r="B3" s="41">
        <v>295257</v>
      </c>
      <c r="C3" t="s">
        <v>1300</v>
      </c>
      <c r="D3" s="42">
        <v>2590</v>
      </c>
    </row>
    <row r="4" spans="1:4" x14ac:dyDescent="0.25">
      <c r="A4" t="s">
        <v>13</v>
      </c>
      <c r="B4" s="41">
        <v>294854</v>
      </c>
      <c r="C4" t="s">
        <v>1275</v>
      </c>
      <c r="D4" s="42">
        <v>3501</v>
      </c>
    </row>
    <row r="5" spans="1:4" x14ac:dyDescent="0.25">
      <c r="A5" t="s">
        <v>108</v>
      </c>
      <c r="B5" s="41">
        <v>287980</v>
      </c>
      <c r="C5" t="s">
        <v>1190</v>
      </c>
      <c r="D5" s="42">
        <v>705</v>
      </c>
    </row>
    <row r="6" spans="1:4" x14ac:dyDescent="0.25">
      <c r="A6" t="s">
        <v>108</v>
      </c>
      <c r="B6" s="41">
        <v>287991</v>
      </c>
      <c r="C6" t="s">
        <v>1191</v>
      </c>
      <c r="D6" s="42">
        <v>315</v>
      </c>
    </row>
    <row r="7" spans="1:4" x14ac:dyDescent="0.25">
      <c r="A7" t="s">
        <v>108</v>
      </c>
      <c r="B7" s="41">
        <v>287977</v>
      </c>
      <c r="C7" t="s">
        <v>1192</v>
      </c>
      <c r="D7" s="42">
        <v>150</v>
      </c>
    </row>
    <row r="8" spans="1:4" x14ac:dyDescent="0.25">
      <c r="A8" t="s">
        <v>500</v>
      </c>
      <c r="B8" s="41">
        <v>295589</v>
      </c>
      <c r="C8" t="s">
        <v>1301</v>
      </c>
      <c r="D8" s="42">
        <v>12436</v>
      </c>
    </row>
    <row r="9" spans="1:4" x14ac:dyDescent="0.25">
      <c r="A9" t="s">
        <v>24</v>
      </c>
      <c r="B9" s="41">
        <v>295161</v>
      </c>
      <c r="C9" t="s">
        <v>1278</v>
      </c>
      <c r="D9" s="42">
        <v>3975</v>
      </c>
    </row>
    <row r="10" spans="1:4" x14ac:dyDescent="0.25">
      <c r="A10" t="s">
        <v>24</v>
      </c>
      <c r="B10" s="41">
        <v>295561</v>
      </c>
      <c r="C10" t="s">
        <v>1279</v>
      </c>
      <c r="D10" s="42">
        <v>76225</v>
      </c>
    </row>
    <row r="11" spans="1:4" x14ac:dyDescent="0.25">
      <c r="A11" t="s">
        <v>24</v>
      </c>
      <c r="B11" s="41">
        <v>295559</v>
      </c>
      <c r="C11" t="s">
        <v>1280</v>
      </c>
      <c r="D11" s="42">
        <v>43735</v>
      </c>
    </row>
    <row r="12" spans="1:4" x14ac:dyDescent="0.25">
      <c r="A12" t="s">
        <v>24</v>
      </c>
      <c r="B12" s="41">
        <v>295563</v>
      </c>
      <c r="C12" t="s">
        <v>1281</v>
      </c>
      <c r="D12" s="42">
        <v>18568</v>
      </c>
    </row>
    <row r="13" spans="1:4" x14ac:dyDescent="0.25">
      <c r="A13" t="s">
        <v>111</v>
      </c>
      <c r="B13" s="41">
        <v>288259</v>
      </c>
      <c r="C13" t="s">
        <v>1220</v>
      </c>
      <c r="D13" s="42">
        <v>2612</v>
      </c>
    </row>
    <row r="14" spans="1:4" x14ac:dyDescent="0.25">
      <c r="A14" t="s">
        <v>111</v>
      </c>
      <c r="B14" s="41">
        <v>288500</v>
      </c>
      <c r="C14" t="s">
        <v>1221</v>
      </c>
      <c r="D14" s="42">
        <v>159</v>
      </c>
    </row>
    <row r="15" spans="1:4" x14ac:dyDescent="0.25">
      <c r="A15" t="s">
        <v>111</v>
      </c>
      <c r="B15" s="41">
        <v>288707</v>
      </c>
      <c r="C15" t="s">
        <v>1234</v>
      </c>
      <c r="D15" s="42">
        <v>159</v>
      </c>
    </row>
    <row r="16" spans="1:4" x14ac:dyDescent="0.25">
      <c r="A16" t="s">
        <v>111</v>
      </c>
      <c r="B16" s="41">
        <v>295415</v>
      </c>
      <c r="C16" t="s">
        <v>1282</v>
      </c>
      <c r="D16" s="42">
        <v>159</v>
      </c>
    </row>
    <row r="17" spans="1:4" x14ac:dyDescent="0.25">
      <c r="A17" t="s">
        <v>111</v>
      </c>
      <c r="B17" s="41">
        <v>295418</v>
      </c>
      <c r="C17" t="s">
        <v>1283</v>
      </c>
      <c r="D17" s="42">
        <v>159</v>
      </c>
    </row>
    <row r="18" spans="1:4" x14ac:dyDescent="0.25">
      <c r="A18" t="s">
        <v>111</v>
      </c>
      <c r="B18" s="41">
        <v>295776</v>
      </c>
      <c r="C18" t="s">
        <v>1302</v>
      </c>
      <c r="D18" s="42">
        <v>70</v>
      </c>
    </row>
    <row r="19" spans="1:4" x14ac:dyDescent="0.25">
      <c r="A19" t="s">
        <v>111</v>
      </c>
      <c r="B19" s="41">
        <v>295731</v>
      </c>
      <c r="C19" t="s">
        <v>1303</v>
      </c>
      <c r="D19" s="42">
        <v>0</v>
      </c>
    </row>
    <row r="20" spans="1:4" x14ac:dyDescent="0.25">
      <c r="A20" t="s">
        <v>81</v>
      </c>
      <c r="B20" s="41">
        <v>231339</v>
      </c>
      <c r="C20" t="s">
        <v>1284</v>
      </c>
      <c r="D20" s="42">
        <v>3465</v>
      </c>
    </row>
    <row r="21" spans="1:4" x14ac:dyDescent="0.25">
      <c r="A21" t="s">
        <v>81</v>
      </c>
      <c r="B21" s="41">
        <v>293616</v>
      </c>
      <c r="C21" t="s">
        <v>1285</v>
      </c>
      <c r="D21" s="42">
        <v>2624</v>
      </c>
    </row>
    <row r="22" spans="1:4" x14ac:dyDescent="0.25">
      <c r="A22" t="s">
        <v>81</v>
      </c>
      <c r="B22" s="41">
        <v>293633</v>
      </c>
      <c r="C22" t="s">
        <v>1286</v>
      </c>
      <c r="D22" s="42">
        <v>1874</v>
      </c>
    </row>
    <row r="23" spans="1:4" x14ac:dyDescent="0.25">
      <c r="A23" t="s">
        <v>81</v>
      </c>
      <c r="B23" s="41">
        <v>294711</v>
      </c>
      <c r="C23" t="s">
        <v>1287</v>
      </c>
      <c r="D23" s="42">
        <v>1559</v>
      </c>
    </row>
    <row r="24" spans="1:4" x14ac:dyDescent="0.25">
      <c r="A24" t="s">
        <v>81</v>
      </c>
      <c r="B24" s="41">
        <v>293647</v>
      </c>
      <c r="C24" t="s">
        <v>1289</v>
      </c>
      <c r="D24" s="42">
        <v>1687</v>
      </c>
    </row>
    <row r="25" spans="1:4" x14ac:dyDescent="0.25">
      <c r="A25" t="s">
        <v>81</v>
      </c>
      <c r="B25" s="41">
        <v>293604</v>
      </c>
      <c r="C25" t="s">
        <v>1290</v>
      </c>
      <c r="D25" s="42">
        <v>2749</v>
      </c>
    </row>
    <row r="26" spans="1:4" x14ac:dyDescent="0.25">
      <c r="A26" t="s">
        <v>81</v>
      </c>
      <c r="B26" s="41">
        <v>293626</v>
      </c>
      <c r="C26" t="s">
        <v>1291</v>
      </c>
      <c r="D26" s="42">
        <v>3743</v>
      </c>
    </row>
    <row r="27" spans="1:4" x14ac:dyDescent="0.25">
      <c r="A27" t="s">
        <v>175</v>
      </c>
      <c r="B27" s="41">
        <v>295609</v>
      </c>
      <c r="C27" t="s">
        <v>1304</v>
      </c>
      <c r="D27" s="42">
        <v>990</v>
      </c>
    </row>
    <row r="28" spans="1:4" x14ac:dyDescent="0.25">
      <c r="A28" t="s">
        <v>180</v>
      </c>
      <c r="B28" s="41">
        <v>286989</v>
      </c>
      <c r="C28" t="s">
        <v>1305</v>
      </c>
      <c r="D28" s="42">
        <v>18499</v>
      </c>
    </row>
    <row r="29" spans="1:4" x14ac:dyDescent="0.25">
      <c r="A29" t="s">
        <v>180</v>
      </c>
      <c r="B29" s="41">
        <v>288408</v>
      </c>
      <c r="C29" t="s">
        <v>1254</v>
      </c>
      <c r="D29" s="42">
        <v>4190</v>
      </c>
    </row>
    <row r="30" spans="1:4" x14ac:dyDescent="0.25">
      <c r="A30" t="s">
        <v>1267</v>
      </c>
      <c r="B30" s="41">
        <v>294680</v>
      </c>
      <c r="C30" t="s">
        <v>1268</v>
      </c>
      <c r="D30" s="42">
        <v>4880</v>
      </c>
    </row>
    <row r="31" spans="1:4" x14ac:dyDescent="0.25">
      <c r="A31" t="s">
        <v>1267</v>
      </c>
      <c r="B31" s="41">
        <v>294678</v>
      </c>
      <c r="C31" t="s">
        <v>1269</v>
      </c>
      <c r="D31" s="42">
        <v>750</v>
      </c>
    </row>
    <row r="32" spans="1:4" x14ac:dyDescent="0.25">
      <c r="A32" t="s">
        <v>832</v>
      </c>
      <c r="B32" s="41">
        <v>295525</v>
      </c>
      <c r="C32" t="s">
        <v>1306</v>
      </c>
      <c r="D32" s="42">
        <v>32225</v>
      </c>
    </row>
    <row r="33" spans="1:4" x14ac:dyDescent="0.25">
      <c r="A33" t="s">
        <v>832</v>
      </c>
      <c r="B33" s="41">
        <v>295526</v>
      </c>
      <c r="C33" t="s">
        <v>1307</v>
      </c>
      <c r="D33" s="42">
        <v>1375</v>
      </c>
    </row>
    <row r="34" spans="1:4" x14ac:dyDescent="0.25">
      <c r="A34" t="s">
        <v>832</v>
      </c>
      <c r="B34" s="41">
        <v>295533</v>
      </c>
      <c r="C34" t="s">
        <v>1308</v>
      </c>
      <c r="D34" s="42">
        <v>53210</v>
      </c>
    </row>
    <row r="35" spans="1:4" x14ac:dyDescent="0.25">
      <c r="A35" t="s">
        <v>832</v>
      </c>
      <c r="B35" s="41">
        <v>295525</v>
      </c>
      <c r="C35" t="s">
        <v>1309</v>
      </c>
      <c r="D35" s="42">
        <v>10485</v>
      </c>
    </row>
    <row r="36" spans="1:4" x14ac:dyDescent="0.25">
      <c r="A36" t="s">
        <v>832</v>
      </c>
      <c r="B36" s="41">
        <v>288611</v>
      </c>
      <c r="C36" t="s">
        <v>1310</v>
      </c>
      <c r="D36" s="42">
        <v>300</v>
      </c>
    </row>
    <row r="37" spans="1:4" x14ac:dyDescent="0.25">
      <c r="A37" t="s">
        <v>718</v>
      </c>
      <c r="B37" s="41">
        <v>287769</v>
      </c>
      <c r="C37" t="s">
        <v>1311</v>
      </c>
      <c r="D37" s="42">
        <v>2700</v>
      </c>
    </row>
    <row r="38" spans="1:4" x14ac:dyDescent="0.25">
      <c r="A38" t="s">
        <v>24</v>
      </c>
      <c r="B38" s="41">
        <v>284997</v>
      </c>
      <c r="C38" t="s">
        <v>1187</v>
      </c>
      <c r="D38" s="42">
        <v>2595</v>
      </c>
    </row>
    <row r="39" spans="1:4" x14ac:dyDescent="0.25">
      <c r="B39" s="41"/>
      <c r="D39" s="42"/>
    </row>
    <row r="40" spans="1:4" x14ac:dyDescent="0.25">
      <c r="C40" s="31" t="s">
        <v>83</v>
      </c>
      <c r="D40" s="37">
        <f>SUM(D2:D39)</f>
        <v>317833</v>
      </c>
    </row>
  </sheetData>
  <printOptions horizontalCentered="1"/>
  <pageMargins left="0.5" right="0.5" top="1" bottom="0.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DA6E-FC8E-4644-8C9F-5537CBD0B3CE}">
  <dimension ref="A1:D12"/>
  <sheetViews>
    <sheetView zoomScaleNormal="100" zoomScaleSheetLayoutView="100" workbookViewId="0">
      <selection activeCell="G17" sqref="G17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7.42578125" bestFit="1" customWidth="1"/>
    <col min="4" max="4" width="11.7109375" style="38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36" t="s">
        <v>4</v>
      </c>
    </row>
    <row r="2" spans="1:4" x14ac:dyDescent="0.25">
      <c r="A2" t="s">
        <v>7</v>
      </c>
      <c r="B2" s="41">
        <v>299496</v>
      </c>
      <c r="C2" t="s">
        <v>1312</v>
      </c>
      <c r="D2" s="42">
        <v>1490</v>
      </c>
    </row>
    <row r="3" spans="1:4" x14ac:dyDescent="0.25">
      <c r="A3" t="s">
        <v>175</v>
      </c>
      <c r="B3" s="41">
        <v>295609</v>
      </c>
      <c r="C3" t="s">
        <v>1304</v>
      </c>
      <c r="D3" s="42">
        <v>990</v>
      </c>
    </row>
    <row r="4" spans="1:4" x14ac:dyDescent="0.25">
      <c r="A4" t="s">
        <v>371</v>
      </c>
      <c r="B4" s="41">
        <v>299317</v>
      </c>
      <c r="C4" t="s">
        <v>1313</v>
      </c>
      <c r="D4" s="42">
        <v>15375</v>
      </c>
    </row>
    <row r="5" spans="1:4" x14ac:dyDescent="0.25">
      <c r="A5" t="s">
        <v>180</v>
      </c>
      <c r="B5" s="41">
        <v>288408</v>
      </c>
      <c r="C5" t="s">
        <v>1254</v>
      </c>
      <c r="D5" s="42">
        <v>4190</v>
      </c>
    </row>
    <row r="6" spans="1:4" x14ac:dyDescent="0.25">
      <c r="A6" t="s">
        <v>1267</v>
      </c>
      <c r="B6" s="41">
        <v>294680</v>
      </c>
      <c r="C6" t="s">
        <v>1268</v>
      </c>
      <c r="D6" s="42">
        <v>4880</v>
      </c>
    </row>
    <row r="7" spans="1:4" x14ac:dyDescent="0.25">
      <c r="A7" t="s">
        <v>1267</v>
      </c>
      <c r="B7" s="41">
        <v>294678</v>
      </c>
      <c r="C7" t="s">
        <v>1269</v>
      </c>
      <c r="D7" s="42">
        <v>750</v>
      </c>
    </row>
    <row r="8" spans="1:4" x14ac:dyDescent="0.25">
      <c r="A8" t="s">
        <v>315</v>
      </c>
      <c r="B8" s="41">
        <v>288102</v>
      </c>
      <c r="C8" t="s">
        <v>1314</v>
      </c>
      <c r="D8" s="42">
        <v>1048</v>
      </c>
    </row>
    <row r="9" spans="1:4" x14ac:dyDescent="0.25">
      <c r="A9" t="s">
        <v>832</v>
      </c>
      <c r="B9" s="41">
        <v>288611</v>
      </c>
      <c r="C9" t="s">
        <v>1310</v>
      </c>
      <c r="D9" s="42">
        <v>300</v>
      </c>
    </row>
    <row r="10" spans="1:4" x14ac:dyDescent="0.25">
      <c r="A10" t="s">
        <v>995</v>
      </c>
      <c r="B10" s="41">
        <v>293624</v>
      </c>
      <c r="C10" t="s">
        <v>1315</v>
      </c>
      <c r="D10" s="42">
        <v>1586</v>
      </c>
    </row>
    <row r="11" spans="1:4" x14ac:dyDescent="0.25">
      <c r="B11" s="41"/>
      <c r="D11" s="42"/>
    </row>
    <row r="12" spans="1:4" x14ac:dyDescent="0.25">
      <c r="C12" s="31" t="s">
        <v>83</v>
      </c>
      <c r="D12" s="37">
        <f>SUM(D2:D11)</f>
        <v>30609</v>
      </c>
    </row>
  </sheetData>
  <printOptions horizontalCentered="1"/>
  <pageMargins left="0.5" right="0.5" top="1" bottom="0.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CCBF-C97B-4E55-9FF8-9A863E94AC3E}">
  <dimension ref="A1:D12"/>
  <sheetViews>
    <sheetView zoomScaleNormal="100" zoomScaleSheetLayoutView="100" workbookViewId="0">
      <selection activeCell="E19" sqref="E19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8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36" t="s">
        <v>4</v>
      </c>
    </row>
    <row r="2" spans="1:4" x14ac:dyDescent="0.25">
      <c r="A2" s="4" t="s">
        <v>111</v>
      </c>
      <c r="B2" s="40">
        <v>299796</v>
      </c>
      <c r="C2" s="4" t="s">
        <v>1316</v>
      </c>
      <c r="D2" s="39">
        <v>0</v>
      </c>
    </row>
    <row r="3" spans="1:4" x14ac:dyDescent="0.25">
      <c r="A3" s="4" t="s">
        <v>175</v>
      </c>
      <c r="B3" s="40">
        <v>295609</v>
      </c>
      <c r="C3" s="4" t="s">
        <v>1304</v>
      </c>
      <c r="D3" s="39">
        <v>990</v>
      </c>
    </row>
    <row r="4" spans="1:4" x14ac:dyDescent="0.25">
      <c r="A4" s="4" t="s">
        <v>1317</v>
      </c>
      <c r="B4" s="40">
        <v>273321</v>
      </c>
      <c r="C4" s="4" t="s">
        <v>1318</v>
      </c>
      <c r="D4" s="39">
        <v>3850</v>
      </c>
    </row>
    <row r="5" spans="1:4" x14ac:dyDescent="0.25">
      <c r="A5" s="4" t="s">
        <v>1317</v>
      </c>
      <c r="B5" s="40">
        <v>273675</v>
      </c>
      <c r="C5" s="4" t="s">
        <v>1319</v>
      </c>
      <c r="D5" s="39">
        <v>5215</v>
      </c>
    </row>
    <row r="6" spans="1:4" x14ac:dyDescent="0.25">
      <c r="A6" s="4" t="s">
        <v>180</v>
      </c>
      <c r="B6" s="40">
        <v>295879</v>
      </c>
      <c r="C6" s="4" t="s">
        <v>1320</v>
      </c>
      <c r="D6" s="39">
        <v>2990</v>
      </c>
    </row>
    <row r="7" spans="1:4" x14ac:dyDescent="0.25">
      <c r="A7" s="4" t="s">
        <v>1267</v>
      </c>
      <c r="B7" s="40">
        <v>294680</v>
      </c>
      <c r="C7" s="4" t="s">
        <v>1268</v>
      </c>
      <c r="D7" s="39">
        <v>4880</v>
      </c>
    </row>
    <row r="8" spans="1:4" x14ac:dyDescent="0.25">
      <c r="A8" s="4" t="s">
        <v>1267</v>
      </c>
      <c r="B8" s="40">
        <v>294678</v>
      </c>
      <c r="C8" s="4" t="s">
        <v>1269</v>
      </c>
      <c r="D8" s="39">
        <v>750</v>
      </c>
    </row>
    <row r="9" spans="1:4" x14ac:dyDescent="0.25">
      <c r="A9" s="4" t="s">
        <v>315</v>
      </c>
      <c r="B9" s="40">
        <v>296120</v>
      </c>
      <c r="C9" s="4" t="s">
        <v>1321</v>
      </c>
      <c r="D9" s="39">
        <v>695</v>
      </c>
    </row>
    <row r="10" spans="1:4" x14ac:dyDescent="0.25">
      <c r="A10" s="4" t="s">
        <v>832</v>
      </c>
      <c r="B10" s="40">
        <v>288611</v>
      </c>
      <c r="C10" s="4" t="s">
        <v>1310</v>
      </c>
      <c r="D10" s="39">
        <v>300</v>
      </c>
    </row>
    <row r="11" spans="1:4" x14ac:dyDescent="0.25">
      <c r="A11" s="4" t="s">
        <v>995</v>
      </c>
      <c r="B11" s="40">
        <v>293624</v>
      </c>
      <c r="C11" s="4" t="s">
        <v>1315</v>
      </c>
      <c r="D11" s="39">
        <v>1586</v>
      </c>
    </row>
    <row r="12" spans="1:4" x14ac:dyDescent="0.25">
      <c r="C12" s="31" t="s">
        <v>83</v>
      </c>
      <c r="D12" s="37">
        <f>SUM(D2:D11)</f>
        <v>21256</v>
      </c>
    </row>
  </sheetData>
  <printOptions horizontalCentered="1"/>
  <pageMargins left="0.5" right="0.5" top="1" bottom="0.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F1B7-B961-40A4-82E8-99B7745790D3}">
  <dimension ref="A1:D27"/>
  <sheetViews>
    <sheetView zoomScaleNormal="100" zoomScaleSheetLayoutView="100" workbookViewId="0">
      <selection activeCell="C32" sqref="C32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1322</v>
      </c>
      <c r="B2" s="4">
        <v>295843</v>
      </c>
      <c r="C2" s="4" t="s">
        <v>1323</v>
      </c>
      <c r="D2" s="9">
        <v>6315</v>
      </c>
    </row>
    <row r="3" spans="1:4" x14ac:dyDescent="0.25">
      <c r="A3" s="33" t="s">
        <v>1322</v>
      </c>
      <c r="B3" s="35">
        <v>295845</v>
      </c>
      <c r="C3" s="33" t="s">
        <v>1324</v>
      </c>
      <c r="D3" s="34">
        <v>1320</v>
      </c>
    </row>
    <row r="4" spans="1:4" x14ac:dyDescent="0.25">
      <c r="A4" s="4" t="s">
        <v>1322</v>
      </c>
      <c r="B4" s="4">
        <v>295843</v>
      </c>
      <c r="C4" s="4" t="s">
        <v>1325</v>
      </c>
      <c r="D4" s="9">
        <v>3975</v>
      </c>
    </row>
    <row r="5" spans="1:4" x14ac:dyDescent="0.25">
      <c r="A5" s="4" t="s">
        <v>1322</v>
      </c>
      <c r="B5" s="4">
        <v>295845</v>
      </c>
      <c r="C5" s="4" t="s">
        <v>1326</v>
      </c>
      <c r="D5" s="9">
        <v>4105</v>
      </c>
    </row>
    <row r="6" spans="1:4" x14ac:dyDescent="0.25">
      <c r="A6" s="4" t="s">
        <v>1327</v>
      </c>
      <c r="B6" s="4">
        <v>295544</v>
      </c>
      <c r="C6" s="4" t="s">
        <v>1328</v>
      </c>
      <c r="D6" s="9">
        <v>2625</v>
      </c>
    </row>
    <row r="7" spans="1:4" x14ac:dyDescent="0.25">
      <c r="A7" s="4" t="s">
        <v>1327</v>
      </c>
      <c r="B7" s="4">
        <v>295544</v>
      </c>
      <c r="C7" s="4" t="s">
        <v>1329</v>
      </c>
      <c r="D7" s="9">
        <v>14975</v>
      </c>
    </row>
    <row r="8" spans="1:4" x14ac:dyDescent="0.25">
      <c r="A8" s="4" t="s">
        <v>24</v>
      </c>
      <c r="B8" s="4">
        <v>302408</v>
      </c>
      <c r="C8" s="4" t="s">
        <v>1330</v>
      </c>
      <c r="D8" s="9">
        <v>33121</v>
      </c>
    </row>
    <row r="9" spans="1:4" x14ac:dyDescent="0.25">
      <c r="A9" s="4" t="s">
        <v>111</v>
      </c>
      <c r="B9" s="4">
        <v>299796</v>
      </c>
      <c r="C9" s="4" t="s">
        <v>1316</v>
      </c>
      <c r="D9" s="9">
        <v>0</v>
      </c>
    </row>
    <row r="10" spans="1:4" x14ac:dyDescent="0.25">
      <c r="A10" s="4" t="s">
        <v>1331</v>
      </c>
      <c r="B10" s="4">
        <v>288712</v>
      </c>
      <c r="C10" s="4" t="s">
        <v>1332</v>
      </c>
      <c r="D10" s="9">
        <v>9950</v>
      </c>
    </row>
    <row r="11" spans="1:4" x14ac:dyDescent="0.25">
      <c r="A11" s="33" t="s">
        <v>1331</v>
      </c>
      <c r="B11" s="35">
        <v>288712</v>
      </c>
      <c r="C11" s="33" t="s">
        <v>1333</v>
      </c>
      <c r="D11" s="34">
        <v>11415</v>
      </c>
    </row>
    <row r="12" spans="1:4" x14ac:dyDescent="0.25">
      <c r="A12" s="4" t="s">
        <v>1331</v>
      </c>
      <c r="B12" s="4">
        <v>288712</v>
      </c>
      <c r="C12" s="4" t="s">
        <v>1334</v>
      </c>
      <c r="D12" s="9">
        <v>9390</v>
      </c>
    </row>
    <row r="13" spans="1:4" x14ac:dyDescent="0.25">
      <c r="A13" s="4" t="s">
        <v>1335</v>
      </c>
      <c r="B13" s="4">
        <v>299473</v>
      </c>
      <c r="C13" s="4" t="s">
        <v>1336</v>
      </c>
      <c r="D13" s="9">
        <v>10535</v>
      </c>
    </row>
    <row r="14" spans="1:4" x14ac:dyDescent="0.25">
      <c r="A14" s="4" t="s">
        <v>32</v>
      </c>
      <c r="B14" s="4">
        <v>295405</v>
      </c>
      <c r="C14" s="4" t="s">
        <v>1337</v>
      </c>
      <c r="D14" s="9">
        <v>4286</v>
      </c>
    </row>
    <row r="15" spans="1:4" x14ac:dyDescent="0.25">
      <c r="A15" s="4" t="s">
        <v>1267</v>
      </c>
      <c r="B15" s="4">
        <v>294680</v>
      </c>
      <c r="C15" s="4" t="s">
        <v>1268</v>
      </c>
      <c r="D15" s="9">
        <v>4880</v>
      </c>
    </row>
    <row r="16" spans="1:4" x14ac:dyDescent="0.25">
      <c r="A16" s="4" t="s">
        <v>1267</v>
      </c>
      <c r="B16" s="4">
        <v>294678</v>
      </c>
      <c r="C16" s="4" t="s">
        <v>1269</v>
      </c>
      <c r="D16" s="9">
        <v>750</v>
      </c>
    </row>
    <row r="17" spans="1:4" x14ac:dyDescent="0.25">
      <c r="A17" s="4" t="s">
        <v>315</v>
      </c>
      <c r="B17" s="4">
        <v>296120</v>
      </c>
      <c r="C17" s="4" t="s">
        <v>1321</v>
      </c>
      <c r="D17" s="9">
        <v>695</v>
      </c>
    </row>
    <row r="18" spans="1:4" x14ac:dyDescent="0.25">
      <c r="A18" s="4" t="s">
        <v>832</v>
      </c>
      <c r="B18" s="4">
        <v>282651</v>
      </c>
      <c r="C18" s="4" t="s">
        <v>1338</v>
      </c>
      <c r="D18" s="9">
        <v>995</v>
      </c>
    </row>
    <row r="19" spans="1:4" x14ac:dyDescent="0.25">
      <c r="A19" s="4" t="s">
        <v>832</v>
      </c>
      <c r="B19" s="4">
        <v>288611</v>
      </c>
      <c r="C19" s="4" t="s">
        <v>1310</v>
      </c>
      <c r="D19" s="9">
        <v>300</v>
      </c>
    </row>
    <row r="20" spans="1:4" x14ac:dyDescent="0.25">
      <c r="A20" s="4" t="s">
        <v>1339</v>
      </c>
      <c r="B20" s="4">
        <v>294796</v>
      </c>
      <c r="C20" s="4" t="s">
        <v>1340</v>
      </c>
      <c r="D20" s="9">
        <v>470</v>
      </c>
    </row>
    <row r="21" spans="1:4" x14ac:dyDescent="0.25">
      <c r="A21" s="33" t="s">
        <v>995</v>
      </c>
      <c r="B21" s="35">
        <v>293624</v>
      </c>
      <c r="C21" s="33" t="s">
        <v>1315</v>
      </c>
      <c r="D21" s="34">
        <v>1586</v>
      </c>
    </row>
    <row r="22" spans="1:4" x14ac:dyDescent="0.25">
      <c r="A22" s="4" t="s">
        <v>52</v>
      </c>
      <c r="B22" s="4">
        <v>285316</v>
      </c>
      <c r="C22" s="4" t="s">
        <v>1341</v>
      </c>
      <c r="D22" s="9">
        <v>12458</v>
      </c>
    </row>
    <row r="23" spans="1:4" x14ac:dyDescent="0.25">
      <c r="A23" s="4" t="s">
        <v>52</v>
      </c>
      <c r="B23" s="4">
        <v>285316</v>
      </c>
      <c r="C23" s="4" t="s">
        <v>1342</v>
      </c>
      <c r="D23" s="9">
        <v>22475</v>
      </c>
    </row>
    <row r="24" spans="1:4" x14ac:dyDescent="0.25">
      <c r="A24" s="4" t="s">
        <v>52</v>
      </c>
      <c r="B24" s="4">
        <v>285316</v>
      </c>
      <c r="C24" s="4" t="s">
        <v>1343</v>
      </c>
      <c r="D24" s="9">
        <v>6868</v>
      </c>
    </row>
    <row r="25" spans="1:4" x14ac:dyDescent="0.25">
      <c r="A25" s="4" t="s">
        <v>52</v>
      </c>
      <c r="B25" s="4">
        <v>285316</v>
      </c>
      <c r="C25" s="4" t="s">
        <v>1344</v>
      </c>
      <c r="D25" s="9">
        <v>5525</v>
      </c>
    </row>
    <row r="26" spans="1:4" x14ac:dyDescent="0.25">
      <c r="A26" s="4" t="s">
        <v>52</v>
      </c>
      <c r="B26" s="4">
        <v>285324</v>
      </c>
      <c r="C26" s="4" t="s">
        <v>1345</v>
      </c>
      <c r="D26" s="9">
        <v>1320</v>
      </c>
    </row>
    <row r="27" spans="1:4" x14ac:dyDescent="0.25">
      <c r="C27" s="31" t="s">
        <v>83</v>
      </c>
      <c r="D27" s="32">
        <f>SUM(D2:D26)</f>
        <v>170334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4C55E-ACC7-4A90-96E7-D6DF32B7DFF1}">
  <dimension ref="A1:D38"/>
  <sheetViews>
    <sheetView zoomScaleNormal="100" zoomScaleSheetLayoutView="100" workbookViewId="0">
      <selection activeCell="A43" sqref="A4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143</v>
      </c>
      <c r="B2" s="4">
        <v>302104</v>
      </c>
      <c r="C2" s="4" t="s">
        <v>1346</v>
      </c>
      <c r="D2" s="9">
        <v>45141</v>
      </c>
    </row>
    <row r="3" spans="1:4" x14ac:dyDescent="0.25">
      <c r="A3" s="33" t="s">
        <v>143</v>
      </c>
      <c r="B3" s="35">
        <v>302104</v>
      </c>
      <c r="C3" s="33" t="s">
        <v>1347</v>
      </c>
      <c r="D3" s="34">
        <v>44277</v>
      </c>
    </row>
    <row r="4" spans="1:4" x14ac:dyDescent="0.25">
      <c r="A4" s="4" t="s">
        <v>143</v>
      </c>
      <c r="B4" s="4">
        <v>295306</v>
      </c>
      <c r="C4" s="4" t="s">
        <v>1348</v>
      </c>
      <c r="D4" s="9">
        <v>2998</v>
      </c>
    </row>
    <row r="5" spans="1:4" x14ac:dyDescent="0.25">
      <c r="A5" s="4" t="s">
        <v>143</v>
      </c>
      <c r="B5" s="4">
        <v>295802</v>
      </c>
      <c r="C5" s="4" t="s">
        <v>1349</v>
      </c>
      <c r="D5" s="9">
        <v>2750</v>
      </c>
    </row>
    <row r="6" spans="1:4" x14ac:dyDescent="0.25">
      <c r="A6" s="4" t="s">
        <v>1327</v>
      </c>
      <c r="B6" s="4">
        <v>295544</v>
      </c>
      <c r="C6" s="4" t="s">
        <v>1328</v>
      </c>
      <c r="D6" s="9">
        <v>2625</v>
      </c>
    </row>
    <row r="7" spans="1:4" x14ac:dyDescent="0.25">
      <c r="A7" s="4" t="s">
        <v>111</v>
      </c>
      <c r="B7" s="4">
        <v>299796</v>
      </c>
      <c r="C7" s="4" t="s">
        <v>1316</v>
      </c>
      <c r="D7" s="9">
        <v>0</v>
      </c>
    </row>
    <row r="8" spans="1:4" x14ac:dyDescent="0.25">
      <c r="A8" s="4" t="s">
        <v>371</v>
      </c>
      <c r="B8" s="4">
        <v>303655</v>
      </c>
      <c r="C8" s="4" t="s">
        <v>1350</v>
      </c>
      <c r="D8" s="9">
        <v>4000</v>
      </c>
    </row>
    <row r="9" spans="1:4" x14ac:dyDescent="0.25">
      <c r="A9" s="4" t="s">
        <v>371</v>
      </c>
      <c r="B9" s="4">
        <v>303706</v>
      </c>
      <c r="C9" s="4" t="s">
        <v>1351</v>
      </c>
      <c r="D9" s="9">
        <v>2340</v>
      </c>
    </row>
    <row r="10" spans="1:4" x14ac:dyDescent="0.25">
      <c r="A10" s="33" t="s">
        <v>371</v>
      </c>
      <c r="B10" s="35">
        <v>302248</v>
      </c>
      <c r="C10" s="33" t="s">
        <v>1352</v>
      </c>
      <c r="D10" s="34">
        <v>2145</v>
      </c>
    </row>
    <row r="11" spans="1:4" x14ac:dyDescent="0.25">
      <c r="A11" s="4" t="s">
        <v>371</v>
      </c>
      <c r="B11" s="4">
        <v>303716</v>
      </c>
      <c r="C11" s="4" t="s">
        <v>1353</v>
      </c>
      <c r="D11" s="9">
        <v>1225</v>
      </c>
    </row>
    <row r="12" spans="1:4" x14ac:dyDescent="0.25">
      <c r="A12" s="4" t="s">
        <v>371</v>
      </c>
      <c r="B12" s="4">
        <v>303717</v>
      </c>
      <c r="C12" s="4" t="s">
        <v>1354</v>
      </c>
      <c r="D12" s="9">
        <v>780</v>
      </c>
    </row>
    <row r="13" spans="1:4" x14ac:dyDescent="0.25">
      <c r="A13" s="4" t="s">
        <v>371</v>
      </c>
      <c r="B13" s="4">
        <v>302244</v>
      </c>
      <c r="C13" s="4" t="s">
        <v>1355</v>
      </c>
      <c r="D13" s="9">
        <v>9440</v>
      </c>
    </row>
    <row r="14" spans="1:4" x14ac:dyDescent="0.25">
      <c r="A14" s="4" t="s">
        <v>371</v>
      </c>
      <c r="B14" s="4">
        <v>303673</v>
      </c>
      <c r="C14" s="4" t="s">
        <v>1356</v>
      </c>
      <c r="D14" s="9">
        <v>5805</v>
      </c>
    </row>
    <row r="15" spans="1:4" x14ac:dyDescent="0.25">
      <c r="A15" s="4" t="s">
        <v>371</v>
      </c>
      <c r="B15" s="4">
        <v>302243</v>
      </c>
      <c r="C15" s="4" t="s">
        <v>1357</v>
      </c>
      <c r="D15" s="9">
        <v>1365</v>
      </c>
    </row>
    <row r="16" spans="1:4" x14ac:dyDescent="0.25">
      <c r="A16" s="4" t="s">
        <v>371</v>
      </c>
      <c r="B16" s="4">
        <v>303661</v>
      </c>
      <c r="C16" s="4" t="s">
        <v>1358</v>
      </c>
      <c r="D16" s="9">
        <v>825</v>
      </c>
    </row>
    <row r="17" spans="1:4" x14ac:dyDescent="0.25">
      <c r="A17" s="4" t="s">
        <v>371</v>
      </c>
      <c r="B17" s="4">
        <v>303718</v>
      </c>
      <c r="C17" s="4" t="s">
        <v>1359</v>
      </c>
      <c r="D17" s="9">
        <v>1170</v>
      </c>
    </row>
    <row r="18" spans="1:4" x14ac:dyDescent="0.25">
      <c r="A18" s="4" t="s">
        <v>371</v>
      </c>
      <c r="B18" s="4">
        <v>303726</v>
      </c>
      <c r="C18" s="4" t="s">
        <v>1360</v>
      </c>
      <c r="D18" s="9">
        <v>2340</v>
      </c>
    </row>
    <row r="19" spans="1:4" x14ac:dyDescent="0.25">
      <c r="A19" s="4" t="s">
        <v>371</v>
      </c>
      <c r="B19" s="4">
        <v>303666</v>
      </c>
      <c r="C19" s="4" t="s">
        <v>1361</v>
      </c>
      <c r="D19" s="9">
        <v>1560</v>
      </c>
    </row>
    <row r="20" spans="1:4" x14ac:dyDescent="0.25">
      <c r="A20" s="33" t="s">
        <v>371</v>
      </c>
      <c r="B20" s="35">
        <v>302245</v>
      </c>
      <c r="C20" s="33" t="s">
        <v>1362</v>
      </c>
      <c r="D20" s="34">
        <v>3770</v>
      </c>
    </row>
    <row r="21" spans="1:4" x14ac:dyDescent="0.25">
      <c r="A21" s="4" t="s">
        <v>371</v>
      </c>
      <c r="B21" s="4">
        <v>302246</v>
      </c>
      <c r="C21" s="4" t="s">
        <v>1363</v>
      </c>
      <c r="D21" s="9">
        <v>7855</v>
      </c>
    </row>
    <row r="22" spans="1:4" x14ac:dyDescent="0.25">
      <c r="A22" s="4" t="s">
        <v>371</v>
      </c>
      <c r="B22" s="4">
        <v>303727</v>
      </c>
      <c r="C22" s="4" t="s">
        <v>1364</v>
      </c>
      <c r="D22" s="9">
        <v>1560</v>
      </c>
    </row>
    <row r="23" spans="1:4" x14ac:dyDescent="0.25">
      <c r="A23" s="4" t="s">
        <v>371</v>
      </c>
      <c r="B23" s="4">
        <v>303714</v>
      </c>
      <c r="C23" s="4" t="s">
        <v>1365</v>
      </c>
      <c r="D23" s="9">
        <v>2055</v>
      </c>
    </row>
    <row r="24" spans="1:4" x14ac:dyDescent="0.25">
      <c r="A24" s="4" t="s">
        <v>371</v>
      </c>
      <c r="B24" s="4">
        <v>303668</v>
      </c>
      <c r="C24" s="4" t="s">
        <v>1366</v>
      </c>
      <c r="D24" s="9">
        <v>935</v>
      </c>
    </row>
    <row r="25" spans="1:4" x14ac:dyDescent="0.25">
      <c r="A25" s="4" t="s">
        <v>371</v>
      </c>
      <c r="B25" s="4">
        <v>303682</v>
      </c>
      <c r="C25" s="4" t="s">
        <v>1367</v>
      </c>
      <c r="D25" s="9">
        <v>2380</v>
      </c>
    </row>
    <row r="26" spans="1:4" x14ac:dyDescent="0.25">
      <c r="A26" s="4" t="s">
        <v>180</v>
      </c>
      <c r="B26" s="4">
        <v>295485</v>
      </c>
      <c r="C26" s="4" t="s">
        <v>1368</v>
      </c>
      <c r="D26" s="9">
        <v>1542</v>
      </c>
    </row>
    <row r="27" spans="1:4" x14ac:dyDescent="0.25">
      <c r="A27" s="4" t="s">
        <v>1267</v>
      </c>
      <c r="B27" s="4">
        <v>294680</v>
      </c>
      <c r="C27" s="4" t="s">
        <v>1268</v>
      </c>
      <c r="D27" s="9">
        <v>4880</v>
      </c>
    </row>
    <row r="28" spans="1:4" x14ac:dyDescent="0.25">
      <c r="A28" s="4" t="s">
        <v>1267</v>
      </c>
      <c r="B28" s="4">
        <v>294678</v>
      </c>
      <c r="C28" s="4" t="s">
        <v>1269</v>
      </c>
      <c r="D28" s="9">
        <v>750</v>
      </c>
    </row>
    <row r="29" spans="1:4" x14ac:dyDescent="0.25">
      <c r="A29" s="4" t="s">
        <v>315</v>
      </c>
      <c r="B29" s="4">
        <v>296120</v>
      </c>
      <c r="C29" s="4" t="s">
        <v>1321</v>
      </c>
      <c r="D29" s="9">
        <v>695</v>
      </c>
    </row>
    <row r="30" spans="1:4" x14ac:dyDescent="0.25">
      <c r="A30" s="4" t="s">
        <v>610</v>
      </c>
      <c r="B30" s="4">
        <v>299819</v>
      </c>
      <c r="C30" s="4" t="s">
        <v>1369</v>
      </c>
      <c r="D30" s="9">
        <v>1375</v>
      </c>
    </row>
    <row r="31" spans="1:4" x14ac:dyDescent="0.25">
      <c r="A31" s="4" t="s">
        <v>995</v>
      </c>
      <c r="B31" s="4">
        <v>293624</v>
      </c>
      <c r="C31" s="4" t="s">
        <v>1315</v>
      </c>
      <c r="D31" s="9">
        <v>1586</v>
      </c>
    </row>
    <row r="32" spans="1:4" x14ac:dyDescent="0.25">
      <c r="A32" s="33" t="s">
        <v>277</v>
      </c>
      <c r="B32" s="35">
        <v>285736</v>
      </c>
      <c r="C32" s="33" t="s">
        <v>1370</v>
      </c>
      <c r="D32" s="34">
        <v>12115</v>
      </c>
    </row>
    <row r="33" spans="1:4" x14ac:dyDescent="0.25">
      <c r="A33" s="4" t="s">
        <v>52</v>
      </c>
      <c r="B33" s="4">
        <v>303713</v>
      </c>
      <c r="C33" s="4" t="s">
        <v>1342</v>
      </c>
      <c r="D33" s="9">
        <v>22325</v>
      </c>
    </row>
    <row r="34" spans="1:4" x14ac:dyDescent="0.25">
      <c r="A34" s="4" t="s">
        <v>52</v>
      </c>
      <c r="B34" s="4">
        <v>285324</v>
      </c>
      <c r="C34" s="4" t="s">
        <v>1345</v>
      </c>
      <c r="D34" s="9">
        <v>1320</v>
      </c>
    </row>
    <row r="35" spans="1:4" x14ac:dyDescent="0.25">
      <c r="A35" s="4" t="s">
        <v>56</v>
      </c>
      <c r="B35" s="4">
        <v>303541</v>
      </c>
      <c r="C35" s="4" t="s">
        <v>1371</v>
      </c>
      <c r="D35" s="9">
        <v>18860</v>
      </c>
    </row>
    <row r="36" spans="1:4" x14ac:dyDescent="0.25">
      <c r="A36" s="4" t="s">
        <v>279</v>
      </c>
      <c r="B36" s="4">
        <v>303563</v>
      </c>
      <c r="C36" s="4" t="s">
        <v>1372</v>
      </c>
      <c r="D36" s="9">
        <v>8375</v>
      </c>
    </row>
    <row r="37" spans="1:4" x14ac:dyDescent="0.25">
      <c r="A37" s="4" t="s">
        <v>52</v>
      </c>
      <c r="B37" s="4">
        <v>285316</v>
      </c>
      <c r="C37" s="4" t="s">
        <v>1341</v>
      </c>
      <c r="D37" s="9">
        <v>12458</v>
      </c>
    </row>
    <row r="38" spans="1:4" x14ac:dyDescent="0.25">
      <c r="C38" s="31" t="s">
        <v>83</v>
      </c>
      <c r="D38" s="32">
        <f>SUM(D2:D37)</f>
        <v>235622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0AFD-AD46-44FF-9405-97C3688113F3}">
  <dimension ref="A1:D21"/>
  <sheetViews>
    <sheetView zoomScaleNormal="100" zoomScaleSheetLayoutView="100" workbookViewId="0">
      <selection activeCell="C43" sqref="C4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143</v>
      </c>
      <c r="B2" s="4">
        <v>295306</v>
      </c>
      <c r="C2" s="4" t="s">
        <v>1348</v>
      </c>
      <c r="D2" s="9">
        <v>2998</v>
      </c>
    </row>
    <row r="3" spans="1:4" x14ac:dyDescent="0.25">
      <c r="A3" s="33" t="s">
        <v>1327</v>
      </c>
      <c r="B3" s="35">
        <v>295544</v>
      </c>
      <c r="C3" s="33" t="s">
        <v>1328</v>
      </c>
      <c r="D3" s="34">
        <v>2625</v>
      </c>
    </row>
    <row r="4" spans="1:4" x14ac:dyDescent="0.25">
      <c r="A4" s="4" t="s">
        <v>500</v>
      </c>
      <c r="B4" s="4">
        <v>306295</v>
      </c>
      <c r="C4" s="4" t="s">
        <v>1373</v>
      </c>
      <c r="D4" s="9">
        <v>16552</v>
      </c>
    </row>
    <row r="5" spans="1:4" x14ac:dyDescent="0.25">
      <c r="A5" s="4" t="s">
        <v>336</v>
      </c>
      <c r="B5" s="4">
        <v>306315</v>
      </c>
      <c r="C5" s="4" t="s">
        <v>1374</v>
      </c>
      <c r="D5" s="9">
        <v>1188</v>
      </c>
    </row>
    <row r="6" spans="1:4" x14ac:dyDescent="0.25">
      <c r="A6" s="4" t="s">
        <v>111</v>
      </c>
      <c r="B6" s="4">
        <v>299796</v>
      </c>
      <c r="C6" s="4" t="s">
        <v>1316</v>
      </c>
      <c r="D6" s="9">
        <v>0</v>
      </c>
    </row>
    <row r="7" spans="1:4" x14ac:dyDescent="0.25">
      <c r="A7" s="4" t="s">
        <v>175</v>
      </c>
      <c r="B7" s="4">
        <v>295846</v>
      </c>
      <c r="C7" s="4" t="s">
        <v>1375</v>
      </c>
      <c r="D7" s="9">
        <v>11965</v>
      </c>
    </row>
    <row r="8" spans="1:4" x14ac:dyDescent="0.25">
      <c r="A8" s="4" t="s">
        <v>175</v>
      </c>
      <c r="B8" s="4">
        <v>295846</v>
      </c>
      <c r="C8" s="4" t="s">
        <v>1376</v>
      </c>
      <c r="D8" s="9">
        <v>7245</v>
      </c>
    </row>
    <row r="9" spans="1:4" x14ac:dyDescent="0.25">
      <c r="A9" s="4" t="s">
        <v>371</v>
      </c>
      <c r="B9" s="4">
        <v>303717</v>
      </c>
      <c r="C9" s="4" t="s">
        <v>1354</v>
      </c>
      <c r="D9" s="9">
        <v>780</v>
      </c>
    </row>
    <row r="10" spans="1:4" x14ac:dyDescent="0.25">
      <c r="A10" s="33" t="s">
        <v>371</v>
      </c>
      <c r="B10" s="35">
        <v>302244</v>
      </c>
      <c r="C10" s="33" t="s">
        <v>1355</v>
      </c>
      <c r="D10" s="34">
        <v>9440</v>
      </c>
    </row>
    <row r="11" spans="1:4" x14ac:dyDescent="0.25">
      <c r="A11" s="4" t="s">
        <v>718</v>
      </c>
      <c r="B11" s="4">
        <v>305852</v>
      </c>
      <c r="C11" s="4" t="s">
        <v>1377</v>
      </c>
      <c r="D11" s="9">
        <v>600</v>
      </c>
    </row>
    <row r="12" spans="1:4" x14ac:dyDescent="0.25">
      <c r="A12" s="4" t="s">
        <v>1267</v>
      </c>
      <c r="B12" s="4">
        <v>294680</v>
      </c>
      <c r="C12" s="4" t="s">
        <v>1268</v>
      </c>
      <c r="D12" s="9">
        <v>4880</v>
      </c>
    </row>
    <row r="13" spans="1:4" x14ac:dyDescent="0.25">
      <c r="A13" s="4" t="s">
        <v>1267</v>
      </c>
      <c r="B13" s="4">
        <v>294678</v>
      </c>
      <c r="C13" s="4" t="s">
        <v>1269</v>
      </c>
      <c r="D13" s="9">
        <v>750</v>
      </c>
    </row>
    <row r="14" spans="1:4" x14ac:dyDescent="0.25">
      <c r="A14" s="4" t="s">
        <v>315</v>
      </c>
      <c r="B14" s="4">
        <v>299583</v>
      </c>
      <c r="C14" s="4" t="s">
        <v>1378</v>
      </c>
      <c r="D14" s="9">
        <v>7309</v>
      </c>
    </row>
    <row r="15" spans="1:4" x14ac:dyDescent="0.25">
      <c r="A15" s="4" t="s">
        <v>315</v>
      </c>
      <c r="B15" s="4">
        <v>296120</v>
      </c>
      <c r="C15" s="4" t="s">
        <v>1321</v>
      </c>
      <c r="D15" s="9">
        <v>695</v>
      </c>
    </row>
    <row r="16" spans="1:4" x14ac:dyDescent="0.25">
      <c r="A16" s="4" t="s">
        <v>610</v>
      </c>
      <c r="B16" s="4">
        <v>299819</v>
      </c>
      <c r="C16" s="4" t="s">
        <v>1369</v>
      </c>
      <c r="D16" s="9">
        <v>1375</v>
      </c>
    </row>
    <row r="17" spans="1:4" x14ac:dyDescent="0.25">
      <c r="A17" s="4" t="s">
        <v>995</v>
      </c>
      <c r="B17" s="4">
        <v>293624</v>
      </c>
      <c r="C17" s="4" t="s">
        <v>1315</v>
      </c>
      <c r="D17" s="9">
        <v>1586</v>
      </c>
    </row>
    <row r="18" spans="1:4" x14ac:dyDescent="0.25">
      <c r="A18" s="4" t="s">
        <v>52</v>
      </c>
      <c r="B18" s="4">
        <v>303713</v>
      </c>
      <c r="C18" s="4" t="s">
        <v>1342</v>
      </c>
      <c r="D18" s="9">
        <v>22325</v>
      </c>
    </row>
    <row r="19" spans="1:4" x14ac:dyDescent="0.25">
      <c r="A19" s="4" t="s">
        <v>52</v>
      </c>
      <c r="B19" s="4">
        <v>285324</v>
      </c>
      <c r="C19" s="4" t="s">
        <v>1345</v>
      </c>
      <c r="D19" s="9">
        <v>1320</v>
      </c>
    </row>
    <row r="20" spans="1:4" x14ac:dyDescent="0.25">
      <c r="A20" s="33" t="s">
        <v>52</v>
      </c>
      <c r="B20" s="35">
        <v>285316</v>
      </c>
      <c r="C20" s="33" t="s">
        <v>1341</v>
      </c>
      <c r="D20" s="34">
        <v>12458</v>
      </c>
    </row>
    <row r="21" spans="1:4" x14ac:dyDescent="0.25">
      <c r="C21" s="31" t="s">
        <v>83</v>
      </c>
      <c r="D21" s="32">
        <f>SUM(D2:D20)</f>
        <v>106091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940A-9BF4-45F4-A959-20D32535BDFB}">
  <dimension ref="A1:D21"/>
  <sheetViews>
    <sheetView zoomScaleNormal="100" zoomScaleSheetLayoutView="100" workbookViewId="0">
      <selection activeCell="A43" sqref="A4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143</v>
      </c>
      <c r="B2" s="4">
        <v>295306</v>
      </c>
      <c r="C2" s="4" t="s">
        <v>1348</v>
      </c>
      <c r="D2" s="9">
        <v>2998</v>
      </c>
    </row>
    <row r="3" spans="1:4" x14ac:dyDescent="0.25">
      <c r="A3" s="33" t="s">
        <v>1327</v>
      </c>
      <c r="B3" s="35">
        <v>295544</v>
      </c>
      <c r="C3" s="33" t="s">
        <v>1328</v>
      </c>
      <c r="D3" s="34">
        <v>2625</v>
      </c>
    </row>
    <row r="4" spans="1:4" x14ac:dyDescent="0.25">
      <c r="A4" s="4" t="s">
        <v>500</v>
      </c>
      <c r="B4" s="4">
        <v>306678</v>
      </c>
      <c r="C4" s="4" t="s">
        <v>1379</v>
      </c>
      <c r="D4" s="9">
        <v>90</v>
      </c>
    </row>
    <row r="5" spans="1:4" x14ac:dyDescent="0.25">
      <c r="A5" s="4" t="s">
        <v>336</v>
      </c>
      <c r="B5" s="4">
        <v>306315</v>
      </c>
      <c r="C5" s="4" t="s">
        <v>1374</v>
      </c>
      <c r="D5" s="9">
        <v>1188</v>
      </c>
    </row>
    <row r="6" spans="1:4" x14ac:dyDescent="0.25">
      <c r="A6" s="4" t="s">
        <v>1380</v>
      </c>
      <c r="B6" s="4">
        <v>306443</v>
      </c>
      <c r="C6" s="4" t="s">
        <v>1381</v>
      </c>
      <c r="D6" s="9">
        <v>53190</v>
      </c>
    </row>
    <row r="7" spans="1:4" x14ac:dyDescent="0.25">
      <c r="A7" s="4" t="s">
        <v>24</v>
      </c>
      <c r="B7" s="4">
        <v>306528</v>
      </c>
      <c r="C7" s="4" t="s">
        <v>1382</v>
      </c>
      <c r="D7" s="9">
        <v>3161</v>
      </c>
    </row>
    <row r="8" spans="1:4" x14ac:dyDescent="0.25">
      <c r="A8" s="4" t="s">
        <v>111</v>
      </c>
      <c r="B8" s="4">
        <v>299796</v>
      </c>
      <c r="C8" s="4" t="s">
        <v>1316</v>
      </c>
      <c r="D8" s="9">
        <v>0</v>
      </c>
    </row>
    <row r="9" spans="1:4" x14ac:dyDescent="0.25">
      <c r="A9" s="4" t="s">
        <v>567</v>
      </c>
      <c r="B9" s="4">
        <v>303565</v>
      </c>
      <c r="C9" s="4" t="s">
        <v>1383</v>
      </c>
      <c r="D9" s="9">
        <v>3075</v>
      </c>
    </row>
    <row r="10" spans="1:4" x14ac:dyDescent="0.25">
      <c r="A10" s="33" t="s">
        <v>718</v>
      </c>
      <c r="B10" s="35">
        <v>305852</v>
      </c>
      <c r="C10" s="33" t="s">
        <v>1377</v>
      </c>
      <c r="D10" s="34">
        <v>600</v>
      </c>
    </row>
    <row r="11" spans="1:4" x14ac:dyDescent="0.25">
      <c r="A11" s="4" t="s">
        <v>718</v>
      </c>
      <c r="B11" s="4">
        <v>306674</v>
      </c>
      <c r="C11" s="4" t="s">
        <v>1384</v>
      </c>
      <c r="D11" s="9">
        <v>1656</v>
      </c>
    </row>
    <row r="12" spans="1:4" x14ac:dyDescent="0.25">
      <c r="A12" s="4" t="s">
        <v>312</v>
      </c>
      <c r="B12" s="4">
        <v>306455</v>
      </c>
      <c r="C12" s="4" t="s">
        <v>1385</v>
      </c>
      <c r="D12" s="9">
        <v>5302</v>
      </c>
    </row>
    <row r="13" spans="1:4" x14ac:dyDescent="0.25">
      <c r="A13" s="4" t="s">
        <v>1267</v>
      </c>
      <c r="B13" s="4">
        <v>294680</v>
      </c>
      <c r="C13" s="4" t="s">
        <v>1268</v>
      </c>
      <c r="D13" s="9">
        <v>4880</v>
      </c>
    </row>
    <row r="14" spans="1:4" x14ac:dyDescent="0.25">
      <c r="A14" s="4" t="s">
        <v>1267</v>
      </c>
      <c r="B14" s="4">
        <v>294678</v>
      </c>
      <c r="C14" s="4" t="s">
        <v>1269</v>
      </c>
      <c r="D14" s="9">
        <v>750</v>
      </c>
    </row>
    <row r="15" spans="1:4" x14ac:dyDescent="0.25">
      <c r="A15" s="4" t="s">
        <v>315</v>
      </c>
      <c r="B15" s="4">
        <v>296120</v>
      </c>
      <c r="C15" s="4" t="s">
        <v>1321</v>
      </c>
      <c r="D15" s="9">
        <v>695</v>
      </c>
    </row>
    <row r="16" spans="1:4" x14ac:dyDescent="0.25">
      <c r="A16" s="4" t="s">
        <v>832</v>
      </c>
      <c r="B16" s="4">
        <v>306152</v>
      </c>
      <c r="C16" s="4" t="s">
        <v>1386</v>
      </c>
      <c r="D16" s="9">
        <v>20971</v>
      </c>
    </row>
    <row r="17" spans="1:4" x14ac:dyDescent="0.25">
      <c r="A17" s="4" t="s">
        <v>1387</v>
      </c>
      <c r="B17" s="4">
        <v>299819</v>
      </c>
      <c r="C17" s="4" t="s">
        <v>1369</v>
      </c>
      <c r="D17" s="9">
        <v>1375</v>
      </c>
    </row>
    <row r="18" spans="1:4" x14ac:dyDescent="0.25">
      <c r="A18" s="4" t="s">
        <v>995</v>
      </c>
      <c r="B18" s="4">
        <v>293624</v>
      </c>
      <c r="C18" s="4" t="s">
        <v>1315</v>
      </c>
      <c r="D18" s="9">
        <v>1586</v>
      </c>
    </row>
    <row r="19" spans="1:4" x14ac:dyDescent="0.25">
      <c r="A19" s="4" t="s">
        <v>52</v>
      </c>
      <c r="B19" s="4">
        <v>285324</v>
      </c>
      <c r="C19" s="4" t="s">
        <v>1345</v>
      </c>
      <c r="D19" s="9">
        <v>1320</v>
      </c>
    </row>
    <row r="20" spans="1:4" x14ac:dyDescent="0.25">
      <c r="A20" s="33" t="s">
        <v>52</v>
      </c>
      <c r="B20" s="35">
        <v>306630</v>
      </c>
      <c r="C20" s="33" t="s">
        <v>1388</v>
      </c>
      <c r="D20" s="34">
        <v>3550</v>
      </c>
    </row>
    <row r="21" spans="1:4" x14ac:dyDescent="0.25">
      <c r="C21" s="31" t="s">
        <v>83</v>
      </c>
      <c r="D21" s="32">
        <f>SUM(D2:D20)</f>
        <v>109012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FE8C-BC98-4C2A-ABAF-2442523FF31A}">
  <dimension ref="A1:D25"/>
  <sheetViews>
    <sheetView zoomScaleNormal="100" zoomScaleSheetLayoutView="100" workbookViewId="0">
      <selection activeCell="C46" sqref="C46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1322</v>
      </c>
      <c r="B2" s="4">
        <v>306663</v>
      </c>
      <c r="C2" s="4" t="s">
        <v>1389</v>
      </c>
      <c r="D2" s="9">
        <v>3780</v>
      </c>
    </row>
    <row r="3" spans="1:4" x14ac:dyDescent="0.25">
      <c r="A3" s="33" t="s">
        <v>256</v>
      </c>
      <c r="B3" s="35">
        <v>306207</v>
      </c>
      <c r="C3" s="33" t="s">
        <v>1390</v>
      </c>
      <c r="D3" s="34">
        <v>17075</v>
      </c>
    </row>
    <row r="4" spans="1:4" x14ac:dyDescent="0.25">
      <c r="A4" s="4" t="s">
        <v>143</v>
      </c>
      <c r="B4" s="4">
        <v>295306</v>
      </c>
      <c r="C4" s="4" t="s">
        <v>1348</v>
      </c>
      <c r="D4" s="9">
        <v>2998</v>
      </c>
    </row>
    <row r="5" spans="1:4" x14ac:dyDescent="0.25">
      <c r="A5" s="4" t="s">
        <v>1327</v>
      </c>
      <c r="B5" s="4">
        <v>295544</v>
      </c>
      <c r="C5" s="4" t="s">
        <v>1328</v>
      </c>
      <c r="D5" s="9">
        <v>2625</v>
      </c>
    </row>
    <row r="6" spans="1:4" x14ac:dyDescent="0.25">
      <c r="A6" s="4" t="s">
        <v>500</v>
      </c>
      <c r="B6" s="4">
        <v>306678</v>
      </c>
      <c r="C6" s="4" t="s">
        <v>1379</v>
      </c>
      <c r="D6" s="9">
        <v>90</v>
      </c>
    </row>
    <row r="7" spans="1:4" x14ac:dyDescent="0.25">
      <c r="A7" s="4" t="s">
        <v>336</v>
      </c>
      <c r="B7" s="4">
        <v>306315</v>
      </c>
      <c r="C7" s="4" t="s">
        <v>1374</v>
      </c>
      <c r="D7" s="9">
        <v>1188</v>
      </c>
    </row>
    <row r="8" spans="1:4" x14ac:dyDescent="0.25">
      <c r="A8" s="4" t="s">
        <v>1380</v>
      </c>
      <c r="B8" s="4">
        <v>306443</v>
      </c>
      <c r="C8" s="4" t="s">
        <v>1381</v>
      </c>
      <c r="D8" s="9">
        <v>53190</v>
      </c>
    </row>
    <row r="9" spans="1:4" x14ac:dyDescent="0.25">
      <c r="A9" s="4" t="s">
        <v>111</v>
      </c>
      <c r="B9" s="4">
        <v>306734</v>
      </c>
      <c r="C9" s="4" t="s">
        <v>1391</v>
      </c>
      <c r="D9" s="9">
        <v>326</v>
      </c>
    </row>
    <row r="10" spans="1:4" x14ac:dyDescent="0.25">
      <c r="A10" s="33" t="s">
        <v>111</v>
      </c>
      <c r="B10" s="35">
        <v>299796</v>
      </c>
      <c r="C10" s="33" t="s">
        <v>1316</v>
      </c>
      <c r="D10" s="34">
        <v>0</v>
      </c>
    </row>
    <row r="11" spans="1:4" x14ac:dyDescent="0.25">
      <c r="A11" s="4" t="s">
        <v>567</v>
      </c>
      <c r="B11" s="4">
        <v>303565</v>
      </c>
      <c r="C11" s="4" t="s">
        <v>1383</v>
      </c>
      <c r="D11" s="9">
        <v>3075</v>
      </c>
    </row>
    <row r="12" spans="1:4" x14ac:dyDescent="0.25">
      <c r="A12" s="4" t="s">
        <v>718</v>
      </c>
      <c r="B12" s="4">
        <v>305852</v>
      </c>
      <c r="C12" s="4" t="s">
        <v>1377</v>
      </c>
      <c r="D12" s="9">
        <v>600</v>
      </c>
    </row>
    <row r="13" spans="1:4" x14ac:dyDescent="0.25">
      <c r="A13" s="4" t="s">
        <v>718</v>
      </c>
      <c r="B13" s="4">
        <v>306674</v>
      </c>
      <c r="C13" s="4" t="s">
        <v>1384</v>
      </c>
      <c r="D13" s="9">
        <v>1656</v>
      </c>
    </row>
    <row r="14" spans="1:4" x14ac:dyDescent="0.25">
      <c r="A14" s="4" t="s">
        <v>1267</v>
      </c>
      <c r="B14" s="4">
        <v>294680</v>
      </c>
      <c r="C14" s="4" t="s">
        <v>1268</v>
      </c>
      <c r="D14" s="9">
        <v>4880</v>
      </c>
    </row>
    <row r="15" spans="1:4" x14ac:dyDescent="0.25">
      <c r="A15" s="4" t="s">
        <v>1267</v>
      </c>
      <c r="B15" s="4">
        <v>294678</v>
      </c>
      <c r="C15" s="4" t="s">
        <v>1392</v>
      </c>
      <c r="D15" s="9">
        <v>750</v>
      </c>
    </row>
    <row r="16" spans="1:4" x14ac:dyDescent="0.25">
      <c r="A16" s="4" t="s">
        <v>315</v>
      </c>
      <c r="B16" s="4">
        <v>295737</v>
      </c>
      <c r="C16" s="4" t="s">
        <v>1393</v>
      </c>
      <c r="D16" s="9">
        <v>1600</v>
      </c>
    </row>
    <row r="17" spans="1:4" x14ac:dyDescent="0.25">
      <c r="A17" s="4" t="s">
        <v>315</v>
      </c>
      <c r="B17" s="4">
        <v>295737</v>
      </c>
      <c r="C17" s="4" t="s">
        <v>1394</v>
      </c>
      <c r="D17" s="9">
        <v>730</v>
      </c>
    </row>
    <row r="18" spans="1:4" x14ac:dyDescent="0.25">
      <c r="A18" s="4" t="s">
        <v>315</v>
      </c>
      <c r="B18" s="4">
        <v>295299</v>
      </c>
      <c r="C18" s="4" t="s">
        <v>1395</v>
      </c>
      <c r="D18" s="9">
        <v>22330</v>
      </c>
    </row>
    <row r="19" spans="1:4" x14ac:dyDescent="0.25">
      <c r="A19" s="4" t="s">
        <v>315</v>
      </c>
      <c r="B19" s="4">
        <v>296120</v>
      </c>
      <c r="C19" s="4" t="s">
        <v>1321</v>
      </c>
      <c r="D19" s="9">
        <v>695</v>
      </c>
    </row>
    <row r="20" spans="1:4" x14ac:dyDescent="0.25">
      <c r="A20" s="33" t="s">
        <v>832</v>
      </c>
      <c r="B20" s="35">
        <v>306152</v>
      </c>
      <c r="C20" s="33" t="s">
        <v>1386</v>
      </c>
      <c r="D20" s="34">
        <v>20971</v>
      </c>
    </row>
    <row r="21" spans="1:4" x14ac:dyDescent="0.25">
      <c r="A21" s="4" t="s">
        <v>995</v>
      </c>
      <c r="B21" s="4">
        <v>293624</v>
      </c>
      <c r="C21" s="4" t="s">
        <v>1315</v>
      </c>
      <c r="D21" s="9">
        <v>1586</v>
      </c>
    </row>
    <row r="22" spans="1:4" x14ac:dyDescent="0.25">
      <c r="A22" s="4" t="s">
        <v>52</v>
      </c>
      <c r="B22" s="4">
        <v>285324</v>
      </c>
      <c r="C22" s="4" t="s">
        <v>1345</v>
      </c>
      <c r="D22" s="9">
        <v>1320</v>
      </c>
    </row>
    <row r="23" spans="1:4" x14ac:dyDescent="0.25">
      <c r="A23" s="4" t="s">
        <v>52</v>
      </c>
      <c r="B23" s="4">
        <v>306630</v>
      </c>
      <c r="C23" s="4" t="s">
        <v>1388</v>
      </c>
      <c r="D23" s="9">
        <v>3550</v>
      </c>
    </row>
    <row r="24" spans="1:4" x14ac:dyDescent="0.25">
      <c r="A24" s="4" t="s">
        <v>61</v>
      </c>
      <c r="B24" s="4">
        <v>306745</v>
      </c>
      <c r="C24" s="4" t="s">
        <v>1396</v>
      </c>
      <c r="D24" s="9">
        <v>46053</v>
      </c>
    </row>
    <row r="25" spans="1:4" x14ac:dyDescent="0.25">
      <c r="C25" s="31" t="s">
        <v>83</v>
      </c>
      <c r="D25" s="32">
        <f>SUM(D2:D24)</f>
        <v>191068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1E8F-5AB6-403A-B5F4-0BA6E693263D}">
  <dimension ref="A1:D69"/>
  <sheetViews>
    <sheetView zoomScaleNormal="100" zoomScaleSheetLayoutView="100" workbookViewId="0">
      <selection activeCell="A83" sqref="A83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307163</v>
      </c>
      <c r="C2" s="4" t="s">
        <v>1397</v>
      </c>
      <c r="D2" s="9">
        <v>645</v>
      </c>
    </row>
    <row r="3" spans="1:4" x14ac:dyDescent="0.25">
      <c r="A3" s="33" t="s">
        <v>7</v>
      </c>
      <c r="B3" s="35">
        <v>306563</v>
      </c>
      <c r="C3" s="33" t="s">
        <v>1398</v>
      </c>
      <c r="D3" s="34">
        <v>2800</v>
      </c>
    </row>
    <row r="4" spans="1:4" x14ac:dyDescent="0.25">
      <c r="A4" s="4" t="s">
        <v>7</v>
      </c>
      <c r="B4" s="4">
        <v>306563</v>
      </c>
      <c r="C4" s="4" t="s">
        <v>1399</v>
      </c>
      <c r="D4" s="9">
        <v>11135</v>
      </c>
    </row>
    <row r="5" spans="1:4" x14ac:dyDescent="0.25">
      <c r="A5" s="4" t="s">
        <v>1322</v>
      </c>
      <c r="B5" s="4">
        <v>306663</v>
      </c>
      <c r="C5" s="4" t="s">
        <v>1389</v>
      </c>
      <c r="D5" s="9">
        <v>3780</v>
      </c>
    </row>
    <row r="6" spans="1:4" x14ac:dyDescent="0.25">
      <c r="A6" s="4" t="s">
        <v>143</v>
      </c>
      <c r="B6" s="4">
        <v>295306</v>
      </c>
      <c r="C6" s="4" t="s">
        <v>1348</v>
      </c>
      <c r="D6" s="9">
        <v>2998</v>
      </c>
    </row>
    <row r="7" spans="1:4" x14ac:dyDescent="0.25">
      <c r="A7" s="33" t="s">
        <v>13</v>
      </c>
      <c r="B7" s="35">
        <v>302158</v>
      </c>
      <c r="C7" s="33" t="s">
        <v>1400</v>
      </c>
      <c r="D7" s="34">
        <v>43166</v>
      </c>
    </row>
    <row r="8" spans="1:4" x14ac:dyDescent="0.25">
      <c r="A8" s="4" t="s">
        <v>1327</v>
      </c>
      <c r="B8" s="4">
        <v>295544</v>
      </c>
      <c r="C8" s="4" t="s">
        <v>1328</v>
      </c>
      <c r="D8" s="9">
        <v>2625</v>
      </c>
    </row>
    <row r="9" spans="1:4" x14ac:dyDescent="0.25">
      <c r="A9" s="4" t="s">
        <v>336</v>
      </c>
      <c r="B9" s="4">
        <v>306315</v>
      </c>
      <c r="C9" s="4" t="s">
        <v>1374</v>
      </c>
      <c r="D9" s="9">
        <v>1188</v>
      </c>
    </row>
    <row r="10" spans="1:4" x14ac:dyDescent="0.25">
      <c r="A10" s="4" t="s">
        <v>1380</v>
      </c>
      <c r="B10" s="4">
        <v>308340</v>
      </c>
      <c r="C10" s="4" t="s">
        <v>1401</v>
      </c>
      <c r="D10" s="9">
        <v>53190</v>
      </c>
    </row>
    <row r="11" spans="1:4" x14ac:dyDescent="0.25">
      <c r="A11" s="4" t="s">
        <v>24</v>
      </c>
      <c r="B11" s="4">
        <v>308245</v>
      </c>
      <c r="C11" s="4" t="s">
        <v>1402</v>
      </c>
      <c r="D11" s="9">
        <v>136001</v>
      </c>
    </row>
    <row r="12" spans="1:4" x14ac:dyDescent="0.25">
      <c r="A12" s="4" t="s">
        <v>24</v>
      </c>
      <c r="B12" s="4">
        <v>308353</v>
      </c>
      <c r="C12" s="4" t="s">
        <v>1403</v>
      </c>
      <c r="D12" s="9">
        <v>118432</v>
      </c>
    </row>
    <row r="13" spans="1:4" x14ac:dyDescent="0.25">
      <c r="A13" s="4" t="s">
        <v>24</v>
      </c>
      <c r="B13" s="4">
        <v>308280</v>
      </c>
      <c r="C13" s="4" t="s">
        <v>1404</v>
      </c>
      <c r="D13" s="9">
        <v>34374</v>
      </c>
    </row>
    <row r="14" spans="1:4" x14ac:dyDescent="0.25">
      <c r="A14" s="4" t="s">
        <v>24</v>
      </c>
      <c r="B14" s="4">
        <v>308261</v>
      </c>
      <c r="C14" s="4" t="s">
        <v>1405</v>
      </c>
      <c r="D14" s="9">
        <v>1756</v>
      </c>
    </row>
    <row r="15" spans="1:4" x14ac:dyDescent="0.25">
      <c r="A15" s="4" t="s">
        <v>24</v>
      </c>
      <c r="B15" s="4">
        <v>308257</v>
      </c>
      <c r="C15" s="4" t="s">
        <v>1406</v>
      </c>
      <c r="D15" s="9">
        <v>2107</v>
      </c>
    </row>
    <row r="16" spans="1:4" x14ac:dyDescent="0.25">
      <c r="A16" s="4" t="s">
        <v>24</v>
      </c>
      <c r="B16" s="4">
        <v>308258</v>
      </c>
      <c r="C16" s="4" t="s">
        <v>1407</v>
      </c>
      <c r="D16" s="9">
        <v>17187</v>
      </c>
    </row>
    <row r="17" spans="1:4" x14ac:dyDescent="0.25">
      <c r="A17" s="33" t="s">
        <v>24</v>
      </c>
      <c r="B17" s="35">
        <v>308322</v>
      </c>
      <c r="C17" s="33" t="s">
        <v>1408</v>
      </c>
      <c r="D17" s="34">
        <v>32300</v>
      </c>
    </row>
    <row r="18" spans="1:4" x14ac:dyDescent="0.25">
      <c r="A18" s="4" t="s">
        <v>24</v>
      </c>
      <c r="B18" s="4">
        <v>306879</v>
      </c>
      <c r="C18" s="4" t="s">
        <v>1409</v>
      </c>
      <c r="D18" s="9">
        <v>12890</v>
      </c>
    </row>
    <row r="19" spans="1:4" x14ac:dyDescent="0.25">
      <c r="A19" s="4" t="s">
        <v>24</v>
      </c>
      <c r="B19" s="4">
        <v>307114</v>
      </c>
      <c r="C19" s="4" t="s">
        <v>1410</v>
      </c>
      <c r="D19" s="9">
        <v>8593</v>
      </c>
    </row>
    <row r="20" spans="1:4" x14ac:dyDescent="0.25">
      <c r="A20" s="4" t="s">
        <v>24</v>
      </c>
      <c r="B20" s="4">
        <v>306856</v>
      </c>
      <c r="C20" s="4" t="s">
        <v>1411</v>
      </c>
      <c r="D20" s="9">
        <v>21533</v>
      </c>
    </row>
    <row r="21" spans="1:4" x14ac:dyDescent="0.25">
      <c r="A21" s="4" t="s">
        <v>24</v>
      </c>
      <c r="B21" s="4">
        <v>308335</v>
      </c>
      <c r="C21" s="4" t="s">
        <v>1412</v>
      </c>
      <c r="D21" s="9">
        <v>12890</v>
      </c>
    </row>
    <row r="22" spans="1:4" x14ac:dyDescent="0.25">
      <c r="A22" s="4" t="s">
        <v>24</v>
      </c>
      <c r="B22" s="4">
        <v>308286</v>
      </c>
      <c r="C22" s="4" t="s">
        <v>1413</v>
      </c>
      <c r="D22" s="9">
        <v>17187</v>
      </c>
    </row>
    <row r="23" spans="1:4" x14ac:dyDescent="0.25">
      <c r="A23" s="4" t="s">
        <v>24</v>
      </c>
      <c r="B23" s="4">
        <v>307145</v>
      </c>
      <c r="C23" s="4" t="s">
        <v>1414</v>
      </c>
      <c r="D23" s="9">
        <v>4297</v>
      </c>
    </row>
    <row r="24" spans="1:4" x14ac:dyDescent="0.25">
      <c r="A24" s="33" t="s">
        <v>24</v>
      </c>
      <c r="B24" s="35">
        <v>306853</v>
      </c>
      <c r="C24" s="33" t="s">
        <v>1415</v>
      </c>
      <c r="D24" s="34">
        <v>26916</v>
      </c>
    </row>
    <row r="25" spans="1:4" x14ac:dyDescent="0.25">
      <c r="A25" s="4" t="s">
        <v>24</v>
      </c>
      <c r="B25" s="4">
        <v>308287</v>
      </c>
      <c r="C25" s="4" t="s">
        <v>1416</v>
      </c>
      <c r="D25" s="9">
        <v>44159</v>
      </c>
    </row>
    <row r="26" spans="1:4" x14ac:dyDescent="0.25">
      <c r="A26" s="4" t="s">
        <v>111</v>
      </c>
      <c r="B26" s="4">
        <v>299796</v>
      </c>
      <c r="C26" s="4" t="s">
        <v>1316</v>
      </c>
      <c r="D26" s="9">
        <v>0</v>
      </c>
    </row>
    <row r="27" spans="1:4" x14ac:dyDescent="0.25">
      <c r="A27" s="4" t="s">
        <v>167</v>
      </c>
      <c r="B27" s="4">
        <v>306119</v>
      </c>
      <c r="C27" s="4" t="s">
        <v>1417</v>
      </c>
      <c r="D27" s="9">
        <v>2895</v>
      </c>
    </row>
    <row r="28" spans="1:4" x14ac:dyDescent="0.25">
      <c r="A28" s="4" t="s">
        <v>81</v>
      </c>
      <c r="B28" s="4">
        <v>307134</v>
      </c>
      <c r="C28" s="4" t="s">
        <v>1418</v>
      </c>
      <c r="D28" s="9">
        <v>27497</v>
      </c>
    </row>
    <row r="29" spans="1:4" x14ac:dyDescent="0.25">
      <c r="A29" s="4" t="s">
        <v>567</v>
      </c>
      <c r="B29" s="4">
        <v>303565</v>
      </c>
      <c r="C29" s="4" t="s">
        <v>1383</v>
      </c>
      <c r="D29" s="9">
        <v>3075</v>
      </c>
    </row>
    <row r="30" spans="1:4" x14ac:dyDescent="0.25">
      <c r="A30" s="4" t="s">
        <v>1419</v>
      </c>
      <c r="B30" s="4">
        <v>306831</v>
      </c>
      <c r="C30" s="4" t="s">
        <v>1420</v>
      </c>
      <c r="D30" s="9">
        <v>9480</v>
      </c>
    </row>
    <row r="31" spans="1:4" x14ac:dyDescent="0.25">
      <c r="A31" s="4" t="s">
        <v>1419</v>
      </c>
      <c r="B31" s="4">
        <v>306830</v>
      </c>
      <c r="C31" s="4" t="s">
        <v>1421</v>
      </c>
      <c r="D31" s="9">
        <v>3080</v>
      </c>
    </row>
    <row r="32" spans="1:4" x14ac:dyDescent="0.25">
      <c r="A32" s="4" t="s">
        <v>718</v>
      </c>
      <c r="B32" s="4">
        <v>301959</v>
      </c>
      <c r="C32" s="4" t="s">
        <v>1422</v>
      </c>
      <c r="D32" s="9">
        <v>4000</v>
      </c>
    </row>
    <row r="33" spans="1:4" x14ac:dyDescent="0.25">
      <c r="A33" s="4" t="s">
        <v>718</v>
      </c>
      <c r="B33" s="4">
        <v>301962</v>
      </c>
      <c r="C33" s="4" t="s">
        <v>1423</v>
      </c>
      <c r="D33" s="9">
        <v>3120</v>
      </c>
    </row>
    <row r="34" spans="1:4" x14ac:dyDescent="0.25">
      <c r="A34" s="33" t="s">
        <v>718</v>
      </c>
      <c r="B34" s="35">
        <v>301961</v>
      </c>
      <c r="C34" s="33" t="s">
        <v>1424</v>
      </c>
      <c r="D34" s="34">
        <v>7200</v>
      </c>
    </row>
    <row r="35" spans="1:4" x14ac:dyDescent="0.25">
      <c r="A35" s="4" t="s">
        <v>718</v>
      </c>
      <c r="B35" s="4">
        <v>301960</v>
      </c>
      <c r="C35" s="4" t="s">
        <v>1425</v>
      </c>
      <c r="D35" s="9">
        <v>1248</v>
      </c>
    </row>
    <row r="36" spans="1:4" x14ac:dyDescent="0.25">
      <c r="A36" s="4" t="s">
        <v>718</v>
      </c>
      <c r="B36" s="4">
        <v>301958</v>
      </c>
      <c r="C36" s="4" t="s">
        <v>1426</v>
      </c>
      <c r="D36" s="9">
        <v>3744</v>
      </c>
    </row>
    <row r="37" spans="1:4" x14ac:dyDescent="0.25">
      <c r="A37" s="4" t="s">
        <v>718</v>
      </c>
      <c r="B37" s="4">
        <v>301957</v>
      </c>
      <c r="C37" s="4" t="s">
        <v>1427</v>
      </c>
      <c r="D37" s="9">
        <v>3200</v>
      </c>
    </row>
    <row r="38" spans="1:4" x14ac:dyDescent="0.25">
      <c r="A38" s="33" t="s">
        <v>718</v>
      </c>
      <c r="B38" s="35">
        <v>300832</v>
      </c>
      <c r="C38" s="33" t="s">
        <v>1428</v>
      </c>
      <c r="D38" s="34">
        <v>4212</v>
      </c>
    </row>
    <row r="39" spans="1:4" x14ac:dyDescent="0.25">
      <c r="A39" s="4" t="s">
        <v>718</v>
      </c>
      <c r="B39" s="4">
        <v>301956</v>
      </c>
      <c r="C39" s="4" t="s">
        <v>1429</v>
      </c>
      <c r="D39" s="9">
        <v>2028</v>
      </c>
    </row>
    <row r="40" spans="1:4" x14ac:dyDescent="0.25">
      <c r="A40" s="4" t="s">
        <v>718</v>
      </c>
      <c r="B40" s="4">
        <v>301955</v>
      </c>
      <c r="C40" s="4" t="s">
        <v>1430</v>
      </c>
      <c r="D40" s="9">
        <v>2400</v>
      </c>
    </row>
    <row r="41" spans="1:4" x14ac:dyDescent="0.25">
      <c r="A41" s="4" t="s">
        <v>718</v>
      </c>
      <c r="B41" s="4">
        <v>301953</v>
      </c>
      <c r="C41" s="4" t="s">
        <v>1431</v>
      </c>
      <c r="D41" s="9">
        <v>4368</v>
      </c>
    </row>
    <row r="42" spans="1:4" x14ac:dyDescent="0.25">
      <c r="A42" s="4" t="s">
        <v>718</v>
      </c>
      <c r="B42" s="4">
        <v>301952</v>
      </c>
      <c r="C42" s="4" t="s">
        <v>1432</v>
      </c>
      <c r="D42" s="9">
        <v>11200</v>
      </c>
    </row>
    <row r="43" spans="1:4" x14ac:dyDescent="0.25">
      <c r="A43" s="4" t="s">
        <v>718</v>
      </c>
      <c r="B43" s="4">
        <v>301970</v>
      </c>
      <c r="C43" s="4" t="s">
        <v>1433</v>
      </c>
      <c r="D43" s="9">
        <v>1248</v>
      </c>
    </row>
    <row r="44" spans="1:4" x14ac:dyDescent="0.25">
      <c r="A44" s="4" t="s">
        <v>718</v>
      </c>
      <c r="B44" s="4">
        <v>301973</v>
      </c>
      <c r="C44" s="4" t="s">
        <v>1434</v>
      </c>
      <c r="D44" s="9">
        <v>4508</v>
      </c>
    </row>
    <row r="45" spans="1:4" x14ac:dyDescent="0.25">
      <c r="A45" s="33" t="s">
        <v>718</v>
      </c>
      <c r="B45" s="35">
        <v>301975</v>
      </c>
      <c r="C45" s="33" t="s">
        <v>1435</v>
      </c>
      <c r="D45" s="34">
        <v>7200</v>
      </c>
    </row>
    <row r="46" spans="1:4" x14ac:dyDescent="0.25">
      <c r="A46" s="4" t="s">
        <v>718</v>
      </c>
      <c r="B46" s="4">
        <v>301846</v>
      </c>
      <c r="C46" s="4" t="s">
        <v>1436</v>
      </c>
      <c r="D46" s="9">
        <v>552</v>
      </c>
    </row>
    <row r="47" spans="1:4" x14ac:dyDescent="0.25">
      <c r="A47" s="4" t="s">
        <v>718</v>
      </c>
      <c r="B47" s="4">
        <v>307085</v>
      </c>
      <c r="C47" s="4" t="s">
        <v>1437</v>
      </c>
      <c r="D47" s="9">
        <v>399</v>
      </c>
    </row>
    <row r="48" spans="1:4" x14ac:dyDescent="0.25">
      <c r="A48" s="33" t="s">
        <v>1267</v>
      </c>
      <c r="B48" s="35">
        <v>294680</v>
      </c>
      <c r="C48" s="33" t="s">
        <v>1268</v>
      </c>
      <c r="D48" s="34">
        <v>4880</v>
      </c>
    </row>
    <row r="49" spans="1:4" x14ac:dyDescent="0.25">
      <c r="A49" s="4" t="s">
        <v>1267</v>
      </c>
      <c r="B49" s="4">
        <v>294678</v>
      </c>
      <c r="C49" s="4" t="s">
        <v>1392</v>
      </c>
      <c r="D49" s="9">
        <v>750</v>
      </c>
    </row>
    <row r="50" spans="1:4" x14ac:dyDescent="0.25">
      <c r="A50" s="4" t="s">
        <v>315</v>
      </c>
      <c r="B50" s="4">
        <v>305945</v>
      </c>
      <c r="C50" s="4" t="s">
        <v>1438</v>
      </c>
      <c r="D50" s="9">
        <v>25950</v>
      </c>
    </row>
    <row r="51" spans="1:4" x14ac:dyDescent="0.25">
      <c r="A51" s="4" t="s">
        <v>315</v>
      </c>
      <c r="B51" s="4">
        <v>306713</v>
      </c>
      <c r="C51" s="4" t="s">
        <v>1439</v>
      </c>
      <c r="D51" s="9">
        <v>27450</v>
      </c>
    </row>
    <row r="52" spans="1:4" x14ac:dyDescent="0.25">
      <c r="A52" s="4" t="s">
        <v>315</v>
      </c>
      <c r="B52" s="4">
        <v>295737</v>
      </c>
      <c r="C52" s="4" t="s">
        <v>1440</v>
      </c>
      <c r="D52" s="9">
        <v>1600</v>
      </c>
    </row>
    <row r="53" spans="1:4" x14ac:dyDescent="0.25">
      <c r="A53" s="4" t="s">
        <v>315</v>
      </c>
      <c r="B53" s="4">
        <v>296120</v>
      </c>
      <c r="C53" s="4" t="s">
        <v>1321</v>
      </c>
      <c r="D53" s="9">
        <v>695</v>
      </c>
    </row>
    <row r="54" spans="1:4" x14ac:dyDescent="0.25">
      <c r="A54" s="4" t="s">
        <v>315</v>
      </c>
      <c r="B54" s="4">
        <v>306426</v>
      </c>
      <c r="C54" s="4" t="s">
        <v>1441</v>
      </c>
      <c r="D54" s="9">
        <v>381</v>
      </c>
    </row>
    <row r="55" spans="1:4" x14ac:dyDescent="0.25">
      <c r="A55" s="4" t="s">
        <v>995</v>
      </c>
      <c r="B55" s="4">
        <v>293624</v>
      </c>
      <c r="C55" s="4" t="s">
        <v>1315</v>
      </c>
      <c r="D55" s="9">
        <v>1586</v>
      </c>
    </row>
    <row r="56" spans="1:4" x14ac:dyDescent="0.25">
      <c r="A56" s="4" t="s">
        <v>443</v>
      </c>
      <c r="B56" s="4">
        <v>306921</v>
      </c>
      <c r="C56" s="4" t="s">
        <v>1442</v>
      </c>
      <c r="D56" s="9">
        <v>2355</v>
      </c>
    </row>
    <row r="57" spans="1:4" x14ac:dyDescent="0.25">
      <c r="A57" s="4" t="s">
        <v>52</v>
      </c>
      <c r="B57" s="4">
        <v>302239</v>
      </c>
      <c r="C57" s="4" t="s">
        <v>1443</v>
      </c>
      <c r="D57" s="9">
        <v>2240</v>
      </c>
    </row>
    <row r="58" spans="1:4" x14ac:dyDescent="0.25">
      <c r="A58" s="33" t="s">
        <v>52</v>
      </c>
      <c r="B58" s="35">
        <v>305882</v>
      </c>
      <c r="C58" s="33" t="s">
        <v>1444</v>
      </c>
      <c r="D58" s="34">
        <v>1725</v>
      </c>
    </row>
    <row r="59" spans="1:4" x14ac:dyDescent="0.25">
      <c r="A59" s="4" t="s">
        <v>52</v>
      </c>
      <c r="B59" s="4">
        <v>285324</v>
      </c>
      <c r="C59" s="4" t="s">
        <v>1345</v>
      </c>
      <c r="D59" s="9">
        <v>1320</v>
      </c>
    </row>
    <row r="60" spans="1:4" x14ac:dyDescent="0.25">
      <c r="A60" s="4" t="s">
        <v>52</v>
      </c>
      <c r="B60" s="4">
        <v>306630</v>
      </c>
      <c r="C60" s="4" t="s">
        <v>1388</v>
      </c>
      <c r="D60" s="9">
        <v>3550</v>
      </c>
    </row>
    <row r="61" spans="1:4" x14ac:dyDescent="0.25">
      <c r="A61" s="4" t="s">
        <v>332</v>
      </c>
      <c r="B61" s="4">
        <v>303583</v>
      </c>
      <c r="C61" s="4" t="s">
        <v>1445</v>
      </c>
      <c r="D61" s="9">
        <v>173</v>
      </c>
    </row>
    <row r="62" spans="1:4" x14ac:dyDescent="0.25">
      <c r="A62" s="33" t="s">
        <v>332</v>
      </c>
      <c r="B62" s="35">
        <v>306365</v>
      </c>
      <c r="C62" s="33" t="s">
        <v>1446</v>
      </c>
      <c r="D62" s="34">
        <v>8500</v>
      </c>
    </row>
    <row r="63" spans="1:4" x14ac:dyDescent="0.25">
      <c r="A63" s="4" t="s">
        <v>332</v>
      </c>
      <c r="B63" s="4">
        <v>302215</v>
      </c>
      <c r="C63" s="4" t="s">
        <v>1447</v>
      </c>
      <c r="D63" s="9">
        <v>1290</v>
      </c>
    </row>
    <row r="64" spans="1:4" x14ac:dyDescent="0.25">
      <c r="A64" s="4" t="s">
        <v>332</v>
      </c>
      <c r="B64" s="4">
        <v>295301</v>
      </c>
      <c r="C64" s="4" t="s">
        <v>1448</v>
      </c>
      <c r="D64" s="9">
        <v>2200</v>
      </c>
    </row>
    <row r="65" spans="1:4" x14ac:dyDescent="0.25">
      <c r="A65" s="4" t="s">
        <v>241</v>
      </c>
      <c r="B65" s="4">
        <v>299280</v>
      </c>
      <c r="C65" s="4" t="s">
        <v>1449</v>
      </c>
      <c r="D65" s="9">
        <v>3430</v>
      </c>
    </row>
    <row r="66" spans="1:4" x14ac:dyDescent="0.25">
      <c r="A66" s="4" t="s">
        <v>241</v>
      </c>
      <c r="B66" s="4">
        <v>299279</v>
      </c>
      <c r="C66" s="4" t="s">
        <v>1450</v>
      </c>
      <c r="D66" s="9">
        <v>7194</v>
      </c>
    </row>
    <row r="67" spans="1:4" x14ac:dyDescent="0.25">
      <c r="A67" s="4" t="s">
        <v>241</v>
      </c>
      <c r="B67" s="4">
        <v>299359</v>
      </c>
      <c r="C67" s="4" t="s">
        <v>1451</v>
      </c>
      <c r="D67" s="9">
        <v>1995</v>
      </c>
    </row>
    <row r="68" spans="1:4" x14ac:dyDescent="0.25">
      <c r="A68" s="4" t="s">
        <v>241</v>
      </c>
      <c r="B68" s="4">
        <v>302093</v>
      </c>
      <c r="C68" s="4" t="s">
        <v>1452</v>
      </c>
      <c r="D68" s="9">
        <v>1995</v>
      </c>
    </row>
    <row r="69" spans="1:4" x14ac:dyDescent="0.25">
      <c r="C69" s="31" t="s">
        <v>83</v>
      </c>
      <c r="D69" s="32">
        <f>SUM(D2:D68)</f>
        <v>820062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1A6E-52AF-4B33-B33C-13420E471F35}">
  <dimension ref="A1:D49"/>
  <sheetViews>
    <sheetView topLeftCell="A31" zoomScaleNormal="100" zoomScaleSheetLayoutView="100" workbookViewId="0">
      <selection activeCell="H17" sqref="H17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143</v>
      </c>
      <c r="B2" s="4">
        <v>295306</v>
      </c>
      <c r="C2" s="4" t="s">
        <v>1348</v>
      </c>
      <c r="D2" s="9">
        <v>2998</v>
      </c>
    </row>
    <row r="3" spans="1:4" x14ac:dyDescent="0.25">
      <c r="A3" s="33" t="s">
        <v>13</v>
      </c>
      <c r="B3" s="35">
        <v>308367</v>
      </c>
      <c r="C3" s="33" t="s">
        <v>1453</v>
      </c>
      <c r="D3" s="34">
        <v>485</v>
      </c>
    </row>
    <row r="4" spans="1:4" x14ac:dyDescent="0.25">
      <c r="A4" s="4" t="s">
        <v>1327</v>
      </c>
      <c r="B4" s="4">
        <v>295544</v>
      </c>
      <c r="C4" s="4" t="s">
        <v>1328</v>
      </c>
      <c r="D4" s="9">
        <v>2625</v>
      </c>
    </row>
    <row r="5" spans="1:4" x14ac:dyDescent="0.25">
      <c r="A5" s="33" t="s">
        <v>61</v>
      </c>
      <c r="B5" s="35">
        <v>305853</v>
      </c>
      <c r="C5" s="33" t="s">
        <v>1467</v>
      </c>
      <c r="D5" s="34">
        <v>2190</v>
      </c>
    </row>
    <row r="6" spans="1:4" x14ac:dyDescent="0.25">
      <c r="A6" s="4" t="s">
        <v>336</v>
      </c>
      <c r="B6" s="4">
        <v>306315</v>
      </c>
      <c r="C6" s="4" t="s">
        <v>1374</v>
      </c>
      <c r="D6" s="9">
        <v>1188</v>
      </c>
    </row>
    <row r="7" spans="1:4" x14ac:dyDescent="0.25">
      <c r="A7" s="4" t="s">
        <v>24</v>
      </c>
      <c r="B7" s="4">
        <v>308430</v>
      </c>
      <c r="C7" s="4" t="s">
        <v>1403</v>
      </c>
      <c r="D7" s="9">
        <v>124863</v>
      </c>
    </row>
    <row r="8" spans="1:4" x14ac:dyDescent="0.25">
      <c r="A8" s="33" t="s">
        <v>24</v>
      </c>
      <c r="B8" s="35">
        <v>308280</v>
      </c>
      <c r="C8" s="33" t="s">
        <v>1404</v>
      </c>
      <c r="D8" s="34">
        <v>34374</v>
      </c>
    </row>
    <row r="9" spans="1:4" x14ac:dyDescent="0.25">
      <c r="A9" s="4" t="s">
        <v>24</v>
      </c>
      <c r="B9" s="4">
        <v>308261</v>
      </c>
      <c r="C9" s="4" t="s">
        <v>1405</v>
      </c>
      <c r="D9" s="9">
        <v>1756</v>
      </c>
    </row>
    <row r="10" spans="1:4" x14ac:dyDescent="0.25">
      <c r="A10" s="4" t="s">
        <v>24</v>
      </c>
      <c r="B10" s="4">
        <v>308257</v>
      </c>
      <c r="C10" s="4" t="s">
        <v>1406</v>
      </c>
      <c r="D10" s="9">
        <v>2107</v>
      </c>
    </row>
    <row r="11" spans="1:4" x14ac:dyDescent="0.25">
      <c r="A11" s="4" t="s">
        <v>24</v>
      </c>
      <c r="B11" s="4">
        <v>308483</v>
      </c>
      <c r="C11" s="4" t="s">
        <v>1454</v>
      </c>
      <c r="D11" s="9">
        <v>18120</v>
      </c>
    </row>
    <row r="12" spans="1:4" x14ac:dyDescent="0.25">
      <c r="A12" s="4" t="s">
        <v>24</v>
      </c>
      <c r="B12" s="4">
        <v>308258</v>
      </c>
      <c r="C12" s="4" t="s">
        <v>1407</v>
      </c>
      <c r="D12" s="9">
        <v>17187</v>
      </c>
    </row>
    <row r="13" spans="1:4" x14ac:dyDescent="0.25">
      <c r="A13" s="4" t="s">
        <v>24</v>
      </c>
      <c r="B13" s="4">
        <v>306879</v>
      </c>
      <c r="C13" s="4" t="s">
        <v>1409</v>
      </c>
      <c r="D13" s="9">
        <v>12890</v>
      </c>
    </row>
    <row r="14" spans="1:4" x14ac:dyDescent="0.25">
      <c r="A14" s="4" t="s">
        <v>24</v>
      </c>
      <c r="B14" s="4">
        <v>308474</v>
      </c>
      <c r="C14" s="4" t="s">
        <v>1455</v>
      </c>
      <c r="D14" s="9">
        <v>9060</v>
      </c>
    </row>
    <row r="15" spans="1:4" x14ac:dyDescent="0.25">
      <c r="A15" s="4" t="s">
        <v>24</v>
      </c>
      <c r="B15" s="4">
        <v>308511</v>
      </c>
      <c r="C15" s="4" t="s">
        <v>1456</v>
      </c>
      <c r="D15" s="9">
        <v>18120</v>
      </c>
    </row>
    <row r="16" spans="1:4" x14ac:dyDescent="0.25">
      <c r="A16" s="4" t="s">
        <v>24</v>
      </c>
      <c r="B16" s="4">
        <v>308467</v>
      </c>
      <c r="C16" s="4" t="s">
        <v>1457</v>
      </c>
      <c r="D16" s="9">
        <v>18120</v>
      </c>
    </row>
    <row r="17" spans="1:4" x14ac:dyDescent="0.25">
      <c r="A17" s="4" t="s">
        <v>24</v>
      </c>
      <c r="B17" s="4">
        <v>307114</v>
      </c>
      <c r="C17" s="4" t="s">
        <v>1410</v>
      </c>
      <c r="D17" s="9">
        <v>8593</v>
      </c>
    </row>
    <row r="18" spans="1:4" x14ac:dyDescent="0.25">
      <c r="A18" s="33" t="s">
        <v>24</v>
      </c>
      <c r="B18" s="35">
        <v>306856</v>
      </c>
      <c r="C18" s="33" t="s">
        <v>1411</v>
      </c>
      <c r="D18" s="34">
        <v>21533</v>
      </c>
    </row>
    <row r="19" spans="1:4" x14ac:dyDescent="0.25">
      <c r="A19" s="4" t="s">
        <v>24</v>
      </c>
      <c r="B19" s="4">
        <v>308431</v>
      </c>
      <c r="C19" s="4" t="s">
        <v>1412</v>
      </c>
      <c r="D19" s="9">
        <v>13590</v>
      </c>
    </row>
    <row r="20" spans="1:4" x14ac:dyDescent="0.25">
      <c r="A20" s="4" t="s">
        <v>24</v>
      </c>
      <c r="B20" s="4">
        <v>308485</v>
      </c>
      <c r="C20" s="4" t="s">
        <v>1458</v>
      </c>
      <c r="D20" s="9">
        <v>9060</v>
      </c>
    </row>
    <row r="21" spans="1:4" x14ac:dyDescent="0.25">
      <c r="A21" s="4" t="s">
        <v>24</v>
      </c>
      <c r="B21" s="4">
        <v>308286</v>
      </c>
      <c r="C21" s="4" t="s">
        <v>1413</v>
      </c>
      <c r="D21" s="9">
        <v>17187</v>
      </c>
    </row>
    <row r="22" spans="1:4" x14ac:dyDescent="0.25">
      <c r="A22" s="4" t="s">
        <v>24</v>
      </c>
      <c r="B22" s="4">
        <v>307145</v>
      </c>
      <c r="C22" s="4" t="s">
        <v>1414</v>
      </c>
      <c r="D22" s="9">
        <v>4297</v>
      </c>
    </row>
    <row r="23" spans="1:4" x14ac:dyDescent="0.25">
      <c r="A23" s="4" t="s">
        <v>24</v>
      </c>
      <c r="B23" s="4">
        <v>306853</v>
      </c>
      <c r="C23" s="4" t="s">
        <v>1415</v>
      </c>
      <c r="D23" s="9">
        <v>26916</v>
      </c>
    </row>
    <row r="24" spans="1:4" x14ac:dyDescent="0.25">
      <c r="A24" s="4" t="s">
        <v>24</v>
      </c>
      <c r="B24" s="4">
        <v>308407</v>
      </c>
      <c r="C24" s="4" t="s">
        <v>1416</v>
      </c>
      <c r="D24" s="9">
        <v>46557</v>
      </c>
    </row>
    <row r="25" spans="1:4" x14ac:dyDescent="0.25">
      <c r="A25" s="33" t="s">
        <v>24</v>
      </c>
      <c r="B25" s="35">
        <v>308322</v>
      </c>
      <c r="C25" s="33" t="s">
        <v>1459</v>
      </c>
      <c r="D25" s="34">
        <v>32300</v>
      </c>
    </row>
    <row r="26" spans="1:4" x14ac:dyDescent="0.25">
      <c r="A26" s="4" t="s">
        <v>111</v>
      </c>
      <c r="B26" s="4">
        <v>308586</v>
      </c>
      <c r="C26" s="4" t="s">
        <v>1460</v>
      </c>
      <c r="D26" s="9">
        <v>70</v>
      </c>
    </row>
    <row r="27" spans="1:4" x14ac:dyDescent="0.25">
      <c r="A27" s="4" t="s">
        <v>111</v>
      </c>
      <c r="B27" s="4">
        <v>308585</v>
      </c>
      <c r="C27" s="4" t="s">
        <v>1461</v>
      </c>
      <c r="D27" s="9">
        <v>70</v>
      </c>
    </row>
    <row r="28" spans="1:4" x14ac:dyDescent="0.25">
      <c r="A28" s="4" t="s">
        <v>111</v>
      </c>
      <c r="B28" s="4">
        <v>299796</v>
      </c>
      <c r="C28" s="4" t="s">
        <v>1316</v>
      </c>
      <c r="D28" s="9">
        <v>0</v>
      </c>
    </row>
    <row r="29" spans="1:4" x14ac:dyDescent="0.25">
      <c r="A29" s="4" t="s">
        <v>167</v>
      </c>
      <c r="B29" s="4">
        <v>306119</v>
      </c>
      <c r="C29" s="4" t="s">
        <v>1417</v>
      </c>
      <c r="D29" s="9">
        <v>2895</v>
      </c>
    </row>
    <row r="30" spans="1:4" x14ac:dyDescent="0.25">
      <c r="A30" s="4" t="s">
        <v>81</v>
      </c>
      <c r="B30" s="4">
        <v>307134</v>
      </c>
      <c r="C30" s="4" t="s">
        <v>1418</v>
      </c>
      <c r="D30" s="9">
        <v>27497</v>
      </c>
    </row>
    <row r="31" spans="1:4" x14ac:dyDescent="0.25">
      <c r="A31" s="4" t="s">
        <v>208</v>
      </c>
      <c r="B31" s="4">
        <v>307143</v>
      </c>
      <c r="C31" s="4" t="s">
        <v>1462</v>
      </c>
      <c r="D31" s="9">
        <v>20880</v>
      </c>
    </row>
    <row r="32" spans="1:4" x14ac:dyDescent="0.25">
      <c r="A32" s="4" t="s">
        <v>180</v>
      </c>
      <c r="B32" s="4">
        <v>308240</v>
      </c>
      <c r="C32" s="4" t="s">
        <v>1463</v>
      </c>
      <c r="D32" s="9">
        <v>995</v>
      </c>
    </row>
    <row r="33" spans="1:4" x14ac:dyDescent="0.25">
      <c r="A33" s="4" t="s">
        <v>718</v>
      </c>
      <c r="B33" s="4">
        <v>306951</v>
      </c>
      <c r="C33" s="4" t="s">
        <v>1464</v>
      </c>
      <c r="D33" s="9">
        <v>25896</v>
      </c>
    </row>
    <row r="34" spans="1:4" x14ac:dyDescent="0.25">
      <c r="A34" s="4" t="s">
        <v>718</v>
      </c>
      <c r="B34" s="4">
        <v>301970</v>
      </c>
      <c r="C34" s="4" t="s">
        <v>1433</v>
      </c>
      <c r="D34" s="9">
        <v>1248</v>
      </c>
    </row>
    <row r="35" spans="1:4" x14ac:dyDescent="0.25">
      <c r="A35" s="33" t="s">
        <v>718</v>
      </c>
      <c r="B35" s="35">
        <v>301973</v>
      </c>
      <c r="C35" s="33" t="s">
        <v>1434</v>
      </c>
      <c r="D35" s="34">
        <v>4508</v>
      </c>
    </row>
    <row r="36" spans="1:4" x14ac:dyDescent="0.25">
      <c r="A36" s="4" t="s">
        <v>718</v>
      </c>
      <c r="B36" s="4">
        <v>301975</v>
      </c>
      <c r="C36" s="4" t="s">
        <v>1435</v>
      </c>
      <c r="D36" s="9">
        <v>7200</v>
      </c>
    </row>
    <row r="37" spans="1:4" x14ac:dyDescent="0.25">
      <c r="A37" s="4" t="s">
        <v>718</v>
      </c>
      <c r="B37" s="4">
        <v>301846</v>
      </c>
      <c r="C37" s="4" t="s">
        <v>1436</v>
      </c>
      <c r="D37" s="9">
        <v>552</v>
      </c>
    </row>
    <row r="38" spans="1:4" x14ac:dyDescent="0.25">
      <c r="A38" s="4" t="s">
        <v>718</v>
      </c>
      <c r="B38" s="4">
        <v>306949</v>
      </c>
      <c r="C38" s="4" t="s">
        <v>1465</v>
      </c>
      <c r="D38" s="9">
        <v>22620</v>
      </c>
    </row>
    <row r="39" spans="1:4" x14ac:dyDescent="0.25">
      <c r="A39" s="33" t="s">
        <v>315</v>
      </c>
      <c r="B39" s="35">
        <v>305945</v>
      </c>
      <c r="C39" s="33" t="s">
        <v>1438</v>
      </c>
      <c r="D39" s="34">
        <v>25950</v>
      </c>
    </row>
    <row r="40" spans="1:4" x14ac:dyDescent="0.25">
      <c r="A40" s="4" t="s">
        <v>315</v>
      </c>
      <c r="B40" s="4">
        <v>306713</v>
      </c>
      <c r="C40" s="4" t="s">
        <v>1439</v>
      </c>
      <c r="D40" s="9">
        <v>27450</v>
      </c>
    </row>
    <row r="41" spans="1:4" x14ac:dyDescent="0.25">
      <c r="A41" s="4" t="s">
        <v>315</v>
      </c>
      <c r="B41" s="4">
        <v>296120</v>
      </c>
      <c r="C41" s="4" t="s">
        <v>1321</v>
      </c>
      <c r="D41" s="9">
        <v>695</v>
      </c>
    </row>
    <row r="42" spans="1:4" x14ac:dyDescent="0.25">
      <c r="A42" s="4" t="s">
        <v>315</v>
      </c>
      <c r="B42" s="4">
        <v>306426</v>
      </c>
      <c r="C42" s="4" t="s">
        <v>1441</v>
      </c>
      <c r="D42" s="9">
        <v>381</v>
      </c>
    </row>
    <row r="43" spans="1:4" x14ac:dyDescent="0.25">
      <c r="A43" s="4" t="s">
        <v>995</v>
      </c>
      <c r="B43" s="4">
        <v>293624</v>
      </c>
      <c r="C43" s="4" t="s">
        <v>1315</v>
      </c>
      <c r="D43" s="9">
        <v>1586</v>
      </c>
    </row>
    <row r="44" spans="1:4" x14ac:dyDescent="0.25">
      <c r="A44" s="4" t="s">
        <v>52</v>
      </c>
      <c r="B44" s="4">
        <v>285324</v>
      </c>
      <c r="C44" s="4" t="s">
        <v>1345</v>
      </c>
      <c r="D44" s="9">
        <v>1320</v>
      </c>
    </row>
    <row r="45" spans="1:4" x14ac:dyDescent="0.25">
      <c r="A45" s="4" t="s">
        <v>52</v>
      </c>
      <c r="B45" s="4">
        <v>306630</v>
      </c>
      <c r="C45" s="4" t="s">
        <v>1388</v>
      </c>
      <c r="D45" s="9">
        <v>3550</v>
      </c>
    </row>
    <row r="46" spans="1:4" x14ac:dyDescent="0.25">
      <c r="A46" s="33" t="s">
        <v>332</v>
      </c>
      <c r="B46" s="35">
        <v>303583</v>
      </c>
      <c r="C46" s="33" t="s">
        <v>1445</v>
      </c>
      <c r="D46" s="34">
        <v>173</v>
      </c>
    </row>
    <row r="47" spans="1:4" x14ac:dyDescent="0.25">
      <c r="A47" s="4" t="s">
        <v>332</v>
      </c>
      <c r="B47" s="4">
        <v>302215</v>
      </c>
      <c r="C47" s="4" t="s">
        <v>1447</v>
      </c>
      <c r="D47" s="9">
        <v>1290</v>
      </c>
    </row>
    <row r="48" spans="1:4" x14ac:dyDescent="0.25">
      <c r="A48" s="4" t="s">
        <v>332</v>
      </c>
      <c r="B48" s="4">
        <v>306790</v>
      </c>
      <c r="C48" s="4" t="s">
        <v>1466</v>
      </c>
      <c r="D48" s="9">
        <v>23345</v>
      </c>
    </row>
    <row r="49" spans="3:4" x14ac:dyDescent="0.25">
      <c r="C49" s="31" t="s">
        <v>83</v>
      </c>
      <c r="D49" s="32">
        <f>SUM(D2:D48)</f>
        <v>646287</v>
      </c>
    </row>
  </sheetData>
  <sortState xmlns:xlrd2="http://schemas.microsoft.com/office/spreadsheetml/2017/richdata2" ref="A2:D69">
    <sortCondition ref="A1:A69"/>
  </sortState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790A-B84C-41EE-86AE-7D93E7C518F0}">
  <dimension ref="A1:D63"/>
  <sheetViews>
    <sheetView zoomScaleNormal="100" zoomScaleSheetLayoutView="100" workbookViewId="0">
      <selection activeCell="G9" sqref="G9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286282</v>
      </c>
      <c r="C2" s="4" t="s">
        <v>1468</v>
      </c>
      <c r="D2" s="9">
        <v>2950</v>
      </c>
    </row>
    <row r="3" spans="1:4" x14ac:dyDescent="0.25">
      <c r="A3" s="33" t="s">
        <v>7</v>
      </c>
      <c r="B3" s="35">
        <v>294921</v>
      </c>
      <c r="C3" s="33" t="s">
        <v>1469</v>
      </c>
      <c r="D3" s="34">
        <v>27355</v>
      </c>
    </row>
    <row r="4" spans="1:4" x14ac:dyDescent="0.25">
      <c r="A4" s="4" t="s">
        <v>7</v>
      </c>
      <c r="B4" s="4">
        <v>294921</v>
      </c>
      <c r="C4" s="4" t="s">
        <v>1470</v>
      </c>
      <c r="D4" s="9">
        <v>14035</v>
      </c>
    </row>
    <row r="5" spans="1:4" x14ac:dyDescent="0.25">
      <c r="A5" s="33" t="s">
        <v>143</v>
      </c>
      <c r="B5" s="35">
        <v>295306</v>
      </c>
      <c r="C5" s="33" t="s">
        <v>1348</v>
      </c>
      <c r="D5" s="34">
        <v>2998</v>
      </c>
    </row>
    <row r="6" spans="1:4" x14ac:dyDescent="0.25">
      <c r="A6" s="4" t="s">
        <v>680</v>
      </c>
      <c r="B6" s="4">
        <v>308853</v>
      </c>
      <c r="C6" s="4" t="s">
        <v>1471</v>
      </c>
      <c r="D6" s="9">
        <v>1406</v>
      </c>
    </row>
    <row r="7" spans="1:4" x14ac:dyDescent="0.25">
      <c r="A7" s="4" t="s">
        <v>680</v>
      </c>
      <c r="B7" s="4">
        <v>308848</v>
      </c>
      <c r="C7" s="4" t="s">
        <v>1472</v>
      </c>
      <c r="D7" s="9">
        <v>1332</v>
      </c>
    </row>
    <row r="8" spans="1:4" x14ac:dyDescent="0.25">
      <c r="A8" s="4" t="s">
        <v>13</v>
      </c>
      <c r="B8" s="4">
        <v>308367</v>
      </c>
      <c r="C8" s="4" t="s">
        <v>1453</v>
      </c>
      <c r="D8" s="9">
        <v>485</v>
      </c>
    </row>
    <row r="9" spans="1:4" x14ac:dyDescent="0.25">
      <c r="A9" s="4" t="s">
        <v>1327</v>
      </c>
      <c r="B9" s="4">
        <v>295544</v>
      </c>
      <c r="C9" s="4" t="s">
        <v>1328</v>
      </c>
      <c r="D9" s="9">
        <v>2625</v>
      </c>
    </row>
    <row r="10" spans="1:4" x14ac:dyDescent="0.25">
      <c r="A10" s="4" t="s">
        <v>61</v>
      </c>
      <c r="B10" s="4">
        <v>309052</v>
      </c>
      <c r="C10" s="4" t="s">
        <v>1473</v>
      </c>
      <c r="D10" s="9">
        <v>295</v>
      </c>
    </row>
    <row r="11" spans="1:4" x14ac:dyDescent="0.25">
      <c r="A11" s="4" t="s">
        <v>61</v>
      </c>
      <c r="B11" s="4">
        <v>309058</v>
      </c>
      <c r="C11" s="4" t="s">
        <v>1474</v>
      </c>
      <c r="D11" s="9">
        <v>790</v>
      </c>
    </row>
    <row r="12" spans="1:4" x14ac:dyDescent="0.25">
      <c r="A12" s="4" t="s">
        <v>61</v>
      </c>
      <c r="B12" s="4">
        <v>305853</v>
      </c>
      <c r="C12" s="4" t="s">
        <v>1467</v>
      </c>
      <c r="D12" s="9">
        <v>2190</v>
      </c>
    </row>
    <row r="13" spans="1:4" x14ac:dyDescent="0.25">
      <c r="A13" s="4" t="s">
        <v>61</v>
      </c>
      <c r="B13" s="4">
        <v>295706</v>
      </c>
      <c r="C13" s="4" t="s">
        <v>1298</v>
      </c>
      <c r="D13" s="9">
        <v>0</v>
      </c>
    </row>
    <row r="14" spans="1:4" x14ac:dyDescent="0.25">
      <c r="A14" s="4" t="s">
        <v>336</v>
      </c>
      <c r="B14" s="4">
        <v>308694</v>
      </c>
      <c r="C14" s="4" t="s">
        <v>1475</v>
      </c>
      <c r="D14" s="9">
        <v>7987</v>
      </c>
    </row>
    <row r="15" spans="1:4" x14ac:dyDescent="0.25">
      <c r="A15" s="4" t="s">
        <v>336</v>
      </c>
      <c r="B15" s="4">
        <v>306315</v>
      </c>
      <c r="C15" s="4" t="s">
        <v>1374</v>
      </c>
      <c r="D15" s="9">
        <v>1188</v>
      </c>
    </row>
    <row r="16" spans="1:4" x14ac:dyDescent="0.25">
      <c r="A16" s="4" t="s">
        <v>24</v>
      </c>
      <c r="B16" s="4">
        <v>308430</v>
      </c>
      <c r="C16" s="4" t="s">
        <v>1403</v>
      </c>
      <c r="D16" s="9">
        <v>124863</v>
      </c>
    </row>
    <row r="17" spans="1:4" x14ac:dyDescent="0.25">
      <c r="A17" s="33" t="s">
        <v>24</v>
      </c>
      <c r="B17" s="35">
        <v>308454</v>
      </c>
      <c r="C17" s="33" t="s">
        <v>1476</v>
      </c>
      <c r="D17" s="34">
        <v>13590</v>
      </c>
    </row>
    <row r="18" spans="1:4" x14ac:dyDescent="0.25">
      <c r="A18" s="4" t="s">
        <v>24</v>
      </c>
      <c r="B18" s="4">
        <v>308485</v>
      </c>
      <c r="C18" s="4" t="s">
        <v>1458</v>
      </c>
      <c r="D18" s="9">
        <v>9060</v>
      </c>
    </row>
    <row r="19" spans="1:4" x14ac:dyDescent="0.25">
      <c r="A19" s="4" t="s">
        <v>24</v>
      </c>
      <c r="B19" s="4">
        <v>308407</v>
      </c>
      <c r="C19" s="4" t="s">
        <v>1416</v>
      </c>
      <c r="D19" s="9">
        <v>46557</v>
      </c>
    </row>
    <row r="20" spans="1:4" x14ac:dyDescent="0.25">
      <c r="A20" s="4" t="s">
        <v>111</v>
      </c>
      <c r="B20" s="4">
        <v>308683</v>
      </c>
      <c r="C20" s="4" t="s">
        <v>1477</v>
      </c>
      <c r="D20" s="9">
        <v>70</v>
      </c>
    </row>
    <row r="21" spans="1:4" x14ac:dyDescent="0.25">
      <c r="A21" s="4" t="s">
        <v>111</v>
      </c>
      <c r="B21" s="4">
        <v>308679</v>
      </c>
      <c r="C21" s="4" t="s">
        <v>1478</v>
      </c>
      <c r="D21" s="9">
        <v>478</v>
      </c>
    </row>
    <row r="22" spans="1:4" x14ac:dyDescent="0.25">
      <c r="A22" s="4" t="s">
        <v>111</v>
      </c>
      <c r="B22" s="4">
        <v>308586</v>
      </c>
      <c r="C22" s="4" t="s">
        <v>1460</v>
      </c>
      <c r="D22" s="9">
        <v>70</v>
      </c>
    </row>
    <row r="23" spans="1:4" x14ac:dyDescent="0.25">
      <c r="A23" s="4" t="s">
        <v>111</v>
      </c>
      <c r="B23" s="4">
        <v>308684</v>
      </c>
      <c r="C23" s="4" t="s">
        <v>1479</v>
      </c>
      <c r="D23" s="9">
        <v>70</v>
      </c>
    </row>
    <row r="24" spans="1:4" x14ac:dyDescent="0.25">
      <c r="A24" s="33" t="s">
        <v>111</v>
      </c>
      <c r="B24" s="35">
        <v>308585</v>
      </c>
      <c r="C24" s="33" t="s">
        <v>1461</v>
      </c>
      <c r="D24" s="34">
        <v>70</v>
      </c>
    </row>
    <row r="25" spans="1:4" x14ac:dyDescent="0.25">
      <c r="A25" s="4" t="s">
        <v>111</v>
      </c>
      <c r="B25" s="4">
        <v>299796</v>
      </c>
      <c r="C25" s="4" t="s">
        <v>1316</v>
      </c>
      <c r="D25" s="9">
        <v>0</v>
      </c>
    </row>
    <row r="26" spans="1:4" x14ac:dyDescent="0.25">
      <c r="A26" s="4" t="s">
        <v>371</v>
      </c>
      <c r="B26" s="4">
        <v>308942</v>
      </c>
      <c r="C26" s="4" t="s">
        <v>1480</v>
      </c>
      <c r="D26" s="9">
        <v>660</v>
      </c>
    </row>
    <row r="27" spans="1:4" x14ac:dyDescent="0.25">
      <c r="A27" s="4" t="s">
        <v>371</v>
      </c>
      <c r="B27" s="4">
        <v>308943</v>
      </c>
      <c r="C27" s="4" t="s">
        <v>1481</v>
      </c>
      <c r="D27" s="9">
        <v>1370</v>
      </c>
    </row>
    <row r="28" spans="1:4" x14ac:dyDescent="0.25">
      <c r="A28" s="4" t="s">
        <v>371</v>
      </c>
      <c r="B28" s="4">
        <v>308955</v>
      </c>
      <c r="C28" s="4" t="s">
        <v>1482</v>
      </c>
      <c r="D28" s="9">
        <v>10640</v>
      </c>
    </row>
    <row r="29" spans="1:4" x14ac:dyDescent="0.25">
      <c r="A29" s="4" t="s">
        <v>371</v>
      </c>
      <c r="B29" s="4">
        <v>308979</v>
      </c>
      <c r="C29" s="4" t="s">
        <v>1483</v>
      </c>
      <c r="D29" s="9">
        <v>17355</v>
      </c>
    </row>
    <row r="30" spans="1:4" x14ac:dyDescent="0.25">
      <c r="A30" s="4" t="s">
        <v>371</v>
      </c>
      <c r="B30" s="4">
        <v>308395</v>
      </c>
      <c r="C30" s="4" t="s">
        <v>1484</v>
      </c>
      <c r="D30" s="9">
        <v>1255</v>
      </c>
    </row>
    <row r="31" spans="1:4" x14ac:dyDescent="0.25">
      <c r="A31" s="4" t="s">
        <v>371</v>
      </c>
      <c r="B31" s="4">
        <v>308946</v>
      </c>
      <c r="C31" s="4" t="s">
        <v>1485</v>
      </c>
      <c r="D31" s="9">
        <v>630</v>
      </c>
    </row>
    <row r="32" spans="1:4" x14ac:dyDescent="0.25">
      <c r="A32" s="4" t="s">
        <v>371</v>
      </c>
      <c r="B32" s="4">
        <v>308948</v>
      </c>
      <c r="C32" s="4" t="s">
        <v>1486</v>
      </c>
      <c r="D32" s="9">
        <v>4755</v>
      </c>
    </row>
    <row r="33" spans="1:4" x14ac:dyDescent="0.25">
      <c r="A33" s="4" t="s">
        <v>371</v>
      </c>
      <c r="B33" s="4">
        <v>308981</v>
      </c>
      <c r="C33" s="4" t="s">
        <v>1487</v>
      </c>
      <c r="D33" s="9">
        <v>1260</v>
      </c>
    </row>
    <row r="34" spans="1:4" x14ac:dyDescent="0.25">
      <c r="A34" s="33" t="s">
        <v>371</v>
      </c>
      <c r="B34" s="35">
        <v>308952</v>
      </c>
      <c r="C34" s="33" t="s">
        <v>1488</v>
      </c>
      <c r="D34" s="34">
        <v>2210</v>
      </c>
    </row>
    <row r="35" spans="1:4" x14ac:dyDescent="0.25">
      <c r="A35" s="4" t="s">
        <v>371</v>
      </c>
      <c r="B35" s="4">
        <v>309010</v>
      </c>
      <c r="C35" s="4" t="s">
        <v>1489</v>
      </c>
      <c r="D35" s="9">
        <v>1350</v>
      </c>
    </row>
    <row r="36" spans="1:4" x14ac:dyDescent="0.25">
      <c r="A36" s="4" t="s">
        <v>371</v>
      </c>
      <c r="B36" s="4">
        <v>308984</v>
      </c>
      <c r="C36" s="4" t="s">
        <v>1490</v>
      </c>
      <c r="D36" s="9">
        <v>17430</v>
      </c>
    </row>
    <row r="37" spans="1:4" x14ac:dyDescent="0.25">
      <c r="A37" s="4" t="s">
        <v>371</v>
      </c>
      <c r="B37" s="4">
        <v>308944</v>
      </c>
      <c r="C37" s="4" t="s">
        <v>1491</v>
      </c>
      <c r="D37" s="9">
        <v>195</v>
      </c>
    </row>
    <row r="38" spans="1:4" x14ac:dyDescent="0.25">
      <c r="A38" s="33" t="s">
        <v>371</v>
      </c>
      <c r="B38" s="35">
        <v>308980</v>
      </c>
      <c r="C38" s="33" t="s">
        <v>1492</v>
      </c>
      <c r="D38" s="34">
        <v>2025</v>
      </c>
    </row>
    <row r="39" spans="1:4" x14ac:dyDescent="0.25">
      <c r="A39" s="4" t="s">
        <v>1419</v>
      </c>
      <c r="B39" s="4">
        <v>308583</v>
      </c>
      <c r="C39" s="4" t="s">
        <v>1493</v>
      </c>
      <c r="D39" s="9">
        <v>960</v>
      </c>
    </row>
    <row r="40" spans="1:4" x14ac:dyDescent="0.25">
      <c r="A40" s="4" t="s">
        <v>1419</v>
      </c>
      <c r="B40" s="4">
        <v>308582</v>
      </c>
      <c r="C40" s="4" t="s">
        <v>1494</v>
      </c>
      <c r="D40" s="9">
        <v>660</v>
      </c>
    </row>
    <row r="41" spans="1:4" x14ac:dyDescent="0.25">
      <c r="A41" s="4" t="s">
        <v>1419</v>
      </c>
      <c r="B41" s="4">
        <v>308924</v>
      </c>
      <c r="C41" s="4" t="s">
        <v>1495</v>
      </c>
      <c r="D41" s="9">
        <v>1850</v>
      </c>
    </row>
    <row r="42" spans="1:4" x14ac:dyDescent="0.25">
      <c r="A42" s="33" t="s">
        <v>1419</v>
      </c>
      <c r="B42" s="35">
        <v>308560</v>
      </c>
      <c r="C42" s="33" t="s">
        <v>1496</v>
      </c>
      <c r="D42" s="34">
        <v>790</v>
      </c>
    </row>
    <row r="43" spans="1:4" x14ac:dyDescent="0.25">
      <c r="A43" s="4" t="s">
        <v>1419</v>
      </c>
      <c r="B43" s="4">
        <v>308894</v>
      </c>
      <c r="C43" s="4" t="s">
        <v>1497</v>
      </c>
      <c r="D43" s="9">
        <v>260</v>
      </c>
    </row>
    <row r="44" spans="1:4" x14ac:dyDescent="0.25">
      <c r="A44" s="4" t="s">
        <v>1419</v>
      </c>
      <c r="B44" s="4">
        <v>308703</v>
      </c>
      <c r="C44" s="4" t="s">
        <v>1498</v>
      </c>
      <c r="D44" s="9">
        <v>1705</v>
      </c>
    </row>
    <row r="45" spans="1:4" x14ac:dyDescent="0.25">
      <c r="A45" s="4" t="s">
        <v>718</v>
      </c>
      <c r="B45" s="4">
        <v>306951</v>
      </c>
      <c r="C45" s="4" t="s">
        <v>1464</v>
      </c>
      <c r="D45" s="9">
        <v>25896</v>
      </c>
    </row>
    <row r="46" spans="1:4" x14ac:dyDescent="0.25">
      <c r="A46" s="4" t="s">
        <v>718</v>
      </c>
      <c r="B46" s="4">
        <v>301970</v>
      </c>
      <c r="C46" s="4" t="s">
        <v>1433</v>
      </c>
      <c r="D46" s="9">
        <v>1248</v>
      </c>
    </row>
    <row r="47" spans="1:4" x14ac:dyDescent="0.25">
      <c r="A47" s="4" t="s">
        <v>718</v>
      </c>
      <c r="B47" s="4">
        <v>301973</v>
      </c>
      <c r="C47" s="4" t="s">
        <v>1434</v>
      </c>
      <c r="D47" s="9">
        <v>4508</v>
      </c>
    </row>
    <row r="48" spans="1:4" x14ac:dyDescent="0.25">
      <c r="A48" s="4" t="s">
        <v>718</v>
      </c>
      <c r="B48" s="4">
        <v>301975</v>
      </c>
      <c r="C48" s="4" t="s">
        <v>1435</v>
      </c>
      <c r="D48" s="9">
        <v>7200</v>
      </c>
    </row>
    <row r="49" spans="1:4" x14ac:dyDescent="0.25">
      <c r="A49" s="4" t="s">
        <v>718</v>
      </c>
      <c r="B49" s="4">
        <v>301846</v>
      </c>
      <c r="C49" s="4" t="s">
        <v>1436</v>
      </c>
      <c r="D49" s="9">
        <v>552</v>
      </c>
    </row>
    <row r="50" spans="1:4" x14ac:dyDescent="0.25">
      <c r="A50" s="4" t="s">
        <v>718</v>
      </c>
      <c r="B50" s="4">
        <v>306949</v>
      </c>
      <c r="C50" s="4" t="s">
        <v>1465</v>
      </c>
      <c r="D50" s="9">
        <v>22620</v>
      </c>
    </row>
    <row r="51" spans="1:4" x14ac:dyDescent="0.25">
      <c r="A51" s="4" t="s">
        <v>718</v>
      </c>
      <c r="B51" s="4">
        <v>308829</v>
      </c>
      <c r="C51" s="4" t="s">
        <v>1499</v>
      </c>
      <c r="D51" s="9">
        <v>4026</v>
      </c>
    </row>
    <row r="52" spans="1:4" x14ac:dyDescent="0.25">
      <c r="A52" s="33" t="s">
        <v>718</v>
      </c>
      <c r="B52" s="35">
        <v>308831</v>
      </c>
      <c r="C52" s="33" t="s">
        <v>1500</v>
      </c>
      <c r="D52" s="34">
        <v>813</v>
      </c>
    </row>
    <row r="53" spans="1:4" x14ac:dyDescent="0.25">
      <c r="A53" s="4" t="s">
        <v>315</v>
      </c>
      <c r="B53" s="4">
        <v>296120</v>
      </c>
      <c r="C53" s="4" t="s">
        <v>1321</v>
      </c>
      <c r="D53" s="9">
        <v>695</v>
      </c>
    </row>
    <row r="54" spans="1:4" x14ac:dyDescent="0.25">
      <c r="A54" s="4" t="s">
        <v>1501</v>
      </c>
      <c r="B54" s="4">
        <v>306268</v>
      </c>
      <c r="C54" s="4" t="s">
        <v>1502</v>
      </c>
      <c r="D54" s="9">
        <v>30223</v>
      </c>
    </row>
    <row r="55" spans="1:4" x14ac:dyDescent="0.25">
      <c r="A55" s="4" t="s">
        <v>1501</v>
      </c>
      <c r="B55" s="4">
        <v>306269</v>
      </c>
      <c r="C55" s="4" t="s">
        <v>1503</v>
      </c>
      <c r="D55" s="9">
        <v>4200</v>
      </c>
    </row>
    <row r="56" spans="1:4" x14ac:dyDescent="0.25">
      <c r="A56" s="4" t="s">
        <v>995</v>
      </c>
      <c r="B56" s="4">
        <v>293624</v>
      </c>
      <c r="C56" s="4" t="s">
        <v>1315</v>
      </c>
      <c r="D56" s="9">
        <v>1586</v>
      </c>
    </row>
    <row r="57" spans="1:4" x14ac:dyDescent="0.25">
      <c r="A57" s="4" t="s">
        <v>52</v>
      </c>
      <c r="B57" s="4">
        <v>285324</v>
      </c>
      <c r="C57" s="4" t="s">
        <v>1345</v>
      </c>
      <c r="D57" s="9">
        <v>1320</v>
      </c>
    </row>
    <row r="58" spans="1:4" x14ac:dyDescent="0.25">
      <c r="A58" s="4" t="s">
        <v>52</v>
      </c>
      <c r="B58" s="4">
        <v>306630</v>
      </c>
      <c r="C58" s="4" t="s">
        <v>1388</v>
      </c>
      <c r="D58" s="9">
        <v>3550</v>
      </c>
    </row>
    <row r="59" spans="1:4" x14ac:dyDescent="0.25">
      <c r="A59" s="33" t="s">
        <v>332</v>
      </c>
      <c r="B59" s="35">
        <v>303583</v>
      </c>
      <c r="C59" s="33" t="s">
        <v>1445</v>
      </c>
      <c r="D59" s="34">
        <v>173</v>
      </c>
    </row>
    <row r="60" spans="1:4" x14ac:dyDescent="0.25">
      <c r="A60" s="4" t="s">
        <v>332</v>
      </c>
      <c r="B60" s="4">
        <v>302215</v>
      </c>
      <c r="C60" s="4" t="s">
        <v>1447</v>
      </c>
      <c r="D60" s="9">
        <v>1290</v>
      </c>
    </row>
    <row r="61" spans="1:4" x14ac:dyDescent="0.25">
      <c r="A61" s="4" t="s">
        <v>332</v>
      </c>
      <c r="B61" s="4">
        <v>306790</v>
      </c>
      <c r="C61" s="4" t="s">
        <v>1466</v>
      </c>
      <c r="D61" s="9">
        <v>23345</v>
      </c>
    </row>
    <row r="62" spans="1:4" x14ac:dyDescent="0.25">
      <c r="A62" s="4" t="s">
        <v>332</v>
      </c>
      <c r="B62" s="4">
        <v>306791</v>
      </c>
      <c r="C62" s="4" t="s">
        <v>1504</v>
      </c>
      <c r="D62" s="9">
        <v>3850</v>
      </c>
    </row>
    <row r="63" spans="1:4" x14ac:dyDescent="0.25">
      <c r="C63" s="31" t="s">
        <v>83</v>
      </c>
      <c r="D63" s="32">
        <f>SUM(D2:D62)</f>
        <v>464919</v>
      </c>
    </row>
  </sheetData>
  <sortState xmlns:xlrd2="http://schemas.microsoft.com/office/spreadsheetml/2017/richdata2" ref="A2:D81">
    <sortCondition ref="A1:A81"/>
  </sortState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7645-9A73-4D57-85CE-B7C64FBE76F5}">
  <dimension ref="A1:D49"/>
  <sheetViews>
    <sheetView zoomScaleNormal="100" zoomScaleSheetLayoutView="100" workbookViewId="0">
      <selection activeCell="C64" sqref="C64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286282</v>
      </c>
      <c r="C2" s="4" t="s">
        <v>1468</v>
      </c>
      <c r="D2" s="9">
        <v>2950</v>
      </c>
    </row>
    <row r="3" spans="1:4" x14ac:dyDescent="0.25">
      <c r="A3" s="33" t="s">
        <v>9</v>
      </c>
      <c r="B3" s="35">
        <v>310573</v>
      </c>
      <c r="C3" s="33" t="s">
        <v>1505</v>
      </c>
      <c r="D3" s="34">
        <v>1010</v>
      </c>
    </row>
    <row r="4" spans="1:4" x14ac:dyDescent="0.25">
      <c r="A4" s="4" t="s">
        <v>9</v>
      </c>
      <c r="B4" s="4">
        <v>310574</v>
      </c>
      <c r="C4" s="4" t="s">
        <v>1506</v>
      </c>
      <c r="D4" s="9">
        <v>2420</v>
      </c>
    </row>
    <row r="5" spans="1:4" x14ac:dyDescent="0.25">
      <c r="A5" s="33" t="s">
        <v>9</v>
      </c>
      <c r="B5" s="35">
        <v>298224</v>
      </c>
      <c r="C5" s="33" t="s">
        <v>1507</v>
      </c>
      <c r="D5" s="34">
        <v>2210</v>
      </c>
    </row>
    <row r="6" spans="1:4" x14ac:dyDescent="0.25">
      <c r="A6" s="4" t="s">
        <v>9</v>
      </c>
      <c r="B6" s="4">
        <v>299274</v>
      </c>
      <c r="C6" s="4" t="s">
        <v>1508</v>
      </c>
      <c r="D6" s="9">
        <v>2370</v>
      </c>
    </row>
    <row r="7" spans="1:4" x14ac:dyDescent="0.25">
      <c r="A7" s="4" t="s">
        <v>9</v>
      </c>
      <c r="B7" s="4">
        <v>299226</v>
      </c>
      <c r="C7" s="4" t="s">
        <v>1509</v>
      </c>
      <c r="D7" s="9">
        <v>1525</v>
      </c>
    </row>
    <row r="8" spans="1:4" x14ac:dyDescent="0.25">
      <c r="A8" s="4" t="s">
        <v>9</v>
      </c>
      <c r="B8" s="4">
        <v>301985</v>
      </c>
      <c r="C8" s="4" t="s">
        <v>1510</v>
      </c>
      <c r="D8" s="9">
        <v>5590</v>
      </c>
    </row>
    <row r="9" spans="1:4" x14ac:dyDescent="0.25">
      <c r="A9" s="4" t="s">
        <v>9</v>
      </c>
      <c r="B9" s="4">
        <v>299277</v>
      </c>
      <c r="C9" s="4" t="s">
        <v>1511</v>
      </c>
      <c r="D9" s="9">
        <v>785</v>
      </c>
    </row>
    <row r="10" spans="1:4" x14ac:dyDescent="0.25">
      <c r="A10" s="4" t="s">
        <v>13</v>
      </c>
      <c r="B10" s="4">
        <v>309291</v>
      </c>
      <c r="C10" s="4" t="s">
        <v>1512</v>
      </c>
      <c r="D10" s="9">
        <v>4185</v>
      </c>
    </row>
    <row r="11" spans="1:4" x14ac:dyDescent="0.25">
      <c r="A11" s="4" t="s">
        <v>108</v>
      </c>
      <c r="B11" s="4">
        <v>306032</v>
      </c>
      <c r="C11" s="4" t="s">
        <v>1513</v>
      </c>
      <c r="D11" s="9">
        <v>327</v>
      </c>
    </row>
    <row r="12" spans="1:4" x14ac:dyDescent="0.25">
      <c r="A12" s="4" t="s">
        <v>108</v>
      </c>
      <c r="B12" s="4">
        <v>306033</v>
      </c>
      <c r="C12" s="4" t="s">
        <v>1514</v>
      </c>
      <c r="D12" s="9">
        <v>4930</v>
      </c>
    </row>
    <row r="13" spans="1:4" x14ac:dyDescent="0.25">
      <c r="A13" s="4" t="s">
        <v>108</v>
      </c>
      <c r="B13" s="4">
        <v>306034</v>
      </c>
      <c r="C13" s="4" t="s">
        <v>1515</v>
      </c>
      <c r="D13" s="9">
        <v>1355</v>
      </c>
    </row>
    <row r="14" spans="1:4" x14ac:dyDescent="0.25">
      <c r="A14" s="4" t="s">
        <v>108</v>
      </c>
      <c r="B14" s="4">
        <v>302213</v>
      </c>
      <c r="C14" s="4" t="s">
        <v>1516</v>
      </c>
      <c r="D14" s="9">
        <v>4335</v>
      </c>
    </row>
    <row r="15" spans="1:4" x14ac:dyDescent="0.25">
      <c r="A15" s="4" t="s">
        <v>108</v>
      </c>
      <c r="B15" s="4">
        <v>303569</v>
      </c>
      <c r="C15" s="4" t="s">
        <v>1517</v>
      </c>
      <c r="D15" s="9">
        <v>5240</v>
      </c>
    </row>
    <row r="16" spans="1:4" x14ac:dyDescent="0.25">
      <c r="A16" s="4" t="s">
        <v>336</v>
      </c>
      <c r="B16" s="4">
        <v>310637</v>
      </c>
      <c r="C16" s="4" t="s">
        <v>1518</v>
      </c>
      <c r="D16" s="9">
        <v>931</v>
      </c>
    </row>
    <row r="17" spans="1:4" x14ac:dyDescent="0.25">
      <c r="A17" s="33" t="s">
        <v>336</v>
      </c>
      <c r="B17" s="35">
        <v>310638</v>
      </c>
      <c r="C17" s="33" t="s">
        <v>1519</v>
      </c>
      <c r="D17" s="34">
        <v>277</v>
      </c>
    </row>
    <row r="18" spans="1:4" x14ac:dyDescent="0.25">
      <c r="A18" s="4" t="s">
        <v>24</v>
      </c>
      <c r="B18" s="4">
        <v>309385</v>
      </c>
      <c r="C18" s="4" t="s">
        <v>1520</v>
      </c>
      <c r="D18" s="9">
        <v>0</v>
      </c>
    </row>
    <row r="19" spans="1:4" x14ac:dyDescent="0.25">
      <c r="A19" s="4" t="s">
        <v>111</v>
      </c>
      <c r="B19" s="4">
        <v>310817</v>
      </c>
      <c r="C19" s="4" t="s">
        <v>1521</v>
      </c>
      <c r="D19" s="9">
        <v>26733</v>
      </c>
    </row>
    <row r="20" spans="1:4" x14ac:dyDescent="0.25">
      <c r="A20" s="4" t="s">
        <v>111</v>
      </c>
      <c r="B20" s="4">
        <v>299796</v>
      </c>
      <c r="C20" s="4" t="s">
        <v>1316</v>
      </c>
      <c r="D20" s="9">
        <v>0</v>
      </c>
    </row>
    <row r="21" spans="1:4" x14ac:dyDescent="0.25">
      <c r="A21" s="4" t="s">
        <v>167</v>
      </c>
      <c r="B21" s="4">
        <v>309340</v>
      </c>
      <c r="C21" s="4" t="s">
        <v>1522</v>
      </c>
      <c r="D21" s="9">
        <v>2400</v>
      </c>
    </row>
    <row r="22" spans="1:4" x14ac:dyDescent="0.25">
      <c r="A22" s="4" t="s">
        <v>175</v>
      </c>
      <c r="B22" s="4">
        <v>309124</v>
      </c>
      <c r="C22" s="4" t="s">
        <v>1523</v>
      </c>
      <c r="D22" s="9">
        <v>5995</v>
      </c>
    </row>
    <row r="23" spans="1:4" x14ac:dyDescent="0.25">
      <c r="A23" s="4" t="s">
        <v>26</v>
      </c>
      <c r="B23" s="4">
        <v>308573</v>
      </c>
      <c r="C23" s="4" t="s">
        <v>1524</v>
      </c>
      <c r="D23" s="9">
        <v>160</v>
      </c>
    </row>
    <row r="24" spans="1:4" x14ac:dyDescent="0.25">
      <c r="A24" s="33" t="s">
        <v>1419</v>
      </c>
      <c r="B24" s="35">
        <v>310911</v>
      </c>
      <c r="C24" s="33" t="s">
        <v>1525</v>
      </c>
      <c r="D24" s="34">
        <v>2520</v>
      </c>
    </row>
    <row r="25" spans="1:4" x14ac:dyDescent="0.25">
      <c r="A25" s="4" t="s">
        <v>718</v>
      </c>
      <c r="B25" s="4">
        <v>310699</v>
      </c>
      <c r="C25" s="4" t="s">
        <v>1526</v>
      </c>
      <c r="D25" s="9">
        <v>4002</v>
      </c>
    </row>
    <row r="26" spans="1:4" x14ac:dyDescent="0.25">
      <c r="A26" s="4" t="s">
        <v>718</v>
      </c>
      <c r="B26" s="4">
        <v>309029</v>
      </c>
      <c r="C26" s="4" t="s">
        <v>1527</v>
      </c>
      <c r="D26" s="9">
        <v>3276</v>
      </c>
    </row>
    <row r="27" spans="1:4" x14ac:dyDescent="0.25">
      <c r="A27" s="4" t="s">
        <v>718</v>
      </c>
      <c r="B27" s="4">
        <v>309032</v>
      </c>
      <c r="C27" s="4" t="s">
        <v>1528</v>
      </c>
      <c r="D27" s="9">
        <v>800</v>
      </c>
    </row>
    <row r="28" spans="1:4" x14ac:dyDescent="0.25">
      <c r="A28" s="4" t="s">
        <v>1529</v>
      </c>
      <c r="B28" s="4">
        <v>299416</v>
      </c>
      <c r="C28" s="4" t="s">
        <v>1530</v>
      </c>
      <c r="D28" s="9">
        <v>3980</v>
      </c>
    </row>
    <row r="29" spans="1:4" x14ac:dyDescent="0.25">
      <c r="A29" s="4" t="s">
        <v>1529</v>
      </c>
      <c r="B29" s="4">
        <v>299414</v>
      </c>
      <c r="C29" s="4" t="s">
        <v>1531</v>
      </c>
      <c r="D29" s="9">
        <v>595</v>
      </c>
    </row>
    <row r="30" spans="1:4" x14ac:dyDescent="0.25">
      <c r="A30" s="4" t="s">
        <v>315</v>
      </c>
      <c r="B30" s="4">
        <v>310753</v>
      </c>
      <c r="C30" s="4" t="s">
        <v>1532</v>
      </c>
      <c r="D30" s="9">
        <v>1365</v>
      </c>
    </row>
    <row r="31" spans="1:4" x14ac:dyDescent="0.25">
      <c r="A31" s="4" t="s">
        <v>832</v>
      </c>
      <c r="B31" s="4">
        <v>308874</v>
      </c>
      <c r="C31" s="4" t="s">
        <v>1533</v>
      </c>
      <c r="D31" s="9">
        <v>1240</v>
      </c>
    </row>
    <row r="32" spans="1:4" x14ac:dyDescent="0.25">
      <c r="A32" s="4" t="s">
        <v>832</v>
      </c>
      <c r="B32" s="4">
        <v>299263</v>
      </c>
      <c r="C32" s="4" t="s">
        <v>1534</v>
      </c>
      <c r="D32" s="9">
        <v>1990</v>
      </c>
    </row>
    <row r="33" spans="1:4" x14ac:dyDescent="0.25">
      <c r="A33" s="4" t="s">
        <v>1535</v>
      </c>
      <c r="B33" s="4">
        <v>310922</v>
      </c>
      <c r="C33" s="4" t="s">
        <v>1536</v>
      </c>
      <c r="D33" s="9">
        <v>745</v>
      </c>
    </row>
    <row r="34" spans="1:4" x14ac:dyDescent="0.25">
      <c r="A34" s="33" t="s">
        <v>995</v>
      </c>
      <c r="B34" s="35">
        <v>293624</v>
      </c>
      <c r="C34" s="33" t="s">
        <v>1315</v>
      </c>
      <c r="D34" s="34">
        <v>1586</v>
      </c>
    </row>
    <row r="35" spans="1:4" x14ac:dyDescent="0.25">
      <c r="A35" s="4" t="s">
        <v>443</v>
      </c>
      <c r="B35" s="4">
        <v>277259</v>
      </c>
      <c r="C35" s="4" t="s">
        <v>1537</v>
      </c>
      <c r="D35" s="9">
        <v>420</v>
      </c>
    </row>
    <row r="36" spans="1:4" x14ac:dyDescent="0.25">
      <c r="A36" s="4" t="s">
        <v>52</v>
      </c>
      <c r="B36" s="4">
        <v>285324</v>
      </c>
      <c r="C36" s="4" t="s">
        <v>1345</v>
      </c>
      <c r="D36" s="9">
        <v>1320</v>
      </c>
    </row>
    <row r="37" spans="1:4" x14ac:dyDescent="0.25">
      <c r="A37" s="4" t="s">
        <v>52</v>
      </c>
      <c r="B37" s="4">
        <v>306630</v>
      </c>
      <c r="C37" s="4" t="s">
        <v>1388</v>
      </c>
      <c r="D37" s="9">
        <v>3550</v>
      </c>
    </row>
    <row r="38" spans="1:4" x14ac:dyDescent="0.25">
      <c r="A38" s="33" t="s">
        <v>332</v>
      </c>
      <c r="B38" s="35">
        <v>303583</v>
      </c>
      <c r="C38" s="33" t="s">
        <v>1445</v>
      </c>
      <c r="D38" s="34">
        <v>173</v>
      </c>
    </row>
    <row r="39" spans="1:4" x14ac:dyDescent="0.25">
      <c r="A39" s="4" t="s">
        <v>332</v>
      </c>
      <c r="B39" s="4">
        <v>302215</v>
      </c>
      <c r="C39" s="4" t="s">
        <v>1447</v>
      </c>
      <c r="D39" s="9">
        <v>1290</v>
      </c>
    </row>
    <row r="40" spans="1:4" x14ac:dyDescent="0.25">
      <c r="A40" s="4" t="s">
        <v>61</v>
      </c>
      <c r="B40" s="4">
        <v>305853</v>
      </c>
      <c r="C40" s="4" t="s">
        <v>1467</v>
      </c>
      <c r="D40" s="9">
        <v>2190</v>
      </c>
    </row>
    <row r="41" spans="1:4" x14ac:dyDescent="0.25">
      <c r="A41" s="4" t="s">
        <v>61</v>
      </c>
      <c r="B41" s="4">
        <v>295706</v>
      </c>
      <c r="C41" s="4" t="s">
        <v>1298</v>
      </c>
      <c r="D41" s="9">
        <v>0</v>
      </c>
    </row>
    <row r="42" spans="1:4" x14ac:dyDescent="0.25">
      <c r="A42" s="33" t="s">
        <v>371</v>
      </c>
      <c r="B42" s="35">
        <v>311082</v>
      </c>
      <c r="C42" s="33" t="s">
        <v>1538</v>
      </c>
      <c r="D42" s="34">
        <v>10000</v>
      </c>
    </row>
    <row r="43" spans="1:4" x14ac:dyDescent="0.25">
      <c r="A43" s="4" t="s">
        <v>208</v>
      </c>
      <c r="B43" s="4">
        <v>214233</v>
      </c>
      <c r="C43" s="4" t="s">
        <v>1539</v>
      </c>
      <c r="D43" s="9">
        <v>0</v>
      </c>
    </row>
    <row r="44" spans="1:4" x14ac:dyDescent="0.25">
      <c r="A44" s="4" t="s">
        <v>718</v>
      </c>
      <c r="B44" s="4">
        <v>310636</v>
      </c>
      <c r="C44" s="4" t="s">
        <v>1540</v>
      </c>
      <c r="D44" s="9">
        <v>1380</v>
      </c>
    </row>
    <row r="45" spans="1:4" x14ac:dyDescent="0.25">
      <c r="A45" s="4" t="s">
        <v>718</v>
      </c>
      <c r="B45" s="4">
        <v>310662</v>
      </c>
      <c r="C45" s="4" t="s">
        <v>1541</v>
      </c>
      <c r="D45" s="9">
        <v>21528</v>
      </c>
    </row>
    <row r="46" spans="1:4" x14ac:dyDescent="0.25">
      <c r="A46" s="4" t="s">
        <v>718</v>
      </c>
      <c r="B46" s="4">
        <v>309294</v>
      </c>
      <c r="C46" s="4" t="s">
        <v>1542</v>
      </c>
      <c r="D46" s="9">
        <v>2340</v>
      </c>
    </row>
    <row r="47" spans="1:4" x14ac:dyDescent="0.25">
      <c r="A47" s="4" t="s">
        <v>718</v>
      </c>
      <c r="B47" s="4">
        <v>309296</v>
      </c>
      <c r="C47" s="4" t="s">
        <v>1543</v>
      </c>
      <c r="D47" s="9">
        <v>2400</v>
      </c>
    </row>
    <row r="48" spans="1:4" x14ac:dyDescent="0.25">
      <c r="A48" s="4" t="s">
        <v>718</v>
      </c>
      <c r="B48" s="4">
        <v>310635</v>
      </c>
      <c r="C48" s="4" t="s">
        <v>1544</v>
      </c>
      <c r="D48" s="9">
        <v>2415</v>
      </c>
    </row>
    <row r="49" spans="3:4" x14ac:dyDescent="0.25">
      <c r="C49" s="31" t="s">
        <v>83</v>
      </c>
      <c r="D49" s="32">
        <f>SUM(D2:D48)</f>
        <v>146833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C144-9604-4F7B-B1B6-2F68478FBE03}">
  <dimension ref="A1:D66"/>
  <sheetViews>
    <sheetView zoomScaleNormal="100" zoomScaleSheetLayoutView="100" workbookViewId="0">
      <selection activeCell="D66" sqref="D66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286282</v>
      </c>
      <c r="C2" s="4" t="s">
        <v>1468</v>
      </c>
      <c r="D2" s="9">
        <v>2950</v>
      </c>
    </row>
    <row r="3" spans="1:4" x14ac:dyDescent="0.25">
      <c r="A3" s="33" t="s">
        <v>638</v>
      </c>
      <c r="B3" s="35">
        <v>308446</v>
      </c>
      <c r="C3" s="33" t="s">
        <v>1545</v>
      </c>
      <c r="D3" s="34">
        <v>6590</v>
      </c>
    </row>
    <row r="4" spans="1:4" x14ac:dyDescent="0.25">
      <c r="A4" s="4" t="s">
        <v>9</v>
      </c>
      <c r="B4" s="4">
        <v>310573</v>
      </c>
      <c r="C4" s="4" t="s">
        <v>1505</v>
      </c>
      <c r="D4" s="9">
        <v>1010</v>
      </c>
    </row>
    <row r="5" spans="1:4" x14ac:dyDescent="0.25">
      <c r="A5" s="33" t="s">
        <v>9</v>
      </c>
      <c r="B5" s="35">
        <v>310574</v>
      </c>
      <c r="C5" s="33" t="s">
        <v>1506</v>
      </c>
      <c r="D5" s="34">
        <v>2420</v>
      </c>
    </row>
    <row r="6" spans="1:4" x14ac:dyDescent="0.25">
      <c r="A6" s="4" t="s">
        <v>9</v>
      </c>
      <c r="B6" s="4">
        <v>298224</v>
      </c>
      <c r="C6" s="4" t="s">
        <v>1507</v>
      </c>
      <c r="D6" s="9">
        <v>2210</v>
      </c>
    </row>
    <row r="7" spans="1:4" x14ac:dyDescent="0.25">
      <c r="A7" s="4" t="s">
        <v>9</v>
      </c>
      <c r="B7" s="4">
        <v>299274</v>
      </c>
      <c r="C7" s="4" t="s">
        <v>1508</v>
      </c>
      <c r="D7" s="9">
        <v>2370</v>
      </c>
    </row>
    <row r="8" spans="1:4" x14ac:dyDescent="0.25">
      <c r="A8" s="4" t="s">
        <v>9</v>
      </c>
      <c r="B8" s="4">
        <v>299226</v>
      </c>
      <c r="C8" s="4" t="s">
        <v>1509</v>
      </c>
      <c r="D8" s="9">
        <v>1525</v>
      </c>
    </row>
    <row r="9" spans="1:4" x14ac:dyDescent="0.25">
      <c r="A9" s="4" t="s">
        <v>9</v>
      </c>
      <c r="B9" s="4">
        <v>301985</v>
      </c>
      <c r="C9" s="4" t="s">
        <v>1510</v>
      </c>
      <c r="D9" s="9">
        <v>5590</v>
      </c>
    </row>
    <row r="10" spans="1:4" x14ac:dyDescent="0.25">
      <c r="A10" s="4" t="s">
        <v>9</v>
      </c>
      <c r="B10" s="4">
        <v>299277</v>
      </c>
      <c r="C10" s="4" t="s">
        <v>1511</v>
      </c>
      <c r="D10" s="9">
        <v>785</v>
      </c>
    </row>
    <row r="11" spans="1:4" x14ac:dyDescent="0.25">
      <c r="A11" s="4" t="s">
        <v>13</v>
      </c>
      <c r="B11" s="4">
        <v>309291</v>
      </c>
      <c r="C11" s="4" t="s">
        <v>1512</v>
      </c>
      <c r="D11" s="9">
        <v>4185</v>
      </c>
    </row>
    <row r="12" spans="1:4" x14ac:dyDescent="0.25">
      <c r="A12" s="4" t="s">
        <v>108</v>
      </c>
      <c r="B12" s="4">
        <v>306032</v>
      </c>
      <c r="C12" s="4" t="s">
        <v>1513</v>
      </c>
      <c r="D12" s="9">
        <v>327</v>
      </c>
    </row>
    <row r="13" spans="1:4" x14ac:dyDescent="0.25">
      <c r="A13" s="4" t="s">
        <v>108</v>
      </c>
      <c r="B13" s="4">
        <v>306033</v>
      </c>
      <c r="C13" s="4" t="s">
        <v>1514</v>
      </c>
      <c r="D13" s="9">
        <v>4930</v>
      </c>
    </row>
    <row r="14" spans="1:4" x14ac:dyDescent="0.25">
      <c r="A14" s="33" t="s">
        <v>108</v>
      </c>
      <c r="B14" s="35">
        <v>306034</v>
      </c>
      <c r="C14" s="33" t="s">
        <v>1515</v>
      </c>
      <c r="D14" s="34">
        <v>1355</v>
      </c>
    </row>
    <row r="15" spans="1:4" x14ac:dyDescent="0.25">
      <c r="A15" s="4" t="s">
        <v>108</v>
      </c>
      <c r="B15" s="4">
        <v>302213</v>
      </c>
      <c r="C15" s="4" t="s">
        <v>1516</v>
      </c>
      <c r="D15" s="9">
        <v>4335</v>
      </c>
    </row>
    <row r="16" spans="1:4" x14ac:dyDescent="0.25">
      <c r="A16" s="4" t="s">
        <v>108</v>
      </c>
      <c r="B16" s="4">
        <v>303569</v>
      </c>
      <c r="C16" s="4" t="s">
        <v>1517</v>
      </c>
      <c r="D16" s="9">
        <v>5240</v>
      </c>
    </row>
    <row r="17" spans="1:4" x14ac:dyDescent="0.25">
      <c r="A17" s="4" t="s">
        <v>336</v>
      </c>
      <c r="B17" s="4">
        <v>310637</v>
      </c>
      <c r="C17" s="4" t="s">
        <v>1518</v>
      </c>
      <c r="D17" s="9">
        <v>931</v>
      </c>
    </row>
    <row r="18" spans="1:4" x14ac:dyDescent="0.25">
      <c r="A18" s="4" t="s">
        <v>336</v>
      </c>
      <c r="B18" s="4">
        <v>310638</v>
      </c>
      <c r="C18" s="4" t="s">
        <v>1519</v>
      </c>
      <c r="D18" s="9">
        <v>277</v>
      </c>
    </row>
    <row r="19" spans="1:4" x14ac:dyDescent="0.25">
      <c r="A19" s="4" t="s">
        <v>24</v>
      </c>
      <c r="B19" s="4">
        <v>309385</v>
      </c>
      <c r="C19" s="4" t="s">
        <v>1520</v>
      </c>
      <c r="D19" s="9">
        <v>0</v>
      </c>
    </row>
    <row r="20" spans="1:4" x14ac:dyDescent="0.25">
      <c r="A20" s="4" t="s">
        <v>111</v>
      </c>
      <c r="B20" s="4">
        <v>310817</v>
      </c>
      <c r="C20" s="4" t="s">
        <v>1521</v>
      </c>
      <c r="D20" s="9">
        <v>26733</v>
      </c>
    </row>
    <row r="21" spans="1:4" x14ac:dyDescent="0.25">
      <c r="A21" s="33" t="s">
        <v>111</v>
      </c>
      <c r="B21" s="35">
        <v>311113</v>
      </c>
      <c r="C21" s="33" t="s">
        <v>1546</v>
      </c>
      <c r="D21" s="34">
        <v>40414</v>
      </c>
    </row>
    <row r="22" spans="1:4" x14ac:dyDescent="0.25">
      <c r="A22" s="4" t="s">
        <v>111</v>
      </c>
      <c r="B22" s="4">
        <v>311311</v>
      </c>
      <c r="C22" s="4" t="s">
        <v>1547</v>
      </c>
      <c r="D22" s="9">
        <v>13947</v>
      </c>
    </row>
    <row r="23" spans="1:4" x14ac:dyDescent="0.25">
      <c r="A23" s="4" t="s">
        <v>111</v>
      </c>
      <c r="B23" s="4">
        <v>299796</v>
      </c>
      <c r="C23" s="4" t="s">
        <v>1316</v>
      </c>
      <c r="D23" s="9">
        <v>0</v>
      </c>
    </row>
    <row r="24" spans="1:4" x14ac:dyDescent="0.25">
      <c r="A24" s="4" t="s">
        <v>167</v>
      </c>
      <c r="B24" s="4">
        <v>309340</v>
      </c>
      <c r="C24" s="4" t="s">
        <v>1522</v>
      </c>
      <c r="D24" s="9">
        <v>2400</v>
      </c>
    </row>
    <row r="25" spans="1:4" x14ac:dyDescent="0.25">
      <c r="A25" s="4" t="s">
        <v>175</v>
      </c>
      <c r="B25" s="4">
        <v>308807</v>
      </c>
      <c r="C25" s="4" t="s">
        <v>1548</v>
      </c>
      <c r="D25" s="9">
        <v>2390</v>
      </c>
    </row>
    <row r="26" spans="1:4" x14ac:dyDescent="0.25">
      <c r="A26" s="4" t="s">
        <v>175</v>
      </c>
      <c r="B26" s="4">
        <v>309124</v>
      </c>
      <c r="C26" s="4" t="s">
        <v>1523</v>
      </c>
      <c r="D26" s="9">
        <v>5995</v>
      </c>
    </row>
    <row r="27" spans="1:4" x14ac:dyDescent="0.25">
      <c r="A27" s="4" t="s">
        <v>26</v>
      </c>
      <c r="B27" s="4">
        <v>308573</v>
      </c>
      <c r="C27" s="4" t="s">
        <v>1524</v>
      </c>
      <c r="D27" s="9">
        <v>160</v>
      </c>
    </row>
    <row r="28" spans="1:4" x14ac:dyDescent="0.25">
      <c r="A28" s="4" t="s">
        <v>371</v>
      </c>
      <c r="B28" s="4">
        <v>311073</v>
      </c>
      <c r="C28" s="4" t="s">
        <v>1549</v>
      </c>
      <c r="D28" s="9">
        <v>3785</v>
      </c>
    </row>
    <row r="29" spans="1:4" x14ac:dyDescent="0.25">
      <c r="A29" s="4" t="s">
        <v>1419</v>
      </c>
      <c r="B29" s="4">
        <v>311076</v>
      </c>
      <c r="C29" s="4" t="s">
        <v>1550</v>
      </c>
      <c r="D29" s="9">
        <v>2165</v>
      </c>
    </row>
    <row r="30" spans="1:4" x14ac:dyDescent="0.25">
      <c r="A30" s="4" t="s">
        <v>1419</v>
      </c>
      <c r="B30" s="4">
        <v>311185</v>
      </c>
      <c r="C30" s="4" t="s">
        <v>1551</v>
      </c>
      <c r="D30" s="9">
        <v>25270</v>
      </c>
    </row>
    <row r="31" spans="1:4" x14ac:dyDescent="0.25">
      <c r="A31" s="33" t="s">
        <v>1419</v>
      </c>
      <c r="B31" s="35">
        <v>311214</v>
      </c>
      <c r="C31" s="33" t="s">
        <v>1552</v>
      </c>
      <c r="D31" s="34">
        <v>4760</v>
      </c>
    </row>
    <row r="32" spans="1:4" x14ac:dyDescent="0.25">
      <c r="A32" s="4" t="s">
        <v>1419</v>
      </c>
      <c r="B32" s="4">
        <v>310778</v>
      </c>
      <c r="C32" s="4" t="s">
        <v>1553</v>
      </c>
      <c r="D32" s="9">
        <v>7740</v>
      </c>
    </row>
    <row r="33" spans="1:4" x14ac:dyDescent="0.25">
      <c r="A33" s="4" t="s">
        <v>1419</v>
      </c>
      <c r="B33" s="4">
        <v>310865</v>
      </c>
      <c r="C33" s="4" t="s">
        <v>1554</v>
      </c>
      <c r="D33" s="9">
        <v>2540</v>
      </c>
    </row>
    <row r="34" spans="1:4" x14ac:dyDescent="0.25">
      <c r="A34" s="4" t="s">
        <v>1419</v>
      </c>
      <c r="B34" s="4">
        <v>310767</v>
      </c>
      <c r="C34" s="4" t="s">
        <v>1555</v>
      </c>
      <c r="D34" s="9">
        <v>3335</v>
      </c>
    </row>
    <row r="35" spans="1:4" x14ac:dyDescent="0.25">
      <c r="A35" s="33" t="s">
        <v>1419</v>
      </c>
      <c r="B35" s="35">
        <v>311169</v>
      </c>
      <c r="C35" s="33" t="s">
        <v>1556</v>
      </c>
      <c r="D35" s="34">
        <v>4220</v>
      </c>
    </row>
    <row r="36" spans="1:4" x14ac:dyDescent="0.25">
      <c r="A36" s="4" t="s">
        <v>1419</v>
      </c>
      <c r="B36" s="4">
        <v>311132</v>
      </c>
      <c r="C36" s="4" t="s">
        <v>1557</v>
      </c>
      <c r="D36" s="9">
        <v>2010</v>
      </c>
    </row>
    <row r="37" spans="1:4" x14ac:dyDescent="0.25">
      <c r="A37" s="4" t="s">
        <v>1419</v>
      </c>
      <c r="B37" s="4">
        <v>311075</v>
      </c>
      <c r="C37" s="4" t="s">
        <v>1558</v>
      </c>
      <c r="D37" s="9">
        <v>1295</v>
      </c>
    </row>
    <row r="38" spans="1:4" x14ac:dyDescent="0.25">
      <c r="A38" s="4" t="s">
        <v>1419</v>
      </c>
      <c r="B38" s="4">
        <v>311183</v>
      </c>
      <c r="C38" s="4" t="s">
        <v>1559</v>
      </c>
      <c r="D38" s="9">
        <v>4480</v>
      </c>
    </row>
    <row r="39" spans="1:4" x14ac:dyDescent="0.25">
      <c r="A39" s="33" t="s">
        <v>1419</v>
      </c>
      <c r="B39" s="35">
        <v>311213</v>
      </c>
      <c r="C39" s="33" t="s">
        <v>1560</v>
      </c>
      <c r="D39" s="34">
        <v>545</v>
      </c>
    </row>
    <row r="40" spans="1:4" x14ac:dyDescent="0.25">
      <c r="A40" s="4" t="s">
        <v>1419</v>
      </c>
      <c r="B40" s="4">
        <v>311121</v>
      </c>
      <c r="C40" s="4" t="s">
        <v>1561</v>
      </c>
      <c r="D40" s="9">
        <v>8500</v>
      </c>
    </row>
    <row r="41" spans="1:4" x14ac:dyDescent="0.25">
      <c r="A41" s="4" t="s">
        <v>1419</v>
      </c>
      <c r="B41" s="4">
        <v>310864</v>
      </c>
      <c r="C41" s="4" t="s">
        <v>1562</v>
      </c>
      <c r="D41" s="9">
        <v>725</v>
      </c>
    </row>
    <row r="42" spans="1:4" x14ac:dyDescent="0.25">
      <c r="A42" s="4" t="s">
        <v>1419</v>
      </c>
      <c r="B42" s="4">
        <v>310765</v>
      </c>
      <c r="C42" s="4" t="s">
        <v>1563</v>
      </c>
      <c r="D42" s="9">
        <v>875</v>
      </c>
    </row>
    <row r="43" spans="1:4" x14ac:dyDescent="0.25">
      <c r="A43" s="4" t="s">
        <v>1419</v>
      </c>
      <c r="B43" s="4">
        <v>311150</v>
      </c>
      <c r="C43" s="4" t="s">
        <v>1564</v>
      </c>
      <c r="D43" s="9">
        <v>5560</v>
      </c>
    </row>
    <row r="44" spans="1:4" x14ac:dyDescent="0.25">
      <c r="A44" s="4" t="s">
        <v>1419</v>
      </c>
      <c r="B44" s="4">
        <v>310777</v>
      </c>
      <c r="C44" s="4" t="s">
        <v>1565</v>
      </c>
      <c r="D44" s="9">
        <v>100</v>
      </c>
    </row>
    <row r="45" spans="1:4" x14ac:dyDescent="0.25">
      <c r="A45" s="4" t="s">
        <v>180</v>
      </c>
      <c r="B45" s="4">
        <v>311127</v>
      </c>
      <c r="C45" s="4" t="s">
        <v>1566</v>
      </c>
      <c r="D45" s="9">
        <v>1800</v>
      </c>
    </row>
    <row r="46" spans="1:4" x14ac:dyDescent="0.25">
      <c r="A46" s="33" t="s">
        <v>718</v>
      </c>
      <c r="B46" s="35">
        <v>310699</v>
      </c>
      <c r="C46" s="33" t="s">
        <v>1526</v>
      </c>
      <c r="D46" s="34">
        <v>4002</v>
      </c>
    </row>
    <row r="47" spans="1:4" x14ac:dyDescent="0.25">
      <c r="A47" s="4" t="s">
        <v>718</v>
      </c>
      <c r="B47" s="4">
        <v>310973</v>
      </c>
      <c r="C47" s="4" t="s">
        <v>1567</v>
      </c>
      <c r="D47" s="9">
        <v>1560</v>
      </c>
    </row>
    <row r="48" spans="1:4" x14ac:dyDescent="0.25">
      <c r="A48" s="4" t="s">
        <v>718</v>
      </c>
      <c r="B48" s="4">
        <v>310970</v>
      </c>
      <c r="C48" s="4" t="s">
        <v>1568</v>
      </c>
      <c r="D48" s="9">
        <v>4800</v>
      </c>
    </row>
    <row r="49" spans="1:4" x14ac:dyDescent="0.25">
      <c r="A49" s="4" t="s">
        <v>718</v>
      </c>
      <c r="B49" s="4">
        <v>309029</v>
      </c>
      <c r="C49" s="4" t="s">
        <v>1527</v>
      </c>
      <c r="D49" s="9">
        <v>3276</v>
      </c>
    </row>
    <row r="50" spans="1:4" x14ac:dyDescent="0.25">
      <c r="A50" s="4" t="s">
        <v>718</v>
      </c>
      <c r="B50" s="4">
        <v>309032</v>
      </c>
      <c r="C50" s="4" t="s">
        <v>1528</v>
      </c>
      <c r="D50" s="9">
        <v>800</v>
      </c>
    </row>
    <row r="51" spans="1:4" x14ac:dyDescent="0.25">
      <c r="A51" s="4" t="s">
        <v>718</v>
      </c>
      <c r="B51" s="4">
        <v>310975</v>
      </c>
      <c r="C51" s="4" t="s">
        <v>1569</v>
      </c>
      <c r="D51" s="9">
        <v>12480</v>
      </c>
    </row>
    <row r="52" spans="1:4" x14ac:dyDescent="0.25">
      <c r="A52" s="4" t="s">
        <v>718</v>
      </c>
      <c r="B52" s="4">
        <v>311194</v>
      </c>
      <c r="C52" s="4" t="s">
        <v>1570</v>
      </c>
      <c r="D52" s="9">
        <v>4819</v>
      </c>
    </row>
    <row r="53" spans="1:4" x14ac:dyDescent="0.25">
      <c r="A53" s="33" t="s">
        <v>832</v>
      </c>
      <c r="B53" s="35">
        <v>308874</v>
      </c>
      <c r="C53" s="33" t="s">
        <v>1533</v>
      </c>
      <c r="D53" s="34">
        <v>1240</v>
      </c>
    </row>
    <row r="54" spans="1:4" x14ac:dyDescent="0.25">
      <c r="A54" s="4" t="s">
        <v>832</v>
      </c>
      <c r="B54" s="4">
        <v>299263</v>
      </c>
      <c r="C54" s="4" t="s">
        <v>1534</v>
      </c>
      <c r="D54" s="9">
        <v>1990</v>
      </c>
    </row>
    <row r="55" spans="1:4" x14ac:dyDescent="0.25">
      <c r="A55" s="4" t="s">
        <v>995</v>
      </c>
      <c r="B55" s="4">
        <v>293624</v>
      </c>
      <c r="C55" s="4" t="s">
        <v>1315</v>
      </c>
      <c r="D55" s="9">
        <v>1586</v>
      </c>
    </row>
    <row r="56" spans="1:4" x14ac:dyDescent="0.25">
      <c r="A56" s="4" t="s">
        <v>443</v>
      </c>
      <c r="B56" s="4">
        <v>277259</v>
      </c>
      <c r="C56" s="4" t="s">
        <v>1537</v>
      </c>
      <c r="D56" s="9">
        <v>420</v>
      </c>
    </row>
    <row r="57" spans="1:4" x14ac:dyDescent="0.25">
      <c r="A57" s="4" t="s">
        <v>52</v>
      </c>
      <c r="B57" s="4">
        <v>285324</v>
      </c>
      <c r="C57" s="4" t="s">
        <v>1345</v>
      </c>
      <c r="D57" s="9">
        <v>1320</v>
      </c>
    </row>
    <row r="58" spans="1:4" x14ac:dyDescent="0.25">
      <c r="A58" s="4" t="s">
        <v>52</v>
      </c>
      <c r="B58" s="4">
        <v>306630</v>
      </c>
      <c r="C58" s="4" t="s">
        <v>1388</v>
      </c>
      <c r="D58" s="9">
        <v>3550</v>
      </c>
    </row>
    <row r="59" spans="1:4" x14ac:dyDescent="0.25">
      <c r="A59" s="4" t="s">
        <v>332</v>
      </c>
      <c r="B59" s="4">
        <v>303583</v>
      </c>
      <c r="C59" s="4" t="s">
        <v>1445</v>
      </c>
      <c r="D59" s="9">
        <v>173</v>
      </c>
    </row>
    <row r="60" spans="1:4" x14ac:dyDescent="0.25">
      <c r="A60" s="4" t="s">
        <v>332</v>
      </c>
      <c r="B60" s="4">
        <v>302215</v>
      </c>
      <c r="C60" s="4" t="s">
        <v>1447</v>
      </c>
      <c r="D60" s="9">
        <v>1290</v>
      </c>
    </row>
    <row r="61" spans="1:4" x14ac:dyDescent="0.25">
      <c r="A61" s="4" t="s">
        <v>61</v>
      </c>
      <c r="B61" s="4">
        <v>295706</v>
      </c>
      <c r="C61" s="4" t="s">
        <v>1298</v>
      </c>
      <c r="D61" s="9">
        <v>0</v>
      </c>
    </row>
    <row r="62" spans="1:4" x14ac:dyDescent="0.25">
      <c r="A62" s="4" t="s">
        <v>208</v>
      </c>
      <c r="B62" s="4">
        <v>214233</v>
      </c>
      <c r="C62" s="4" t="s">
        <v>1539</v>
      </c>
      <c r="D62" s="9">
        <v>0</v>
      </c>
    </row>
    <row r="63" spans="1:4" x14ac:dyDescent="0.25">
      <c r="A63" s="33" t="s">
        <v>718</v>
      </c>
      <c r="B63" s="35">
        <v>310636</v>
      </c>
      <c r="C63" s="33" t="s">
        <v>1540</v>
      </c>
      <c r="D63" s="34">
        <v>1380</v>
      </c>
    </row>
    <row r="64" spans="1:4" x14ac:dyDescent="0.25">
      <c r="A64" s="4" t="s">
        <v>718</v>
      </c>
      <c r="B64" s="4">
        <v>309296</v>
      </c>
      <c r="C64" s="4" t="s">
        <v>1543</v>
      </c>
      <c r="D64" s="9">
        <v>2400</v>
      </c>
    </row>
    <row r="65" spans="1:4" x14ac:dyDescent="0.25">
      <c r="A65" s="4" t="s">
        <v>718</v>
      </c>
      <c r="B65" s="4">
        <v>310635</v>
      </c>
      <c r="C65" s="4" t="s">
        <v>1544</v>
      </c>
      <c r="D65" s="9">
        <v>2415</v>
      </c>
    </row>
    <row r="66" spans="1:4" x14ac:dyDescent="0.25">
      <c r="C66" s="31" t="s">
        <v>83</v>
      </c>
      <c r="D66" s="32">
        <f>SUM(D2:D65)</f>
        <v>268275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C534-8A53-49A0-BAC6-D036904540CF}">
  <dimension ref="A1:D20"/>
  <sheetViews>
    <sheetView zoomScaleNormal="100" zoomScaleSheetLayoutView="100" workbookViewId="0">
      <selection activeCell="C24" sqref="C24"/>
    </sheetView>
  </sheetViews>
  <sheetFormatPr defaultRowHeight="15" x14ac:dyDescent="0.25"/>
  <cols>
    <col min="1" max="1" width="46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24</v>
      </c>
      <c r="B2" s="4">
        <v>311788</v>
      </c>
      <c r="C2" s="4" t="s">
        <v>1574</v>
      </c>
      <c r="D2" s="9">
        <v>16402</v>
      </c>
    </row>
    <row r="3" spans="1:4" x14ac:dyDescent="0.25">
      <c r="A3" s="33" t="s">
        <v>24</v>
      </c>
      <c r="B3" s="35">
        <v>309385</v>
      </c>
      <c r="C3" s="33" t="s">
        <v>1520</v>
      </c>
      <c r="D3" s="34">
        <v>0</v>
      </c>
    </row>
    <row r="4" spans="1:4" x14ac:dyDescent="0.25">
      <c r="A4" s="4" t="s">
        <v>111</v>
      </c>
      <c r="B4" s="4">
        <v>299796</v>
      </c>
      <c r="C4" s="4" t="s">
        <v>1316</v>
      </c>
      <c r="D4" s="9">
        <v>0</v>
      </c>
    </row>
    <row r="5" spans="1:4" x14ac:dyDescent="0.25">
      <c r="A5" s="33" t="s">
        <v>175</v>
      </c>
      <c r="B5" s="35">
        <v>309124</v>
      </c>
      <c r="C5" s="33" t="s">
        <v>1523</v>
      </c>
      <c r="D5" s="34">
        <v>5995</v>
      </c>
    </row>
    <row r="6" spans="1:4" x14ac:dyDescent="0.25">
      <c r="A6" s="4" t="s">
        <v>26</v>
      </c>
      <c r="B6" s="4">
        <v>308573</v>
      </c>
      <c r="C6" s="4" t="s">
        <v>1524</v>
      </c>
      <c r="D6" s="9">
        <v>160</v>
      </c>
    </row>
    <row r="7" spans="1:4" x14ac:dyDescent="0.25">
      <c r="A7" s="4" t="s">
        <v>1575</v>
      </c>
      <c r="B7" s="4">
        <v>303564</v>
      </c>
      <c r="C7" s="4" t="s">
        <v>1576</v>
      </c>
      <c r="D7" s="9">
        <v>10190</v>
      </c>
    </row>
    <row r="8" spans="1:4" x14ac:dyDescent="0.25">
      <c r="A8" s="4" t="s">
        <v>1180</v>
      </c>
      <c r="B8" s="4">
        <v>311083</v>
      </c>
      <c r="C8" s="4" t="s">
        <v>1571</v>
      </c>
      <c r="D8" s="9">
        <v>4224</v>
      </c>
    </row>
    <row r="9" spans="1:4" x14ac:dyDescent="0.25">
      <c r="A9" s="4" t="s">
        <v>832</v>
      </c>
      <c r="B9" s="4">
        <v>311586</v>
      </c>
      <c r="C9" s="4" t="s">
        <v>1577</v>
      </c>
      <c r="D9" s="9">
        <v>4110</v>
      </c>
    </row>
    <row r="10" spans="1:4" x14ac:dyDescent="0.25">
      <c r="A10" s="4" t="s">
        <v>832</v>
      </c>
      <c r="B10" s="4">
        <v>310780</v>
      </c>
      <c r="C10" s="4" t="s">
        <v>1578</v>
      </c>
      <c r="D10" s="9">
        <v>6215</v>
      </c>
    </row>
    <row r="11" spans="1:4" x14ac:dyDescent="0.25">
      <c r="A11" s="4" t="s">
        <v>832</v>
      </c>
      <c r="B11" s="4">
        <v>308484</v>
      </c>
      <c r="C11" s="4" t="s">
        <v>1579</v>
      </c>
      <c r="D11" s="9">
        <v>5030</v>
      </c>
    </row>
    <row r="12" spans="1:4" x14ac:dyDescent="0.25">
      <c r="A12" s="4" t="s">
        <v>832</v>
      </c>
      <c r="B12" s="4">
        <v>299263</v>
      </c>
      <c r="C12" s="4" t="s">
        <v>1534</v>
      </c>
      <c r="D12" s="9">
        <v>1990</v>
      </c>
    </row>
    <row r="13" spans="1:4" x14ac:dyDescent="0.25">
      <c r="A13" s="4" t="s">
        <v>1387</v>
      </c>
      <c r="B13" s="4">
        <v>309210</v>
      </c>
      <c r="C13" s="4" t="s">
        <v>1580</v>
      </c>
      <c r="D13" s="9">
        <v>11475</v>
      </c>
    </row>
    <row r="14" spans="1:4" x14ac:dyDescent="0.25">
      <c r="A14" s="33" t="s">
        <v>995</v>
      </c>
      <c r="B14" s="35">
        <v>293624</v>
      </c>
      <c r="C14" s="33" t="s">
        <v>1315</v>
      </c>
      <c r="D14" s="34">
        <v>1586</v>
      </c>
    </row>
    <row r="15" spans="1:4" x14ac:dyDescent="0.25">
      <c r="A15" s="4" t="s">
        <v>52</v>
      </c>
      <c r="B15" s="4">
        <v>285324</v>
      </c>
      <c r="C15" s="4" t="s">
        <v>1345</v>
      </c>
      <c r="D15" s="9">
        <v>1320</v>
      </c>
    </row>
    <row r="16" spans="1:4" x14ac:dyDescent="0.25">
      <c r="A16" s="4" t="s">
        <v>52</v>
      </c>
      <c r="B16" s="4">
        <v>306630</v>
      </c>
      <c r="C16" s="4" t="s">
        <v>1388</v>
      </c>
      <c r="D16" s="9">
        <v>3550</v>
      </c>
    </row>
    <row r="17" spans="1:4" x14ac:dyDescent="0.25">
      <c r="A17" s="4" t="s">
        <v>371</v>
      </c>
      <c r="B17" s="4">
        <v>311399</v>
      </c>
      <c r="C17" s="4" t="s">
        <v>1572</v>
      </c>
      <c r="D17" s="9">
        <v>70740</v>
      </c>
    </row>
    <row r="18" spans="1:4" x14ac:dyDescent="0.25">
      <c r="A18" s="4" t="s">
        <v>371</v>
      </c>
      <c r="B18" s="4">
        <v>311402</v>
      </c>
      <c r="C18" s="4" t="s">
        <v>1573</v>
      </c>
      <c r="D18" s="9">
        <v>119995</v>
      </c>
    </row>
    <row r="19" spans="1:4" x14ac:dyDescent="0.25">
      <c r="A19" s="4" t="s">
        <v>208</v>
      </c>
      <c r="B19" s="4">
        <v>214233</v>
      </c>
      <c r="C19" s="4" t="s">
        <v>1539</v>
      </c>
      <c r="D19" s="9">
        <v>0</v>
      </c>
    </row>
    <row r="20" spans="1:4" x14ac:dyDescent="0.25">
      <c r="C20" s="31" t="s">
        <v>83</v>
      </c>
      <c r="D20" s="32">
        <f>SUM(D2:D19)</f>
        <v>262982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68F3-B727-43C4-AF2E-33174ECBDCCF}">
  <dimension ref="A1:D17"/>
  <sheetViews>
    <sheetView zoomScaleNormal="100" zoomScaleSheetLayoutView="100" workbookViewId="0">
      <selection activeCell="C22" sqref="C22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311971</v>
      </c>
      <c r="C2" s="4" t="s">
        <v>1581</v>
      </c>
      <c r="D2" s="9">
        <v>395</v>
      </c>
    </row>
    <row r="3" spans="1:4" x14ac:dyDescent="0.25">
      <c r="A3" s="33" t="s">
        <v>24</v>
      </c>
      <c r="B3" s="35">
        <v>309385</v>
      </c>
      <c r="C3" s="33" t="s">
        <v>1520</v>
      </c>
      <c r="D3" s="34">
        <v>0</v>
      </c>
    </row>
    <row r="4" spans="1:4" x14ac:dyDescent="0.25">
      <c r="A4" s="4" t="s">
        <v>111</v>
      </c>
      <c r="B4" s="4">
        <v>299796</v>
      </c>
      <c r="C4" s="4" t="s">
        <v>1316</v>
      </c>
      <c r="D4" s="9">
        <v>0</v>
      </c>
    </row>
    <row r="5" spans="1:4" x14ac:dyDescent="0.25">
      <c r="A5" s="33" t="s">
        <v>175</v>
      </c>
      <c r="B5" s="35">
        <v>309124</v>
      </c>
      <c r="C5" s="33" t="s">
        <v>1523</v>
      </c>
      <c r="D5" s="34">
        <v>5995</v>
      </c>
    </row>
    <row r="6" spans="1:4" x14ac:dyDescent="0.25">
      <c r="A6" s="4" t="s">
        <v>26</v>
      </c>
      <c r="B6" s="4">
        <v>308573</v>
      </c>
      <c r="C6" s="4" t="s">
        <v>1524</v>
      </c>
      <c r="D6" s="9">
        <v>160</v>
      </c>
    </row>
    <row r="7" spans="1:4" x14ac:dyDescent="0.25">
      <c r="A7" s="4" t="s">
        <v>1582</v>
      </c>
      <c r="B7" s="4">
        <v>311525</v>
      </c>
      <c r="C7" s="4" t="s">
        <v>1583</v>
      </c>
      <c r="D7" s="9">
        <v>14448</v>
      </c>
    </row>
    <row r="8" spans="1:4" x14ac:dyDescent="0.25">
      <c r="A8" s="4" t="s">
        <v>832</v>
      </c>
      <c r="B8" s="4">
        <v>299263</v>
      </c>
      <c r="C8" s="4" t="s">
        <v>1534</v>
      </c>
      <c r="D8" s="9">
        <v>1990</v>
      </c>
    </row>
    <row r="9" spans="1:4" x14ac:dyDescent="0.25">
      <c r="A9" s="4" t="s">
        <v>832</v>
      </c>
      <c r="B9" s="4">
        <v>299599</v>
      </c>
      <c r="C9" s="4" t="s">
        <v>1584</v>
      </c>
      <c r="D9" s="9">
        <v>12600</v>
      </c>
    </row>
    <row r="10" spans="1:4" x14ac:dyDescent="0.25">
      <c r="A10" s="4" t="s">
        <v>1387</v>
      </c>
      <c r="B10" s="4">
        <v>309210</v>
      </c>
      <c r="C10" s="4" t="s">
        <v>1580</v>
      </c>
      <c r="D10" s="9">
        <v>11475</v>
      </c>
    </row>
    <row r="11" spans="1:4" x14ac:dyDescent="0.25">
      <c r="A11" s="4" t="s">
        <v>995</v>
      </c>
      <c r="B11" s="4">
        <v>293624</v>
      </c>
      <c r="C11" s="4" t="s">
        <v>1315</v>
      </c>
      <c r="D11" s="9">
        <v>1586</v>
      </c>
    </row>
    <row r="12" spans="1:4" x14ac:dyDescent="0.25">
      <c r="A12" s="4" t="s">
        <v>52</v>
      </c>
      <c r="B12" s="4">
        <v>285324</v>
      </c>
      <c r="C12" s="4" t="s">
        <v>1345</v>
      </c>
      <c r="D12" s="9">
        <v>1320</v>
      </c>
    </row>
    <row r="13" spans="1:4" x14ac:dyDescent="0.25">
      <c r="A13" s="4" t="s">
        <v>52</v>
      </c>
      <c r="B13" s="4">
        <v>306630</v>
      </c>
      <c r="C13" s="4" t="s">
        <v>1388</v>
      </c>
      <c r="D13" s="9">
        <v>3550</v>
      </c>
    </row>
    <row r="14" spans="1:4" x14ac:dyDescent="0.25">
      <c r="A14" s="33" t="s">
        <v>371</v>
      </c>
      <c r="B14" s="35">
        <v>311399</v>
      </c>
      <c r="C14" s="33" t="s">
        <v>1572</v>
      </c>
      <c r="D14" s="34">
        <v>70740</v>
      </c>
    </row>
    <row r="15" spans="1:4" x14ac:dyDescent="0.25">
      <c r="A15" s="4" t="s">
        <v>371</v>
      </c>
      <c r="B15" s="4">
        <v>311402</v>
      </c>
      <c r="C15" s="4" t="s">
        <v>1573</v>
      </c>
      <c r="D15" s="9">
        <v>119995</v>
      </c>
    </row>
    <row r="16" spans="1:4" x14ac:dyDescent="0.25">
      <c r="A16" s="4" t="s">
        <v>208</v>
      </c>
      <c r="B16" s="4">
        <v>214233</v>
      </c>
      <c r="C16" s="4" t="s">
        <v>1539</v>
      </c>
      <c r="D16" s="9">
        <v>0</v>
      </c>
    </row>
    <row r="17" spans="3:4" x14ac:dyDescent="0.25">
      <c r="C17" s="31" t="s">
        <v>83</v>
      </c>
      <c r="D17" s="32">
        <f>SUM(D2:D16)</f>
        <v>244254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7E7C-3478-473D-8D4B-7D44EE536ADA}">
  <dimension ref="A1:D32"/>
  <sheetViews>
    <sheetView zoomScaleNormal="100" zoomScaleSheetLayoutView="100" workbookViewId="0">
      <selection activeCell="C48" sqref="C48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256</v>
      </c>
      <c r="B2" s="35">
        <v>311940</v>
      </c>
      <c r="C2" s="33" t="s">
        <v>1585</v>
      </c>
      <c r="D2" s="34">
        <v>5085</v>
      </c>
    </row>
    <row r="3" spans="1:4" x14ac:dyDescent="0.25">
      <c r="A3" s="4" t="s">
        <v>256</v>
      </c>
      <c r="B3" s="4">
        <v>311971</v>
      </c>
      <c r="C3" s="4" t="s">
        <v>1581</v>
      </c>
      <c r="D3" s="9">
        <v>395</v>
      </c>
    </row>
    <row r="4" spans="1:4" x14ac:dyDescent="0.25">
      <c r="A4" s="4" t="s">
        <v>256</v>
      </c>
      <c r="B4" s="4">
        <v>313558</v>
      </c>
      <c r="C4" s="4" t="s">
        <v>1586</v>
      </c>
      <c r="D4" s="9">
        <v>100</v>
      </c>
    </row>
    <row r="5" spans="1:4" x14ac:dyDescent="0.25">
      <c r="A5" s="4" t="s">
        <v>147</v>
      </c>
      <c r="B5" s="4">
        <v>314677</v>
      </c>
      <c r="C5" s="4" t="s">
        <v>1587</v>
      </c>
      <c r="D5" s="9">
        <v>1595</v>
      </c>
    </row>
    <row r="6" spans="1:4" x14ac:dyDescent="0.25">
      <c r="A6" s="4" t="s">
        <v>24</v>
      </c>
      <c r="B6" s="4">
        <v>309385</v>
      </c>
      <c r="C6" s="4" t="s">
        <v>1520</v>
      </c>
      <c r="D6" s="9">
        <v>0</v>
      </c>
    </row>
    <row r="7" spans="1:4" x14ac:dyDescent="0.25">
      <c r="A7" s="4" t="s">
        <v>26</v>
      </c>
      <c r="B7" s="4">
        <v>308573</v>
      </c>
      <c r="C7" s="4" t="s">
        <v>1524</v>
      </c>
      <c r="D7" s="9">
        <v>160</v>
      </c>
    </row>
    <row r="8" spans="1:4" x14ac:dyDescent="0.25">
      <c r="A8" s="4" t="s">
        <v>1582</v>
      </c>
      <c r="B8" s="4">
        <v>311732</v>
      </c>
      <c r="C8" s="4" t="s">
        <v>1588</v>
      </c>
      <c r="D8" s="9">
        <v>1420</v>
      </c>
    </row>
    <row r="9" spans="1:4" x14ac:dyDescent="0.25">
      <c r="A9" s="4" t="s">
        <v>180</v>
      </c>
      <c r="B9" s="4">
        <v>311130</v>
      </c>
      <c r="C9" s="4" t="s">
        <v>1589</v>
      </c>
      <c r="D9" s="9">
        <v>6225</v>
      </c>
    </row>
    <row r="10" spans="1:4" x14ac:dyDescent="0.25">
      <c r="A10" s="4" t="s">
        <v>718</v>
      </c>
      <c r="B10" s="4">
        <v>314703</v>
      </c>
      <c r="C10" s="4" t="s">
        <v>1590</v>
      </c>
      <c r="D10" s="9">
        <v>4500</v>
      </c>
    </row>
    <row r="11" spans="1:4" x14ac:dyDescent="0.25">
      <c r="A11" s="33" t="s">
        <v>1591</v>
      </c>
      <c r="B11" s="35">
        <v>312463</v>
      </c>
      <c r="C11" s="33" t="s">
        <v>1592</v>
      </c>
      <c r="D11" s="34">
        <v>10055</v>
      </c>
    </row>
    <row r="12" spans="1:4" x14ac:dyDescent="0.25">
      <c r="A12" s="4" t="s">
        <v>315</v>
      </c>
      <c r="B12" s="4">
        <v>306585</v>
      </c>
      <c r="C12" s="4" t="s">
        <v>1593</v>
      </c>
      <c r="D12" s="9">
        <v>17975</v>
      </c>
    </row>
    <row r="13" spans="1:4" x14ac:dyDescent="0.25">
      <c r="A13" s="33" t="s">
        <v>832</v>
      </c>
      <c r="B13" s="35">
        <v>312030</v>
      </c>
      <c r="C13" s="33" t="s">
        <v>1594</v>
      </c>
      <c r="D13" s="34">
        <v>150</v>
      </c>
    </row>
    <row r="14" spans="1:4" x14ac:dyDescent="0.25">
      <c r="A14" s="4" t="s">
        <v>832</v>
      </c>
      <c r="B14" s="4">
        <v>311012</v>
      </c>
      <c r="C14" s="4" t="s">
        <v>1595</v>
      </c>
      <c r="D14" s="9">
        <v>35857</v>
      </c>
    </row>
    <row r="15" spans="1:4" x14ac:dyDescent="0.25">
      <c r="A15" s="4" t="s">
        <v>832</v>
      </c>
      <c r="B15" s="4">
        <v>312206</v>
      </c>
      <c r="C15" s="4" t="s">
        <v>1596</v>
      </c>
      <c r="D15" s="9">
        <v>1800</v>
      </c>
    </row>
    <row r="16" spans="1:4" x14ac:dyDescent="0.25">
      <c r="A16" s="4" t="s">
        <v>1387</v>
      </c>
      <c r="B16" s="4">
        <v>309210</v>
      </c>
      <c r="C16" s="4" t="s">
        <v>1580</v>
      </c>
      <c r="D16" s="9">
        <v>11475</v>
      </c>
    </row>
    <row r="17" spans="1:4" x14ac:dyDescent="0.25">
      <c r="A17" s="4" t="s">
        <v>995</v>
      </c>
      <c r="B17" s="4">
        <v>314730</v>
      </c>
      <c r="C17" s="4" t="s">
        <v>1597</v>
      </c>
      <c r="D17" s="9">
        <v>3540</v>
      </c>
    </row>
    <row r="18" spans="1:4" x14ac:dyDescent="0.25">
      <c r="A18" s="4" t="s">
        <v>995</v>
      </c>
      <c r="B18" s="4">
        <v>314730</v>
      </c>
      <c r="C18" s="4" t="s">
        <v>1598</v>
      </c>
      <c r="D18" s="9">
        <v>4095</v>
      </c>
    </row>
    <row r="19" spans="1:4" x14ac:dyDescent="0.25">
      <c r="A19" s="4" t="s">
        <v>995</v>
      </c>
      <c r="B19" s="4">
        <v>314730</v>
      </c>
      <c r="C19" s="4" t="s">
        <v>1599</v>
      </c>
      <c r="D19" s="9">
        <v>2840</v>
      </c>
    </row>
    <row r="20" spans="1:4" x14ac:dyDescent="0.25">
      <c r="A20" s="4" t="s">
        <v>995</v>
      </c>
      <c r="B20" s="4">
        <v>314730</v>
      </c>
      <c r="C20" s="4" t="s">
        <v>1600</v>
      </c>
      <c r="D20" s="9">
        <v>3985</v>
      </c>
    </row>
    <row r="21" spans="1:4" x14ac:dyDescent="0.25">
      <c r="A21" s="4" t="s">
        <v>995</v>
      </c>
      <c r="B21" s="4">
        <v>314730</v>
      </c>
      <c r="C21" s="4" t="s">
        <v>1601</v>
      </c>
      <c r="D21" s="9">
        <v>5450</v>
      </c>
    </row>
    <row r="22" spans="1:4" x14ac:dyDescent="0.25">
      <c r="A22" s="33" t="s">
        <v>995</v>
      </c>
      <c r="B22" s="35">
        <v>314730</v>
      </c>
      <c r="C22" s="33" t="s">
        <v>1602</v>
      </c>
      <c r="D22" s="34">
        <v>3540</v>
      </c>
    </row>
    <row r="23" spans="1:4" x14ac:dyDescent="0.25">
      <c r="A23" s="4" t="s">
        <v>995</v>
      </c>
      <c r="B23" s="4">
        <v>314730</v>
      </c>
      <c r="C23" s="4" t="s">
        <v>1603</v>
      </c>
      <c r="D23" s="9">
        <v>4470</v>
      </c>
    </row>
    <row r="24" spans="1:4" x14ac:dyDescent="0.25">
      <c r="A24" s="4" t="s">
        <v>995</v>
      </c>
      <c r="B24" s="4">
        <v>293624</v>
      </c>
      <c r="C24" s="4" t="s">
        <v>1315</v>
      </c>
      <c r="D24" s="9">
        <v>1586</v>
      </c>
    </row>
    <row r="25" spans="1:4" x14ac:dyDescent="0.25">
      <c r="A25" s="33" t="s">
        <v>52</v>
      </c>
      <c r="B25" s="35">
        <v>311206</v>
      </c>
      <c r="C25" s="33" t="s">
        <v>1604</v>
      </c>
      <c r="D25" s="34">
        <v>7420</v>
      </c>
    </row>
    <row r="26" spans="1:4" x14ac:dyDescent="0.25">
      <c r="A26" s="4" t="s">
        <v>52</v>
      </c>
      <c r="B26" s="4">
        <v>285324</v>
      </c>
      <c r="C26" s="4" t="s">
        <v>1345</v>
      </c>
      <c r="D26" s="9">
        <v>1320</v>
      </c>
    </row>
    <row r="27" spans="1:4" x14ac:dyDescent="0.25">
      <c r="A27" s="33" t="s">
        <v>52</v>
      </c>
      <c r="B27" s="35">
        <v>306630</v>
      </c>
      <c r="C27" s="33" t="s">
        <v>1388</v>
      </c>
      <c r="D27" s="34">
        <v>3550</v>
      </c>
    </row>
    <row r="28" spans="1:4" x14ac:dyDescent="0.25">
      <c r="A28" s="4" t="s">
        <v>371</v>
      </c>
      <c r="B28" s="4">
        <v>311398</v>
      </c>
      <c r="C28" s="4" t="s">
        <v>1605</v>
      </c>
      <c r="D28" s="9">
        <v>900</v>
      </c>
    </row>
    <row r="29" spans="1:4" x14ac:dyDescent="0.25">
      <c r="A29" s="4" t="s">
        <v>371</v>
      </c>
      <c r="B29" s="4">
        <v>311400</v>
      </c>
      <c r="C29" s="4" t="s">
        <v>1606</v>
      </c>
      <c r="D29" s="9">
        <v>52560</v>
      </c>
    </row>
    <row r="30" spans="1:4" x14ac:dyDescent="0.25">
      <c r="A30" s="4" t="s">
        <v>371</v>
      </c>
      <c r="B30" s="4">
        <v>311399</v>
      </c>
      <c r="C30" s="4" t="s">
        <v>1572</v>
      </c>
      <c r="D30" s="9">
        <v>70740</v>
      </c>
    </row>
    <row r="31" spans="1:4" x14ac:dyDescent="0.25">
      <c r="A31" s="4" t="s">
        <v>371</v>
      </c>
      <c r="B31" s="4">
        <v>311402</v>
      </c>
      <c r="C31" s="4" t="s">
        <v>1573</v>
      </c>
      <c r="D31" s="9">
        <v>119995</v>
      </c>
    </row>
    <row r="32" spans="1:4" x14ac:dyDescent="0.25">
      <c r="C32" s="31" t="s">
        <v>83</v>
      </c>
      <c r="D32" s="32">
        <f>SUM(D24:D31)</f>
        <v>258071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19C5-E753-43B1-B224-8A270FF5F185}">
  <dimension ref="A1:D39"/>
  <sheetViews>
    <sheetView zoomScaleNormal="100" zoomScaleSheetLayoutView="100" workbookViewId="0">
      <selection activeCell="F23" sqref="F23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256</v>
      </c>
      <c r="B2" s="35">
        <v>315077</v>
      </c>
      <c r="C2" s="33" t="s">
        <v>1607</v>
      </c>
      <c r="D2" s="34">
        <v>4130</v>
      </c>
    </row>
    <row r="3" spans="1:4" x14ac:dyDescent="0.25">
      <c r="A3" s="4" t="s">
        <v>256</v>
      </c>
      <c r="B3" s="4">
        <v>315077</v>
      </c>
      <c r="C3" s="4" t="s">
        <v>1608</v>
      </c>
      <c r="D3" s="9">
        <v>40425</v>
      </c>
    </row>
    <row r="4" spans="1:4" x14ac:dyDescent="0.25">
      <c r="A4" s="4" t="s">
        <v>500</v>
      </c>
      <c r="B4" s="4">
        <v>311951</v>
      </c>
      <c r="C4" s="4" t="s">
        <v>1609</v>
      </c>
      <c r="D4" s="9">
        <v>1433</v>
      </c>
    </row>
    <row r="5" spans="1:4" x14ac:dyDescent="0.25">
      <c r="A5" s="4" t="s">
        <v>500</v>
      </c>
      <c r="B5" s="4">
        <v>311952</v>
      </c>
      <c r="C5" s="4" t="s">
        <v>1610</v>
      </c>
      <c r="D5" s="9">
        <v>1819</v>
      </c>
    </row>
    <row r="6" spans="1:4" x14ac:dyDescent="0.25">
      <c r="A6" s="4" t="s">
        <v>500</v>
      </c>
      <c r="B6" s="4">
        <v>311953</v>
      </c>
      <c r="C6" s="4" t="s">
        <v>1611</v>
      </c>
      <c r="D6" s="9">
        <v>2757</v>
      </c>
    </row>
    <row r="7" spans="1:4" x14ac:dyDescent="0.25">
      <c r="A7" s="4" t="s">
        <v>500</v>
      </c>
      <c r="B7" s="4">
        <v>311954</v>
      </c>
      <c r="C7" s="4" t="s">
        <v>1612</v>
      </c>
      <c r="D7" s="9">
        <v>772</v>
      </c>
    </row>
    <row r="8" spans="1:4" x14ac:dyDescent="0.25">
      <c r="A8" s="4" t="s">
        <v>500</v>
      </c>
      <c r="B8" s="4">
        <v>311942</v>
      </c>
      <c r="C8" s="4" t="s">
        <v>1613</v>
      </c>
      <c r="D8" s="9">
        <v>2757</v>
      </c>
    </row>
    <row r="9" spans="1:4" x14ac:dyDescent="0.25">
      <c r="A9" s="33" t="s">
        <v>500</v>
      </c>
      <c r="B9" s="35">
        <v>311944</v>
      </c>
      <c r="C9" s="33" t="s">
        <v>1614</v>
      </c>
      <c r="D9" s="34">
        <v>3528</v>
      </c>
    </row>
    <row r="10" spans="1:4" x14ac:dyDescent="0.25">
      <c r="A10" s="4" t="s">
        <v>500</v>
      </c>
      <c r="B10" s="4">
        <v>311945</v>
      </c>
      <c r="C10" s="4" t="s">
        <v>1615</v>
      </c>
      <c r="D10" s="9">
        <v>4190</v>
      </c>
    </row>
    <row r="11" spans="1:4" x14ac:dyDescent="0.25">
      <c r="A11" s="33" t="s">
        <v>500</v>
      </c>
      <c r="B11" s="35">
        <v>311946</v>
      </c>
      <c r="C11" s="33" t="s">
        <v>1616</v>
      </c>
      <c r="D11" s="34">
        <v>5072</v>
      </c>
    </row>
    <row r="12" spans="1:4" x14ac:dyDescent="0.25">
      <c r="A12" s="4" t="s">
        <v>500</v>
      </c>
      <c r="B12" s="4">
        <v>311947</v>
      </c>
      <c r="C12" s="4" t="s">
        <v>1617</v>
      </c>
      <c r="D12" s="9">
        <v>110</v>
      </c>
    </row>
    <row r="13" spans="1:4" x14ac:dyDescent="0.25">
      <c r="A13" s="4" t="s">
        <v>500</v>
      </c>
      <c r="B13" s="4">
        <v>311948</v>
      </c>
      <c r="C13" s="4" t="s">
        <v>1618</v>
      </c>
      <c r="D13" s="9">
        <v>882</v>
      </c>
    </row>
    <row r="14" spans="1:4" x14ac:dyDescent="0.25">
      <c r="A14" s="4" t="s">
        <v>500</v>
      </c>
      <c r="B14" s="4">
        <v>311949</v>
      </c>
      <c r="C14" s="4" t="s">
        <v>1619</v>
      </c>
      <c r="D14" s="9">
        <v>2095</v>
      </c>
    </row>
    <row r="15" spans="1:4" x14ac:dyDescent="0.25">
      <c r="A15" s="4" t="s">
        <v>500</v>
      </c>
      <c r="B15" s="4">
        <v>311950</v>
      </c>
      <c r="C15" s="4" t="s">
        <v>1620</v>
      </c>
      <c r="D15" s="9">
        <v>165</v>
      </c>
    </row>
    <row r="16" spans="1:4" x14ac:dyDescent="0.25">
      <c r="A16" s="4" t="s">
        <v>24</v>
      </c>
      <c r="B16" s="4">
        <v>315259</v>
      </c>
      <c r="C16" s="4" t="s">
        <v>1621</v>
      </c>
      <c r="D16" s="9">
        <v>8539</v>
      </c>
    </row>
    <row r="17" spans="1:4" x14ac:dyDescent="0.25">
      <c r="A17" s="4" t="s">
        <v>24</v>
      </c>
      <c r="B17" s="4">
        <v>315274</v>
      </c>
      <c r="C17" s="4" t="s">
        <v>1622</v>
      </c>
      <c r="D17" s="9">
        <v>39000</v>
      </c>
    </row>
    <row r="18" spans="1:4" x14ac:dyDescent="0.25">
      <c r="A18" s="4" t="s">
        <v>24</v>
      </c>
      <c r="B18" s="4">
        <v>309385</v>
      </c>
      <c r="C18" s="4" t="s">
        <v>1520</v>
      </c>
      <c r="D18" s="9">
        <v>0</v>
      </c>
    </row>
    <row r="19" spans="1:4" x14ac:dyDescent="0.25">
      <c r="A19" s="4" t="s">
        <v>26</v>
      </c>
      <c r="B19" s="4">
        <v>308573</v>
      </c>
      <c r="C19" s="4" t="s">
        <v>1524</v>
      </c>
      <c r="D19" s="9">
        <v>160</v>
      </c>
    </row>
    <row r="20" spans="1:4" x14ac:dyDescent="0.25">
      <c r="A20" s="33" t="s">
        <v>180</v>
      </c>
      <c r="B20" s="35">
        <v>314742</v>
      </c>
      <c r="C20" s="33" t="s">
        <v>1623</v>
      </c>
      <c r="D20" s="34">
        <v>260</v>
      </c>
    </row>
    <row r="21" spans="1:4" x14ac:dyDescent="0.25">
      <c r="A21" s="4" t="s">
        <v>718</v>
      </c>
      <c r="B21" s="4">
        <v>310700</v>
      </c>
      <c r="C21" s="4" t="s">
        <v>1624</v>
      </c>
      <c r="D21" s="9">
        <v>2291</v>
      </c>
    </row>
    <row r="22" spans="1:4" x14ac:dyDescent="0.25">
      <c r="A22" s="4" t="s">
        <v>718</v>
      </c>
      <c r="B22" s="4">
        <v>314703</v>
      </c>
      <c r="C22" s="4" t="s">
        <v>1590</v>
      </c>
      <c r="D22" s="9">
        <v>4500</v>
      </c>
    </row>
    <row r="23" spans="1:4" x14ac:dyDescent="0.25">
      <c r="A23" s="4" t="s">
        <v>34</v>
      </c>
      <c r="B23" s="4">
        <v>314748</v>
      </c>
      <c r="C23" s="4" t="s">
        <v>1625</v>
      </c>
      <c r="D23" s="9">
        <v>199</v>
      </c>
    </row>
    <row r="24" spans="1:4" x14ac:dyDescent="0.25">
      <c r="A24" s="4" t="s">
        <v>34</v>
      </c>
      <c r="B24" s="4">
        <v>314771</v>
      </c>
      <c r="C24" s="4" t="s">
        <v>1626</v>
      </c>
      <c r="D24" s="9">
        <v>2700</v>
      </c>
    </row>
    <row r="25" spans="1:4" x14ac:dyDescent="0.25">
      <c r="A25" s="4" t="s">
        <v>34</v>
      </c>
      <c r="B25" s="4">
        <v>314648</v>
      </c>
      <c r="C25" s="4" t="s">
        <v>1627</v>
      </c>
      <c r="D25" s="9">
        <v>9102</v>
      </c>
    </row>
    <row r="26" spans="1:4" x14ac:dyDescent="0.25">
      <c r="A26" s="33" t="s">
        <v>315</v>
      </c>
      <c r="B26" s="35">
        <v>312326</v>
      </c>
      <c r="C26" s="33" t="s">
        <v>1628</v>
      </c>
      <c r="D26" s="34">
        <v>525</v>
      </c>
    </row>
    <row r="27" spans="1:4" x14ac:dyDescent="0.25">
      <c r="A27" s="4" t="s">
        <v>832</v>
      </c>
      <c r="B27" s="4">
        <v>312030</v>
      </c>
      <c r="C27" s="4" t="s">
        <v>1594</v>
      </c>
      <c r="D27" s="9">
        <v>150</v>
      </c>
    </row>
    <row r="28" spans="1:4" x14ac:dyDescent="0.25">
      <c r="A28" s="33" t="s">
        <v>1387</v>
      </c>
      <c r="B28" s="35">
        <v>309210</v>
      </c>
      <c r="C28" s="33" t="s">
        <v>1580</v>
      </c>
      <c r="D28" s="34">
        <v>11475</v>
      </c>
    </row>
    <row r="29" spans="1:4" x14ac:dyDescent="0.25">
      <c r="A29" s="4" t="s">
        <v>995</v>
      </c>
      <c r="B29" s="4">
        <v>314730</v>
      </c>
      <c r="C29" s="4" t="s">
        <v>1603</v>
      </c>
      <c r="D29" s="9">
        <v>4470</v>
      </c>
    </row>
    <row r="30" spans="1:4" x14ac:dyDescent="0.25">
      <c r="A30" s="4" t="s">
        <v>995</v>
      </c>
      <c r="B30" s="4">
        <v>293624</v>
      </c>
      <c r="C30" s="4" t="s">
        <v>1315</v>
      </c>
      <c r="D30" s="9">
        <v>1586</v>
      </c>
    </row>
    <row r="31" spans="1:4" x14ac:dyDescent="0.25">
      <c r="A31" s="4" t="s">
        <v>52</v>
      </c>
      <c r="B31" s="4">
        <v>285324</v>
      </c>
      <c r="C31" s="4" t="s">
        <v>1345</v>
      </c>
      <c r="D31" s="9">
        <v>1320</v>
      </c>
    </row>
    <row r="32" spans="1:4" x14ac:dyDescent="0.25">
      <c r="A32" s="4" t="s">
        <v>52</v>
      </c>
      <c r="B32" s="4">
        <v>306630</v>
      </c>
      <c r="C32" s="4" t="s">
        <v>1388</v>
      </c>
      <c r="D32" s="9">
        <v>3550</v>
      </c>
    </row>
    <row r="33" spans="1:4" x14ac:dyDescent="0.25">
      <c r="A33" s="4" t="s">
        <v>371</v>
      </c>
      <c r="B33" s="4">
        <v>311398</v>
      </c>
      <c r="C33" s="4" t="s">
        <v>1605</v>
      </c>
      <c r="D33" s="9">
        <v>900</v>
      </c>
    </row>
    <row r="34" spans="1:4" x14ac:dyDescent="0.25">
      <c r="A34" s="4" t="s">
        <v>371</v>
      </c>
      <c r="B34" s="4">
        <v>311400</v>
      </c>
      <c r="C34" s="4" t="s">
        <v>1606</v>
      </c>
      <c r="D34" s="9">
        <v>52560</v>
      </c>
    </row>
    <row r="35" spans="1:4" x14ac:dyDescent="0.25">
      <c r="A35" s="4" t="s">
        <v>371</v>
      </c>
      <c r="B35" s="4">
        <v>311399</v>
      </c>
      <c r="C35" s="4" t="s">
        <v>1572</v>
      </c>
      <c r="D35" s="9">
        <v>70740</v>
      </c>
    </row>
    <row r="36" spans="1:4" x14ac:dyDescent="0.25">
      <c r="A36" s="4" t="s">
        <v>371</v>
      </c>
      <c r="B36" s="4">
        <v>311402</v>
      </c>
      <c r="C36" s="4" t="s">
        <v>1573</v>
      </c>
      <c r="D36" s="9">
        <v>119995</v>
      </c>
    </row>
    <row r="37" spans="1:4" x14ac:dyDescent="0.25">
      <c r="A37" s="33" t="s">
        <v>208</v>
      </c>
      <c r="B37" s="35">
        <v>214233</v>
      </c>
      <c r="C37" s="33" t="s">
        <v>1539</v>
      </c>
      <c r="D37" s="34">
        <v>0</v>
      </c>
    </row>
    <row r="38" spans="1:4" x14ac:dyDescent="0.25">
      <c r="A38" s="4" t="s">
        <v>832</v>
      </c>
      <c r="B38" s="4">
        <v>299263</v>
      </c>
      <c r="C38" s="4" t="s">
        <v>1629</v>
      </c>
      <c r="D38" s="9">
        <v>1990</v>
      </c>
    </row>
    <row r="39" spans="1:4" x14ac:dyDescent="0.25">
      <c r="C39" s="31" t="s">
        <v>83</v>
      </c>
      <c r="D39" s="32">
        <f>SUM(D2:D38)</f>
        <v>406147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6A47-E028-49DF-B43E-4825C76133D5}">
  <dimension ref="A1:D42"/>
  <sheetViews>
    <sheetView zoomScaleNormal="100" zoomScaleSheetLayoutView="100" workbookViewId="0">
      <selection activeCell="G25" sqref="G25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256</v>
      </c>
      <c r="B2" s="35">
        <v>315366</v>
      </c>
      <c r="C2" s="33" t="s">
        <v>1630</v>
      </c>
      <c r="D2" s="34">
        <v>4075</v>
      </c>
    </row>
    <row r="3" spans="1:4" x14ac:dyDescent="0.25">
      <c r="A3" s="4" t="s">
        <v>192</v>
      </c>
      <c r="B3" s="4">
        <v>310754</v>
      </c>
      <c r="C3" s="4" t="s">
        <v>1631</v>
      </c>
      <c r="D3" s="9">
        <v>37265</v>
      </c>
    </row>
    <row r="4" spans="1:4" x14ac:dyDescent="0.25">
      <c r="A4" s="4" t="s">
        <v>192</v>
      </c>
      <c r="B4" s="4">
        <v>310789</v>
      </c>
      <c r="C4" s="4" t="s">
        <v>1632</v>
      </c>
      <c r="D4" s="9">
        <v>24555</v>
      </c>
    </row>
    <row r="5" spans="1:4" x14ac:dyDescent="0.25">
      <c r="A5" s="4" t="s">
        <v>192</v>
      </c>
      <c r="B5" s="4">
        <v>310782</v>
      </c>
      <c r="C5" s="4" t="s">
        <v>1633</v>
      </c>
      <c r="D5" s="9">
        <v>109940</v>
      </c>
    </row>
    <row r="6" spans="1:4" x14ac:dyDescent="0.25">
      <c r="A6" s="4" t="s">
        <v>500</v>
      </c>
      <c r="B6" s="4">
        <v>311951</v>
      </c>
      <c r="C6" s="4" t="s">
        <v>1609</v>
      </c>
      <c r="D6" s="9">
        <v>1433</v>
      </c>
    </row>
    <row r="7" spans="1:4" x14ac:dyDescent="0.25">
      <c r="A7" s="33" t="s">
        <v>500</v>
      </c>
      <c r="B7" s="35">
        <v>311952</v>
      </c>
      <c r="C7" s="33" t="s">
        <v>1610</v>
      </c>
      <c r="D7" s="34">
        <v>1819</v>
      </c>
    </row>
    <row r="8" spans="1:4" x14ac:dyDescent="0.25">
      <c r="A8" s="4" t="s">
        <v>500</v>
      </c>
      <c r="B8" s="4">
        <v>311953</v>
      </c>
      <c r="C8" s="4" t="s">
        <v>1611</v>
      </c>
      <c r="D8" s="9">
        <v>2757</v>
      </c>
    </row>
    <row r="9" spans="1:4" x14ac:dyDescent="0.25">
      <c r="A9" s="4" t="s">
        <v>500</v>
      </c>
      <c r="B9" s="4">
        <v>311954</v>
      </c>
      <c r="C9" s="4" t="s">
        <v>1612</v>
      </c>
      <c r="D9" s="9">
        <v>772</v>
      </c>
    </row>
    <row r="10" spans="1:4" x14ac:dyDescent="0.25">
      <c r="A10" s="4" t="s">
        <v>500</v>
      </c>
      <c r="B10" s="4">
        <v>311945</v>
      </c>
      <c r="C10" s="4" t="s">
        <v>1615</v>
      </c>
      <c r="D10" s="9">
        <v>4190</v>
      </c>
    </row>
    <row r="11" spans="1:4" x14ac:dyDescent="0.25">
      <c r="A11" s="4" t="s">
        <v>500</v>
      </c>
      <c r="B11" s="4">
        <v>311946</v>
      </c>
      <c r="C11" s="4" t="s">
        <v>1616</v>
      </c>
      <c r="D11" s="9">
        <v>5072</v>
      </c>
    </row>
    <row r="12" spans="1:4" x14ac:dyDescent="0.25">
      <c r="A12" s="4" t="s">
        <v>500</v>
      </c>
      <c r="B12" s="4">
        <v>311947</v>
      </c>
      <c r="C12" s="4" t="s">
        <v>1617</v>
      </c>
      <c r="D12" s="9">
        <v>110</v>
      </c>
    </row>
    <row r="13" spans="1:4" x14ac:dyDescent="0.25">
      <c r="A13" s="4" t="s">
        <v>500</v>
      </c>
      <c r="B13" s="4">
        <v>311948</v>
      </c>
      <c r="C13" s="4" t="s">
        <v>1618</v>
      </c>
      <c r="D13" s="9">
        <v>882</v>
      </c>
    </row>
    <row r="14" spans="1:4" x14ac:dyDescent="0.25">
      <c r="A14" s="4" t="s">
        <v>500</v>
      </c>
      <c r="B14" s="4">
        <v>311949</v>
      </c>
      <c r="C14" s="4" t="s">
        <v>1619</v>
      </c>
      <c r="D14" s="9">
        <v>2095</v>
      </c>
    </row>
    <row r="15" spans="1:4" x14ac:dyDescent="0.25">
      <c r="A15" s="4" t="s">
        <v>500</v>
      </c>
      <c r="B15" s="4">
        <v>311950</v>
      </c>
      <c r="C15" s="4" t="s">
        <v>1620</v>
      </c>
      <c r="D15" s="9">
        <v>165</v>
      </c>
    </row>
    <row r="16" spans="1:4" x14ac:dyDescent="0.25">
      <c r="A16" s="33" t="s">
        <v>61</v>
      </c>
      <c r="B16" s="35">
        <v>315652</v>
      </c>
      <c r="C16" s="33" t="s">
        <v>1634</v>
      </c>
      <c r="D16" s="34">
        <v>0</v>
      </c>
    </row>
    <row r="17" spans="1:4" x14ac:dyDescent="0.25">
      <c r="A17" s="4" t="s">
        <v>24</v>
      </c>
      <c r="B17" s="4">
        <v>309385</v>
      </c>
      <c r="C17" s="4" t="s">
        <v>1520</v>
      </c>
      <c r="D17" s="9">
        <v>0</v>
      </c>
    </row>
    <row r="18" spans="1:4" x14ac:dyDescent="0.25">
      <c r="A18" s="4" t="s">
        <v>26</v>
      </c>
      <c r="B18" s="4">
        <v>308573</v>
      </c>
      <c r="C18" s="4" t="s">
        <v>1524</v>
      </c>
      <c r="D18" s="9">
        <v>160</v>
      </c>
    </row>
    <row r="19" spans="1:4" x14ac:dyDescent="0.25">
      <c r="A19" s="4" t="s">
        <v>1635</v>
      </c>
      <c r="B19" s="4">
        <v>302267</v>
      </c>
      <c r="C19" s="4" t="s">
        <v>1636</v>
      </c>
      <c r="D19" s="9">
        <v>1960</v>
      </c>
    </row>
    <row r="20" spans="1:4" x14ac:dyDescent="0.25">
      <c r="A20" s="4" t="s">
        <v>1635</v>
      </c>
      <c r="B20" s="4">
        <v>302272</v>
      </c>
      <c r="C20" s="4" t="s">
        <v>1637</v>
      </c>
      <c r="D20" s="9">
        <v>5015</v>
      </c>
    </row>
    <row r="21" spans="1:4" x14ac:dyDescent="0.25">
      <c r="A21" s="4" t="s">
        <v>1635</v>
      </c>
      <c r="B21" s="4">
        <v>308753</v>
      </c>
      <c r="C21" s="4" t="s">
        <v>1638</v>
      </c>
      <c r="D21" s="9">
        <v>5015</v>
      </c>
    </row>
    <row r="22" spans="1:4" x14ac:dyDescent="0.25">
      <c r="A22" s="4" t="s">
        <v>1635</v>
      </c>
      <c r="B22" s="4">
        <v>308752</v>
      </c>
      <c r="C22" s="4" t="s">
        <v>1639</v>
      </c>
      <c r="D22" s="9">
        <v>2685</v>
      </c>
    </row>
    <row r="23" spans="1:4" x14ac:dyDescent="0.25">
      <c r="A23" s="4" t="s">
        <v>1635</v>
      </c>
      <c r="B23" s="4">
        <v>302290</v>
      </c>
      <c r="C23" s="4" t="s">
        <v>1640</v>
      </c>
      <c r="D23" s="9">
        <v>1215</v>
      </c>
    </row>
    <row r="24" spans="1:4" x14ac:dyDescent="0.25">
      <c r="A24" s="33" t="s">
        <v>1635</v>
      </c>
      <c r="B24" s="35">
        <v>302304</v>
      </c>
      <c r="C24" s="33" t="s">
        <v>1641</v>
      </c>
      <c r="D24" s="34">
        <v>4435</v>
      </c>
    </row>
    <row r="25" spans="1:4" x14ac:dyDescent="0.25">
      <c r="A25" s="4" t="s">
        <v>1635</v>
      </c>
      <c r="B25" s="4">
        <v>302312</v>
      </c>
      <c r="C25" s="4" t="s">
        <v>1642</v>
      </c>
      <c r="D25" s="9">
        <v>3665</v>
      </c>
    </row>
    <row r="26" spans="1:4" x14ac:dyDescent="0.25">
      <c r="A26" s="33" t="s">
        <v>180</v>
      </c>
      <c r="B26" s="35">
        <v>314742</v>
      </c>
      <c r="C26" s="33" t="s">
        <v>1623</v>
      </c>
      <c r="D26" s="34">
        <v>260</v>
      </c>
    </row>
    <row r="27" spans="1:4" x14ac:dyDescent="0.25">
      <c r="A27" s="4" t="s">
        <v>718</v>
      </c>
      <c r="B27" s="4">
        <v>308295</v>
      </c>
      <c r="C27" s="4" t="s">
        <v>1643</v>
      </c>
      <c r="D27" s="9">
        <v>8270</v>
      </c>
    </row>
    <row r="28" spans="1:4" x14ac:dyDescent="0.25">
      <c r="A28" s="4" t="s">
        <v>718</v>
      </c>
      <c r="B28" s="4">
        <v>310700</v>
      </c>
      <c r="C28" s="4" t="s">
        <v>1624</v>
      </c>
      <c r="D28" s="9">
        <v>2291</v>
      </c>
    </row>
    <row r="29" spans="1:4" x14ac:dyDescent="0.25">
      <c r="A29" s="4" t="s">
        <v>221</v>
      </c>
      <c r="B29" s="4">
        <v>314980</v>
      </c>
      <c r="C29" s="4" t="s">
        <v>1644</v>
      </c>
      <c r="D29" s="9">
        <v>950</v>
      </c>
    </row>
    <row r="30" spans="1:4" x14ac:dyDescent="0.25">
      <c r="A30" s="4" t="s">
        <v>34</v>
      </c>
      <c r="B30" s="4">
        <v>314771</v>
      </c>
      <c r="C30" s="4" t="s">
        <v>1626</v>
      </c>
      <c r="D30" s="9">
        <v>2700</v>
      </c>
    </row>
    <row r="31" spans="1:4" x14ac:dyDescent="0.25">
      <c r="A31" s="4" t="s">
        <v>832</v>
      </c>
      <c r="B31" s="4">
        <v>315630</v>
      </c>
      <c r="C31" s="4" t="s">
        <v>1645</v>
      </c>
      <c r="D31" s="9">
        <v>2120</v>
      </c>
    </row>
    <row r="32" spans="1:4" x14ac:dyDescent="0.25">
      <c r="A32" s="4" t="s">
        <v>1387</v>
      </c>
      <c r="B32" s="4">
        <v>309210</v>
      </c>
      <c r="C32" s="4" t="s">
        <v>1580</v>
      </c>
      <c r="D32" s="9">
        <v>11475</v>
      </c>
    </row>
    <row r="33" spans="1:4" x14ac:dyDescent="0.25">
      <c r="A33" s="4" t="s">
        <v>995</v>
      </c>
      <c r="B33" s="4">
        <v>293624</v>
      </c>
      <c r="C33" s="4" t="s">
        <v>1315</v>
      </c>
      <c r="D33" s="9">
        <v>1586</v>
      </c>
    </row>
    <row r="34" spans="1:4" x14ac:dyDescent="0.25">
      <c r="A34" s="4" t="s">
        <v>52</v>
      </c>
      <c r="B34" s="4">
        <v>312041</v>
      </c>
      <c r="C34" s="4" t="s">
        <v>1646</v>
      </c>
      <c r="D34" s="9">
        <v>9760</v>
      </c>
    </row>
    <row r="35" spans="1:4" x14ac:dyDescent="0.25">
      <c r="A35" s="33" t="s">
        <v>52</v>
      </c>
      <c r="B35" s="35">
        <v>285324</v>
      </c>
      <c r="C35" s="33" t="s">
        <v>1345</v>
      </c>
      <c r="D35" s="34">
        <v>1320</v>
      </c>
    </row>
    <row r="36" spans="1:4" x14ac:dyDescent="0.25">
      <c r="A36" s="4" t="s">
        <v>52</v>
      </c>
      <c r="B36" s="4">
        <v>306630</v>
      </c>
      <c r="C36" s="4" t="s">
        <v>1388</v>
      </c>
      <c r="D36" s="9">
        <v>3550</v>
      </c>
    </row>
    <row r="37" spans="1:4" x14ac:dyDescent="0.25">
      <c r="A37" s="4" t="s">
        <v>371</v>
      </c>
      <c r="B37" s="4">
        <v>311398</v>
      </c>
      <c r="C37" s="4" t="s">
        <v>1605</v>
      </c>
      <c r="D37" s="9">
        <v>900</v>
      </c>
    </row>
    <row r="38" spans="1:4" x14ac:dyDescent="0.25">
      <c r="A38" s="4" t="s">
        <v>371</v>
      </c>
      <c r="B38" s="4">
        <v>311400</v>
      </c>
      <c r="C38" s="4" t="s">
        <v>1606</v>
      </c>
      <c r="D38" s="9">
        <v>52560</v>
      </c>
    </row>
    <row r="39" spans="1:4" x14ac:dyDescent="0.25">
      <c r="A39" s="4" t="s">
        <v>371</v>
      </c>
      <c r="B39" s="4">
        <v>311399</v>
      </c>
      <c r="C39" s="4" t="s">
        <v>1572</v>
      </c>
      <c r="D39" s="9">
        <v>70740</v>
      </c>
    </row>
    <row r="40" spans="1:4" x14ac:dyDescent="0.25">
      <c r="A40" s="4" t="s">
        <v>371</v>
      </c>
      <c r="B40" s="4">
        <v>311402</v>
      </c>
      <c r="C40" s="4" t="s">
        <v>1573</v>
      </c>
      <c r="D40" s="9">
        <v>119995</v>
      </c>
    </row>
    <row r="41" spans="1:4" x14ac:dyDescent="0.25">
      <c r="A41" s="33" t="s">
        <v>208</v>
      </c>
      <c r="B41" s="35">
        <v>214233</v>
      </c>
      <c r="C41" s="33" t="s">
        <v>1539</v>
      </c>
      <c r="D41" s="34">
        <v>0</v>
      </c>
    </row>
    <row r="42" spans="1:4" x14ac:dyDescent="0.25">
      <c r="C42" s="31" t="s">
        <v>83</v>
      </c>
      <c r="D42" s="32">
        <f>SUM(D2:D41)</f>
        <v>507757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5842-6966-489E-88B3-E5F9CEE5C2AF}">
  <dimension ref="A1:D76"/>
  <sheetViews>
    <sheetView zoomScaleNormal="100" zoomScaleSheetLayoutView="100" workbookViewId="0">
      <selection activeCell="F21" sqref="F21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108</v>
      </c>
      <c r="B2" s="35">
        <v>315342</v>
      </c>
      <c r="C2" s="33" t="s">
        <v>1647</v>
      </c>
      <c r="D2" s="34">
        <v>3715</v>
      </c>
    </row>
    <row r="3" spans="1:4" x14ac:dyDescent="0.25">
      <c r="A3" s="4" t="s">
        <v>108</v>
      </c>
      <c r="B3" s="4">
        <v>315279</v>
      </c>
      <c r="C3" s="4" t="s">
        <v>1648</v>
      </c>
      <c r="D3" s="9">
        <v>2355</v>
      </c>
    </row>
    <row r="4" spans="1:4" x14ac:dyDescent="0.25">
      <c r="A4" s="4" t="s">
        <v>108</v>
      </c>
      <c r="B4" s="4">
        <v>315293</v>
      </c>
      <c r="C4" s="4" t="s">
        <v>1649</v>
      </c>
      <c r="D4" s="9">
        <v>184</v>
      </c>
    </row>
    <row r="5" spans="1:4" x14ac:dyDescent="0.25">
      <c r="A5" s="4" t="s">
        <v>108</v>
      </c>
      <c r="B5" s="4">
        <v>315296</v>
      </c>
      <c r="C5" s="4" t="s">
        <v>1650</v>
      </c>
      <c r="D5" s="9">
        <v>4637</v>
      </c>
    </row>
    <row r="6" spans="1:4" x14ac:dyDescent="0.25">
      <c r="A6" s="33" t="s">
        <v>108</v>
      </c>
      <c r="B6" s="35">
        <v>315299</v>
      </c>
      <c r="C6" s="33" t="s">
        <v>1651</v>
      </c>
      <c r="D6" s="34">
        <v>1759</v>
      </c>
    </row>
    <row r="7" spans="1:4" x14ac:dyDescent="0.25">
      <c r="A7" s="4" t="s">
        <v>108</v>
      </c>
      <c r="B7" s="4">
        <v>315300</v>
      </c>
      <c r="C7" s="4" t="s">
        <v>1652</v>
      </c>
      <c r="D7" s="9">
        <v>4473</v>
      </c>
    </row>
    <row r="8" spans="1:4" x14ac:dyDescent="0.25">
      <c r="A8" s="4" t="s">
        <v>108</v>
      </c>
      <c r="B8" s="4">
        <v>315303</v>
      </c>
      <c r="C8" s="4" t="s">
        <v>1653</v>
      </c>
      <c r="D8" s="9">
        <v>3815</v>
      </c>
    </row>
    <row r="9" spans="1:4" x14ac:dyDescent="0.25">
      <c r="A9" s="4" t="s">
        <v>108</v>
      </c>
      <c r="B9" s="4">
        <v>315305</v>
      </c>
      <c r="C9" s="4" t="s">
        <v>1654</v>
      </c>
      <c r="D9" s="9">
        <v>1932</v>
      </c>
    </row>
    <row r="10" spans="1:4" x14ac:dyDescent="0.25">
      <c r="A10" s="4" t="s">
        <v>108</v>
      </c>
      <c r="B10" s="4">
        <v>315341</v>
      </c>
      <c r="C10" s="4" t="s">
        <v>1655</v>
      </c>
      <c r="D10" s="9">
        <v>5546</v>
      </c>
    </row>
    <row r="11" spans="1:4" x14ac:dyDescent="0.25">
      <c r="A11" s="4" t="s">
        <v>108</v>
      </c>
      <c r="B11" s="4">
        <v>315283</v>
      </c>
      <c r="C11" s="4" t="s">
        <v>1656</v>
      </c>
      <c r="D11" s="9">
        <v>3680</v>
      </c>
    </row>
    <row r="12" spans="1:4" x14ac:dyDescent="0.25">
      <c r="A12" s="4" t="s">
        <v>108</v>
      </c>
      <c r="B12" s="4">
        <v>315591</v>
      </c>
      <c r="C12" s="4" t="s">
        <v>1657</v>
      </c>
      <c r="D12" s="9">
        <v>2616</v>
      </c>
    </row>
    <row r="13" spans="1:4" x14ac:dyDescent="0.25">
      <c r="A13" s="4" t="s">
        <v>108</v>
      </c>
      <c r="B13" s="4">
        <v>315617</v>
      </c>
      <c r="C13" s="4" t="s">
        <v>1658</v>
      </c>
      <c r="D13" s="9">
        <v>1937</v>
      </c>
    </row>
    <row r="14" spans="1:4" x14ac:dyDescent="0.25">
      <c r="A14" s="4" t="s">
        <v>108</v>
      </c>
      <c r="B14" s="4">
        <v>315621</v>
      </c>
      <c r="C14" s="4" t="s">
        <v>1659</v>
      </c>
      <c r="D14" s="9">
        <v>8745</v>
      </c>
    </row>
    <row r="15" spans="1:4" x14ac:dyDescent="0.25">
      <c r="A15" s="33" t="s">
        <v>108</v>
      </c>
      <c r="B15" s="35">
        <v>315622</v>
      </c>
      <c r="C15" s="33" t="s">
        <v>1660</v>
      </c>
      <c r="D15" s="34">
        <v>2668</v>
      </c>
    </row>
    <row r="16" spans="1:4" x14ac:dyDescent="0.25">
      <c r="A16" s="4" t="s">
        <v>108</v>
      </c>
      <c r="B16" s="4">
        <v>315624</v>
      </c>
      <c r="C16" s="4" t="s">
        <v>1661</v>
      </c>
      <c r="D16" s="9">
        <v>5411</v>
      </c>
    </row>
    <row r="17" spans="1:4" x14ac:dyDescent="0.25">
      <c r="A17" s="4" t="s">
        <v>108</v>
      </c>
      <c r="B17" s="4">
        <v>315625</v>
      </c>
      <c r="C17" s="4" t="s">
        <v>1662</v>
      </c>
      <c r="D17" s="9">
        <v>5631</v>
      </c>
    </row>
    <row r="18" spans="1:4" x14ac:dyDescent="0.25">
      <c r="A18" s="4" t="s">
        <v>108</v>
      </c>
      <c r="B18" s="4">
        <v>315627</v>
      </c>
      <c r="C18" s="4" t="s">
        <v>1663</v>
      </c>
      <c r="D18" s="9">
        <v>5618</v>
      </c>
    </row>
    <row r="19" spans="1:4" x14ac:dyDescent="0.25">
      <c r="A19" s="4" t="s">
        <v>108</v>
      </c>
      <c r="B19" s="4">
        <v>315628</v>
      </c>
      <c r="C19" s="4" t="s">
        <v>1664</v>
      </c>
      <c r="D19" s="9">
        <v>851</v>
      </c>
    </row>
    <row r="20" spans="1:4" x14ac:dyDescent="0.25">
      <c r="A20" s="4" t="s">
        <v>108</v>
      </c>
      <c r="B20" s="4">
        <v>315629</v>
      </c>
      <c r="C20" s="4" t="s">
        <v>1665</v>
      </c>
      <c r="D20" s="9">
        <v>7351</v>
      </c>
    </row>
    <row r="21" spans="1:4" x14ac:dyDescent="0.25">
      <c r="A21" s="4" t="s">
        <v>108</v>
      </c>
      <c r="B21" s="4">
        <v>315631</v>
      </c>
      <c r="C21" s="4" t="s">
        <v>1666</v>
      </c>
      <c r="D21" s="9">
        <v>7374</v>
      </c>
    </row>
    <row r="22" spans="1:4" x14ac:dyDescent="0.25">
      <c r="A22" s="4" t="s">
        <v>108</v>
      </c>
      <c r="B22" s="4">
        <v>315632</v>
      </c>
      <c r="C22" s="4" t="s">
        <v>1667</v>
      </c>
      <c r="D22" s="9">
        <v>3885</v>
      </c>
    </row>
    <row r="23" spans="1:4" x14ac:dyDescent="0.25">
      <c r="A23" s="33" t="s">
        <v>108</v>
      </c>
      <c r="B23" s="35">
        <v>315636</v>
      </c>
      <c r="C23" s="33" t="s">
        <v>1668</v>
      </c>
      <c r="D23" s="34">
        <v>7734</v>
      </c>
    </row>
    <row r="24" spans="1:4" x14ac:dyDescent="0.25">
      <c r="A24" s="4" t="s">
        <v>108</v>
      </c>
      <c r="B24" s="4">
        <v>315637</v>
      </c>
      <c r="C24" s="4" t="s">
        <v>1669</v>
      </c>
      <c r="D24" s="9">
        <v>6399</v>
      </c>
    </row>
    <row r="25" spans="1:4" x14ac:dyDescent="0.25">
      <c r="A25" s="33" t="s">
        <v>108</v>
      </c>
      <c r="B25" s="35">
        <v>315285</v>
      </c>
      <c r="C25" s="33" t="s">
        <v>1670</v>
      </c>
      <c r="D25" s="34">
        <v>1210</v>
      </c>
    </row>
    <row r="26" spans="1:4" x14ac:dyDescent="0.25">
      <c r="A26" s="4" t="s">
        <v>108</v>
      </c>
      <c r="B26" s="4">
        <v>315286</v>
      </c>
      <c r="C26" s="4" t="s">
        <v>1671</v>
      </c>
      <c r="D26" s="9">
        <v>904</v>
      </c>
    </row>
    <row r="27" spans="1:4" x14ac:dyDescent="0.25">
      <c r="A27" s="4" t="s">
        <v>500</v>
      </c>
      <c r="B27" s="4">
        <v>311951</v>
      </c>
      <c r="C27" s="4" t="s">
        <v>1609</v>
      </c>
      <c r="D27" s="9">
        <v>1433</v>
      </c>
    </row>
    <row r="28" spans="1:4" x14ac:dyDescent="0.25">
      <c r="A28" s="4" t="s">
        <v>500</v>
      </c>
      <c r="B28" s="4">
        <v>311952</v>
      </c>
      <c r="C28" s="4" t="s">
        <v>1610</v>
      </c>
      <c r="D28" s="9">
        <v>1819</v>
      </c>
    </row>
    <row r="29" spans="1:4" x14ac:dyDescent="0.25">
      <c r="A29" s="4" t="s">
        <v>500</v>
      </c>
      <c r="B29" s="4">
        <v>311953</v>
      </c>
      <c r="C29" s="4" t="s">
        <v>1611</v>
      </c>
      <c r="D29" s="9">
        <v>2757</v>
      </c>
    </row>
    <row r="30" spans="1:4" x14ac:dyDescent="0.25">
      <c r="A30" s="4" t="s">
        <v>500</v>
      </c>
      <c r="B30" s="4">
        <v>311954</v>
      </c>
      <c r="C30" s="4" t="s">
        <v>1612</v>
      </c>
      <c r="D30" s="9">
        <v>772</v>
      </c>
    </row>
    <row r="31" spans="1:4" x14ac:dyDescent="0.25">
      <c r="A31" s="4" t="s">
        <v>500</v>
      </c>
      <c r="B31" s="4">
        <v>311947</v>
      </c>
      <c r="C31" s="4" t="s">
        <v>1617</v>
      </c>
      <c r="D31" s="9">
        <v>110</v>
      </c>
    </row>
    <row r="32" spans="1:4" x14ac:dyDescent="0.25">
      <c r="A32" s="4" t="s">
        <v>500</v>
      </c>
      <c r="B32" s="4">
        <v>311948</v>
      </c>
      <c r="C32" s="4" t="s">
        <v>1618</v>
      </c>
      <c r="D32" s="9">
        <v>882</v>
      </c>
    </row>
    <row r="33" spans="1:4" x14ac:dyDescent="0.25">
      <c r="A33" s="4" t="s">
        <v>500</v>
      </c>
      <c r="B33" s="4">
        <v>311949</v>
      </c>
      <c r="C33" s="4" t="s">
        <v>1619</v>
      </c>
      <c r="D33" s="9">
        <v>2095</v>
      </c>
    </row>
    <row r="34" spans="1:4" x14ac:dyDescent="0.25">
      <c r="A34" s="33" t="s">
        <v>500</v>
      </c>
      <c r="B34" s="35">
        <v>311950</v>
      </c>
      <c r="C34" s="33" t="s">
        <v>1620</v>
      </c>
      <c r="D34" s="34">
        <v>165</v>
      </c>
    </row>
    <row r="35" spans="1:4" x14ac:dyDescent="0.25">
      <c r="A35" s="4" t="s">
        <v>24</v>
      </c>
      <c r="B35" s="4">
        <v>317284</v>
      </c>
      <c r="C35" s="4" t="s">
        <v>1672</v>
      </c>
      <c r="D35" s="9">
        <v>6404</v>
      </c>
    </row>
    <row r="36" spans="1:4" x14ac:dyDescent="0.25">
      <c r="A36" s="4" t="s">
        <v>24</v>
      </c>
      <c r="B36" s="4">
        <v>309385</v>
      </c>
      <c r="C36" s="4" t="s">
        <v>1520</v>
      </c>
      <c r="D36" s="9">
        <v>0</v>
      </c>
    </row>
    <row r="37" spans="1:4" x14ac:dyDescent="0.25">
      <c r="A37" s="4" t="s">
        <v>111</v>
      </c>
      <c r="B37" s="4">
        <v>317249</v>
      </c>
      <c r="C37" s="4" t="s">
        <v>1673</v>
      </c>
      <c r="D37" s="9">
        <v>45115</v>
      </c>
    </row>
    <row r="38" spans="1:4" x14ac:dyDescent="0.25">
      <c r="A38" s="4" t="s">
        <v>111</v>
      </c>
      <c r="B38" s="4">
        <v>317187</v>
      </c>
      <c r="C38" s="4" t="s">
        <v>1674</v>
      </c>
      <c r="D38" s="9">
        <v>6420</v>
      </c>
    </row>
    <row r="39" spans="1:4" x14ac:dyDescent="0.25">
      <c r="A39" s="4" t="s">
        <v>111</v>
      </c>
      <c r="B39" s="4">
        <v>317198</v>
      </c>
      <c r="C39" s="4" t="s">
        <v>1675</v>
      </c>
      <c r="D39" s="9">
        <v>490</v>
      </c>
    </row>
    <row r="40" spans="1:4" x14ac:dyDescent="0.25">
      <c r="A40" s="4" t="s">
        <v>111</v>
      </c>
      <c r="B40" s="4">
        <v>317050</v>
      </c>
      <c r="C40" s="4" t="s">
        <v>1676</v>
      </c>
      <c r="D40" s="9">
        <v>72</v>
      </c>
    </row>
    <row r="41" spans="1:4" x14ac:dyDescent="0.25">
      <c r="A41" s="4" t="s">
        <v>111</v>
      </c>
      <c r="B41" s="4">
        <v>317236</v>
      </c>
      <c r="C41" s="4" t="s">
        <v>1677</v>
      </c>
      <c r="D41" s="9">
        <v>72</v>
      </c>
    </row>
    <row r="42" spans="1:4" x14ac:dyDescent="0.25">
      <c r="A42" s="4" t="s">
        <v>111</v>
      </c>
      <c r="B42" s="4">
        <v>317237</v>
      </c>
      <c r="C42" s="4" t="s">
        <v>1678</v>
      </c>
      <c r="D42" s="9">
        <v>72</v>
      </c>
    </row>
    <row r="43" spans="1:4" x14ac:dyDescent="0.25">
      <c r="A43" s="4" t="s">
        <v>111</v>
      </c>
      <c r="B43" s="4">
        <v>317189</v>
      </c>
      <c r="C43" s="4" t="s">
        <v>1679</v>
      </c>
      <c r="D43" s="9">
        <v>72</v>
      </c>
    </row>
    <row r="44" spans="1:4" x14ac:dyDescent="0.25">
      <c r="A44" s="33" t="s">
        <v>26</v>
      </c>
      <c r="B44" s="35">
        <v>313575</v>
      </c>
      <c r="C44" s="33" t="s">
        <v>1680</v>
      </c>
      <c r="D44" s="34">
        <v>85510</v>
      </c>
    </row>
    <row r="45" spans="1:4" x14ac:dyDescent="0.25">
      <c r="A45" s="4" t="s">
        <v>26</v>
      </c>
      <c r="B45" s="4">
        <v>313575</v>
      </c>
      <c r="C45" s="4" t="s">
        <v>1681</v>
      </c>
      <c r="D45" s="9">
        <v>49210</v>
      </c>
    </row>
    <row r="46" spans="1:4" x14ac:dyDescent="0.25">
      <c r="A46" s="4" t="s">
        <v>26</v>
      </c>
      <c r="B46" s="4">
        <v>313575</v>
      </c>
      <c r="C46" s="4" t="s">
        <v>1682</v>
      </c>
      <c r="D46" s="9">
        <v>19330</v>
      </c>
    </row>
    <row r="47" spans="1:4" x14ac:dyDescent="0.25">
      <c r="A47" s="4" t="s">
        <v>26</v>
      </c>
      <c r="B47" s="4">
        <v>313575</v>
      </c>
      <c r="C47" s="4" t="s">
        <v>1683</v>
      </c>
      <c r="D47" s="9">
        <v>32430</v>
      </c>
    </row>
    <row r="48" spans="1:4" x14ac:dyDescent="0.25">
      <c r="A48" s="4" t="s">
        <v>26</v>
      </c>
      <c r="B48" s="4">
        <v>313575</v>
      </c>
      <c r="C48" s="4" t="s">
        <v>1684</v>
      </c>
      <c r="D48" s="9">
        <v>58515</v>
      </c>
    </row>
    <row r="49" spans="1:4" x14ac:dyDescent="0.25">
      <c r="A49" s="4" t="s">
        <v>26</v>
      </c>
      <c r="B49" s="4">
        <v>313575</v>
      </c>
      <c r="C49" s="4" t="s">
        <v>1685</v>
      </c>
      <c r="D49" s="9">
        <v>48445</v>
      </c>
    </row>
    <row r="50" spans="1:4" x14ac:dyDescent="0.25">
      <c r="A50" s="4" t="s">
        <v>26</v>
      </c>
      <c r="B50" s="4">
        <v>313575</v>
      </c>
      <c r="C50" s="4" t="s">
        <v>1686</v>
      </c>
      <c r="D50" s="9">
        <v>19260</v>
      </c>
    </row>
    <row r="51" spans="1:4" x14ac:dyDescent="0.25">
      <c r="A51" s="4" t="s">
        <v>26</v>
      </c>
      <c r="B51" s="4">
        <v>313575</v>
      </c>
      <c r="C51" s="4" t="s">
        <v>1687</v>
      </c>
      <c r="D51" s="9">
        <v>26580</v>
      </c>
    </row>
    <row r="52" spans="1:4" x14ac:dyDescent="0.25">
      <c r="A52" s="4" t="s">
        <v>26</v>
      </c>
      <c r="B52" s="4">
        <v>313575</v>
      </c>
      <c r="C52" s="4" t="s">
        <v>1688</v>
      </c>
      <c r="D52" s="9">
        <v>19330</v>
      </c>
    </row>
    <row r="53" spans="1:4" x14ac:dyDescent="0.25">
      <c r="A53" s="33" t="s">
        <v>26</v>
      </c>
      <c r="B53" s="35">
        <v>308573</v>
      </c>
      <c r="C53" s="33" t="s">
        <v>1524</v>
      </c>
      <c r="D53" s="34">
        <v>160</v>
      </c>
    </row>
    <row r="54" spans="1:4" x14ac:dyDescent="0.25">
      <c r="A54" s="4" t="s">
        <v>718</v>
      </c>
      <c r="B54" s="4">
        <v>317259</v>
      </c>
      <c r="C54" s="4" t="s">
        <v>1689</v>
      </c>
      <c r="D54" s="9">
        <v>18000</v>
      </c>
    </row>
    <row r="55" spans="1:4" x14ac:dyDescent="0.25">
      <c r="A55" s="4" t="s">
        <v>221</v>
      </c>
      <c r="B55" s="4">
        <v>314980</v>
      </c>
      <c r="C55" s="4" t="s">
        <v>1644</v>
      </c>
      <c r="D55" s="9">
        <v>950</v>
      </c>
    </row>
    <row r="56" spans="1:4" x14ac:dyDescent="0.25">
      <c r="A56" s="4" t="s">
        <v>315</v>
      </c>
      <c r="B56" s="4">
        <v>316883</v>
      </c>
      <c r="C56" s="4" t="s">
        <v>1690</v>
      </c>
      <c r="D56" s="9">
        <v>0</v>
      </c>
    </row>
    <row r="57" spans="1:4" x14ac:dyDescent="0.25">
      <c r="A57" s="4" t="s">
        <v>315</v>
      </c>
      <c r="B57" s="4">
        <v>309443</v>
      </c>
      <c r="C57" s="4" t="s">
        <v>1691</v>
      </c>
      <c r="D57" s="9">
        <v>12395</v>
      </c>
    </row>
    <row r="58" spans="1:4" x14ac:dyDescent="0.25">
      <c r="A58" s="4" t="s">
        <v>315</v>
      </c>
      <c r="B58" s="4">
        <v>309443</v>
      </c>
      <c r="C58" s="4" t="s">
        <v>1692</v>
      </c>
      <c r="D58" s="9">
        <v>19735</v>
      </c>
    </row>
    <row r="59" spans="1:4" x14ac:dyDescent="0.25">
      <c r="A59" s="4" t="s">
        <v>315</v>
      </c>
      <c r="B59" s="4">
        <v>309443</v>
      </c>
      <c r="C59" s="4" t="s">
        <v>1693</v>
      </c>
      <c r="D59" s="9">
        <v>8040</v>
      </c>
    </row>
    <row r="60" spans="1:4" x14ac:dyDescent="0.25">
      <c r="A60" s="4" t="s">
        <v>315</v>
      </c>
      <c r="B60" s="4">
        <v>309443</v>
      </c>
      <c r="C60" s="4" t="s">
        <v>1694</v>
      </c>
      <c r="D60" s="9">
        <v>16960</v>
      </c>
    </row>
    <row r="61" spans="1:4" x14ac:dyDescent="0.25">
      <c r="A61" s="33" t="s">
        <v>1387</v>
      </c>
      <c r="B61" s="35">
        <v>309210</v>
      </c>
      <c r="C61" s="33" t="s">
        <v>1580</v>
      </c>
      <c r="D61" s="34">
        <v>11475</v>
      </c>
    </row>
    <row r="62" spans="1:4" x14ac:dyDescent="0.25">
      <c r="A62" s="4" t="s">
        <v>995</v>
      </c>
      <c r="B62" s="4">
        <v>311217</v>
      </c>
      <c r="C62" s="4" t="s">
        <v>1695</v>
      </c>
      <c r="D62" s="9">
        <v>20155</v>
      </c>
    </row>
    <row r="63" spans="1:4" x14ac:dyDescent="0.25">
      <c r="A63" s="33" t="s">
        <v>995</v>
      </c>
      <c r="B63" s="35">
        <v>311217</v>
      </c>
      <c r="C63" s="33" t="s">
        <v>1696</v>
      </c>
      <c r="D63" s="34">
        <v>5659</v>
      </c>
    </row>
    <row r="64" spans="1:4" x14ac:dyDescent="0.25">
      <c r="A64" s="4" t="s">
        <v>995</v>
      </c>
      <c r="B64" s="4">
        <v>311217</v>
      </c>
      <c r="C64" s="4" t="s">
        <v>1697</v>
      </c>
      <c r="D64" s="9">
        <v>5887</v>
      </c>
    </row>
    <row r="65" spans="1:4" x14ac:dyDescent="0.25">
      <c r="A65" s="4" t="s">
        <v>995</v>
      </c>
      <c r="B65" s="4">
        <v>311217</v>
      </c>
      <c r="C65" s="4" t="s">
        <v>1698</v>
      </c>
      <c r="D65" s="9">
        <v>20909</v>
      </c>
    </row>
    <row r="66" spans="1:4" x14ac:dyDescent="0.25">
      <c r="A66" s="4" t="s">
        <v>995</v>
      </c>
      <c r="B66" s="4">
        <v>311217</v>
      </c>
      <c r="C66" s="4" t="s">
        <v>1699</v>
      </c>
      <c r="D66" s="9">
        <v>39894</v>
      </c>
    </row>
    <row r="67" spans="1:4" x14ac:dyDescent="0.25">
      <c r="A67" s="4" t="s">
        <v>52</v>
      </c>
      <c r="B67" s="4">
        <v>285324</v>
      </c>
      <c r="C67" s="4" t="s">
        <v>1345</v>
      </c>
      <c r="D67" s="9">
        <v>1320</v>
      </c>
    </row>
    <row r="68" spans="1:4" x14ac:dyDescent="0.25">
      <c r="A68" s="4" t="s">
        <v>52</v>
      </c>
      <c r="B68" s="4">
        <v>306630</v>
      </c>
      <c r="C68" s="4" t="s">
        <v>1388</v>
      </c>
      <c r="D68" s="9">
        <v>3550</v>
      </c>
    </row>
    <row r="69" spans="1:4" x14ac:dyDescent="0.25">
      <c r="A69" s="4" t="s">
        <v>371</v>
      </c>
      <c r="B69" s="4">
        <v>311398</v>
      </c>
      <c r="C69" s="4" t="s">
        <v>1605</v>
      </c>
      <c r="D69" s="9">
        <v>900</v>
      </c>
    </row>
    <row r="70" spans="1:4" x14ac:dyDescent="0.25">
      <c r="A70" s="4" t="s">
        <v>371</v>
      </c>
      <c r="B70" s="4">
        <v>311400</v>
      </c>
      <c r="C70" s="4" t="s">
        <v>1606</v>
      </c>
      <c r="D70" s="9">
        <v>52560</v>
      </c>
    </row>
    <row r="71" spans="1:4" x14ac:dyDescent="0.25">
      <c r="A71" s="4" t="s">
        <v>371</v>
      </c>
      <c r="B71" s="4">
        <v>311399</v>
      </c>
      <c r="C71" s="4" t="s">
        <v>1572</v>
      </c>
      <c r="D71" s="9">
        <v>70740</v>
      </c>
    </row>
    <row r="72" spans="1:4" x14ac:dyDescent="0.25">
      <c r="A72" s="33" t="s">
        <v>371</v>
      </c>
      <c r="B72" s="35">
        <v>311402</v>
      </c>
      <c r="C72" s="33" t="s">
        <v>1573</v>
      </c>
      <c r="D72" s="34">
        <v>119995</v>
      </c>
    </row>
    <row r="73" spans="1:4" x14ac:dyDescent="0.25">
      <c r="A73" s="4" t="s">
        <v>208</v>
      </c>
      <c r="B73" s="4">
        <v>214233</v>
      </c>
      <c r="C73" s="4" t="s">
        <v>1539</v>
      </c>
      <c r="D73" s="9">
        <v>0</v>
      </c>
    </row>
    <row r="74" spans="1:4" x14ac:dyDescent="0.25">
      <c r="A74" s="4" t="s">
        <v>718</v>
      </c>
      <c r="B74" s="4">
        <v>317166</v>
      </c>
      <c r="C74" s="4" t="s">
        <v>1700</v>
      </c>
      <c r="D74" s="9">
        <v>4212</v>
      </c>
    </row>
    <row r="75" spans="1:4" x14ac:dyDescent="0.25">
      <c r="A75" s="4" t="s">
        <v>52</v>
      </c>
      <c r="B75" s="4">
        <v>311613</v>
      </c>
      <c r="C75" s="4" t="s">
        <v>1701</v>
      </c>
      <c r="D75" s="9">
        <v>34550</v>
      </c>
    </row>
    <row r="76" spans="1:4" x14ac:dyDescent="0.25">
      <c r="C76" s="31" t="s">
        <v>83</v>
      </c>
      <c r="D76" s="32">
        <f>SUM(D2:D75)</f>
        <v>995836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AA8B-FDF0-4DE2-BFC0-16E38CEAE69B}">
  <dimension ref="A1:D64"/>
  <sheetViews>
    <sheetView zoomScaleNormal="100" zoomScaleSheetLayoutView="100" workbookViewId="0">
      <selection activeCell="A74" sqref="A74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1322</v>
      </c>
      <c r="B2" s="35">
        <v>317392</v>
      </c>
      <c r="C2" s="33" t="s">
        <v>1702</v>
      </c>
      <c r="D2" s="34">
        <v>2540</v>
      </c>
    </row>
    <row r="3" spans="1:4" x14ac:dyDescent="0.25">
      <c r="A3" s="4" t="s">
        <v>108</v>
      </c>
      <c r="B3" s="4">
        <v>315342</v>
      </c>
      <c r="C3" s="4" t="s">
        <v>1647</v>
      </c>
      <c r="D3" s="9">
        <v>3715</v>
      </c>
    </row>
    <row r="4" spans="1:4" x14ac:dyDescent="0.25">
      <c r="A4" s="4" t="s">
        <v>108</v>
      </c>
      <c r="B4" s="4">
        <v>315279</v>
      </c>
      <c r="C4" s="4" t="s">
        <v>1648</v>
      </c>
      <c r="D4" s="9">
        <v>2355</v>
      </c>
    </row>
    <row r="5" spans="1:4" x14ac:dyDescent="0.25">
      <c r="A5" s="4" t="s">
        <v>108</v>
      </c>
      <c r="B5" s="4">
        <v>315293</v>
      </c>
      <c r="C5" s="4" t="s">
        <v>1649</v>
      </c>
      <c r="D5" s="9">
        <v>184</v>
      </c>
    </row>
    <row r="6" spans="1:4" x14ac:dyDescent="0.25">
      <c r="A6" s="33" t="s">
        <v>108</v>
      </c>
      <c r="B6" s="35">
        <v>315296</v>
      </c>
      <c r="C6" s="33" t="s">
        <v>1650</v>
      </c>
      <c r="D6" s="34">
        <v>4637</v>
      </c>
    </row>
    <row r="7" spans="1:4" x14ac:dyDescent="0.25">
      <c r="A7" s="4" t="s">
        <v>108</v>
      </c>
      <c r="B7" s="4">
        <v>315299</v>
      </c>
      <c r="C7" s="4" t="s">
        <v>1651</v>
      </c>
      <c r="D7" s="9">
        <v>1759</v>
      </c>
    </row>
    <row r="8" spans="1:4" x14ac:dyDescent="0.25">
      <c r="A8" s="4" t="s">
        <v>108</v>
      </c>
      <c r="B8" s="4">
        <v>315300</v>
      </c>
      <c r="C8" s="4" t="s">
        <v>1652</v>
      </c>
      <c r="D8" s="9">
        <v>4473</v>
      </c>
    </row>
    <row r="9" spans="1:4" x14ac:dyDescent="0.25">
      <c r="A9" s="4" t="s">
        <v>108</v>
      </c>
      <c r="B9" s="4">
        <v>315303</v>
      </c>
      <c r="C9" s="4" t="s">
        <v>1653</v>
      </c>
      <c r="D9" s="9">
        <v>3815</v>
      </c>
    </row>
    <row r="10" spans="1:4" x14ac:dyDescent="0.25">
      <c r="A10" s="4" t="s">
        <v>108</v>
      </c>
      <c r="B10" s="4">
        <v>315305</v>
      </c>
      <c r="C10" s="4" t="s">
        <v>1654</v>
      </c>
      <c r="D10" s="9">
        <v>1932</v>
      </c>
    </row>
    <row r="11" spans="1:4" x14ac:dyDescent="0.25">
      <c r="A11" s="4" t="s">
        <v>108</v>
      </c>
      <c r="B11" s="4">
        <v>315341</v>
      </c>
      <c r="C11" s="4" t="s">
        <v>1655</v>
      </c>
      <c r="D11" s="9">
        <v>5546</v>
      </c>
    </row>
    <row r="12" spans="1:4" x14ac:dyDescent="0.25">
      <c r="A12" s="4" t="s">
        <v>108</v>
      </c>
      <c r="B12" s="4">
        <v>315283</v>
      </c>
      <c r="C12" s="4" t="s">
        <v>1656</v>
      </c>
      <c r="D12" s="9">
        <v>3680</v>
      </c>
    </row>
    <row r="13" spans="1:4" x14ac:dyDescent="0.25">
      <c r="A13" s="4" t="s">
        <v>108</v>
      </c>
      <c r="B13" s="4">
        <v>315591</v>
      </c>
      <c r="C13" s="4" t="s">
        <v>1657</v>
      </c>
      <c r="D13" s="9">
        <v>2616</v>
      </c>
    </row>
    <row r="14" spans="1:4" x14ac:dyDescent="0.25">
      <c r="A14" s="4" t="s">
        <v>108</v>
      </c>
      <c r="B14" s="4">
        <v>315617</v>
      </c>
      <c r="C14" s="4" t="s">
        <v>1658</v>
      </c>
      <c r="D14" s="9">
        <v>1937</v>
      </c>
    </row>
    <row r="15" spans="1:4" x14ac:dyDescent="0.25">
      <c r="A15" s="33" t="s">
        <v>108</v>
      </c>
      <c r="B15" s="35">
        <v>315621</v>
      </c>
      <c r="C15" s="33" t="s">
        <v>1659</v>
      </c>
      <c r="D15" s="34">
        <v>8745</v>
      </c>
    </row>
    <row r="16" spans="1:4" x14ac:dyDescent="0.25">
      <c r="A16" s="4" t="s">
        <v>108</v>
      </c>
      <c r="B16" s="4">
        <v>315622</v>
      </c>
      <c r="C16" s="4" t="s">
        <v>1660</v>
      </c>
      <c r="D16" s="9">
        <v>2668</v>
      </c>
    </row>
    <row r="17" spans="1:4" x14ac:dyDescent="0.25">
      <c r="A17" s="4" t="s">
        <v>108</v>
      </c>
      <c r="B17" s="4">
        <v>315285</v>
      </c>
      <c r="C17" s="4" t="s">
        <v>1670</v>
      </c>
      <c r="D17" s="9">
        <v>1210</v>
      </c>
    </row>
    <row r="18" spans="1:4" x14ac:dyDescent="0.25">
      <c r="A18" s="4" t="s">
        <v>108</v>
      </c>
      <c r="B18" s="4">
        <v>315286</v>
      </c>
      <c r="C18" s="4" t="s">
        <v>1671</v>
      </c>
      <c r="D18" s="9">
        <v>904</v>
      </c>
    </row>
    <row r="19" spans="1:4" x14ac:dyDescent="0.25">
      <c r="A19" s="4" t="s">
        <v>500</v>
      </c>
      <c r="B19" s="4">
        <v>311951</v>
      </c>
      <c r="C19" s="4" t="s">
        <v>1609</v>
      </c>
      <c r="D19" s="9">
        <v>1433</v>
      </c>
    </row>
    <row r="20" spans="1:4" x14ac:dyDescent="0.25">
      <c r="A20" s="4" t="s">
        <v>500</v>
      </c>
      <c r="B20" s="4">
        <v>311954</v>
      </c>
      <c r="C20" s="4" t="s">
        <v>1612</v>
      </c>
      <c r="D20" s="9">
        <v>772</v>
      </c>
    </row>
    <row r="21" spans="1:4" x14ac:dyDescent="0.25">
      <c r="A21" s="4" t="s">
        <v>500</v>
      </c>
      <c r="B21" s="4">
        <v>311947</v>
      </c>
      <c r="C21" s="4" t="s">
        <v>1617</v>
      </c>
      <c r="D21" s="9">
        <v>110</v>
      </c>
    </row>
    <row r="22" spans="1:4" x14ac:dyDescent="0.25">
      <c r="A22" s="4" t="s">
        <v>500</v>
      </c>
      <c r="B22" s="4">
        <v>311950</v>
      </c>
      <c r="C22" s="4" t="s">
        <v>1620</v>
      </c>
      <c r="D22" s="9">
        <v>165</v>
      </c>
    </row>
    <row r="23" spans="1:4" x14ac:dyDescent="0.25">
      <c r="A23" s="33" t="s">
        <v>24</v>
      </c>
      <c r="B23" s="35">
        <v>309385</v>
      </c>
      <c r="C23" s="33" t="s">
        <v>1520</v>
      </c>
      <c r="D23" s="34">
        <v>0</v>
      </c>
    </row>
    <row r="24" spans="1:4" x14ac:dyDescent="0.25">
      <c r="A24" s="4" t="s">
        <v>111</v>
      </c>
      <c r="B24" s="4">
        <v>317198</v>
      </c>
      <c r="C24" s="4" t="s">
        <v>1675</v>
      </c>
      <c r="D24" s="9">
        <v>490</v>
      </c>
    </row>
    <row r="25" spans="1:4" x14ac:dyDescent="0.25">
      <c r="A25" s="33" t="s">
        <v>111</v>
      </c>
      <c r="B25" s="35">
        <v>317050</v>
      </c>
      <c r="C25" s="33" t="s">
        <v>1676</v>
      </c>
      <c r="D25" s="34">
        <v>72</v>
      </c>
    </row>
    <row r="26" spans="1:4" x14ac:dyDescent="0.25">
      <c r="A26" s="4" t="s">
        <v>111</v>
      </c>
      <c r="B26" s="4">
        <v>317189</v>
      </c>
      <c r="C26" s="4" t="s">
        <v>1679</v>
      </c>
      <c r="D26" s="9">
        <v>72</v>
      </c>
    </row>
    <row r="27" spans="1:4" x14ac:dyDescent="0.25">
      <c r="A27" s="4" t="s">
        <v>111</v>
      </c>
      <c r="B27" s="4">
        <v>317630</v>
      </c>
      <c r="C27" s="4" t="s">
        <v>1703</v>
      </c>
      <c r="D27" s="9">
        <v>0</v>
      </c>
    </row>
    <row r="28" spans="1:4" x14ac:dyDescent="0.25">
      <c r="A28" s="4" t="s">
        <v>167</v>
      </c>
      <c r="B28" s="4">
        <v>317317</v>
      </c>
      <c r="C28" s="4" t="s">
        <v>1704</v>
      </c>
      <c r="D28" s="9">
        <v>1746</v>
      </c>
    </row>
    <row r="29" spans="1:4" x14ac:dyDescent="0.25">
      <c r="A29" s="33" t="s">
        <v>1000</v>
      </c>
      <c r="B29" s="35">
        <v>316769</v>
      </c>
      <c r="C29" s="33" t="s">
        <v>1705</v>
      </c>
      <c r="D29" s="34">
        <v>290</v>
      </c>
    </row>
    <row r="30" spans="1:4" x14ac:dyDescent="0.25">
      <c r="A30" s="4" t="s">
        <v>1000</v>
      </c>
      <c r="B30" s="4">
        <v>316769</v>
      </c>
      <c r="C30" s="4" t="s">
        <v>1706</v>
      </c>
      <c r="D30" s="9">
        <v>1025</v>
      </c>
    </row>
    <row r="31" spans="1:4" x14ac:dyDescent="0.25">
      <c r="A31" s="4" t="s">
        <v>26</v>
      </c>
      <c r="B31" s="4">
        <v>308573</v>
      </c>
      <c r="C31" s="4" t="s">
        <v>1524</v>
      </c>
      <c r="D31" s="9">
        <v>160</v>
      </c>
    </row>
    <row r="32" spans="1:4" x14ac:dyDescent="0.25">
      <c r="A32" s="4" t="s">
        <v>1419</v>
      </c>
      <c r="B32" s="4">
        <v>312357</v>
      </c>
      <c r="C32" s="4" t="s">
        <v>1707</v>
      </c>
      <c r="D32" s="9">
        <v>25740</v>
      </c>
    </row>
    <row r="33" spans="1:4" x14ac:dyDescent="0.25">
      <c r="A33" s="4" t="s">
        <v>1419</v>
      </c>
      <c r="B33" s="4">
        <v>315412</v>
      </c>
      <c r="C33" s="4" t="s">
        <v>1708</v>
      </c>
      <c r="D33" s="9">
        <v>14580</v>
      </c>
    </row>
    <row r="34" spans="1:4" x14ac:dyDescent="0.25">
      <c r="A34" s="4" t="s">
        <v>1419</v>
      </c>
      <c r="B34" s="4">
        <v>314598</v>
      </c>
      <c r="C34" s="4" t="s">
        <v>1709</v>
      </c>
      <c r="D34" s="9">
        <v>6750</v>
      </c>
    </row>
    <row r="35" spans="1:4" x14ac:dyDescent="0.25">
      <c r="A35" s="4" t="s">
        <v>1419</v>
      </c>
      <c r="B35" s="4">
        <v>316904</v>
      </c>
      <c r="C35" s="4" t="s">
        <v>1710</v>
      </c>
      <c r="D35" s="9">
        <v>5220</v>
      </c>
    </row>
    <row r="36" spans="1:4" x14ac:dyDescent="0.25">
      <c r="A36" s="4" t="s">
        <v>1419</v>
      </c>
      <c r="B36" s="4">
        <v>314757</v>
      </c>
      <c r="C36" s="4" t="s">
        <v>1711</v>
      </c>
      <c r="D36" s="9">
        <v>2700</v>
      </c>
    </row>
    <row r="37" spans="1:4" x14ac:dyDescent="0.25">
      <c r="A37" s="4" t="s">
        <v>1582</v>
      </c>
      <c r="B37" s="4">
        <v>314717</v>
      </c>
      <c r="C37" s="4" t="s">
        <v>1712</v>
      </c>
      <c r="D37" s="9">
        <v>18207</v>
      </c>
    </row>
    <row r="38" spans="1:4" x14ac:dyDescent="0.25">
      <c r="A38" s="4" t="s">
        <v>1582</v>
      </c>
      <c r="B38" s="4">
        <v>312231</v>
      </c>
      <c r="C38" s="4" t="s">
        <v>1713</v>
      </c>
      <c r="D38" s="9">
        <v>16779</v>
      </c>
    </row>
    <row r="39" spans="1:4" x14ac:dyDescent="0.25">
      <c r="A39" s="4" t="s">
        <v>180</v>
      </c>
      <c r="B39" s="4">
        <v>311366</v>
      </c>
      <c r="C39" s="4" t="s">
        <v>1714</v>
      </c>
      <c r="D39" s="9">
        <v>13740</v>
      </c>
    </row>
    <row r="40" spans="1:4" x14ac:dyDescent="0.25">
      <c r="A40" s="4" t="s">
        <v>718</v>
      </c>
      <c r="B40" s="4">
        <v>317259</v>
      </c>
      <c r="C40" s="4" t="s">
        <v>1689</v>
      </c>
      <c r="D40" s="9">
        <v>18000</v>
      </c>
    </row>
    <row r="41" spans="1:4" x14ac:dyDescent="0.25">
      <c r="A41" s="4" t="s">
        <v>221</v>
      </c>
      <c r="B41" s="4">
        <v>314980</v>
      </c>
      <c r="C41" s="4" t="s">
        <v>1644</v>
      </c>
      <c r="D41" s="9">
        <v>950</v>
      </c>
    </row>
    <row r="42" spans="1:4" x14ac:dyDescent="0.25">
      <c r="A42" s="4" t="s">
        <v>315</v>
      </c>
      <c r="B42" s="4">
        <v>311975</v>
      </c>
      <c r="C42" s="4" t="s">
        <v>1715</v>
      </c>
      <c r="D42" s="9">
        <v>2995</v>
      </c>
    </row>
    <row r="43" spans="1:4" x14ac:dyDescent="0.25">
      <c r="A43" s="4" t="s">
        <v>315</v>
      </c>
      <c r="B43" s="4">
        <v>316883</v>
      </c>
      <c r="C43" s="4" t="s">
        <v>1690</v>
      </c>
      <c r="D43" s="9">
        <v>0</v>
      </c>
    </row>
    <row r="44" spans="1:4" x14ac:dyDescent="0.25">
      <c r="A44" s="4" t="s">
        <v>315</v>
      </c>
      <c r="B44" s="4">
        <v>308903</v>
      </c>
      <c r="C44" s="4" t="s">
        <v>1716</v>
      </c>
      <c r="D44" s="9">
        <v>24449</v>
      </c>
    </row>
    <row r="45" spans="1:4" x14ac:dyDescent="0.25">
      <c r="A45" s="4" t="s">
        <v>315</v>
      </c>
      <c r="B45" s="4">
        <v>309443</v>
      </c>
      <c r="C45" s="4" t="s">
        <v>1691</v>
      </c>
      <c r="D45" s="9">
        <v>12395</v>
      </c>
    </row>
    <row r="46" spans="1:4" x14ac:dyDescent="0.25">
      <c r="A46" s="33" t="s">
        <v>315</v>
      </c>
      <c r="B46" s="35">
        <v>309443</v>
      </c>
      <c r="C46" s="33" t="s">
        <v>1692</v>
      </c>
      <c r="D46" s="34">
        <v>19735</v>
      </c>
    </row>
    <row r="47" spans="1:4" x14ac:dyDescent="0.25">
      <c r="A47" s="4" t="s">
        <v>315</v>
      </c>
      <c r="B47" s="4">
        <v>309443</v>
      </c>
      <c r="C47" s="4" t="s">
        <v>1693</v>
      </c>
      <c r="D47" s="9">
        <v>8040</v>
      </c>
    </row>
    <row r="48" spans="1:4" x14ac:dyDescent="0.25">
      <c r="A48" s="4" t="s">
        <v>315</v>
      </c>
      <c r="B48" s="4">
        <v>309443</v>
      </c>
      <c r="C48" s="4" t="s">
        <v>1694</v>
      </c>
      <c r="D48" s="9">
        <v>16960</v>
      </c>
    </row>
    <row r="49" spans="1:4" x14ac:dyDescent="0.25">
      <c r="A49" s="4" t="s">
        <v>1717</v>
      </c>
      <c r="B49" s="4">
        <v>314959</v>
      </c>
      <c r="C49" s="4" t="s">
        <v>1718</v>
      </c>
      <c r="D49" s="9">
        <v>2070</v>
      </c>
    </row>
    <row r="50" spans="1:4" x14ac:dyDescent="0.25">
      <c r="A50" s="4" t="s">
        <v>1339</v>
      </c>
      <c r="B50" s="4">
        <v>311624</v>
      </c>
      <c r="C50" s="4" t="s">
        <v>1719</v>
      </c>
      <c r="D50" s="9">
        <v>5670</v>
      </c>
    </row>
    <row r="51" spans="1:4" x14ac:dyDescent="0.25">
      <c r="A51" s="4" t="s">
        <v>1339</v>
      </c>
      <c r="B51" s="4">
        <v>311623</v>
      </c>
      <c r="C51" s="4" t="s">
        <v>1720</v>
      </c>
      <c r="D51" s="9">
        <v>2835</v>
      </c>
    </row>
    <row r="52" spans="1:4" x14ac:dyDescent="0.25">
      <c r="A52" s="4" t="s">
        <v>1387</v>
      </c>
      <c r="B52" s="4">
        <v>309210</v>
      </c>
      <c r="C52" s="4" t="s">
        <v>1580</v>
      </c>
      <c r="D52" s="9">
        <v>11475</v>
      </c>
    </row>
    <row r="53" spans="1:4" x14ac:dyDescent="0.25">
      <c r="A53" s="4" t="s">
        <v>995</v>
      </c>
      <c r="B53" s="4">
        <v>311217</v>
      </c>
      <c r="C53" s="4" t="s">
        <v>1695</v>
      </c>
      <c r="D53" s="9">
        <v>20155</v>
      </c>
    </row>
    <row r="54" spans="1:4" x14ac:dyDescent="0.25">
      <c r="A54" s="4" t="s">
        <v>995</v>
      </c>
      <c r="B54" s="4">
        <v>311217</v>
      </c>
      <c r="C54" s="4" t="s">
        <v>1696</v>
      </c>
      <c r="D54" s="9">
        <v>5659</v>
      </c>
    </row>
    <row r="55" spans="1:4" x14ac:dyDescent="0.25">
      <c r="A55" s="4" t="s">
        <v>995</v>
      </c>
      <c r="B55" s="4">
        <v>311217</v>
      </c>
      <c r="C55" s="4" t="s">
        <v>1699</v>
      </c>
      <c r="D55" s="9">
        <v>39894</v>
      </c>
    </row>
    <row r="56" spans="1:4" x14ac:dyDescent="0.25">
      <c r="A56" s="33" t="s">
        <v>52</v>
      </c>
      <c r="B56" s="35">
        <v>285324</v>
      </c>
      <c r="C56" s="33" t="s">
        <v>1345</v>
      </c>
      <c r="D56" s="34">
        <v>1320</v>
      </c>
    </row>
    <row r="57" spans="1:4" x14ac:dyDescent="0.25">
      <c r="A57" s="4" t="s">
        <v>52</v>
      </c>
      <c r="B57" s="4">
        <v>306630</v>
      </c>
      <c r="C57" s="4" t="s">
        <v>1388</v>
      </c>
      <c r="D57" s="9">
        <v>3550</v>
      </c>
    </row>
    <row r="58" spans="1:4" x14ac:dyDescent="0.25">
      <c r="A58" s="4" t="s">
        <v>371</v>
      </c>
      <c r="B58" s="4">
        <v>311398</v>
      </c>
      <c r="C58" s="4" t="s">
        <v>1605</v>
      </c>
      <c r="D58" s="9">
        <v>900</v>
      </c>
    </row>
    <row r="59" spans="1:4" x14ac:dyDescent="0.25">
      <c r="A59" s="4" t="s">
        <v>371</v>
      </c>
      <c r="B59" s="4">
        <v>311400</v>
      </c>
      <c r="C59" s="4" t="s">
        <v>1606</v>
      </c>
      <c r="D59" s="9">
        <v>52560</v>
      </c>
    </row>
    <row r="60" spans="1:4" x14ac:dyDescent="0.25">
      <c r="A60" s="4" t="s">
        <v>371</v>
      </c>
      <c r="B60" s="4">
        <v>311399</v>
      </c>
      <c r="C60" s="4" t="s">
        <v>1572</v>
      </c>
      <c r="D60" s="9">
        <v>70740</v>
      </c>
    </row>
    <row r="61" spans="1:4" x14ac:dyDescent="0.25">
      <c r="A61" s="4" t="s">
        <v>371</v>
      </c>
      <c r="B61" s="4">
        <v>311402</v>
      </c>
      <c r="C61" s="4" t="s">
        <v>1573</v>
      </c>
      <c r="D61" s="9">
        <v>119995</v>
      </c>
    </row>
    <row r="62" spans="1:4" x14ac:dyDescent="0.25">
      <c r="A62" s="4" t="s">
        <v>208</v>
      </c>
      <c r="B62" s="4">
        <v>214233</v>
      </c>
      <c r="C62" s="4" t="s">
        <v>1539</v>
      </c>
      <c r="D62" s="9">
        <v>0</v>
      </c>
    </row>
    <row r="63" spans="1:4" x14ac:dyDescent="0.25">
      <c r="A63" s="4" t="s">
        <v>52</v>
      </c>
      <c r="B63" s="4">
        <v>311613</v>
      </c>
      <c r="C63" s="4" t="s">
        <v>1701</v>
      </c>
      <c r="D63" s="9">
        <v>34550</v>
      </c>
    </row>
    <row r="64" spans="1:4" x14ac:dyDescent="0.25">
      <c r="C64" s="31" t="s">
        <v>83</v>
      </c>
      <c r="D64" s="32">
        <f>SUM(D2:D63)</f>
        <v>637664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77F5-C219-4896-8F50-E16896C0B01A}">
  <dimension ref="A1:D18"/>
  <sheetViews>
    <sheetView zoomScaleNormal="100" zoomScaleSheetLayoutView="100" workbookViewId="0">
      <selection activeCell="C32" sqref="C32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111</v>
      </c>
      <c r="B2" s="35">
        <v>319132</v>
      </c>
      <c r="C2" s="33" t="s">
        <v>1721</v>
      </c>
      <c r="D2" s="34">
        <v>72</v>
      </c>
    </row>
    <row r="3" spans="1:4" x14ac:dyDescent="0.25">
      <c r="A3" s="4" t="s">
        <v>111</v>
      </c>
      <c r="B3" s="4">
        <v>319006</v>
      </c>
      <c r="C3" s="4" t="s">
        <v>1722</v>
      </c>
      <c r="D3" s="9">
        <v>223</v>
      </c>
    </row>
    <row r="4" spans="1:4" x14ac:dyDescent="0.25">
      <c r="A4" s="4" t="s">
        <v>1000</v>
      </c>
      <c r="B4" s="4">
        <v>316769</v>
      </c>
      <c r="C4" s="4" t="s">
        <v>1723</v>
      </c>
      <c r="D4" s="9">
        <v>290</v>
      </c>
    </row>
    <row r="5" spans="1:4" x14ac:dyDescent="0.25">
      <c r="A5" s="4" t="s">
        <v>1000</v>
      </c>
      <c r="B5" s="4">
        <v>316769</v>
      </c>
      <c r="C5" s="4" t="s">
        <v>1724</v>
      </c>
      <c r="D5" s="9">
        <v>1025</v>
      </c>
    </row>
    <row r="6" spans="1:4" x14ac:dyDescent="0.25">
      <c r="A6" s="33" t="s">
        <v>175</v>
      </c>
      <c r="B6" s="35">
        <v>317355</v>
      </c>
      <c r="C6" s="33" t="s">
        <v>1725</v>
      </c>
      <c r="D6" s="34">
        <v>0</v>
      </c>
    </row>
    <row r="7" spans="1:4" x14ac:dyDescent="0.25">
      <c r="A7" s="4" t="s">
        <v>26</v>
      </c>
      <c r="B7" s="4">
        <v>316912</v>
      </c>
      <c r="C7" s="4" t="s">
        <v>1726</v>
      </c>
      <c r="D7" s="9">
        <v>345</v>
      </c>
    </row>
    <row r="8" spans="1:4" x14ac:dyDescent="0.25">
      <c r="A8" s="4" t="s">
        <v>180</v>
      </c>
      <c r="B8" s="4">
        <v>314839</v>
      </c>
      <c r="C8" s="4" t="s">
        <v>1727</v>
      </c>
      <c r="D8" s="9">
        <v>2698</v>
      </c>
    </row>
    <row r="9" spans="1:4" x14ac:dyDescent="0.25">
      <c r="A9" s="4" t="s">
        <v>718</v>
      </c>
      <c r="B9" s="4">
        <v>319074</v>
      </c>
      <c r="C9" s="4" t="s">
        <v>1728</v>
      </c>
      <c r="D9" s="9">
        <v>7200</v>
      </c>
    </row>
    <row r="10" spans="1:4" x14ac:dyDescent="0.25">
      <c r="A10" s="4" t="s">
        <v>718</v>
      </c>
      <c r="B10" s="4">
        <v>319054</v>
      </c>
      <c r="C10" s="4" t="s">
        <v>1729</v>
      </c>
      <c r="D10" s="9">
        <v>312</v>
      </c>
    </row>
    <row r="11" spans="1:4" x14ac:dyDescent="0.25">
      <c r="A11" s="4" t="s">
        <v>1387</v>
      </c>
      <c r="B11" s="4">
        <v>309210</v>
      </c>
      <c r="C11" s="4" t="s">
        <v>1580</v>
      </c>
      <c r="D11" s="9">
        <v>11475</v>
      </c>
    </row>
    <row r="12" spans="1:4" x14ac:dyDescent="0.25">
      <c r="A12" s="4" t="s">
        <v>52</v>
      </c>
      <c r="B12" s="4">
        <v>285324</v>
      </c>
      <c r="C12" s="4" t="s">
        <v>1345</v>
      </c>
      <c r="D12" s="9">
        <v>1320</v>
      </c>
    </row>
    <row r="13" spans="1:4" x14ac:dyDescent="0.25">
      <c r="A13" s="4" t="s">
        <v>52</v>
      </c>
      <c r="B13" s="4">
        <v>306630</v>
      </c>
      <c r="C13" s="4" t="s">
        <v>1388</v>
      </c>
      <c r="D13" s="9">
        <v>3550</v>
      </c>
    </row>
    <row r="14" spans="1:4" x14ac:dyDescent="0.25">
      <c r="A14" s="4" t="s">
        <v>371</v>
      </c>
      <c r="B14" s="4">
        <v>311398</v>
      </c>
      <c r="C14" s="4" t="s">
        <v>1605</v>
      </c>
      <c r="D14" s="9">
        <v>900</v>
      </c>
    </row>
    <row r="15" spans="1:4" x14ac:dyDescent="0.25">
      <c r="A15" s="33" t="s">
        <v>371</v>
      </c>
      <c r="B15" s="35">
        <v>311400</v>
      </c>
      <c r="C15" s="33" t="s">
        <v>1606</v>
      </c>
      <c r="D15" s="34">
        <v>52560</v>
      </c>
    </row>
    <row r="16" spans="1:4" x14ac:dyDescent="0.25">
      <c r="A16" s="4" t="s">
        <v>371</v>
      </c>
      <c r="B16" s="4">
        <v>311399</v>
      </c>
      <c r="C16" s="4" t="s">
        <v>1572</v>
      </c>
      <c r="D16" s="9">
        <v>70740</v>
      </c>
    </row>
    <row r="17" spans="1:4" x14ac:dyDescent="0.25">
      <c r="A17" s="4" t="s">
        <v>371</v>
      </c>
      <c r="B17" s="4">
        <v>311402</v>
      </c>
      <c r="C17" s="4" t="s">
        <v>1573</v>
      </c>
      <c r="D17" s="9">
        <v>119995</v>
      </c>
    </row>
    <row r="18" spans="1:4" x14ac:dyDescent="0.25">
      <c r="C18" s="31" t="s">
        <v>83</v>
      </c>
      <c r="D18" s="32">
        <f>SUM(D2:D17)</f>
        <v>272705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E29F-7618-4A54-9B0E-99DFED92DE7F}">
  <dimension ref="A1:D29"/>
  <sheetViews>
    <sheetView zoomScaleNormal="100" zoomScaleSheetLayoutView="100" workbookViewId="0">
      <selection activeCell="G7" sqref="G7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500</v>
      </c>
      <c r="B2" s="35">
        <v>321576</v>
      </c>
      <c r="C2" s="33" t="s">
        <v>1730</v>
      </c>
      <c r="D2" s="34">
        <v>2205</v>
      </c>
    </row>
    <row r="3" spans="1:4" x14ac:dyDescent="0.25">
      <c r="A3" s="4" t="s">
        <v>500</v>
      </c>
      <c r="B3" s="4">
        <v>321577</v>
      </c>
      <c r="C3" s="4" t="s">
        <v>1731</v>
      </c>
      <c r="D3" s="9">
        <v>1764</v>
      </c>
    </row>
    <row r="4" spans="1:4" x14ac:dyDescent="0.25">
      <c r="A4" s="4" t="s">
        <v>500</v>
      </c>
      <c r="B4" s="4">
        <v>321579</v>
      </c>
      <c r="C4" s="4" t="s">
        <v>1732</v>
      </c>
      <c r="D4" s="9">
        <v>1213</v>
      </c>
    </row>
    <row r="5" spans="1:4" x14ac:dyDescent="0.25">
      <c r="A5" s="33" t="s">
        <v>500</v>
      </c>
      <c r="B5" s="35">
        <v>321584</v>
      </c>
      <c r="C5" s="33" t="s">
        <v>1733</v>
      </c>
      <c r="D5" s="34">
        <v>1874</v>
      </c>
    </row>
    <row r="6" spans="1:4" x14ac:dyDescent="0.25">
      <c r="A6" s="4" t="s">
        <v>111</v>
      </c>
      <c r="B6" s="4">
        <v>320487</v>
      </c>
      <c r="C6" s="4" t="s">
        <v>1734</v>
      </c>
      <c r="D6" s="9">
        <v>260526</v>
      </c>
    </row>
    <row r="7" spans="1:4" x14ac:dyDescent="0.25">
      <c r="A7" s="4" t="s">
        <v>111</v>
      </c>
      <c r="B7" s="4">
        <v>319425</v>
      </c>
      <c r="C7" s="4" t="s">
        <v>1735</v>
      </c>
      <c r="D7" s="9">
        <v>490</v>
      </c>
    </row>
    <row r="8" spans="1:4" x14ac:dyDescent="0.25">
      <c r="A8" s="4" t="s">
        <v>111</v>
      </c>
      <c r="B8" s="4">
        <v>321512</v>
      </c>
      <c r="C8" s="4" t="s">
        <v>1736</v>
      </c>
      <c r="D8" s="9">
        <v>312</v>
      </c>
    </row>
    <row r="9" spans="1:4" x14ac:dyDescent="0.25">
      <c r="A9" s="4" t="s">
        <v>111</v>
      </c>
      <c r="B9" s="4">
        <v>319422</v>
      </c>
      <c r="C9" s="4" t="s">
        <v>1737</v>
      </c>
      <c r="D9" s="9">
        <v>163</v>
      </c>
    </row>
    <row r="10" spans="1:4" x14ac:dyDescent="0.25">
      <c r="A10" s="4" t="s">
        <v>111</v>
      </c>
      <c r="B10" s="4">
        <v>319424</v>
      </c>
      <c r="C10" s="4" t="s">
        <v>1738</v>
      </c>
      <c r="D10" s="9">
        <v>327</v>
      </c>
    </row>
    <row r="11" spans="1:4" x14ac:dyDescent="0.25">
      <c r="A11" s="4" t="s">
        <v>111</v>
      </c>
      <c r="B11" s="4">
        <v>321511</v>
      </c>
      <c r="C11" s="4" t="s">
        <v>1739</v>
      </c>
      <c r="D11" s="9">
        <v>163</v>
      </c>
    </row>
    <row r="12" spans="1:4" x14ac:dyDescent="0.25">
      <c r="A12" s="4" t="s">
        <v>111</v>
      </c>
      <c r="B12" s="4">
        <v>321513</v>
      </c>
      <c r="C12" s="4" t="s">
        <v>1740</v>
      </c>
      <c r="D12" s="9">
        <v>215</v>
      </c>
    </row>
    <row r="13" spans="1:4" x14ac:dyDescent="0.25">
      <c r="A13" s="4" t="s">
        <v>111</v>
      </c>
      <c r="B13" s="4">
        <v>321518</v>
      </c>
      <c r="C13" s="4" t="s">
        <v>1741</v>
      </c>
      <c r="D13" s="9">
        <v>1436</v>
      </c>
    </row>
    <row r="14" spans="1:4" x14ac:dyDescent="0.25">
      <c r="A14" s="33" t="s">
        <v>111</v>
      </c>
      <c r="B14" s="35">
        <v>319423</v>
      </c>
      <c r="C14" s="33" t="s">
        <v>1742</v>
      </c>
      <c r="D14" s="34">
        <v>574</v>
      </c>
    </row>
    <row r="15" spans="1:4" x14ac:dyDescent="0.25">
      <c r="A15" s="4" t="s">
        <v>167</v>
      </c>
      <c r="B15" s="4">
        <v>317420</v>
      </c>
      <c r="C15" s="4" t="s">
        <v>1743</v>
      </c>
      <c r="D15" s="9">
        <v>10201</v>
      </c>
    </row>
    <row r="16" spans="1:4" x14ac:dyDescent="0.25">
      <c r="A16" s="4" t="s">
        <v>167</v>
      </c>
      <c r="B16" s="4">
        <v>317453</v>
      </c>
      <c r="C16" s="4" t="s">
        <v>1744</v>
      </c>
      <c r="D16" s="9">
        <v>5527</v>
      </c>
    </row>
    <row r="17" spans="1:4" x14ac:dyDescent="0.25">
      <c r="A17" s="4" t="s">
        <v>1000</v>
      </c>
      <c r="B17" s="4">
        <v>316769</v>
      </c>
      <c r="C17" s="4" t="s">
        <v>1723</v>
      </c>
      <c r="D17" s="9">
        <v>290</v>
      </c>
    </row>
    <row r="18" spans="1:4" x14ac:dyDescent="0.25">
      <c r="A18" s="4" t="s">
        <v>1000</v>
      </c>
      <c r="B18" s="4">
        <v>316769</v>
      </c>
      <c r="C18" s="4" t="s">
        <v>1724</v>
      </c>
      <c r="D18" s="9">
        <v>1025</v>
      </c>
    </row>
    <row r="19" spans="1:4" x14ac:dyDescent="0.25">
      <c r="A19" s="33" t="s">
        <v>175</v>
      </c>
      <c r="B19" s="35">
        <v>317432</v>
      </c>
      <c r="C19" s="33" t="s">
        <v>1745</v>
      </c>
      <c r="D19" s="34">
        <v>1980</v>
      </c>
    </row>
    <row r="20" spans="1:4" x14ac:dyDescent="0.25">
      <c r="A20" s="4" t="s">
        <v>175</v>
      </c>
      <c r="B20" s="4">
        <v>317355</v>
      </c>
      <c r="C20" s="4" t="s">
        <v>1725</v>
      </c>
      <c r="D20" s="9">
        <v>0</v>
      </c>
    </row>
    <row r="21" spans="1:4" x14ac:dyDescent="0.25">
      <c r="A21" s="4" t="s">
        <v>26</v>
      </c>
      <c r="B21" s="4">
        <v>316912</v>
      </c>
      <c r="C21" s="4" t="s">
        <v>1726</v>
      </c>
      <c r="D21" s="9">
        <v>345</v>
      </c>
    </row>
    <row r="22" spans="1:4" x14ac:dyDescent="0.25">
      <c r="A22" s="4" t="s">
        <v>180</v>
      </c>
      <c r="B22" s="4">
        <v>319061</v>
      </c>
      <c r="C22" s="4" t="s">
        <v>1746</v>
      </c>
      <c r="D22" s="9">
        <v>8680</v>
      </c>
    </row>
    <row r="23" spans="1:4" x14ac:dyDescent="0.25">
      <c r="A23" s="4" t="s">
        <v>180</v>
      </c>
      <c r="B23" s="4">
        <v>311412</v>
      </c>
      <c r="C23" s="4" t="s">
        <v>1747</v>
      </c>
      <c r="D23" s="9">
        <v>1380</v>
      </c>
    </row>
    <row r="24" spans="1:4" x14ac:dyDescent="0.25">
      <c r="A24" s="4" t="s">
        <v>1047</v>
      </c>
      <c r="B24" s="4">
        <v>317242</v>
      </c>
      <c r="C24" s="4" t="s">
        <v>1748</v>
      </c>
      <c r="D24" s="9">
        <v>10850</v>
      </c>
    </row>
    <row r="25" spans="1:4" x14ac:dyDescent="0.25">
      <c r="A25" s="4" t="s">
        <v>1387</v>
      </c>
      <c r="B25" s="4">
        <v>309210</v>
      </c>
      <c r="C25" s="4" t="s">
        <v>1580</v>
      </c>
      <c r="D25" s="9">
        <v>11475</v>
      </c>
    </row>
    <row r="26" spans="1:4" x14ac:dyDescent="0.25">
      <c r="A26" s="4" t="s">
        <v>52</v>
      </c>
      <c r="B26" s="4">
        <v>285324</v>
      </c>
      <c r="C26" s="4" t="s">
        <v>1345</v>
      </c>
      <c r="D26" s="9">
        <v>1320</v>
      </c>
    </row>
    <row r="27" spans="1:4" x14ac:dyDescent="0.25">
      <c r="A27" s="4" t="s">
        <v>52</v>
      </c>
      <c r="B27" s="4">
        <v>306630</v>
      </c>
      <c r="C27" s="4" t="s">
        <v>1388</v>
      </c>
      <c r="D27" s="9">
        <v>3550</v>
      </c>
    </row>
    <row r="28" spans="1:4" x14ac:dyDescent="0.25">
      <c r="A28" s="33" t="s">
        <v>111</v>
      </c>
      <c r="B28" s="35">
        <v>319421</v>
      </c>
      <c r="C28" s="33" t="s">
        <v>1749</v>
      </c>
      <c r="D28" s="34">
        <v>327</v>
      </c>
    </row>
    <row r="29" spans="1:4" x14ac:dyDescent="0.25">
      <c r="C29" s="31" t="s">
        <v>83</v>
      </c>
      <c r="D29" s="32">
        <f>SUM(D2:D28)</f>
        <v>328212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439E-D328-47F0-B3EB-E96EEB86BE58}">
  <dimension ref="A1:D21"/>
  <sheetViews>
    <sheetView zoomScaleNormal="100" zoomScaleSheetLayoutView="100" workbookViewId="0">
      <selection activeCell="B27" sqref="B27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256</v>
      </c>
      <c r="B2" s="35">
        <v>321870</v>
      </c>
      <c r="C2" s="33" t="s">
        <v>1750</v>
      </c>
      <c r="D2" s="34">
        <v>1395</v>
      </c>
    </row>
    <row r="3" spans="1:4" x14ac:dyDescent="0.25">
      <c r="A3" s="4" t="s">
        <v>108</v>
      </c>
      <c r="B3" s="4">
        <v>319037</v>
      </c>
      <c r="C3" s="4" t="s">
        <v>1751</v>
      </c>
      <c r="D3" s="9">
        <v>24779</v>
      </c>
    </row>
    <row r="4" spans="1:4" x14ac:dyDescent="0.25">
      <c r="A4" s="4" t="s">
        <v>108</v>
      </c>
      <c r="B4" s="4">
        <v>319368</v>
      </c>
      <c r="C4" s="4" t="s">
        <v>1752</v>
      </c>
      <c r="D4" s="9">
        <v>7058</v>
      </c>
    </row>
    <row r="5" spans="1:4" x14ac:dyDescent="0.25">
      <c r="A5" s="33" t="s">
        <v>111</v>
      </c>
      <c r="B5" s="35">
        <v>321512</v>
      </c>
      <c r="C5" s="33" t="s">
        <v>1736</v>
      </c>
      <c r="D5" s="34">
        <v>312</v>
      </c>
    </row>
    <row r="6" spans="1:4" x14ac:dyDescent="0.25">
      <c r="A6" s="4" t="s">
        <v>111</v>
      </c>
      <c r="B6" s="4">
        <v>319422</v>
      </c>
      <c r="C6" s="4" t="s">
        <v>1737</v>
      </c>
      <c r="D6" s="9">
        <v>163</v>
      </c>
    </row>
    <row r="7" spans="1:4" x14ac:dyDescent="0.25">
      <c r="A7" s="4" t="s">
        <v>111</v>
      </c>
      <c r="B7" s="4">
        <v>319424</v>
      </c>
      <c r="C7" s="4" t="s">
        <v>1738</v>
      </c>
      <c r="D7" s="9">
        <v>327</v>
      </c>
    </row>
    <row r="8" spans="1:4" x14ac:dyDescent="0.25">
      <c r="A8" s="4" t="s">
        <v>111</v>
      </c>
      <c r="B8" s="4">
        <v>321511</v>
      </c>
      <c r="C8" s="4" t="s">
        <v>1739</v>
      </c>
      <c r="D8" s="9">
        <v>163</v>
      </c>
    </row>
    <row r="9" spans="1:4" x14ac:dyDescent="0.25">
      <c r="A9" s="4" t="s">
        <v>111</v>
      </c>
      <c r="B9" s="4">
        <v>321513</v>
      </c>
      <c r="C9" s="4" t="s">
        <v>1740</v>
      </c>
      <c r="D9" s="9">
        <v>215</v>
      </c>
    </row>
    <row r="10" spans="1:4" x14ac:dyDescent="0.25">
      <c r="A10" s="4" t="s">
        <v>111</v>
      </c>
      <c r="B10" s="4">
        <v>319423</v>
      </c>
      <c r="C10" s="4" t="s">
        <v>1742</v>
      </c>
      <c r="D10" s="9">
        <v>574</v>
      </c>
    </row>
    <row r="11" spans="1:4" x14ac:dyDescent="0.25">
      <c r="A11" s="4" t="s">
        <v>81</v>
      </c>
      <c r="B11" s="4">
        <v>321597</v>
      </c>
      <c r="C11" s="4" t="s">
        <v>1753</v>
      </c>
      <c r="D11" s="9">
        <v>36176</v>
      </c>
    </row>
    <row r="12" spans="1:4" x14ac:dyDescent="0.25">
      <c r="A12" s="4" t="s">
        <v>1000</v>
      </c>
      <c r="B12" s="4">
        <v>316769</v>
      </c>
      <c r="C12" s="4" t="s">
        <v>1723</v>
      </c>
      <c r="D12" s="9">
        <v>290</v>
      </c>
    </row>
    <row r="13" spans="1:4" x14ac:dyDescent="0.25">
      <c r="A13" s="4" t="s">
        <v>1000</v>
      </c>
      <c r="B13" s="4">
        <v>316769</v>
      </c>
      <c r="C13" s="4" t="s">
        <v>1724</v>
      </c>
      <c r="D13" s="9">
        <v>1025</v>
      </c>
    </row>
    <row r="14" spans="1:4" x14ac:dyDescent="0.25">
      <c r="A14" s="33" t="s">
        <v>211</v>
      </c>
      <c r="B14" s="35">
        <v>309433</v>
      </c>
      <c r="C14" s="33" t="s">
        <v>1754</v>
      </c>
      <c r="D14" s="34">
        <v>795</v>
      </c>
    </row>
    <row r="15" spans="1:4" x14ac:dyDescent="0.25">
      <c r="A15" s="4" t="s">
        <v>1755</v>
      </c>
      <c r="B15" s="4">
        <v>321573</v>
      </c>
      <c r="C15" s="4" t="s">
        <v>1756</v>
      </c>
      <c r="D15" s="9">
        <v>4700</v>
      </c>
    </row>
    <row r="16" spans="1:4" x14ac:dyDescent="0.25">
      <c r="A16" s="4" t="s">
        <v>180</v>
      </c>
      <c r="B16" s="4">
        <v>311412</v>
      </c>
      <c r="C16" s="4" t="s">
        <v>1747</v>
      </c>
      <c r="D16" s="9">
        <v>1380</v>
      </c>
    </row>
    <row r="17" spans="1:4" x14ac:dyDescent="0.25">
      <c r="A17" s="4" t="s">
        <v>315</v>
      </c>
      <c r="B17" s="4">
        <v>321886</v>
      </c>
      <c r="C17" s="4" t="s">
        <v>1757</v>
      </c>
      <c r="D17" s="9">
        <v>3085</v>
      </c>
    </row>
    <row r="18" spans="1:4" x14ac:dyDescent="0.25">
      <c r="A18" s="4" t="s">
        <v>832</v>
      </c>
      <c r="B18" s="4">
        <v>321750</v>
      </c>
      <c r="C18" s="4" t="s">
        <v>1758</v>
      </c>
      <c r="D18" s="9">
        <v>1390</v>
      </c>
    </row>
    <row r="19" spans="1:4" x14ac:dyDescent="0.25">
      <c r="A19" s="33" t="s">
        <v>832</v>
      </c>
      <c r="B19" s="35">
        <v>316867</v>
      </c>
      <c r="C19" s="33" t="s">
        <v>1759</v>
      </c>
      <c r="D19" s="34">
        <v>1000</v>
      </c>
    </row>
    <row r="20" spans="1:4" x14ac:dyDescent="0.25">
      <c r="A20" s="4" t="s">
        <v>111</v>
      </c>
      <c r="B20" s="4">
        <v>319421</v>
      </c>
      <c r="C20" s="4" t="s">
        <v>1749</v>
      </c>
      <c r="D20" s="9">
        <v>327</v>
      </c>
    </row>
    <row r="21" spans="1:4" x14ac:dyDescent="0.25">
      <c r="C21" s="31" t="s">
        <v>83</v>
      </c>
      <c r="D21" s="32">
        <f>SUM(D2:D20)</f>
        <v>85154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A56B-E2BE-4ADC-A495-33444E5FA22E}">
  <dimension ref="A1:D24"/>
  <sheetViews>
    <sheetView zoomScaleNormal="100" zoomScaleSheetLayoutView="100" workbookViewId="0">
      <selection activeCell="C30" sqref="C30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680</v>
      </c>
      <c r="B2" s="35">
        <v>322018</v>
      </c>
      <c r="C2" s="33" t="s">
        <v>1760</v>
      </c>
      <c r="D2" s="34">
        <v>2070</v>
      </c>
    </row>
    <row r="3" spans="1:4" x14ac:dyDescent="0.25">
      <c r="A3" s="4" t="s">
        <v>108</v>
      </c>
      <c r="B3" s="4">
        <v>319037</v>
      </c>
      <c r="C3" s="4" t="s">
        <v>1751</v>
      </c>
      <c r="D3" s="9">
        <v>24779</v>
      </c>
    </row>
    <row r="4" spans="1:4" x14ac:dyDescent="0.25">
      <c r="A4" s="4" t="s">
        <v>108</v>
      </c>
      <c r="B4" s="4">
        <v>319368</v>
      </c>
      <c r="C4" s="4" t="s">
        <v>1752</v>
      </c>
      <c r="D4" s="9">
        <v>7058</v>
      </c>
    </row>
    <row r="5" spans="1:4" x14ac:dyDescent="0.25">
      <c r="A5" s="4" t="s">
        <v>61</v>
      </c>
      <c r="B5" s="4">
        <v>323551</v>
      </c>
      <c r="C5" s="4" t="s">
        <v>1761</v>
      </c>
      <c r="D5" s="9">
        <v>9040</v>
      </c>
    </row>
    <row r="6" spans="1:4" x14ac:dyDescent="0.25">
      <c r="A6" s="4" t="s">
        <v>111</v>
      </c>
      <c r="B6" s="4">
        <v>322126</v>
      </c>
      <c r="C6" s="4" t="s">
        <v>1762</v>
      </c>
      <c r="D6" s="9">
        <v>19794</v>
      </c>
    </row>
    <row r="7" spans="1:4" x14ac:dyDescent="0.25">
      <c r="A7" s="4" t="s">
        <v>111</v>
      </c>
      <c r="B7" s="4">
        <v>322200</v>
      </c>
      <c r="C7" s="4" t="s">
        <v>1763</v>
      </c>
      <c r="D7" s="9">
        <v>654</v>
      </c>
    </row>
    <row r="8" spans="1:4" x14ac:dyDescent="0.25">
      <c r="A8" s="4" t="s">
        <v>111</v>
      </c>
      <c r="B8" s="4">
        <v>321512</v>
      </c>
      <c r="C8" s="4" t="s">
        <v>1736</v>
      </c>
      <c r="D8" s="9">
        <v>312</v>
      </c>
    </row>
    <row r="9" spans="1:4" x14ac:dyDescent="0.25">
      <c r="A9" s="4" t="s">
        <v>111</v>
      </c>
      <c r="B9" s="4">
        <v>319422</v>
      </c>
      <c r="C9" s="4" t="s">
        <v>1737</v>
      </c>
      <c r="D9" s="9">
        <v>163</v>
      </c>
    </row>
    <row r="10" spans="1:4" x14ac:dyDescent="0.25">
      <c r="A10" s="4" t="s">
        <v>111</v>
      </c>
      <c r="B10" s="4">
        <v>319424</v>
      </c>
      <c r="C10" s="4" t="s">
        <v>1738</v>
      </c>
      <c r="D10" s="9">
        <v>327</v>
      </c>
    </row>
    <row r="11" spans="1:4" x14ac:dyDescent="0.25">
      <c r="A11" s="4" t="s">
        <v>111</v>
      </c>
      <c r="B11" s="4">
        <v>321511</v>
      </c>
      <c r="C11" s="4" t="s">
        <v>1739</v>
      </c>
      <c r="D11" s="9">
        <v>163</v>
      </c>
    </row>
    <row r="12" spans="1:4" x14ac:dyDescent="0.25">
      <c r="A12" s="4" t="s">
        <v>111</v>
      </c>
      <c r="B12" s="4">
        <v>321513</v>
      </c>
      <c r="C12" s="4" t="s">
        <v>1740</v>
      </c>
      <c r="D12" s="9">
        <v>215</v>
      </c>
    </row>
    <row r="13" spans="1:4" x14ac:dyDescent="0.25">
      <c r="A13" s="33" t="s">
        <v>111</v>
      </c>
      <c r="B13" s="35">
        <v>319423</v>
      </c>
      <c r="C13" s="33" t="s">
        <v>1742</v>
      </c>
      <c r="D13" s="34">
        <v>574</v>
      </c>
    </row>
    <row r="14" spans="1:4" x14ac:dyDescent="0.25">
      <c r="A14" s="4" t="s">
        <v>81</v>
      </c>
      <c r="B14" s="4">
        <v>321597</v>
      </c>
      <c r="C14" s="4" t="s">
        <v>1753</v>
      </c>
      <c r="D14" s="9">
        <v>36176</v>
      </c>
    </row>
    <row r="15" spans="1:4" x14ac:dyDescent="0.25">
      <c r="A15" s="4" t="s">
        <v>1000</v>
      </c>
      <c r="B15" s="4">
        <v>317457</v>
      </c>
      <c r="C15" s="4" t="s">
        <v>1764</v>
      </c>
      <c r="D15" s="9">
        <v>450</v>
      </c>
    </row>
    <row r="16" spans="1:4" x14ac:dyDescent="0.25">
      <c r="A16" s="4" t="s">
        <v>1000</v>
      </c>
      <c r="B16" s="4">
        <v>316769</v>
      </c>
      <c r="C16" s="4" t="s">
        <v>1723</v>
      </c>
      <c r="D16" s="9">
        <v>290</v>
      </c>
    </row>
    <row r="17" spans="1:4" x14ac:dyDescent="0.25">
      <c r="A17" s="33" t="s">
        <v>1000</v>
      </c>
      <c r="B17" s="35">
        <v>316769</v>
      </c>
      <c r="C17" s="33" t="s">
        <v>1724</v>
      </c>
      <c r="D17" s="34">
        <v>1025</v>
      </c>
    </row>
    <row r="18" spans="1:4" x14ac:dyDescent="0.25">
      <c r="A18" s="4" t="s">
        <v>180</v>
      </c>
      <c r="B18" s="4">
        <v>311412</v>
      </c>
      <c r="C18" s="4" t="s">
        <v>1747</v>
      </c>
      <c r="D18" s="9">
        <v>1380</v>
      </c>
    </row>
    <row r="19" spans="1:4" x14ac:dyDescent="0.25">
      <c r="A19" s="4" t="s">
        <v>718</v>
      </c>
      <c r="B19" s="4">
        <v>322328</v>
      </c>
      <c r="C19" s="4" t="s">
        <v>1765</v>
      </c>
      <c r="D19" s="9">
        <v>1896</v>
      </c>
    </row>
    <row r="20" spans="1:4" x14ac:dyDescent="0.25">
      <c r="A20" s="4" t="s">
        <v>832</v>
      </c>
      <c r="B20" s="4">
        <v>316867</v>
      </c>
      <c r="C20" s="4" t="s">
        <v>1759</v>
      </c>
      <c r="D20" s="9">
        <v>1000</v>
      </c>
    </row>
    <row r="21" spans="1:4" x14ac:dyDescent="0.25">
      <c r="A21" s="4" t="s">
        <v>61</v>
      </c>
      <c r="B21" s="4">
        <v>323503</v>
      </c>
      <c r="C21" s="4" t="s">
        <v>1766</v>
      </c>
      <c r="D21" s="9">
        <v>1</v>
      </c>
    </row>
    <row r="22" spans="1:4" x14ac:dyDescent="0.25">
      <c r="A22" s="4" t="s">
        <v>61</v>
      </c>
      <c r="B22" s="4">
        <v>323511</v>
      </c>
      <c r="C22" s="4" t="s">
        <v>1767</v>
      </c>
      <c r="D22" s="9">
        <v>1</v>
      </c>
    </row>
    <row r="23" spans="1:4" x14ac:dyDescent="0.25">
      <c r="A23" s="4" t="s">
        <v>111</v>
      </c>
      <c r="B23" s="4">
        <v>319421</v>
      </c>
      <c r="C23" s="4" t="s">
        <v>1749</v>
      </c>
      <c r="D23" s="9">
        <v>327</v>
      </c>
    </row>
    <row r="24" spans="1:4" x14ac:dyDescent="0.25">
      <c r="C24" s="31" t="s">
        <v>83</v>
      </c>
      <c r="D24" s="32">
        <f>SUM(D2:D23)</f>
        <v>107695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8FAB-E789-4549-8A79-62225E4D80B9}">
  <dimension ref="A1:D46"/>
  <sheetViews>
    <sheetView zoomScaleNormal="100" zoomScaleSheetLayoutView="100" workbookViewId="0">
      <selection activeCell="D46" sqref="D46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1327</v>
      </c>
      <c r="B2" s="35">
        <v>319163</v>
      </c>
      <c r="C2" s="33" t="s">
        <v>1768</v>
      </c>
      <c r="D2" s="34">
        <v>2720</v>
      </c>
    </row>
    <row r="3" spans="1:4" x14ac:dyDescent="0.25">
      <c r="A3" s="4" t="s">
        <v>1327</v>
      </c>
      <c r="B3" s="4">
        <v>319163</v>
      </c>
      <c r="C3" s="4" t="s">
        <v>1769</v>
      </c>
      <c r="D3" s="9">
        <v>6310</v>
      </c>
    </row>
    <row r="4" spans="1:4" x14ac:dyDescent="0.25">
      <c r="A4" s="4" t="s">
        <v>1327</v>
      </c>
      <c r="B4" s="4">
        <v>319163</v>
      </c>
      <c r="C4" s="4" t="s">
        <v>1770</v>
      </c>
      <c r="D4" s="9">
        <v>2720</v>
      </c>
    </row>
    <row r="5" spans="1:4" x14ac:dyDescent="0.25">
      <c r="A5" s="4" t="s">
        <v>1327</v>
      </c>
      <c r="B5" s="4">
        <v>319163</v>
      </c>
      <c r="C5" s="4" t="s">
        <v>1771</v>
      </c>
      <c r="D5" s="9">
        <v>15943</v>
      </c>
    </row>
    <row r="6" spans="1:4" x14ac:dyDescent="0.25">
      <c r="A6" s="4" t="s">
        <v>1000</v>
      </c>
      <c r="B6" s="4">
        <v>317457</v>
      </c>
      <c r="C6" s="4" t="s">
        <v>1764</v>
      </c>
      <c r="D6" s="9">
        <v>450</v>
      </c>
    </row>
    <row r="7" spans="1:4" x14ac:dyDescent="0.25">
      <c r="A7" s="4" t="s">
        <v>1000</v>
      </c>
      <c r="B7" s="4">
        <v>316769</v>
      </c>
      <c r="C7" s="4" t="s">
        <v>1772</v>
      </c>
      <c r="D7" s="9">
        <v>290</v>
      </c>
    </row>
    <row r="8" spans="1:4" x14ac:dyDescent="0.25">
      <c r="A8" s="4" t="s">
        <v>1000</v>
      </c>
      <c r="B8" s="4">
        <v>316769</v>
      </c>
      <c r="C8" s="4" t="s">
        <v>1724</v>
      </c>
      <c r="D8" s="9">
        <v>1025</v>
      </c>
    </row>
    <row r="9" spans="1:4" x14ac:dyDescent="0.25">
      <c r="A9" s="4" t="s">
        <v>177</v>
      </c>
      <c r="B9" s="4">
        <v>323817</v>
      </c>
      <c r="C9" s="4" t="s">
        <v>1773</v>
      </c>
      <c r="D9" s="9">
        <v>6600</v>
      </c>
    </row>
    <row r="10" spans="1:4" x14ac:dyDescent="0.25">
      <c r="A10" s="4" t="s">
        <v>26</v>
      </c>
      <c r="B10" s="4">
        <v>318772</v>
      </c>
      <c r="C10" s="4" t="s">
        <v>1774</v>
      </c>
      <c r="D10" s="9">
        <v>1790</v>
      </c>
    </row>
    <row r="11" spans="1:4" x14ac:dyDescent="0.25">
      <c r="A11" s="4" t="s">
        <v>1775</v>
      </c>
      <c r="B11" s="4">
        <v>319014</v>
      </c>
      <c r="C11" s="4" t="s">
        <v>1776</v>
      </c>
      <c r="D11" s="9">
        <v>2990</v>
      </c>
    </row>
    <row r="12" spans="1:4" x14ac:dyDescent="0.25">
      <c r="A12" s="33" t="s">
        <v>1419</v>
      </c>
      <c r="B12" s="35">
        <v>315211</v>
      </c>
      <c r="C12" s="33" t="s">
        <v>1777</v>
      </c>
      <c r="D12" s="34">
        <v>6235</v>
      </c>
    </row>
    <row r="13" spans="1:4" x14ac:dyDescent="0.25">
      <c r="A13" s="4" t="s">
        <v>1419</v>
      </c>
      <c r="B13" s="4">
        <v>315000</v>
      </c>
      <c r="C13" s="4" t="s">
        <v>1778</v>
      </c>
      <c r="D13" s="9">
        <v>2535</v>
      </c>
    </row>
    <row r="14" spans="1:4" x14ac:dyDescent="0.25">
      <c r="A14" s="4" t="s">
        <v>1419</v>
      </c>
      <c r="B14" s="4">
        <v>315062</v>
      </c>
      <c r="C14" s="4" t="s">
        <v>1779</v>
      </c>
      <c r="D14" s="9">
        <v>16310</v>
      </c>
    </row>
    <row r="15" spans="1:4" x14ac:dyDescent="0.25">
      <c r="A15" s="4" t="s">
        <v>1419</v>
      </c>
      <c r="B15" s="4">
        <v>315088</v>
      </c>
      <c r="C15" s="4" t="s">
        <v>1780</v>
      </c>
      <c r="D15" s="9">
        <v>11705</v>
      </c>
    </row>
    <row r="16" spans="1:4" x14ac:dyDescent="0.25">
      <c r="A16" s="4" t="s">
        <v>1419</v>
      </c>
      <c r="B16" s="4">
        <v>315054</v>
      </c>
      <c r="C16" s="4" t="s">
        <v>1781</v>
      </c>
      <c r="D16" s="9">
        <v>10050</v>
      </c>
    </row>
    <row r="17" spans="1:4" x14ac:dyDescent="0.25">
      <c r="A17" s="4" t="s">
        <v>1419</v>
      </c>
      <c r="B17" s="4">
        <v>315363</v>
      </c>
      <c r="C17" s="4" t="s">
        <v>1782</v>
      </c>
      <c r="D17" s="9">
        <v>8905</v>
      </c>
    </row>
    <row r="18" spans="1:4" x14ac:dyDescent="0.25">
      <c r="A18" s="4" t="s">
        <v>1419</v>
      </c>
      <c r="B18" s="4">
        <v>315414</v>
      </c>
      <c r="C18" s="4" t="s">
        <v>1783</v>
      </c>
      <c r="D18" s="9">
        <v>4640</v>
      </c>
    </row>
    <row r="19" spans="1:4" x14ac:dyDescent="0.25">
      <c r="A19" s="4" t="s">
        <v>1419</v>
      </c>
      <c r="B19" s="4">
        <v>314991</v>
      </c>
      <c r="C19" s="4" t="s">
        <v>1784</v>
      </c>
      <c r="D19" s="9">
        <v>7760</v>
      </c>
    </row>
    <row r="20" spans="1:4" x14ac:dyDescent="0.25">
      <c r="A20" s="4" t="s">
        <v>1419</v>
      </c>
      <c r="B20" s="4">
        <v>315323</v>
      </c>
      <c r="C20" s="4" t="s">
        <v>1785</v>
      </c>
      <c r="D20" s="9">
        <v>6645</v>
      </c>
    </row>
    <row r="21" spans="1:4" x14ac:dyDescent="0.25">
      <c r="A21" s="4" t="s">
        <v>1419</v>
      </c>
      <c r="B21" s="4">
        <v>315405</v>
      </c>
      <c r="C21" s="4" t="s">
        <v>1786</v>
      </c>
      <c r="D21" s="9">
        <v>15210</v>
      </c>
    </row>
    <row r="22" spans="1:4" x14ac:dyDescent="0.25">
      <c r="A22" s="4" t="s">
        <v>1419</v>
      </c>
      <c r="B22" s="4">
        <v>315315</v>
      </c>
      <c r="C22" s="4" t="s">
        <v>1787</v>
      </c>
      <c r="D22" s="9">
        <v>28915</v>
      </c>
    </row>
    <row r="23" spans="1:4" x14ac:dyDescent="0.25">
      <c r="A23" s="4" t="s">
        <v>1419</v>
      </c>
      <c r="B23" s="4">
        <v>315328</v>
      </c>
      <c r="C23" s="4" t="s">
        <v>1788</v>
      </c>
      <c r="D23" s="9">
        <v>11370</v>
      </c>
    </row>
    <row r="24" spans="1:4" x14ac:dyDescent="0.25">
      <c r="A24" s="4" t="s">
        <v>1419</v>
      </c>
      <c r="B24" s="4">
        <v>315352</v>
      </c>
      <c r="C24" s="4" t="s">
        <v>1789</v>
      </c>
      <c r="D24" s="9">
        <v>8475</v>
      </c>
    </row>
    <row r="25" spans="1:4" x14ac:dyDescent="0.25">
      <c r="A25" s="33" t="s">
        <v>1419</v>
      </c>
      <c r="B25" s="35">
        <v>316906</v>
      </c>
      <c r="C25" s="33" t="s">
        <v>1790</v>
      </c>
      <c r="D25" s="34">
        <v>4620</v>
      </c>
    </row>
    <row r="26" spans="1:4" x14ac:dyDescent="0.25">
      <c r="A26" s="4" t="s">
        <v>1419</v>
      </c>
      <c r="B26" s="4">
        <v>315079</v>
      </c>
      <c r="C26" s="4" t="s">
        <v>1791</v>
      </c>
      <c r="D26" s="9">
        <v>14050</v>
      </c>
    </row>
    <row r="27" spans="1:4" x14ac:dyDescent="0.25">
      <c r="A27" s="4" t="s">
        <v>1419</v>
      </c>
      <c r="B27" s="4">
        <v>315027</v>
      </c>
      <c r="C27" s="4" t="s">
        <v>1792</v>
      </c>
      <c r="D27" s="9">
        <v>13295</v>
      </c>
    </row>
    <row r="28" spans="1:4" x14ac:dyDescent="0.25">
      <c r="A28" s="4" t="s">
        <v>180</v>
      </c>
      <c r="B28" s="4">
        <v>321874</v>
      </c>
      <c r="C28" s="4" t="s">
        <v>1793</v>
      </c>
      <c r="D28" s="9">
        <v>630</v>
      </c>
    </row>
    <row r="29" spans="1:4" x14ac:dyDescent="0.25">
      <c r="A29" s="4" t="s">
        <v>180</v>
      </c>
      <c r="B29" s="4">
        <v>323516</v>
      </c>
      <c r="C29" s="4" t="s">
        <v>1794</v>
      </c>
      <c r="D29" s="9">
        <v>14720</v>
      </c>
    </row>
    <row r="30" spans="1:4" x14ac:dyDescent="0.25">
      <c r="A30" s="4" t="s">
        <v>180</v>
      </c>
      <c r="B30" s="4">
        <v>323516</v>
      </c>
      <c r="C30" s="4" t="s">
        <v>1795</v>
      </c>
      <c r="D30" s="9">
        <v>14720</v>
      </c>
    </row>
    <row r="31" spans="1:4" x14ac:dyDescent="0.25">
      <c r="A31" s="4" t="s">
        <v>180</v>
      </c>
      <c r="B31" s="4">
        <v>323516</v>
      </c>
      <c r="C31" s="4" t="s">
        <v>1796</v>
      </c>
      <c r="D31" s="9">
        <v>14720</v>
      </c>
    </row>
    <row r="32" spans="1:4" x14ac:dyDescent="0.25">
      <c r="A32" s="4" t="s">
        <v>180</v>
      </c>
      <c r="B32" s="4">
        <v>311412</v>
      </c>
      <c r="C32" s="4" t="s">
        <v>1747</v>
      </c>
      <c r="D32" s="9">
        <v>1380</v>
      </c>
    </row>
    <row r="33" spans="1:4" x14ac:dyDescent="0.25">
      <c r="A33" s="4" t="s">
        <v>1797</v>
      </c>
      <c r="B33" s="4">
        <v>321660</v>
      </c>
      <c r="C33" s="4" t="s">
        <v>1798</v>
      </c>
      <c r="D33" s="9">
        <v>1410</v>
      </c>
    </row>
    <row r="34" spans="1:4" x14ac:dyDescent="0.25">
      <c r="A34" s="4" t="s">
        <v>34</v>
      </c>
      <c r="B34" s="4">
        <v>323452</v>
      </c>
      <c r="C34" s="4" t="s">
        <v>1799</v>
      </c>
      <c r="D34" s="9">
        <v>1500</v>
      </c>
    </row>
    <row r="35" spans="1:4" x14ac:dyDescent="0.25">
      <c r="A35" s="4" t="s">
        <v>34</v>
      </c>
      <c r="B35" s="4">
        <v>322204</v>
      </c>
      <c r="C35" s="4" t="s">
        <v>1800</v>
      </c>
      <c r="D35" s="9">
        <v>900</v>
      </c>
    </row>
    <row r="36" spans="1:4" x14ac:dyDescent="0.25">
      <c r="A36" s="4" t="s">
        <v>1180</v>
      </c>
      <c r="B36" s="4">
        <v>321987</v>
      </c>
      <c r="C36" s="4" t="s">
        <v>1801</v>
      </c>
      <c r="D36" s="9">
        <v>14175</v>
      </c>
    </row>
    <row r="37" spans="1:4" x14ac:dyDescent="0.25">
      <c r="A37" s="4" t="s">
        <v>315</v>
      </c>
      <c r="B37" s="4">
        <v>316983</v>
      </c>
      <c r="C37" s="4" t="s">
        <v>1802</v>
      </c>
      <c r="D37" s="9">
        <v>225</v>
      </c>
    </row>
    <row r="38" spans="1:4" x14ac:dyDescent="0.25">
      <c r="A38" s="4" t="s">
        <v>315</v>
      </c>
      <c r="B38" s="4">
        <v>318779</v>
      </c>
      <c r="C38" s="4" t="s">
        <v>1803</v>
      </c>
      <c r="D38" s="9">
        <v>1000</v>
      </c>
    </row>
    <row r="39" spans="1:4" x14ac:dyDescent="0.25">
      <c r="A39" s="33" t="s">
        <v>315</v>
      </c>
      <c r="B39" s="35">
        <v>315726</v>
      </c>
      <c r="C39" s="33" t="s">
        <v>1804</v>
      </c>
      <c r="D39" s="34">
        <v>795</v>
      </c>
    </row>
    <row r="40" spans="1:4" x14ac:dyDescent="0.25">
      <c r="A40" s="4" t="s">
        <v>315</v>
      </c>
      <c r="B40" s="4">
        <v>316981</v>
      </c>
      <c r="C40" s="4" t="s">
        <v>1805</v>
      </c>
      <c r="D40" s="9">
        <v>395</v>
      </c>
    </row>
    <row r="41" spans="1:4" x14ac:dyDescent="0.25">
      <c r="A41" s="4" t="s">
        <v>832</v>
      </c>
      <c r="B41" s="4">
        <v>316867</v>
      </c>
      <c r="C41" s="4" t="s">
        <v>1759</v>
      </c>
      <c r="D41" s="9">
        <v>1000</v>
      </c>
    </row>
    <row r="42" spans="1:4" x14ac:dyDescent="0.25">
      <c r="A42" s="4" t="s">
        <v>151</v>
      </c>
      <c r="B42" s="4">
        <v>323485</v>
      </c>
      <c r="C42" s="4" t="s">
        <v>1806</v>
      </c>
      <c r="D42" s="9">
        <v>5905</v>
      </c>
    </row>
    <row r="43" spans="1:4" x14ac:dyDescent="0.25">
      <c r="A43" s="33" t="s">
        <v>151</v>
      </c>
      <c r="B43" s="35">
        <v>323635</v>
      </c>
      <c r="C43" s="33" t="s">
        <v>1807</v>
      </c>
      <c r="D43" s="34">
        <v>0</v>
      </c>
    </row>
    <row r="44" spans="1:4" x14ac:dyDescent="0.25">
      <c r="A44" s="4" t="s">
        <v>151</v>
      </c>
      <c r="B44" s="4">
        <v>321790</v>
      </c>
      <c r="C44" s="4" t="s">
        <v>1808</v>
      </c>
      <c r="D44" s="9">
        <v>1830</v>
      </c>
    </row>
    <row r="45" spans="1:4" x14ac:dyDescent="0.25">
      <c r="A45" s="4" t="s">
        <v>1809</v>
      </c>
      <c r="B45" s="4">
        <v>319385</v>
      </c>
      <c r="C45" s="4" t="s">
        <v>1810</v>
      </c>
      <c r="D45" s="9">
        <v>1995</v>
      </c>
    </row>
    <row r="46" spans="1:4" x14ac:dyDescent="0.25">
      <c r="C46" s="31" t="s">
        <v>83</v>
      </c>
      <c r="D46" s="32">
        <f>SUM(D2:D45)</f>
        <v>288858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B773-E60D-47B6-9216-BC3B2ABDC15C}">
  <dimension ref="A1:D54"/>
  <sheetViews>
    <sheetView topLeftCell="A31" zoomScaleNormal="100" zoomScaleSheetLayoutView="100" workbookViewId="0">
      <selection activeCell="A75" sqref="A75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1811</v>
      </c>
      <c r="B2" s="35">
        <v>324506</v>
      </c>
      <c r="C2" s="33" t="s">
        <v>1812</v>
      </c>
      <c r="D2" s="34">
        <v>525</v>
      </c>
    </row>
    <row r="3" spans="1:4" x14ac:dyDescent="0.25">
      <c r="A3" s="4" t="s">
        <v>256</v>
      </c>
      <c r="B3" s="4">
        <v>324568</v>
      </c>
      <c r="C3" s="4" t="s">
        <v>1813</v>
      </c>
      <c r="D3" s="9">
        <v>1795</v>
      </c>
    </row>
    <row r="4" spans="1:4" x14ac:dyDescent="0.25">
      <c r="A4" s="4" t="s">
        <v>111</v>
      </c>
      <c r="B4" s="4">
        <v>324882</v>
      </c>
      <c r="C4" s="4" t="s">
        <v>1814</v>
      </c>
      <c r="D4" s="9">
        <v>743</v>
      </c>
    </row>
    <row r="5" spans="1:4" x14ac:dyDescent="0.25">
      <c r="A5" s="4" t="s">
        <v>211</v>
      </c>
      <c r="B5" s="4">
        <v>324293</v>
      </c>
      <c r="C5" s="4" t="s">
        <v>1815</v>
      </c>
      <c r="D5" s="9">
        <v>115</v>
      </c>
    </row>
    <row r="6" spans="1:4" x14ac:dyDescent="0.25">
      <c r="A6" s="4" t="s">
        <v>635</v>
      </c>
      <c r="B6" s="4">
        <v>324317</v>
      </c>
      <c r="C6" s="4" t="s">
        <v>1816</v>
      </c>
      <c r="D6" s="9">
        <v>20920</v>
      </c>
    </row>
    <row r="7" spans="1:4" x14ac:dyDescent="0.25">
      <c r="A7" s="4" t="s">
        <v>635</v>
      </c>
      <c r="B7" s="4">
        <v>312255</v>
      </c>
      <c r="C7" s="4" t="s">
        <v>1817</v>
      </c>
      <c r="D7" s="9">
        <v>650</v>
      </c>
    </row>
    <row r="8" spans="1:4" x14ac:dyDescent="0.25">
      <c r="A8" s="4" t="s">
        <v>1419</v>
      </c>
      <c r="B8" s="4">
        <v>315158</v>
      </c>
      <c r="C8" s="4" t="s">
        <v>1818</v>
      </c>
      <c r="D8" s="9">
        <v>10930</v>
      </c>
    </row>
    <row r="9" spans="1:4" x14ac:dyDescent="0.25">
      <c r="A9" s="4" t="s">
        <v>1419</v>
      </c>
      <c r="B9" s="4">
        <v>315000</v>
      </c>
      <c r="C9" s="4" t="s">
        <v>1778</v>
      </c>
      <c r="D9" s="9">
        <v>2535</v>
      </c>
    </row>
    <row r="10" spans="1:4" x14ac:dyDescent="0.25">
      <c r="A10" s="4" t="s">
        <v>1419</v>
      </c>
      <c r="B10" s="4">
        <v>315062</v>
      </c>
      <c r="C10" s="4" t="s">
        <v>1779</v>
      </c>
      <c r="D10" s="9">
        <v>16310</v>
      </c>
    </row>
    <row r="11" spans="1:4" x14ac:dyDescent="0.25">
      <c r="A11" s="4" t="s">
        <v>1419</v>
      </c>
      <c r="B11" s="4">
        <v>315088</v>
      </c>
      <c r="C11" s="4" t="s">
        <v>1780</v>
      </c>
      <c r="D11" s="9">
        <v>11705</v>
      </c>
    </row>
    <row r="12" spans="1:4" x14ac:dyDescent="0.25">
      <c r="A12" s="33" t="s">
        <v>1419</v>
      </c>
      <c r="B12" s="35">
        <v>315124</v>
      </c>
      <c r="C12" s="33" t="s">
        <v>1819</v>
      </c>
      <c r="D12" s="34">
        <v>15715</v>
      </c>
    </row>
    <row r="13" spans="1:4" x14ac:dyDescent="0.25">
      <c r="A13" s="4" t="s">
        <v>1419</v>
      </c>
      <c r="B13" s="4">
        <v>315129</v>
      </c>
      <c r="C13" s="4" t="s">
        <v>1820</v>
      </c>
      <c r="D13" s="9">
        <v>5030</v>
      </c>
    </row>
    <row r="14" spans="1:4" x14ac:dyDescent="0.25">
      <c r="A14" s="4" t="s">
        <v>1419</v>
      </c>
      <c r="B14" s="4">
        <v>315135</v>
      </c>
      <c r="C14" s="4" t="s">
        <v>1821</v>
      </c>
      <c r="D14" s="9">
        <v>8115</v>
      </c>
    </row>
    <row r="15" spans="1:4" x14ac:dyDescent="0.25">
      <c r="A15" s="4" t="s">
        <v>1419</v>
      </c>
      <c r="B15" s="4">
        <v>315414</v>
      </c>
      <c r="C15" s="4" t="s">
        <v>1783</v>
      </c>
      <c r="D15" s="9">
        <v>4640</v>
      </c>
    </row>
    <row r="16" spans="1:4" x14ac:dyDescent="0.25">
      <c r="A16" s="4" t="s">
        <v>1419</v>
      </c>
      <c r="B16" s="4">
        <v>315323</v>
      </c>
      <c r="C16" s="4" t="s">
        <v>1785</v>
      </c>
      <c r="D16" s="9">
        <v>6645</v>
      </c>
    </row>
    <row r="17" spans="1:4" x14ac:dyDescent="0.25">
      <c r="A17" s="4" t="s">
        <v>1419</v>
      </c>
      <c r="B17" s="4">
        <v>315138</v>
      </c>
      <c r="C17" s="4" t="s">
        <v>1822</v>
      </c>
      <c r="D17" s="9">
        <v>14515</v>
      </c>
    </row>
    <row r="18" spans="1:4" x14ac:dyDescent="0.25">
      <c r="A18" s="4" t="s">
        <v>1419</v>
      </c>
      <c r="B18" s="4">
        <v>315172</v>
      </c>
      <c r="C18" s="4" t="s">
        <v>1823</v>
      </c>
      <c r="D18" s="9">
        <v>8915</v>
      </c>
    </row>
    <row r="19" spans="1:4" x14ac:dyDescent="0.25">
      <c r="A19" s="4" t="s">
        <v>1419</v>
      </c>
      <c r="B19" s="4">
        <v>315189</v>
      </c>
      <c r="C19" s="4" t="s">
        <v>1824</v>
      </c>
      <c r="D19" s="9">
        <v>5125</v>
      </c>
    </row>
    <row r="20" spans="1:4" x14ac:dyDescent="0.25">
      <c r="A20" s="4" t="s">
        <v>1419</v>
      </c>
      <c r="B20" s="4">
        <v>315153</v>
      </c>
      <c r="C20" s="4" t="s">
        <v>1825</v>
      </c>
      <c r="D20" s="9">
        <v>21005</v>
      </c>
    </row>
    <row r="21" spans="1:4" x14ac:dyDescent="0.25">
      <c r="A21" s="4" t="s">
        <v>1419</v>
      </c>
      <c r="B21" s="4">
        <v>315315</v>
      </c>
      <c r="C21" s="4" t="s">
        <v>1787</v>
      </c>
      <c r="D21" s="9">
        <v>28915</v>
      </c>
    </row>
    <row r="22" spans="1:4" x14ac:dyDescent="0.25">
      <c r="A22" s="4" t="s">
        <v>1419</v>
      </c>
      <c r="B22" s="4">
        <v>315103</v>
      </c>
      <c r="C22" s="4" t="s">
        <v>1826</v>
      </c>
      <c r="D22" s="9">
        <v>20255</v>
      </c>
    </row>
    <row r="23" spans="1:4" x14ac:dyDescent="0.25">
      <c r="A23" s="33" t="s">
        <v>1419</v>
      </c>
      <c r="B23" s="35">
        <v>315111</v>
      </c>
      <c r="C23" s="33" t="s">
        <v>1827</v>
      </c>
      <c r="D23" s="34">
        <v>1520</v>
      </c>
    </row>
    <row r="24" spans="1:4" x14ac:dyDescent="0.25">
      <c r="A24" s="4" t="s">
        <v>1419</v>
      </c>
      <c r="B24" s="4">
        <v>315162</v>
      </c>
      <c r="C24" s="4" t="s">
        <v>1828</v>
      </c>
      <c r="D24" s="9">
        <v>13220</v>
      </c>
    </row>
    <row r="25" spans="1:4" x14ac:dyDescent="0.25">
      <c r="A25" s="4" t="s">
        <v>1419</v>
      </c>
      <c r="B25" s="4">
        <v>315166</v>
      </c>
      <c r="C25" s="4" t="s">
        <v>1829</v>
      </c>
      <c r="D25" s="9">
        <v>6435</v>
      </c>
    </row>
    <row r="26" spans="1:4" x14ac:dyDescent="0.25">
      <c r="A26" s="4" t="s">
        <v>1419</v>
      </c>
      <c r="B26" s="4">
        <v>315170</v>
      </c>
      <c r="C26" s="4" t="s">
        <v>1830</v>
      </c>
      <c r="D26" s="9">
        <v>8425</v>
      </c>
    </row>
    <row r="27" spans="1:4" x14ac:dyDescent="0.25">
      <c r="A27" s="4" t="s">
        <v>1419</v>
      </c>
      <c r="B27" s="4">
        <v>315072</v>
      </c>
      <c r="C27" s="4" t="s">
        <v>1831</v>
      </c>
      <c r="D27" s="9">
        <v>9365</v>
      </c>
    </row>
    <row r="28" spans="1:4" x14ac:dyDescent="0.25">
      <c r="A28" s="4" t="s">
        <v>1419</v>
      </c>
      <c r="B28" s="4">
        <v>315140</v>
      </c>
      <c r="C28" s="4" t="s">
        <v>1832</v>
      </c>
      <c r="D28" s="9">
        <v>7935</v>
      </c>
    </row>
    <row r="29" spans="1:4" x14ac:dyDescent="0.25">
      <c r="A29" s="4" t="s">
        <v>1419</v>
      </c>
      <c r="B29" s="4">
        <v>315115</v>
      </c>
      <c r="C29" s="4" t="s">
        <v>1833</v>
      </c>
      <c r="D29" s="9">
        <v>11335</v>
      </c>
    </row>
    <row r="30" spans="1:4" x14ac:dyDescent="0.25">
      <c r="A30" s="4" t="s">
        <v>1419</v>
      </c>
      <c r="B30" s="4">
        <v>315352</v>
      </c>
      <c r="C30" s="4" t="s">
        <v>1789</v>
      </c>
      <c r="D30" s="9">
        <v>8475</v>
      </c>
    </row>
    <row r="31" spans="1:4" x14ac:dyDescent="0.25">
      <c r="A31" s="4" t="s">
        <v>1419</v>
      </c>
      <c r="B31" s="4">
        <v>315079</v>
      </c>
      <c r="C31" s="4" t="s">
        <v>1791</v>
      </c>
      <c r="D31" s="9">
        <v>14050</v>
      </c>
    </row>
    <row r="32" spans="1:4" x14ac:dyDescent="0.25">
      <c r="A32" s="4" t="s">
        <v>1419</v>
      </c>
      <c r="B32" s="4">
        <v>315027</v>
      </c>
      <c r="C32" s="4" t="s">
        <v>1792</v>
      </c>
      <c r="D32" s="9">
        <v>13295</v>
      </c>
    </row>
    <row r="33" spans="1:4" x14ac:dyDescent="0.25">
      <c r="A33" s="4" t="s">
        <v>1252</v>
      </c>
      <c r="B33" s="4">
        <v>324844</v>
      </c>
      <c r="C33" s="4" t="s">
        <v>1834</v>
      </c>
      <c r="D33" s="9">
        <v>2756</v>
      </c>
    </row>
    <row r="34" spans="1:4" x14ac:dyDescent="0.25">
      <c r="A34" s="4" t="s">
        <v>1252</v>
      </c>
      <c r="B34" s="4">
        <v>323615</v>
      </c>
      <c r="C34" s="4" t="s">
        <v>1835</v>
      </c>
      <c r="D34" s="9">
        <v>3024</v>
      </c>
    </row>
    <row r="35" spans="1:4" x14ac:dyDescent="0.25">
      <c r="A35" s="4" t="s">
        <v>1252</v>
      </c>
      <c r="B35" s="4">
        <v>322121</v>
      </c>
      <c r="C35" s="4" t="s">
        <v>1836</v>
      </c>
      <c r="D35" s="9">
        <v>1143</v>
      </c>
    </row>
    <row r="36" spans="1:4" x14ac:dyDescent="0.25">
      <c r="A36" s="4" t="s">
        <v>1252</v>
      </c>
      <c r="B36" s="4">
        <v>322142</v>
      </c>
      <c r="C36" s="4" t="s">
        <v>1837</v>
      </c>
      <c r="D36" s="9">
        <v>315</v>
      </c>
    </row>
    <row r="37" spans="1:4" x14ac:dyDescent="0.25">
      <c r="A37" s="33" t="s">
        <v>1252</v>
      </c>
      <c r="B37" s="35">
        <v>322145</v>
      </c>
      <c r="C37" s="33" t="s">
        <v>1838</v>
      </c>
      <c r="D37" s="34">
        <v>1701</v>
      </c>
    </row>
    <row r="38" spans="1:4" x14ac:dyDescent="0.25">
      <c r="A38" s="4" t="s">
        <v>1252</v>
      </c>
      <c r="B38" s="4">
        <v>322139</v>
      </c>
      <c r="C38" s="4" t="s">
        <v>1839</v>
      </c>
      <c r="D38" s="9">
        <v>488</v>
      </c>
    </row>
    <row r="39" spans="1:4" x14ac:dyDescent="0.25">
      <c r="A39" s="4" t="s">
        <v>1252</v>
      </c>
      <c r="B39" s="4">
        <v>321766</v>
      </c>
      <c r="C39" s="4" t="s">
        <v>1840</v>
      </c>
      <c r="D39" s="9">
        <v>772</v>
      </c>
    </row>
    <row r="40" spans="1:4" x14ac:dyDescent="0.25">
      <c r="A40" s="4" t="s">
        <v>1252</v>
      </c>
      <c r="B40" s="4">
        <v>321755</v>
      </c>
      <c r="C40" s="4" t="s">
        <v>1841</v>
      </c>
      <c r="D40" s="9">
        <v>7403</v>
      </c>
    </row>
    <row r="41" spans="1:4" x14ac:dyDescent="0.25">
      <c r="A41" s="4" t="s">
        <v>1252</v>
      </c>
      <c r="B41" s="4">
        <v>323618</v>
      </c>
      <c r="C41" s="4" t="s">
        <v>1842</v>
      </c>
      <c r="D41" s="9">
        <v>34382</v>
      </c>
    </row>
    <row r="42" spans="1:4" x14ac:dyDescent="0.25">
      <c r="A42" s="4" t="s">
        <v>1252</v>
      </c>
      <c r="B42" s="4">
        <v>324844</v>
      </c>
      <c r="C42" s="4" t="s">
        <v>1843</v>
      </c>
      <c r="D42" s="9">
        <v>16970</v>
      </c>
    </row>
    <row r="43" spans="1:4" x14ac:dyDescent="0.25">
      <c r="A43" s="4" t="s">
        <v>1101</v>
      </c>
      <c r="B43" s="4">
        <v>321984</v>
      </c>
      <c r="C43" s="4" t="s">
        <v>1844</v>
      </c>
      <c r="D43" s="9">
        <v>6600</v>
      </c>
    </row>
    <row r="44" spans="1:4" x14ac:dyDescent="0.25">
      <c r="A44" s="4" t="s">
        <v>1101</v>
      </c>
      <c r="B44" s="4">
        <v>321966</v>
      </c>
      <c r="C44" s="4" t="s">
        <v>1845</v>
      </c>
      <c r="D44" s="9">
        <v>1686</v>
      </c>
    </row>
    <row r="45" spans="1:4" x14ac:dyDescent="0.25">
      <c r="A45" s="4" t="s">
        <v>1101</v>
      </c>
      <c r="B45" s="4">
        <v>321991</v>
      </c>
      <c r="C45" s="4" t="s">
        <v>1846</v>
      </c>
      <c r="D45" s="9">
        <v>7133</v>
      </c>
    </row>
    <row r="46" spans="1:4" x14ac:dyDescent="0.25">
      <c r="A46" s="4" t="s">
        <v>1101</v>
      </c>
      <c r="B46" s="4">
        <v>321984</v>
      </c>
      <c r="C46" s="4" t="s">
        <v>1847</v>
      </c>
      <c r="D46" s="9">
        <v>25907</v>
      </c>
    </row>
    <row r="47" spans="1:4" x14ac:dyDescent="0.25">
      <c r="A47" s="4" t="s">
        <v>1101</v>
      </c>
      <c r="B47" s="4">
        <v>321966</v>
      </c>
      <c r="C47" s="4" t="s">
        <v>1848</v>
      </c>
      <c r="D47" s="9">
        <v>11746</v>
      </c>
    </row>
    <row r="48" spans="1:4" x14ac:dyDescent="0.25">
      <c r="A48" s="4" t="s">
        <v>208</v>
      </c>
      <c r="B48" s="4">
        <v>324662</v>
      </c>
      <c r="C48" s="4" t="s">
        <v>1849</v>
      </c>
      <c r="D48" s="9">
        <v>12160</v>
      </c>
    </row>
    <row r="49" spans="1:4" x14ac:dyDescent="0.25">
      <c r="A49" s="4" t="s">
        <v>1797</v>
      </c>
      <c r="B49" s="4">
        <v>321660</v>
      </c>
      <c r="C49" s="4" t="s">
        <v>1798</v>
      </c>
      <c r="D49" s="9">
        <v>1410</v>
      </c>
    </row>
    <row r="50" spans="1:4" x14ac:dyDescent="0.25">
      <c r="A50" s="4" t="s">
        <v>34</v>
      </c>
      <c r="B50" s="4">
        <v>323452</v>
      </c>
      <c r="C50" s="4" t="s">
        <v>1799</v>
      </c>
      <c r="D50" s="9">
        <v>1500</v>
      </c>
    </row>
    <row r="51" spans="1:4" x14ac:dyDescent="0.25">
      <c r="A51" s="33" t="s">
        <v>34</v>
      </c>
      <c r="B51" s="35">
        <v>322204</v>
      </c>
      <c r="C51" s="33" t="s">
        <v>1800</v>
      </c>
      <c r="D51" s="34">
        <v>900</v>
      </c>
    </row>
    <row r="52" spans="1:4" x14ac:dyDescent="0.25">
      <c r="A52" s="4" t="s">
        <v>56</v>
      </c>
      <c r="B52" s="4">
        <v>324570</v>
      </c>
      <c r="C52" s="4" t="s">
        <v>1850</v>
      </c>
      <c r="D52" s="9">
        <v>29260</v>
      </c>
    </row>
    <row r="53" spans="1:4" x14ac:dyDescent="0.25">
      <c r="A53" s="4" t="s">
        <v>56</v>
      </c>
      <c r="B53" s="4">
        <v>324570</v>
      </c>
      <c r="C53" s="4" t="s">
        <v>1851</v>
      </c>
      <c r="D53" s="9">
        <v>9580</v>
      </c>
    </row>
    <row r="54" spans="1:4" x14ac:dyDescent="0.25">
      <c r="C54" s="31" t="s">
        <v>83</v>
      </c>
      <c r="D54" s="32">
        <f>SUM(D2:D53)</f>
        <v>475994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93FA-3CBC-43BB-8CFD-6A483667444F}">
  <dimension ref="A1:D23"/>
  <sheetViews>
    <sheetView zoomScaleNormal="100" zoomScaleSheetLayoutView="100" workbookViewId="0">
      <selection activeCell="D23" sqref="D23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1322</v>
      </c>
      <c r="B2" s="35">
        <v>324142</v>
      </c>
      <c r="C2" s="33" t="s">
        <v>1852</v>
      </c>
      <c r="D2" s="34">
        <v>5280</v>
      </c>
    </row>
    <row r="3" spans="1:4" x14ac:dyDescent="0.25">
      <c r="A3" s="4" t="s">
        <v>256</v>
      </c>
      <c r="B3" s="4">
        <v>324568</v>
      </c>
      <c r="C3" s="4" t="s">
        <v>1813</v>
      </c>
      <c r="D3" s="9">
        <v>1795</v>
      </c>
    </row>
    <row r="4" spans="1:4" x14ac:dyDescent="0.25">
      <c r="A4" s="4" t="s">
        <v>61</v>
      </c>
      <c r="B4" s="4">
        <v>326398</v>
      </c>
      <c r="C4" s="4" t="s">
        <v>1853</v>
      </c>
      <c r="D4" s="9">
        <v>1441</v>
      </c>
    </row>
    <row r="5" spans="1:4" x14ac:dyDescent="0.25">
      <c r="A5" s="4" t="s">
        <v>61</v>
      </c>
      <c r="B5" s="4">
        <v>326397</v>
      </c>
      <c r="C5" s="4" t="s">
        <v>1854</v>
      </c>
      <c r="D5" s="9">
        <v>667</v>
      </c>
    </row>
    <row r="6" spans="1:4" x14ac:dyDescent="0.25">
      <c r="A6" s="4" t="s">
        <v>111</v>
      </c>
      <c r="B6" s="4">
        <v>324778</v>
      </c>
      <c r="C6" s="4" t="s">
        <v>1855</v>
      </c>
      <c r="D6" s="9">
        <v>25708</v>
      </c>
    </row>
    <row r="7" spans="1:4" x14ac:dyDescent="0.25">
      <c r="A7" s="4" t="s">
        <v>111</v>
      </c>
      <c r="B7" s="4">
        <v>324883</v>
      </c>
      <c r="C7" s="4" t="s">
        <v>1856</v>
      </c>
      <c r="D7" s="9">
        <v>3566</v>
      </c>
    </row>
    <row r="8" spans="1:4" x14ac:dyDescent="0.25">
      <c r="A8" s="4" t="s">
        <v>111</v>
      </c>
      <c r="B8" s="4">
        <v>324812</v>
      </c>
      <c r="C8" s="4" t="s">
        <v>1857</v>
      </c>
      <c r="D8" s="9">
        <v>743</v>
      </c>
    </row>
    <row r="9" spans="1:4" x14ac:dyDescent="0.25">
      <c r="A9" s="4" t="s">
        <v>111</v>
      </c>
      <c r="B9" s="4">
        <v>324882</v>
      </c>
      <c r="C9" s="4" t="s">
        <v>1814</v>
      </c>
      <c r="D9" s="9">
        <v>743</v>
      </c>
    </row>
    <row r="10" spans="1:4" x14ac:dyDescent="0.25">
      <c r="A10" s="4" t="s">
        <v>111</v>
      </c>
      <c r="B10" s="4">
        <v>324887</v>
      </c>
      <c r="C10" s="4" t="s">
        <v>1858</v>
      </c>
      <c r="D10" s="9">
        <v>223</v>
      </c>
    </row>
    <row r="11" spans="1:4" x14ac:dyDescent="0.25">
      <c r="A11" s="4" t="s">
        <v>177</v>
      </c>
      <c r="B11" s="4">
        <v>324805</v>
      </c>
      <c r="C11" s="4" t="s">
        <v>1859</v>
      </c>
      <c r="D11" s="9">
        <v>5031</v>
      </c>
    </row>
    <row r="12" spans="1:4" x14ac:dyDescent="0.25">
      <c r="A12" s="33" t="s">
        <v>177</v>
      </c>
      <c r="B12" s="35">
        <v>324817</v>
      </c>
      <c r="C12" s="33" t="s">
        <v>1860</v>
      </c>
      <c r="D12" s="34">
        <v>685</v>
      </c>
    </row>
    <row r="13" spans="1:4" x14ac:dyDescent="0.25">
      <c r="A13" s="4" t="s">
        <v>177</v>
      </c>
      <c r="B13" s="4">
        <v>324794</v>
      </c>
      <c r="C13" s="4" t="s">
        <v>1861</v>
      </c>
      <c r="D13" s="9">
        <v>12400</v>
      </c>
    </row>
    <row r="14" spans="1:4" x14ac:dyDescent="0.25">
      <c r="A14" s="4" t="s">
        <v>177</v>
      </c>
      <c r="B14" s="4">
        <v>324826</v>
      </c>
      <c r="C14" s="4" t="s">
        <v>1862</v>
      </c>
      <c r="D14" s="9">
        <v>7465</v>
      </c>
    </row>
    <row r="15" spans="1:4" x14ac:dyDescent="0.25">
      <c r="A15" s="4" t="s">
        <v>180</v>
      </c>
      <c r="B15" s="4">
        <v>323440</v>
      </c>
      <c r="C15" s="4" t="s">
        <v>1863</v>
      </c>
      <c r="D15" s="9">
        <v>74238</v>
      </c>
    </row>
    <row r="16" spans="1:4" x14ac:dyDescent="0.25">
      <c r="A16" s="4" t="s">
        <v>180</v>
      </c>
      <c r="B16" s="4">
        <v>323440</v>
      </c>
      <c r="C16" s="4" t="s">
        <v>1864</v>
      </c>
      <c r="D16" s="9">
        <v>71793</v>
      </c>
    </row>
    <row r="17" spans="1:4" x14ac:dyDescent="0.25">
      <c r="A17" s="4" t="s">
        <v>180</v>
      </c>
      <c r="B17" s="4">
        <v>323440</v>
      </c>
      <c r="C17" s="4" t="s">
        <v>1865</v>
      </c>
      <c r="D17" s="9">
        <v>39210</v>
      </c>
    </row>
    <row r="18" spans="1:4" x14ac:dyDescent="0.25">
      <c r="A18" s="4" t="s">
        <v>180</v>
      </c>
      <c r="B18" s="4">
        <v>323440</v>
      </c>
      <c r="C18" s="4" t="s">
        <v>1866</v>
      </c>
      <c r="D18" s="9">
        <v>70750</v>
      </c>
    </row>
    <row r="19" spans="1:4" x14ac:dyDescent="0.25">
      <c r="A19" s="4" t="s">
        <v>180</v>
      </c>
      <c r="B19" s="4">
        <v>323440</v>
      </c>
      <c r="C19" s="4" t="s">
        <v>1867</v>
      </c>
      <c r="D19" s="9">
        <v>62646</v>
      </c>
    </row>
    <row r="20" spans="1:4" x14ac:dyDescent="0.25">
      <c r="A20" s="4" t="s">
        <v>180</v>
      </c>
      <c r="B20" s="4">
        <v>324873</v>
      </c>
      <c r="C20" s="4" t="s">
        <v>1868</v>
      </c>
      <c r="D20" s="9">
        <v>1005</v>
      </c>
    </row>
    <row r="21" spans="1:4" x14ac:dyDescent="0.25">
      <c r="A21" s="4" t="s">
        <v>832</v>
      </c>
      <c r="B21" s="4">
        <v>324075</v>
      </c>
      <c r="C21" s="4" t="s">
        <v>1869</v>
      </c>
      <c r="D21" s="9">
        <v>5350</v>
      </c>
    </row>
    <row r="22" spans="1:4" x14ac:dyDescent="0.25">
      <c r="A22" s="4" t="s">
        <v>241</v>
      </c>
      <c r="B22" s="4">
        <v>319463</v>
      </c>
      <c r="C22" s="4" t="s">
        <v>1870</v>
      </c>
      <c r="D22" s="9">
        <v>2020</v>
      </c>
    </row>
    <row r="23" spans="1:4" x14ac:dyDescent="0.25">
      <c r="C23" s="31" t="s">
        <v>83</v>
      </c>
      <c r="D23" s="32">
        <f>SUM(D2:D22)</f>
        <v>392759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D5D7-0D1E-49B4-BBD1-22DC1958691D}">
  <dimension ref="A1:D37"/>
  <sheetViews>
    <sheetView zoomScaleNormal="100" zoomScaleSheetLayoutView="100" workbookViewId="0">
      <selection activeCell="D37" sqref="D37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108</v>
      </c>
      <c r="B2" s="35">
        <v>315293</v>
      </c>
      <c r="C2" s="33" t="s">
        <v>1649</v>
      </c>
      <c r="D2" s="34">
        <v>184</v>
      </c>
    </row>
    <row r="3" spans="1:4" x14ac:dyDescent="0.25">
      <c r="A3" s="4" t="s">
        <v>108</v>
      </c>
      <c r="B3" s="4">
        <v>315296</v>
      </c>
      <c r="C3" s="4" t="s">
        <v>1650</v>
      </c>
      <c r="D3" s="9">
        <v>4637</v>
      </c>
    </row>
    <row r="4" spans="1:4" x14ac:dyDescent="0.25">
      <c r="A4" s="4" t="s">
        <v>108</v>
      </c>
      <c r="B4" s="4">
        <v>315299</v>
      </c>
      <c r="C4" s="4" t="s">
        <v>1651</v>
      </c>
      <c r="D4" s="9">
        <v>1759</v>
      </c>
    </row>
    <row r="5" spans="1:4" x14ac:dyDescent="0.25">
      <c r="A5" s="4" t="s">
        <v>108</v>
      </c>
      <c r="B5" s="4">
        <v>315300</v>
      </c>
      <c r="C5" s="4" t="s">
        <v>1652</v>
      </c>
      <c r="D5" s="9">
        <v>4473</v>
      </c>
    </row>
    <row r="6" spans="1:4" x14ac:dyDescent="0.25">
      <c r="A6" s="4" t="s">
        <v>108</v>
      </c>
      <c r="B6" s="4">
        <v>315286</v>
      </c>
      <c r="C6" s="4" t="s">
        <v>1671</v>
      </c>
      <c r="D6" s="9">
        <v>904</v>
      </c>
    </row>
    <row r="7" spans="1:4" x14ac:dyDescent="0.25">
      <c r="A7" s="4" t="s">
        <v>175</v>
      </c>
      <c r="B7" s="4">
        <v>326642</v>
      </c>
      <c r="C7" s="4" t="s">
        <v>1871</v>
      </c>
      <c r="D7" s="9">
        <v>95</v>
      </c>
    </row>
    <row r="8" spans="1:4" x14ac:dyDescent="0.25">
      <c r="A8" s="4" t="s">
        <v>177</v>
      </c>
      <c r="B8" s="4">
        <v>324817</v>
      </c>
      <c r="C8" s="4" t="s">
        <v>1860</v>
      </c>
      <c r="D8" s="9">
        <v>685</v>
      </c>
    </row>
    <row r="9" spans="1:4" x14ac:dyDescent="0.25">
      <c r="A9" s="4" t="s">
        <v>177</v>
      </c>
      <c r="B9" s="4">
        <v>324794</v>
      </c>
      <c r="C9" s="4" t="s">
        <v>1861</v>
      </c>
      <c r="D9" s="9">
        <v>12400</v>
      </c>
    </row>
    <row r="10" spans="1:4" x14ac:dyDescent="0.25">
      <c r="A10" s="4" t="s">
        <v>1419</v>
      </c>
      <c r="B10" s="4">
        <v>324038</v>
      </c>
      <c r="C10" s="4" t="s">
        <v>1872</v>
      </c>
      <c r="D10" s="9">
        <v>15180</v>
      </c>
    </row>
    <row r="11" spans="1:4" x14ac:dyDescent="0.25">
      <c r="A11" s="33" t="s">
        <v>180</v>
      </c>
      <c r="B11" s="35">
        <v>324873</v>
      </c>
      <c r="C11" s="33" t="s">
        <v>1868</v>
      </c>
      <c r="D11" s="34">
        <v>1005</v>
      </c>
    </row>
    <row r="12" spans="1:4" x14ac:dyDescent="0.25">
      <c r="A12" s="4" t="s">
        <v>718</v>
      </c>
      <c r="B12" s="4">
        <v>326527</v>
      </c>
      <c r="C12" s="4" t="s">
        <v>1873</v>
      </c>
      <c r="D12" s="9">
        <v>2054</v>
      </c>
    </row>
    <row r="13" spans="1:4" x14ac:dyDescent="0.25">
      <c r="A13" s="4" t="s">
        <v>718</v>
      </c>
      <c r="B13" s="4">
        <v>326597</v>
      </c>
      <c r="C13" s="4" t="s">
        <v>1874</v>
      </c>
      <c r="D13" s="9">
        <v>1173</v>
      </c>
    </row>
    <row r="14" spans="1:4" x14ac:dyDescent="0.25">
      <c r="A14" s="4" t="s">
        <v>718</v>
      </c>
      <c r="B14" s="4">
        <v>326595</v>
      </c>
      <c r="C14" s="4" t="s">
        <v>1875</v>
      </c>
      <c r="D14" s="9">
        <v>2400</v>
      </c>
    </row>
    <row r="15" spans="1:4" x14ac:dyDescent="0.25">
      <c r="A15" s="4" t="s">
        <v>718</v>
      </c>
      <c r="B15" s="4">
        <v>326598</v>
      </c>
      <c r="C15" s="4" t="s">
        <v>1876</v>
      </c>
      <c r="D15" s="9">
        <v>1242</v>
      </c>
    </row>
    <row r="16" spans="1:4" x14ac:dyDescent="0.25">
      <c r="A16" s="4" t="s">
        <v>718</v>
      </c>
      <c r="B16" s="4">
        <v>326599</v>
      </c>
      <c r="C16" s="4" t="s">
        <v>1877</v>
      </c>
      <c r="D16" s="9">
        <v>1656</v>
      </c>
    </row>
    <row r="17" spans="1:4" x14ac:dyDescent="0.25">
      <c r="A17" s="4" t="s">
        <v>718</v>
      </c>
      <c r="B17" s="4">
        <v>326830</v>
      </c>
      <c r="C17" s="4" t="s">
        <v>1878</v>
      </c>
      <c r="D17" s="9">
        <v>1242</v>
      </c>
    </row>
    <row r="18" spans="1:4" x14ac:dyDescent="0.25">
      <c r="A18" s="4" t="s">
        <v>86</v>
      </c>
      <c r="B18" s="4">
        <v>321919</v>
      </c>
      <c r="C18" s="4" t="s">
        <v>1879</v>
      </c>
      <c r="D18" s="9">
        <v>1660</v>
      </c>
    </row>
    <row r="19" spans="1:4" x14ac:dyDescent="0.25">
      <c r="A19" s="4" t="s">
        <v>86</v>
      </c>
      <c r="B19" s="4">
        <v>321558</v>
      </c>
      <c r="C19" s="4" t="s">
        <v>1880</v>
      </c>
      <c r="D19" s="9">
        <v>5585</v>
      </c>
    </row>
    <row r="20" spans="1:4" x14ac:dyDescent="0.25">
      <c r="A20" s="4" t="s">
        <v>86</v>
      </c>
      <c r="B20" s="4">
        <v>321539</v>
      </c>
      <c r="C20" s="4" t="s">
        <v>1881</v>
      </c>
      <c r="D20" s="9">
        <v>6735</v>
      </c>
    </row>
    <row r="21" spans="1:4" x14ac:dyDescent="0.25">
      <c r="A21" s="4" t="s">
        <v>86</v>
      </c>
      <c r="B21" s="4">
        <v>321554</v>
      </c>
      <c r="C21" s="4" t="s">
        <v>1882</v>
      </c>
      <c r="D21" s="9">
        <v>4440</v>
      </c>
    </row>
    <row r="22" spans="1:4" x14ac:dyDescent="0.25">
      <c r="A22" s="4" t="s">
        <v>86</v>
      </c>
      <c r="B22" s="4">
        <v>321543</v>
      </c>
      <c r="C22" s="4" t="s">
        <v>1883</v>
      </c>
      <c r="D22" s="9">
        <v>1395</v>
      </c>
    </row>
    <row r="23" spans="1:4" x14ac:dyDescent="0.25">
      <c r="A23" s="4" t="s">
        <v>86</v>
      </c>
      <c r="B23" s="4">
        <v>321530</v>
      </c>
      <c r="C23" s="4" t="s">
        <v>1884</v>
      </c>
      <c r="D23" s="9">
        <v>3420</v>
      </c>
    </row>
    <row r="24" spans="1:4" x14ac:dyDescent="0.25">
      <c r="A24" s="4" t="s">
        <v>86</v>
      </c>
      <c r="B24" s="4">
        <v>321561</v>
      </c>
      <c r="C24" s="4" t="s">
        <v>1885</v>
      </c>
      <c r="D24" s="9">
        <v>2585</v>
      </c>
    </row>
    <row r="25" spans="1:4" x14ac:dyDescent="0.25">
      <c r="A25" s="4" t="s">
        <v>86</v>
      </c>
      <c r="B25" s="4">
        <v>323461</v>
      </c>
      <c r="C25" s="4" t="s">
        <v>1886</v>
      </c>
      <c r="D25" s="9">
        <v>1390</v>
      </c>
    </row>
    <row r="26" spans="1:4" x14ac:dyDescent="0.25">
      <c r="A26" s="4" t="s">
        <v>86</v>
      </c>
      <c r="B26" s="4">
        <v>321561</v>
      </c>
      <c r="C26" s="4" t="s">
        <v>1887</v>
      </c>
      <c r="D26" s="9">
        <v>3175</v>
      </c>
    </row>
    <row r="27" spans="1:4" x14ac:dyDescent="0.25">
      <c r="A27" s="4" t="s">
        <v>86</v>
      </c>
      <c r="B27" s="4">
        <v>323461</v>
      </c>
      <c r="C27" s="4" t="s">
        <v>1888</v>
      </c>
      <c r="D27" s="9">
        <v>12910</v>
      </c>
    </row>
    <row r="28" spans="1:4" x14ac:dyDescent="0.25">
      <c r="A28" s="4" t="s">
        <v>86</v>
      </c>
      <c r="B28" s="4">
        <v>321529</v>
      </c>
      <c r="C28" s="4" t="s">
        <v>1889</v>
      </c>
      <c r="D28" s="9">
        <v>1500</v>
      </c>
    </row>
    <row r="29" spans="1:4" x14ac:dyDescent="0.25">
      <c r="A29" s="4" t="s">
        <v>86</v>
      </c>
      <c r="B29" s="4">
        <v>321564</v>
      </c>
      <c r="C29" s="4" t="s">
        <v>1890</v>
      </c>
      <c r="D29" s="9">
        <v>1055</v>
      </c>
    </row>
    <row r="30" spans="1:4" x14ac:dyDescent="0.25">
      <c r="A30" s="33" t="s">
        <v>1891</v>
      </c>
      <c r="B30" s="35">
        <v>324951</v>
      </c>
      <c r="C30" s="33" t="s">
        <v>1892</v>
      </c>
      <c r="D30" s="34">
        <v>2835</v>
      </c>
    </row>
    <row r="31" spans="1:4" x14ac:dyDescent="0.25">
      <c r="A31" s="4" t="s">
        <v>241</v>
      </c>
      <c r="B31" s="4">
        <v>319463</v>
      </c>
      <c r="C31" s="4" t="s">
        <v>1893</v>
      </c>
      <c r="D31" s="9">
        <v>2020</v>
      </c>
    </row>
    <row r="32" spans="1:4" x14ac:dyDescent="0.25">
      <c r="A32" s="4" t="s">
        <v>61</v>
      </c>
      <c r="B32" s="4">
        <v>326646</v>
      </c>
      <c r="C32" s="4" t="s">
        <v>1894</v>
      </c>
      <c r="D32" s="9">
        <v>4256</v>
      </c>
    </row>
    <row r="33" spans="1:4" x14ac:dyDescent="0.25">
      <c r="A33" s="4" t="s">
        <v>61</v>
      </c>
      <c r="B33" s="4">
        <v>326684</v>
      </c>
      <c r="C33" s="4" t="s">
        <v>1895</v>
      </c>
      <c r="D33" s="9">
        <v>10375</v>
      </c>
    </row>
    <row r="34" spans="1:4" x14ac:dyDescent="0.25">
      <c r="A34" s="4" t="s">
        <v>61</v>
      </c>
      <c r="B34" s="4">
        <v>326694</v>
      </c>
      <c r="C34" s="4" t="s">
        <v>1896</v>
      </c>
      <c r="D34" s="9">
        <v>37953</v>
      </c>
    </row>
    <row r="35" spans="1:4" x14ac:dyDescent="0.25">
      <c r="A35" s="4" t="s">
        <v>61</v>
      </c>
      <c r="B35" s="4">
        <v>326553</v>
      </c>
      <c r="C35" s="4" t="s">
        <v>1897</v>
      </c>
      <c r="D35" s="9">
        <v>4766</v>
      </c>
    </row>
    <row r="36" spans="1:4" x14ac:dyDescent="0.25">
      <c r="A36" s="4" t="s">
        <v>61</v>
      </c>
      <c r="B36" s="4">
        <v>326606</v>
      </c>
      <c r="C36" s="4" t="s">
        <v>1898</v>
      </c>
      <c r="D36" s="9">
        <v>26049</v>
      </c>
    </row>
    <row r="37" spans="1:4" x14ac:dyDescent="0.25">
      <c r="C37" s="31" t="s">
        <v>83</v>
      </c>
      <c r="D37" s="32">
        <f>SUM(D2:D36)</f>
        <v>185193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F9F1-184D-4ADB-AAFB-397D5FA35B8E}">
  <dimension ref="A1:D11"/>
  <sheetViews>
    <sheetView zoomScaleNormal="100" zoomScaleSheetLayoutView="100" workbookViewId="0">
      <selection activeCell="C27" sqref="C27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143</v>
      </c>
      <c r="B2" s="35">
        <v>327269</v>
      </c>
      <c r="C2" s="33" t="s">
        <v>1902</v>
      </c>
      <c r="D2" s="34">
        <v>13969</v>
      </c>
    </row>
    <row r="3" spans="1:4" x14ac:dyDescent="0.25">
      <c r="A3" s="4" t="s">
        <v>167</v>
      </c>
      <c r="B3" s="4">
        <v>327338</v>
      </c>
      <c r="C3" s="4" t="s">
        <v>1903</v>
      </c>
      <c r="D3" s="9">
        <v>4063</v>
      </c>
    </row>
    <row r="4" spans="1:4" x14ac:dyDescent="0.25">
      <c r="A4" s="4" t="s">
        <v>167</v>
      </c>
      <c r="B4" s="4">
        <v>318803</v>
      </c>
      <c r="C4" s="4" t="s">
        <v>1899</v>
      </c>
      <c r="D4" s="9">
        <v>13740</v>
      </c>
    </row>
    <row r="5" spans="1:4" x14ac:dyDescent="0.25">
      <c r="A5" s="4" t="s">
        <v>177</v>
      </c>
      <c r="B5" s="4">
        <v>324817</v>
      </c>
      <c r="C5" s="4" t="s">
        <v>1860</v>
      </c>
      <c r="D5" s="9">
        <v>685</v>
      </c>
    </row>
    <row r="6" spans="1:4" x14ac:dyDescent="0.25">
      <c r="A6" s="4" t="s">
        <v>1904</v>
      </c>
      <c r="B6" s="4">
        <v>326524</v>
      </c>
      <c r="C6" s="4" t="s">
        <v>1905</v>
      </c>
      <c r="D6" s="9">
        <v>5350</v>
      </c>
    </row>
    <row r="7" spans="1:4" x14ac:dyDescent="0.25">
      <c r="A7" s="4" t="s">
        <v>718</v>
      </c>
      <c r="B7" s="4">
        <v>327732</v>
      </c>
      <c r="C7" s="4" t="s">
        <v>1906</v>
      </c>
      <c r="D7" s="9">
        <v>1656</v>
      </c>
    </row>
    <row r="8" spans="1:4" x14ac:dyDescent="0.25">
      <c r="A8" s="4" t="s">
        <v>832</v>
      </c>
      <c r="B8" s="4">
        <v>312482</v>
      </c>
      <c r="C8" s="4" t="s">
        <v>1900</v>
      </c>
      <c r="D8" s="9">
        <v>840</v>
      </c>
    </row>
    <row r="9" spans="1:4" x14ac:dyDescent="0.25">
      <c r="A9" s="4" t="s">
        <v>995</v>
      </c>
      <c r="B9" s="4">
        <v>325218</v>
      </c>
      <c r="C9" s="4" t="s">
        <v>1901</v>
      </c>
      <c r="D9" s="9">
        <v>1890</v>
      </c>
    </row>
    <row r="10" spans="1:4" x14ac:dyDescent="0.25">
      <c r="A10" s="4" t="s">
        <v>26</v>
      </c>
      <c r="B10" s="4">
        <v>324934</v>
      </c>
      <c r="C10" s="4" t="s">
        <v>1907</v>
      </c>
      <c r="D10" s="9">
        <v>1600</v>
      </c>
    </row>
    <row r="11" spans="1:4" x14ac:dyDescent="0.25">
      <c r="C11" s="31" t="s">
        <v>83</v>
      </c>
      <c r="D11" s="32">
        <f>SUM(D2:D10)</f>
        <v>43793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8C0F-AA1E-4018-A6A0-13B8E108F741}">
  <dimension ref="A1:D21"/>
  <sheetViews>
    <sheetView zoomScaleNormal="100" zoomScaleSheetLayoutView="100" workbookViewId="0">
      <selection activeCell="C36" sqref="C36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1908</v>
      </c>
      <c r="B2" s="35">
        <v>327041</v>
      </c>
      <c r="C2" s="33" t="s">
        <v>1909</v>
      </c>
      <c r="D2" s="34">
        <v>750</v>
      </c>
    </row>
    <row r="3" spans="1:4" x14ac:dyDescent="0.25">
      <c r="A3" s="4" t="s">
        <v>1908</v>
      </c>
      <c r="B3" s="4">
        <v>327039</v>
      </c>
      <c r="C3" s="4" t="s">
        <v>1910</v>
      </c>
      <c r="D3" s="9">
        <v>11364</v>
      </c>
    </row>
    <row r="4" spans="1:4" x14ac:dyDescent="0.25">
      <c r="A4" s="4" t="s">
        <v>167</v>
      </c>
      <c r="B4" s="4">
        <v>327338</v>
      </c>
      <c r="C4" s="4" t="s">
        <v>1903</v>
      </c>
      <c r="D4" s="9">
        <v>4063</v>
      </c>
    </row>
    <row r="5" spans="1:4" x14ac:dyDescent="0.25">
      <c r="A5" s="4" t="s">
        <v>167</v>
      </c>
      <c r="B5" s="4">
        <v>324505</v>
      </c>
      <c r="C5" s="4" t="s">
        <v>1911</v>
      </c>
      <c r="D5" s="9">
        <v>1020</v>
      </c>
    </row>
    <row r="6" spans="1:4" x14ac:dyDescent="0.25">
      <c r="A6" s="4" t="s">
        <v>167</v>
      </c>
      <c r="B6" s="4">
        <v>318803</v>
      </c>
      <c r="C6" s="4" t="s">
        <v>1899</v>
      </c>
      <c r="D6" s="9">
        <v>13740</v>
      </c>
    </row>
    <row r="7" spans="1:4" x14ac:dyDescent="0.25">
      <c r="A7" s="4" t="s">
        <v>1904</v>
      </c>
      <c r="B7" s="4">
        <v>326524</v>
      </c>
      <c r="C7" s="4" t="s">
        <v>1905</v>
      </c>
      <c r="D7" s="9">
        <v>5350</v>
      </c>
    </row>
    <row r="8" spans="1:4" x14ac:dyDescent="0.25">
      <c r="A8" s="4" t="s">
        <v>180</v>
      </c>
      <c r="B8" s="4">
        <v>320468</v>
      </c>
      <c r="C8" s="4" t="s">
        <v>1912</v>
      </c>
      <c r="D8" s="9">
        <v>3780</v>
      </c>
    </row>
    <row r="9" spans="1:4" x14ac:dyDescent="0.25">
      <c r="A9" s="4" t="s">
        <v>832</v>
      </c>
      <c r="B9" s="4">
        <v>326665</v>
      </c>
      <c r="C9" s="4" t="s">
        <v>1913</v>
      </c>
      <c r="D9" s="9">
        <v>2250</v>
      </c>
    </row>
    <row r="10" spans="1:4" x14ac:dyDescent="0.25">
      <c r="A10" s="4" t="s">
        <v>832</v>
      </c>
      <c r="B10" s="4">
        <v>327518</v>
      </c>
      <c r="C10" s="4" t="s">
        <v>1914</v>
      </c>
      <c r="D10" s="9">
        <v>625</v>
      </c>
    </row>
    <row r="11" spans="1:4" x14ac:dyDescent="0.25">
      <c r="A11" s="33" t="s">
        <v>995</v>
      </c>
      <c r="B11" s="35">
        <v>319139</v>
      </c>
      <c r="C11" s="33" t="s">
        <v>1915</v>
      </c>
      <c r="D11" s="34">
        <v>7560</v>
      </c>
    </row>
    <row r="12" spans="1:4" x14ac:dyDescent="0.25">
      <c r="A12" s="4" t="s">
        <v>995</v>
      </c>
      <c r="B12" s="4">
        <v>322167</v>
      </c>
      <c r="C12" s="4" t="s">
        <v>1916</v>
      </c>
      <c r="D12" s="9">
        <v>47567</v>
      </c>
    </row>
    <row r="13" spans="1:4" x14ac:dyDescent="0.25">
      <c r="A13" s="4" t="s">
        <v>995</v>
      </c>
      <c r="B13" s="4">
        <v>322167</v>
      </c>
      <c r="C13" s="4" t="s">
        <v>1917</v>
      </c>
      <c r="D13" s="9">
        <v>19228</v>
      </c>
    </row>
    <row r="14" spans="1:4" x14ac:dyDescent="0.25">
      <c r="A14" s="4" t="s">
        <v>995</v>
      </c>
      <c r="B14" s="4">
        <v>322167</v>
      </c>
      <c r="C14" s="4" t="s">
        <v>1918</v>
      </c>
      <c r="D14" s="9">
        <v>40007</v>
      </c>
    </row>
    <row r="15" spans="1:4" x14ac:dyDescent="0.25">
      <c r="A15" s="4" t="s">
        <v>995</v>
      </c>
      <c r="B15" s="4">
        <v>322167</v>
      </c>
      <c r="C15" s="4" t="s">
        <v>1919</v>
      </c>
      <c r="D15" s="9">
        <v>23370</v>
      </c>
    </row>
    <row r="16" spans="1:4" x14ac:dyDescent="0.25">
      <c r="A16" s="4" t="s">
        <v>1920</v>
      </c>
      <c r="B16" s="4">
        <v>327427</v>
      </c>
      <c r="C16" s="4" t="s">
        <v>1921</v>
      </c>
      <c r="D16" s="9">
        <v>3505</v>
      </c>
    </row>
    <row r="17" spans="1:4" x14ac:dyDescent="0.25">
      <c r="A17" s="4" t="s">
        <v>151</v>
      </c>
      <c r="B17" s="4">
        <v>328880</v>
      </c>
      <c r="C17" s="4" t="s">
        <v>1922</v>
      </c>
      <c r="D17" s="9">
        <v>4830</v>
      </c>
    </row>
    <row r="18" spans="1:4" x14ac:dyDescent="0.25">
      <c r="A18" s="4" t="s">
        <v>61</v>
      </c>
      <c r="B18" s="4">
        <v>329142</v>
      </c>
      <c r="C18" s="4" t="s">
        <v>1923</v>
      </c>
      <c r="D18" s="9">
        <v>6738</v>
      </c>
    </row>
    <row r="19" spans="1:4" x14ac:dyDescent="0.25">
      <c r="A19" s="4" t="s">
        <v>61</v>
      </c>
      <c r="B19" s="4">
        <v>329177</v>
      </c>
      <c r="C19" s="4" t="s">
        <v>1924</v>
      </c>
      <c r="D19" s="9">
        <v>7020</v>
      </c>
    </row>
    <row r="20" spans="1:4" x14ac:dyDescent="0.25">
      <c r="A20" s="4" t="s">
        <v>26</v>
      </c>
      <c r="B20" s="4">
        <v>324934</v>
      </c>
      <c r="C20" s="4" t="s">
        <v>1907</v>
      </c>
      <c r="D20" s="9">
        <v>1600</v>
      </c>
    </row>
    <row r="21" spans="1:4" x14ac:dyDescent="0.25">
      <c r="C21" s="31" t="s">
        <v>83</v>
      </c>
      <c r="D21" s="32">
        <f>SUM(D2:D20)</f>
        <v>204367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A225-9262-4751-B615-695C87ECCE8A}">
  <dimension ref="A1:D15"/>
  <sheetViews>
    <sheetView zoomScaleNormal="100" zoomScaleSheetLayoutView="100" workbookViewId="0">
      <selection activeCell="A28" sqref="A28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256</v>
      </c>
      <c r="B2" s="35">
        <v>319246</v>
      </c>
      <c r="C2" s="33" t="s">
        <v>1925</v>
      </c>
      <c r="D2" s="34">
        <v>795</v>
      </c>
    </row>
    <row r="3" spans="1:4" x14ac:dyDescent="0.25">
      <c r="A3" s="4" t="s">
        <v>167</v>
      </c>
      <c r="B3" s="4">
        <v>327338</v>
      </c>
      <c r="C3" s="4" t="s">
        <v>1903</v>
      </c>
      <c r="D3" s="9">
        <v>4063</v>
      </c>
    </row>
    <row r="4" spans="1:4" x14ac:dyDescent="0.25">
      <c r="A4" s="4" t="s">
        <v>167</v>
      </c>
      <c r="B4" s="4">
        <v>324505</v>
      </c>
      <c r="C4" s="4" t="s">
        <v>1911</v>
      </c>
      <c r="D4" s="9">
        <v>1020</v>
      </c>
    </row>
    <row r="5" spans="1:4" x14ac:dyDescent="0.25">
      <c r="A5" s="4" t="s">
        <v>177</v>
      </c>
      <c r="B5" s="4">
        <v>327508</v>
      </c>
      <c r="C5" s="4" t="s">
        <v>1926</v>
      </c>
      <c r="D5" s="9">
        <v>2295</v>
      </c>
    </row>
    <row r="6" spans="1:4" x14ac:dyDescent="0.25">
      <c r="A6" s="4" t="s">
        <v>505</v>
      </c>
      <c r="B6" s="4">
        <v>327099</v>
      </c>
      <c r="C6" s="4" t="s">
        <v>1927</v>
      </c>
      <c r="D6" s="9">
        <v>4776</v>
      </c>
    </row>
    <row r="7" spans="1:4" x14ac:dyDescent="0.25">
      <c r="A7" s="4" t="s">
        <v>718</v>
      </c>
      <c r="B7" s="4">
        <v>329494</v>
      </c>
      <c r="C7" s="4" t="s">
        <v>1928</v>
      </c>
      <c r="D7" s="9">
        <v>2054</v>
      </c>
    </row>
    <row r="8" spans="1:4" x14ac:dyDescent="0.25">
      <c r="A8" s="4" t="s">
        <v>832</v>
      </c>
      <c r="B8" s="4">
        <v>327625</v>
      </c>
      <c r="C8" s="4" t="s">
        <v>1929</v>
      </c>
      <c r="D8" s="9">
        <v>1895</v>
      </c>
    </row>
    <row r="9" spans="1:4" x14ac:dyDescent="0.25">
      <c r="A9" s="4" t="s">
        <v>832</v>
      </c>
      <c r="B9" s="4">
        <v>326665</v>
      </c>
      <c r="C9" s="4" t="s">
        <v>1913</v>
      </c>
      <c r="D9" s="9">
        <v>2250</v>
      </c>
    </row>
    <row r="10" spans="1:4" x14ac:dyDescent="0.25">
      <c r="A10" s="4" t="s">
        <v>832</v>
      </c>
      <c r="B10" s="4">
        <v>326732</v>
      </c>
      <c r="C10" s="4" t="s">
        <v>1930</v>
      </c>
      <c r="D10" s="9">
        <v>7740</v>
      </c>
    </row>
    <row r="11" spans="1:4" x14ac:dyDescent="0.25">
      <c r="A11" s="33" t="s">
        <v>832</v>
      </c>
      <c r="B11" s="35">
        <v>326732</v>
      </c>
      <c r="C11" s="33" t="s">
        <v>1931</v>
      </c>
      <c r="D11" s="34">
        <v>4355</v>
      </c>
    </row>
    <row r="12" spans="1:4" x14ac:dyDescent="0.25">
      <c r="A12" s="4" t="s">
        <v>832</v>
      </c>
      <c r="B12" s="4">
        <v>326732</v>
      </c>
      <c r="C12" s="4" t="s">
        <v>1932</v>
      </c>
      <c r="D12" s="9">
        <v>6990</v>
      </c>
    </row>
    <row r="13" spans="1:4" x14ac:dyDescent="0.25">
      <c r="A13" s="4" t="s">
        <v>151</v>
      </c>
      <c r="B13" s="4">
        <v>328924</v>
      </c>
      <c r="C13" s="4" t="s">
        <v>1933</v>
      </c>
      <c r="D13" s="9">
        <v>17165</v>
      </c>
    </row>
    <row r="14" spans="1:4" x14ac:dyDescent="0.25">
      <c r="A14" s="4" t="s">
        <v>192</v>
      </c>
      <c r="B14" s="4">
        <v>329581</v>
      </c>
      <c r="C14" s="4" t="s">
        <v>1934</v>
      </c>
      <c r="D14" s="9">
        <v>45855</v>
      </c>
    </row>
    <row r="15" spans="1:4" x14ac:dyDescent="0.25">
      <c r="C15" s="31" t="s">
        <v>83</v>
      </c>
      <c r="D15" s="32">
        <f>SUM(D2:D14)</f>
        <v>101253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E84E-42F4-4908-994B-214168217CAA}">
  <dimension ref="A1:D36"/>
  <sheetViews>
    <sheetView topLeftCell="A7" zoomScaleNormal="100" zoomScaleSheetLayoutView="100" workbookViewId="0">
      <selection activeCell="C45" sqref="C45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256</v>
      </c>
      <c r="B2" s="35">
        <v>319246</v>
      </c>
      <c r="C2" s="33" t="s">
        <v>1925</v>
      </c>
      <c r="D2" s="34">
        <v>795</v>
      </c>
    </row>
    <row r="3" spans="1:4" x14ac:dyDescent="0.25">
      <c r="A3" s="4" t="s">
        <v>500</v>
      </c>
      <c r="B3" s="4">
        <v>330035</v>
      </c>
      <c r="C3" s="4" t="s">
        <v>1935</v>
      </c>
      <c r="D3" s="9">
        <v>40157</v>
      </c>
    </row>
    <row r="4" spans="1:4" x14ac:dyDescent="0.25">
      <c r="A4" s="4" t="s">
        <v>111</v>
      </c>
      <c r="B4" s="4">
        <v>326949</v>
      </c>
      <c r="C4" s="4" t="s">
        <v>1936</v>
      </c>
      <c r="D4" s="9">
        <v>891</v>
      </c>
    </row>
    <row r="5" spans="1:4" x14ac:dyDescent="0.25">
      <c r="A5" s="4" t="s">
        <v>111</v>
      </c>
      <c r="B5" s="4">
        <v>329958</v>
      </c>
      <c r="C5" s="4" t="s">
        <v>1937</v>
      </c>
      <c r="D5" s="9">
        <v>327</v>
      </c>
    </row>
    <row r="6" spans="1:4" x14ac:dyDescent="0.25">
      <c r="A6" s="4" t="s">
        <v>111</v>
      </c>
      <c r="B6" s="4">
        <v>329866</v>
      </c>
      <c r="C6" s="4" t="s">
        <v>1938</v>
      </c>
      <c r="D6" s="9">
        <v>817</v>
      </c>
    </row>
    <row r="7" spans="1:4" x14ac:dyDescent="0.25">
      <c r="A7" s="4" t="s">
        <v>111</v>
      </c>
      <c r="B7" s="4">
        <v>329860</v>
      </c>
      <c r="C7" s="4" t="s">
        <v>1939</v>
      </c>
      <c r="D7" s="9">
        <v>163</v>
      </c>
    </row>
    <row r="8" spans="1:4" x14ac:dyDescent="0.25">
      <c r="A8" s="4" t="s">
        <v>111</v>
      </c>
      <c r="B8" s="4">
        <v>329940</v>
      </c>
      <c r="C8" s="4" t="s">
        <v>1940</v>
      </c>
      <c r="D8" s="9">
        <v>503</v>
      </c>
    </row>
    <row r="9" spans="1:4" x14ac:dyDescent="0.25">
      <c r="A9" s="33" t="s">
        <v>111</v>
      </c>
      <c r="B9" s="35">
        <v>329945</v>
      </c>
      <c r="C9" s="33" t="s">
        <v>1941</v>
      </c>
      <c r="D9" s="34">
        <v>67</v>
      </c>
    </row>
    <row r="10" spans="1:4" x14ac:dyDescent="0.25">
      <c r="A10" s="4" t="s">
        <v>167</v>
      </c>
      <c r="B10" s="4">
        <v>327338</v>
      </c>
      <c r="C10" s="4" t="s">
        <v>1903</v>
      </c>
      <c r="D10" s="9">
        <v>4063</v>
      </c>
    </row>
    <row r="11" spans="1:4" x14ac:dyDescent="0.25">
      <c r="A11" s="4" t="s">
        <v>167</v>
      </c>
      <c r="B11" s="4">
        <v>324505</v>
      </c>
      <c r="C11" s="4" t="s">
        <v>1911</v>
      </c>
      <c r="D11" s="9">
        <v>1020</v>
      </c>
    </row>
    <row r="12" spans="1:4" x14ac:dyDescent="0.25">
      <c r="A12" s="4" t="s">
        <v>505</v>
      </c>
      <c r="B12" s="4">
        <v>327099</v>
      </c>
      <c r="C12" s="4" t="s">
        <v>1927</v>
      </c>
      <c r="D12" s="9">
        <v>4776</v>
      </c>
    </row>
    <row r="13" spans="1:4" x14ac:dyDescent="0.25">
      <c r="A13" s="4" t="s">
        <v>26</v>
      </c>
      <c r="B13" s="4">
        <v>319339</v>
      </c>
      <c r="C13" s="4" t="s">
        <v>1942</v>
      </c>
      <c r="D13" s="9">
        <v>8220</v>
      </c>
    </row>
    <row r="14" spans="1:4" x14ac:dyDescent="0.25">
      <c r="A14" s="4" t="s">
        <v>26</v>
      </c>
      <c r="B14" s="4">
        <v>329886</v>
      </c>
      <c r="C14" s="4" t="s">
        <v>1943</v>
      </c>
      <c r="D14" s="9">
        <v>2295</v>
      </c>
    </row>
    <row r="15" spans="1:4" x14ac:dyDescent="0.25">
      <c r="A15" s="4" t="s">
        <v>1944</v>
      </c>
      <c r="B15" s="4">
        <v>323574</v>
      </c>
      <c r="C15" s="4" t="s">
        <v>1945</v>
      </c>
      <c r="D15" s="9">
        <v>3338</v>
      </c>
    </row>
    <row r="16" spans="1:4" x14ac:dyDescent="0.25">
      <c r="A16" s="4" t="s">
        <v>180</v>
      </c>
      <c r="B16" s="4">
        <v>325260</v>
      </c>
      <c r="C16" s="4" t="s">
        <v>1946</v>
      </c>
      <c r="D16" s="9">
        <v>7795</v>
      </c>
    </row>
    <row r="17" spans="1:4" x14ac:dyDescent="0.25">
      <c r="A17" s="4" t="s">
        <v>180</v>
      </c>
      <c r="B17" s="4">
        <v>325260</v>
      </c>
      <c r="C17" s="4" t="s">
        <v>1947</v>
      </c>
      <c r="D17" s="9">
        <v>12745</v>
      </c>
    </row>
    <row r="18" spans="1:4" x14ac:dyDescent="0.25">
      <c r="A18" s="4" t="s">
        <v>718</v>
      </c>
      <c r="B18" s="4">
        <v>329494</v>
      </c>
      <c r="C18" s="4" t="s">
        <v>1928</v>
      </c>
      <c r="D18" s="9">
        <v>2054</v>
      </c>
    </row>
    <row r="19" spans="1:4" x14ac:dyDescent="0.25">
      <c r="A19" s="4" t="s">
        <v>1948</v>
      </c>
      <c r="B19" s="4">
        <v>329361</v>
      </c>
      <c r="C19" s="4" t="s">
        <v>1949</v>
      </c>
      <c r="D19" s="9">
        <v>12145</v>
      </c>
    </row>
    <row r="20" spans="1:4" x14ac:dyDescent="0.25">
      <c r="A20" s="33" t="s">
        <v>34</v>
      </c>
      <c r="B20" s="35">
        <v>329830</v>
      </c>
      <c r="C20" s="33" t="s">
        <v>1950</v>
      </c>
      <c r="D20" s="34">
        <v>1200</v>
      </c>
    </row>
    <row r="21" spans="1:4" x14ac:dyDescent="0.25">
      <c r="A21" s="4" t="s">
        <v>315</v>
      </c>
      <c r="B21" s="4">
        <v>329785</v>
      </c>
      <c r="C21" s="4" t="s">
        <v>1951</v>
      </c>
      <c r="D21" s="9">
        <v>85</v>
      </c>
    </row>
    <row r="22" spans="1:4" x14ac:dyDescent="0.25">
      <c r="A22" s="4" t="s">
        <v>832</v>
      </c>
      <c r="B22" s="4">
        <v>327207</v>
      </c>
      <c r="C22" s="4" t="s">
        <v>1952</v>
      </c>
      <c r="D22" s="9">
        <v>2950</v>
      </c>
    </row>
    <row r="23" spans="1:4" x14ac:dyDescent="0.25">
      <c r="A23" s="4" t="s">
        <v>832</v>
      </c>
      <c r="B23" s="4">
        <v>325029</v>
      </c>
      <c r="C23" s="4" t="s">
        <v>1953</v>
      </c>
      <c r="D23" s="9">
        <v>995</v>
      </c>
    </row>
    <row r="24" spans="1:4" x14ac:dyDescent="0.25">
      <c r="A24" s="4" t="s">
        <v>832</v>
      </c>
      <c r="B24" s="4">
        <v>324076</v>
      </c>
      <c r="C24" s="4" t="s">
        <v>1954</v>
      </c>
      <c r="D24" s="9">
        <v>5250</v>
      </c>
    </row>
    <row r="25" spans="1:4" x14ac:dyDescent="0.25">
      <c r="A25" s="4" t="s">
        <v>832</v>
      </c>
      <c r="B25" s="4">
        <v>327329</v>
      </c>
      <c r="C25" s="4" t="s">
        <v>1955</v>
      </c>
      <c r="D25" s="9">
        <v>4323</v>
      </c>
    </row>
    <row r="26" spans="1:4" x14ac:dyDescent="0.25">
      <c r="A26" s="4" t="s">
        <v>832</v>
      </c>
      <c r="B26" s="4">
        <v>326665</v>
      </c>
      <c r="C26" s="4" t="s">
        <v>1913</v>
      </c>
      <c r="D26" s="9">
        <v>2250</v>
      </c>
    </row>
    <row r="27" spans="1:4" x14ac:dyDescent="0.25">
      <c r="A27" s="4" t="s">
        <v>832</v>
      </c>
      <c r="B27" s="4">
        <v>326732</v>
      </c>
      <c r="C27" s="4" t="s">
        <v>1930</v>
      </c>
      <c r="D27" s="9">
        <v>7740</v>
      </c>
    </row>
    <row r="28" spans="1:4" x14ac:dyDescent="0.25">
      <c r="A28" s="4" t="s">
        <v>832</v>
      </c>
      <c r="B28" s="4">
        <v>326732</v>
      </c>
      <c r="C28" s="4" t="s">
        <v>1931</v>
      </c>
      <c r="D28" s="9">
        <v>4355</v>
      </c>
    </row>
    <row r="29" spans="1:4" x14ac:dyDescent="0.25">
      <c r="A29" s="4" t="s">
        <v>832</v>
      </c>
      <c r="B29" s="4">
        <v>326732</v>
      </c>
      <c r="C29" s="4" t="s">
        <v>1932</v>
      </c>
      <c r="D29" s="9">
        <v>6990</v>
      </c>
    </row>
    <row r="30" spans="1:4" x14ac:dyDescent="0.25">
      <c r="A30" s="33" t="s">
        <v>604</v>
      </c>
      <c r="B30" s="35">
        <v>329690</v>
      </c>
      <c r="C30" s="33" t="s">
        <v>1956</v>
      </c>
      <c r="D30" s="34">
        <v>5515</v>
      </c>
    </row>
    <row r="31" spans="1:4" x14ac:dyDescent="0.25">
      <c r="A31" s="4" t="s">
        <v>151</v>
      </c>
      <c r="B31" s="4">
        <v>328924</v>
      </c>
      <c r="C31" s="4" t="s">
        <v>1933</v>
      </c>
      <c r="D31" s="9">
        <v>17165</v>
      </c>
    </row>
    <row r="32" spans="1:4" x14ac:dyDescent="0.25">
      <c r="A32" s="4" t="s">
        <v>279</v>
      </c>
      <c r="B32" s="4">
        <v>329650</v>
      </c>
      <c r="C32" s="4" t="s">
        <v>1957</v>
      </c>
      <c r="D32" s="9">
        <v>7110</v>
      </c>
    </row>
    <row r="33" spans="1:4" x14ac:dyDescent="0.25">
      <c r="A33" s="4" t="s">
        <v>61</v>
      </c>
      <c r="B33" s="4">
        <v>329975</v>
      </c>
      <c r="C33" s="4" t="s">
        <v>1958</v>
      </c>
      <c r="D33" s="9">
        <v>0</v>
      </c>
    </row>
    <row r="34" spans="1:4" x14ac:dyDescent="0.25">
      <c r="A34" s="4" t="s">
        <v>61</v>
      </c>
      <c r="B34" s="4">
        <v>329976</v>
      </c>
      <c r="C34" s="4" t="s">
        <v>1959</v>
      </c>
      <c r="D34" s="9">
        <v>7335</v>
      </c>
    </row>
    <row r="35" spans="1:4" x14ac:dyDescent="0.25">
      <c r="A35" s="4" t="s">
        <v>143</v>
      </c>
      <c r="B35" s="4">
        <v>324894</v>
      </c>
      <c r="C35" s="4" t="s">
        <v>1960</v>
      </c>
      <c r="D35" s="9">
        <v>6230</v>
      </c>
    </row>
    <row r="36" spans="1:4" x14ac:dyDescent="0.25">
      <c r="C36" s="31" t="s">
        <v>83</v>
      </c>
      <c r="D36" s="32">
        <f>SUM(D2:D35)</f>
        <v>181664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F436-0186-416F-8314-62E9D47C15E1}">
  <dimension ref="A1:D10"/>
  <sheetViews>
    <sheetView zoomScaleNormal="100" zoomScaleSheetLayoutView="100" workbookViewId="0">
      <selection activeCell="A27" sqref="A27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33" t="s">
        <v>111</v>
      </c>
      <c r="B2" s="35">
        <v>330110</v>
      </c>
      <c r="C2" s="33" t="s">
        <v>1961</v>
      </c>
      <c r="D2" s="34">
        <v>163</v>
      </c>
    </row>
    <row r="3" spans="1:4" x14ac:dyDescent="0.25">
      <c r="A3" s="4" t="s">
        <v>832</v>
      </c>
      <c r="B3" s="4">
        <v>325029</v>
      </c>
      <c r="C3" s="4" t="s">
        <v>1962</v>
      </c>
      <c r="D3" s="9">
        <v>995</v>
      </c>
    </row>
    <row r="4" spans="1:4" x14ac:dyDescent="0.25">
      <c r="A4" s="4" t="s">
        <v>1501</v>
      </c>
      <c r="B4" s="4">
        <v>325148</v>
      </c>
      <c r="C4" s="4" t="s">
        <v>1963</v>
      </c>
      <c r="D4" s="9">
        <v>2880</v>
      </c>
    </row>
    <row r="5" spans="1:4" x14ac:dyDescent="0.25">
      <c r="A5" s="4" t="s">
        <v>1501</v>
      </c>
      <c r="B5" s="4">
        <v>325139</v>
      </c>
      <c r="C5" s="4" t="s">
        <v>1964</v>
      </c>
      <c r="D5" s="9">
        <v>8565</v>
      </c>
    </row>
    <row r="6" spans="1:4" x14ac:dyDescent="0.25">
      <c r="A6" s="4" t="s">
        <v>1501</v>
      </c>
      <c r="B6" s="4">
        <v>330094</v>
      </c>
      <c r="C6" s="4" t="s">
        <v>1965</v>
      </c>
      <c r="D6" s="9">
        <v>17715</v>
      </c>
    </row>
    <row r="7" spans="1:4" x14ac:dyDescent="0.25">
      <c r="A7" s="4" t="s">
        <v>1501</v>
      </c>
      <c r="B7" s="4">
        <v>330090</v>
      </c>
      <c r="C7" s="4" t="s">
        <v>1966</v>
      </c>
      <c r="D7" s="9">
        <v>2530</v>
      </c>
    </row>
    <row r="8" spans="1:4" x14ac:dyDescent="0.25">
      <c r="A8" s="4" t="s">
        <v>1967</v>
      </c>
      <c r="B8" s="4">
        <v>329987</v>
      </c>
      <c r="C8" s="4" t="s">
        <v>1968</v>
      </c>
      <c r="D8" s="9">
        <v>55920</v>
      </c>
    </row>
    <row r="9" spans="1:4" x14ac:dyDescent="0.25">
      <c r="A9" s="33" t="s">
        <v>1967</v>
      </c>
      <c r="B9" s="35">
        <v>329978</v>
      </c>
      <c r="C9" s="33" t="s">
        <v>1969</v>
      </c>
      <c r="D9" s="34">
        <v>42490</v>
      </c>
    </row>
    <row r="10" spans="1:4" x14ac:dyDescent="0.25">
      <c r="C10" s="31" t="s">
        <v>83</v>
      </c>
      <c r="D10" s="32">
        <f>SUM(D2:D9)</f>
        <v>131258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57F0-1C85-4832-8227-7D8226A8E93D}">
  <dimension ref="A1:D24"/>
  <sheetViews>
    <sheetView zoomScaleNormal="100" zoomScaleSheetLayoutView="100" workbookViewId="0">
      <selection activeCell="C33" sqref="C33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330114</v>
      </c>
      <c r="C2" s="4" t="s">
        <v>1970</v>
      </c>
      <c r="D2" s="9">
        <v>4290</v>
      </c>
    </row>
    <row r="3" spans="1:4" x14ac:dyDescent="0.25">
      <c r="A3" s="4" t="s">
        <v>256</v>
      </c>
      <c r="B3" s="4">
        <v>330389</v>
      </c>
      <c r="C3" s="4" t="s">
        <v>1971</v>
      </c>
      <c r="D3" s="9">
        <v>9325</v>
      </c>
    </row>
    <row r="4" spans="1:4" x14ac:dyDescent="0.25">
      <c r="A4" s="4" t="s">
        <v>256</v>
      </c>
      <c r="B4" s="4">
        <v>330114</v>
      </c>
      <c r="C4" s="4" t="s">
        <v>1972</v>
      </c>
      <c r="D4" s="9">
        <v>4235</v>
      </c>
    </row>
    <row r="5" spans="1:4" x14ac:dyDescent="0.25">
      <c r="A5" s="4" t="s">
        <v>256</v>
      </c>
      <c r="B5" s="4">
        <v>330389</v>
      </c>
      <c r="C5" s="4" t="s">
        <v>1973</v>
      </c>
      <c r="D5" s="9">
        <v>11820</v>
      </c>
    </row>
    <row r="6" spans="1:4" x14ac:dyDescent="0.25">
      <c r="A6" s="4" t="s">
        <v>143</v>
      </c>
      <c r="B6" s="4">
        <v>324880</v>
      </c>
      <c r="C6" s="4" t="s">
        <v>1974</v>
      </c>
      <c r="D6" s="9">
        <v>9499</v>
      </c>
    </row>
    <row r="7" spans="1:4" x14ac:dyDescent="0.25">
      <c r="A7" s="33" t="s">
        <v>26</v>
      </c>
      <c r="B7" s="35">
        <v>319360</v>
      </c>
      <c r="C7" s="33" t="s">
        <v>1975</v>
      </c>
      <c r="D7" s="34">
        <v>7000</v>
      </c>
    </row>
    <row r="8" spans="1:4" x14ac:dyDescent="0.25">
      <c r="A8" s="4" t="s">
        <v>26</v>
      </c>
      <c r="B8" s="4">
        <v>319360</v>
      </c>
      <c r="C8" s="4" t="s">
        <v>1976</v>
      </c>
      <c r="D8" s="9">
        <v>8090</v>
      </c>
    </row>
    <row r="9" spans="1:4" x14ac:dyDescent="0.25">
      <c r="A9" s="4" t="s">
        <v>26</v>
      </c>
      <c r="B9" s="4">
        <v>319360</v>
      </c>
      <c r="C9" s="4" t="s">
        <v>1977</v>
      </c>
      <c r="D9" s="9">
        <v>2765</v>
      </c>
    </row>
    <row r="10" spans="1:4" x14ac:dyDescent="0.25">
      <c r="A10" s="4" t="s">
        <v>26</v>
      </c>
      <c r="B10" s="4">
        <v>319360</v>
      </c>
      <c r="C10" s="4" t="s">
        <v>1978</v>
      </c>
      <c r="D10" s="9">
        <v>4235</v>
      </c>
    </row>
    <row r="11" spans="1:4" x14ac:dyDescent="0.25">
      <c r="A11" s="4" t="s">
        <v>180</v>
      </c>
      <c r="B11" s="4">
        <v>330120</v>
      </c>
      <c r="C11" s="4" t="s">
        <v>1979</v>
      </c>
      <c r="D11" s="9">
        <v>68648</v>
      </c>
    </row>
    <row r="12" spans="1:4" x14ac:dyDescent="0.25">
      <c r="A12" s="4" t="s">
        <v>180</v>
      </c>
      <c r="B12" s="4">
        <v>330120</v>
      </c>
      <c r="C12" s="4" t="s">
        <v>1980</v>
      </c>
      <c r="D12" s="9">
        <v>6019</v>
      </c>
    </row>
    <row r="13" spans="1:4" x14ac:dyDescent="0.25">
      <c r="A13" s="4" t="s">
        <v>180</v>
      </c>
      <c r="B13" s="4">
        <v>330120</v>
      </c>
      <c r="C13" s="4" t="s">
        <v>1981</v>
      </c>
      <c r="D13" s="9">
        <v>68228</v>
      </c>
    </row>
    <row r="14" spans="1:4" x14ac:dyDescent="0.25">
      <c r="A14" s="4" t="s">
        <v>1180</v>
      </c>
      <c r="B14" s="4">
        <v>329480</v>
      </c>
      <c r="C14" s="4" t="s">
        <v>1982</v>
      </c>
      <c r="D14" s="9">
        <v>3795</v>
      </c>
    </row>
    <row r="15" spans="1:4" x14ac:dyDescent="0.25">
      <c r="A15" s="4" t="s">
        <v>1180</v>
      </c>
      <c r="B15" s="4">
        <v>329479</v>
      </c>
      <c r="C15" s="4" t="s">
        <v>1983</v>
      </c>
      <c r="D15" s="9">
        <v>1035</v>
      </c>
    </row>
    <row r="16" spans="1:4" x14ac:dyDescent="0.25">
      <c r="A16" s="4" t="s">
        <v>1180</v>
      </c>
      <c r="B16" s="4">
        <v>329478</v>
      </c>
      <c r="C16" s="4" t="s">
        <v>1984</v>
      </c>
      <c r="D16" s="9">
        <v>1661</v>
      </c>
    </row>
    <row r="17" spans="1:4" x14ac:dyDescent="0.25">
      <c r="A17" s="4" t="s">
        <v>1180</v>
      </c>
      <c r="B17" s="4">
        <v>329451</v>
      </c>
      <c r="C17" s="4" t="s">
        <v>1985</v>
      </c>
      <c r="D17" s="9">
        <v>15331</v>
      </c>
    </row>
    <row r="18" spans="1:4" x14ac:dyDescent="0.25">
      <c r="A18" s="4" t="s">
        <v>1180</v>
      </c>
      <c r="B18" s="4">
        <v>329483</v>
      </c>
      <c r="C18" s="4" t="s">
        <v>1986</v>
      </c>
      <c r="D18" s="9">
        <v>10679</v>
      </c>
    </row>
    <row r="19" spans="1:4" x14ac:dyDescent="0.25">
      <c r="A19" s="33" t="s">
        <v>832</v>
      </c>
      <c r="B19" s="35">
        <v>327698</v>
      </c>
      <c r="C19" s="33" t="s">
        <v>1987</v>
      </c>
      <c r="D19" s="34">
        <v>11025</v>
      </c>
    </row>
    <row r="20" spans="1:4" x14ac:dyDescent="0.25">
      <c r="A20" s="4" t="s">
        <v>832</v>
      </c>
      <c r="B20" s="4">
        <v>327697</v>
      </c>
      <c r="C20" s="4" t="s">
        <v>1988</v>
      </c>
      <c r="D20" s="9">
        <v>3525</v>
      </c>
    </row>
    <row r="21" spans="1:4" x14ac:dyDescent="0.25">
      <c r="A21" s="4" t="s">
        <v>832</v>
      </c>
      <c r="B21" s="4">
        <v>324074</v>
      </c>
      <c r="C21" s="4" t="s">
        <v>1989</v>
      </c>
      <c r="D21" s="9">
        <v>2650</v>
      </c>
    </row>
    <row r="22" spans="1:4" x14ac:dyDescent="0.25">
      <c r="A22" s="4" t="s">
        <v>832</v>
      </c>
      <c r="B22" s="4">
        <v>327698</v>
      </c>
      <c r="C22" s="4" t="s">
        <v>1990</v>
      </c>
      <c r="D22" s="9">
        <v>11025</v>
      </c>
    </row>
    <row r="23" spans="1:4" x14ac:dyDescent="0.25">
      <c r="A23" s="4" t="s">
        <v>832</v>
      </c>
      <c r="B23" s="4">
        <v>325029</v>
      </c>
      <c r="C23" s="4" t="s">
        <v>1962</v>
      </c>
      <c r="D23" s="9">
        <v>995</v>
      </c>
    </row>
    <row r="24" spans="1:4" x14ac:dyDescent="0.25">
      <c r="C24" s="31" t="s">
        <v>83</v>
      </c>
      <c r="D24" s="32">
        <f>SUM(D2:D23)</f>
        <v>265875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54C4-4ACD-4454-BE59-E989C0A655F1}">
  <dimension ref="A1:D5"/>
  <sheetViews>
    <sheetView zoomScaleNormal="100" zoomScaleSheetLayoutView="100" workbookViewId="0">
      <selection activeCell="C20" sqref="C20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61</v>
      </c>
      <c r="B2" s="4">
        <v>331792</v>
      </c>
      <c r="C2" s="4" t="s">
        <v>1991</v>
      </c>
      <c r="D2" s="9">
        <v>7300</v>
      </c>
    </row>
    <row r="3" spans="1:4" x14ac:dyDescent="0.25">
      <c r="A3" s="4" t="s">
        <v>61</v>
      </c>
      <c r="B3" s="4">
        <v>331806</v>
      </c>
      <c r="C3" s="4" t="s">
        <v>1992</v>
      </c>
      <c r="D3" s="9">
        <v>1495</v>
      </c>
    </row>
    <row r="4" spans="1:4" x14ac:dyDescent="0.25">
      <c r="A4" s="4" t="s">
        <v>61</v>
      </c>
      <c r="B4" s="4">
        <v>331797</v>
      </c>
      <c r="C4" s="4" t="s">
        <v>1993</v>
      </c>
      <c r="D4" s="9">
        <v>0</v>
      </c>
    </row>
    <row r="5" spans="1:4" x14ac:dyDescent="0.25">
      <c r="C5" s="31" t="s">
        <v>83</v>
      </c>
      <c r="D5" s="32">
        <f>SUM(D2:D4)</f>
        <v>8795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E132-E762-424E-A19B-AC722B4C3CE3}">
  <dimension ref="A1:D10"/>
  <sheetViews>
    <sheetView zoomScaleNormal="100" zoomScaleSheetLayoutView="100" workbookViewId="0">
      <selection activeCell="C28" sqref="C28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175</v>
      </c>
      <c r="B2" s="4">
        <v>332001</v>
      </c>
      <c r="C2" s="4" t="s">
        <v>1994</v>
      </c>
      <c r="D2" s="9">
        <v>1855</v>
      </c>
    </row>
    <row r="3" spans="1:4" x14ac:dyDescent="0.25">
      <c r="A3" s="4" t="s">
        <v>26</v>
      </c>
      <c r="B3" s="4">
        <v>333509</v>
      </c>
      <c r="C3" s="4" t="s">
        <v>1995</v>
      </c>
      <c r="D3" s="9">
        <v>365</v>
      </c>
    </row>
    <row r="4" spans="1:4" x14ac:dyDescent="0.25">
      <c r="A4" s="4" t="s">
        <v>635</v>
      </c>
      <c r="B4" s="4">
        <v>324291</v>
      </c>
      <c r="C4" s="4" t="s">
        <v>1996</v>
      </c>
      <c r="D4" s="9">
        <v>760</v>
      </c>
    </row>
    <row r="5" spans="1:4" x14ac:dyDescent="0.25">
      <c r="A5" s="4" t="s">
        <v>1997</v>
      </c>
      <c r="B5" s="4">
        <v>326962</v>
      </c>
      <c r="C5" s="4" t="s">
        <v>1998</v>
      </c>
      <c r="D5" s="9">
        <v>76373</v>
      </c>
    </row>
    <row r="6" spans="1:4" x14ac:dyDescent="0.25">
      <c r="A6" s="4" t="s">
        <v>1997</v>
      </c>
      <c r="B6" s="4">
        <v>326962</v>
      </c>
      <c r="C6" s="4" t="s">
        <v>1999</v>
      </c>
      <c r="D6" s="9">
        <v>44171</v>
      </c>
    </row>
    <row r="7" spans="1:4" x14ac:dyDescent="0.25">
      <c r="A7" s="33" t="s">
        <v>1997</v>
      </c>
      <c r="B7" s="35">
        <v>326962</v>
      </c>
      <c r="C7" s="33" t="s">
        <v>2000</v>
      </c>
      <c r="D7" s="34">
        <v>76378</v>
      </c>
    </row>
    <row r="8" spans="1:4" x14ac:dyDescent="0.25">
      <c r="A8" s="4" t="s">
        <v>995</v>
      </c>
      <c r="B8" s="4">
        <v>333395</v>
      </c>
      <c r="C8" s="4" t="s">
        <v>2001</v>
      </c>
      <c r="D8" s="9">
        <v>300</v>
      </c>
    </row>
    <row r="9" spans="1:4" x14ac:dyDescent="0.25">
      <c r="A9" s="4" t="s">
        <v>241</v>
      </c>
      <c r="B9" s="4">
        <v>326422</v>
      </c>
      <c r="C9" s="4" t="s">
        <v>2002</v>
      </c>
      <c r="D9" s="9">
        <v>1175</v>
      </c>
    </row>
    <row r="10" spans="1:4" x14ac:dyDescent="0.25">
      <c r="C10" s="31" t="s">
        <v>83</v>
      </c>
      <c r="D10" s="32">
        <f>SUM(D2:D9)</f>
        <v>201377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BF0E-B058-4FC4-A120-7B5F01D0E597}">
  <dimension ref="A1:D7"/>
  <sheetViews>
    <sheetView zoomScaleNormal="100" zoomScaleSheetLayoutView="100" workbookViewId="0">
      <selection activeCell="C22" sqref="C22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333533</v>
      </c>
      <c r="C2" s="4" t="s">
        <v>2003</v>
      </c>
      <c r="D2" s="9">
        <v>55</v>
      </c>
    </row>
    <row r="3" spans="1:4" x14ac:dyDescent="0.25">
      <c r="A3" s="4" t="s">
        <v>26</v>
      </c>
      <c r="B3" s="4">
        <v>333509</v>
      </c>
      <c r="C3" s="4" t="s">
        <v>1995</v>
      </c>
      <c r="D3" s="9">
        <v>365</v>
      </c>
    </row>
    <row r="4" spans="1:4" x14ac:dyDescent="0.25">
      <c r="A4" s="4" t="s">
        <v>635</v>
      </c>
      <c r="B4" s="4">
        <v>324291</v>
      </c>
      <c r="C4" s="4" t="s">
        <v>2004</v>
      </c>
      <c r="D4" s="9">
        <v>760</v>
      </c>
    </row>
    <row r="5" spans="1:4" x14ac:dyDescent="0.25">
      <c r="A5" s="4" t="s">
        <v>315</v>
      </c>
      <c r="B5" s="4">
        <v>333812</v>
      </c>
      <c r="C5" s="4" t="s">
        <v>2005</v>
      </c>
      <c r="D5" s="9">
        <v>248</v>
      </c>
    </row>
    <row r="6" spans="1:4" x14ac:dyDescent="0.25">
      <c r="A6" s="4" t="s">
        <v>241</v>
      </c>
      <c r="B6" s="4">
        <v>326422</v>
      </c>
      <c r="C6" s="4" t="s">
        <v>2006</v>
      </c>
      <c r="D6" s="9">
        <v>1175</v>
      </c>
    </row>
    <row r="7" spans="1:4" x14ac:dyDescent="0.25">
      <c r="C7" s="31" t="s">
        <v>83</v>
      </c>
      <c r="D7" s="32">
        <f>SUM(D2:D6)</f>
        <v>2603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FA13-AF4A-4DA7-BF90-A19D0F91A168}">
  <dimension ref="A1:D22"/>
  <sheetViews>
    <sheetView zoomScaleNormal="100" zoomScaleSheetLayoutView="100" workbookViewId="0">
      <selection activeCell="C25" sqref="C25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111</v>
      </c>
      <c r="B2" s="4">
        <v>334532</v>
      </c>
      <c r="C2" s="4" t="s">
        <v>2007</v>
      </c>
      <c r="D2" s="9">
        <v>1221</v>
      </c>
    </row>
    <row r="3" spans="1:4" x14ac:dyDescent="0.25">
      <c r="A3" s="4" t="s">
        <v>635</v>
      </c>
      <c r="B3" s="4">
        <v>324291</v>
      </c>
      <c r="C3" s="4" t="s">
        <v>2004</v>
      </c>
      <c r="D3" s="9">
        <v>760</v>
      </c>
    </row>
    <row r="4" spans="1:4" x14ac:dyDescent="0.25">
      <c r="A4" s="4" t="s">
        <v>1419</v>
      </c>
      <c r="B4" s="4">
        <v>334508</v>
      </c>
      <c r="C4" s="4" t="s">
        <v>2008</v>
      </c>
      <c r="D4" s="9">
        <v>79650</v>
      </c>
    </row>
    <row r="5" spans="1:4" x14ac:dyDescent="0.25">
      <c r="A5" s="4" t="s">
        <v>1419</v>
      </c>
      <c r="B5" s="4">
        <v>334514</v>
      </c>
      <c r="C5" s="4" t="s">
        <v>2009</v>
      </c>
      <c r="D5" s="9">
        <v>19440</v>
      </c>
    </row>
    <row r="6" spans="1:4" x14ac:dyDescent="0.25">
      <c r="A6" s="4" t="s">
        <v>1419</v>
      </c>
      <c r="B6" s="4">
        <v>334519</v>
      </c>
      <c r="C6" s="4" t="s">
        <v>2010</v>
      </c>
      <c r="D6" s="9">
        <v>900</v>
      </c>
    </row>
    <row r="7" spans="1:4" x14ac:dyDescent="0.25">
      <c r="A7" s="4" t="s">
        <v>1419</v>
      </c>
      <c r="B7" s="4">
        <v>334509</v>
      </c>
      <c r="C7" s="4" t="s">
        <v>2011</v>
      </c>
      <c r="D7" s="9">
        <v>97915</v>
      </c>
    </row>
    <row r="8" spans="1:4" x14ac:dyDescent="0.25">
      <c r="A8" s="4" t="s">
        <v>1419</v>
      </c>
      <c r="B8" s="4">
        <v>334515</v>
      </c>
      <c r="C8" s="4" t="s">
        <v>2012</v>
      </c>
      <c r="D8" s="9">
        <v>108095</v>
      </c>
    </row>
    <row r="9" spans="1:4" x14ac:dyDescent="0.25">
      <c r="A9" s="4" t="s">
        <v>1419</v>
      </c>
      <c r="B9" s="4">
        <v>334520</v>
      </c>
      <c r="C9" s="4" t="s">
        <v>2013</v>
      </c>
      <c r="D9" s="9">
        <v>119995</v>
      </c>
    </row>
    <row r="10" spans="1:4" x14ac:dyDescent="0.25">
      <c r="A10" s="4" t="s">
        <v>1419</v>
      </c>
      <c r="B10" s="4">
        <v>334497</v>
      </c>
      <c r="C10" s="4" t="s">
        <v>2014</v>
      </c>
      <c r="D10" s="9">
        <v>52560</v>
      </c>
    </row>
    <row r="11" spans="1:4" x14ac:dyDescent="0.25">
      <c r="A11" s="4" t="s">
        <v>1419</v>
      </c>
      <c r="B11" s="4">
        <v>334502</v>
      </c>
      <c r="C11" s="4" t="s">
        <v>2015</v>
      </c>
      <c r="D11" s="9">
        <v>70740</v>
      </c>
    </row>
    <row r="12" spans="1:4" x14ac:dyDescent="0.25">
      <c r="A12" s="4" t="s">
        <v>1419</v>
      </c>
      <c r="B12" s="4">
        <v>334511</v>
      </c>
      <c r="C12" s="4" t="s">
        <v>2016</v>
      </c>
      <c r="D12" s="9">
        <v>38325</v>
      </c>
    </row>
    <row r="13" spans="1:4" x14ac:dyDescent="0.25">
      <c r="A13" s="4" t="s">
        <v>1419</v>
      </c>
      <c r="B13" s="4">
        <v>334518</v>
      </c>
      <c r="C13" s="4" t="s">
        <v>2017</v>
      </c>
      <c r="D13" s="9">
        <v>23915</v>
      </c>
    </row>
    <row r="14" spans="1:4" x14ac:dyDescent="0.25">
      <c r="A14" s="4" t="s">
        <v>1419</v>
      </c>
      <c r="B14" s="4">
        <v>334522</v>
      </c>
      <c r="C14" s="4" t="s">
        <v>2018</v>
      </c>
      <c r="D14" s="9">
        <v>28990</v>
      </c>
    </row>
    <row r="15" spans="1:4" x14ac:dyDescent="0.25">
      <c r="A15" s="4" t="s">
        <v>1419</v>
      </c>
      <c r="B15" s="4">
        <v>334510</v>
      </c>
      <c r="C15" s="4" t="s">
        <v>2019</v>
      </c>
      <c r="D15" s="9">
        <v>37730</v>
      </c>
    </row>
    <row r="16" spans="1:4" x14ac:dyDescent="0.25">
      <c r="A16" s="4" t="s">
        <v>1419</v>
      </c>
      <c r="B16" s="4">
        <v>334517</v>
      </c>
      <c r="C16" s="4" t="s">
        <v>2020</v>
      </c>
      <c r="D16" s="9">
        <v>24430</v>
      </c>
    </row>
    <row r="17" spans="1:4" x14ac:dyDescent="0.25">
      <c r="A17" s="33" t="s">
        <v>1419</v>
      </c>
      <c r="B17" s="35">
        <v>334521</v>
      </c>
      <c r="C17" s="33" t="s">
        <v>2021</v>
      </c>
      <c r="D17" s="34">
        <v>44295</v>
      </c>
    </row>
    <row r="18" spans="1:4" x14ac:dyDescent="0.25">
      <c r="A18" s="4" t="s">
        <v>1419</v>
      </c>
      <c r="B18" s="4">
        <v>334505</v>
      </c>
      <c r="C18" s="4" t="s">
        <v>2022</v>
      </c>
      <c r="D18" s="9">
        <v>20120</v>
      </c>
    </row>
    <row r="19" spans="1:4" x14ac:dyDescent="0.25">
      <c r="A19" s="4" t="s">
        <v>1419</v>
      </c>
      <c r="B19" s="4">
        <v>334506</v>
      </c>
      <c r="C19" s="4" t="s">
        <v>2023</v>
      </c>
      <c r="D19" s="9">
        <v>13330</v>
      </c>
    </row>
    <row r="20" spans="1:4" x14ac:dyDescent="0.25">
      <c r="A20" s="33" t="s">
        <v>241</v>
      </c>
      <c r="B20" s="35">
        <v>326422</v>
      </c>
      <c r="C20" s="33" t="s">
        <v>2006</v>
      </c>
      <c r="D20" s="34">
        <v>1175</v>
      </c>
    </row>
    <row r="21" spans="1:4" x14ac:dyDescent="0.25">
      <c r="A21" s="4" t="s">
        <v>111</v>
      </c>
      <c r="B21" s="4">
        <v>334597</v>
      </c>
      <c r="C21" s="4" t="s">
        <v>2024</v>
      </c>
      <c r="D21" s="9">
        <v>110202</v>
      </c>
    </row>
    <row r="22" spans="1:4" x14ac:dyDescent="0.25">
      <c r="C22" s="31" t="s">
        <v>83</v>
      </c>
      <c r="D22" s="32">
        <f>SUM(D2:D21)</f>
        <v>893788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08D97-F4A7-4271-A23D-7D4425215964}">
  <dimension ref="A1:D13"/>
  <sheetViews>
    <sheetView zoomScaleNormal="100" zoomScaleSheetLayoutView="100" workbookViewId="0">
      <selection activeCell="B31" sqref="B31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500</v>
      </c>
      <c r="B2" s="4">
        <v>335080</v>
      </c>
      <c r="C2" s="4" t="s">
        <v>2025</v>
      </c>
      <c r="D2" s="9">
        <v>16657</v>
      </c>
    </row>
    <row r="3" spans="1:4" x14ac:dyDescent="0.25">
      <c r="A3" s="4" t="s">
        <v>500</v>
      </c>
      <c r="B3" s="4">
        <v>335114</v>
      </c>
      <c r="C3" s="4" t="s">
        <v>2026</v>
      </c>
      <c r="D3" s="9">
        <v>11837</v>
      </c>
    </row>
    <row r="4" spans="1:4" x14ac:dyDescent="0.25">
      <c r="A4" s="4" t="s">
        <v>500</v>
      </c>
      <c r="B4" s="4">
        <v>335058</v>
      </c>
      <c r="C4" s="4" t="s">
        <v>2027</v>
      </c>
      <c r="D4" s="9">
        <v>7372</v>
      </c>
    </row>
    <row r="5" spans="1:4" x14ac:dyDescent="0.25">
      <c r="A5" s="4" t="s">
        <v>500</v>
      </c>
      <c r="B5" s="4">
        <v>335097</v>
      </c>
      <c r="C5" s="4" t="s">
        <v>2028</v>
      </c>
      <c r="D5" s="9">
        <v>11546</v>
      </c>
    </row>
    <row r="6" spans="1:4" x14ac:dyDescent="0.25">
      <c r="A6" s="4" t="s">
        <v>500</v>
      </c>
      <c r="B6" s="4">
        <v>335138</v>
      </c>
      <c r="C6" s="4" t="s">
        <v>2029</v>
      </c>
      <c r="D6" s="9">
        <v>8506</v>
      </c>
    </row>
    <row r="7" spans="1:4" x14ac:dyDescent="0.25">
      <c r="A7" s="4" t="s">
        <v>500</v>
      </c>
      <c r="B7" s="4">
        <v>335102</v>
      </c>
      <c r="C7" s="4" t="s">
        <v>2030</v>
      </c>
      <c r="D7" s="9">
        <v>5032</v>
      </c>
    </row>
    <row r="8" spans="1:4" x14ac:dyDescent="0.25">
      <c r="A8" s="4" t="s">
        <v>500</v>
      </c>
      <c r="B8" s="4">
        <v>335150</v>
      </c>
      <c r="C8" s="4" t="s">
        <v>2031</v>
      </c>
      <c r="D8" s="9">
        <v>5600</v>
      </c>
    </row>
    <row r="9" spans="1:4" x14ac:dyDescent="0.25">
      <c r="A9" s="4" t="s">
        <v>1419</v>
      </c>
      <c r="B9" s="4">
        <v>333947</v>
      </c>
      <c r="C9" s="4" t="s">
        <v>2032</v>
      </c>
      <c r="D9" s="9">
        <v>390</v>
      </c>
    </row>
    <row r="10" spans="1:4" x14ac:dyDescent="0.25">
      <c r="A10" s="4" t="s">
        <v>1419</v>
      </c>
      <c r="B10" s="4">
        <v>333950</v>
      </c>
      <c r="C10" s="4" t="s">
        <v>2033</v>
      </c>
      <c r="D10" s="9">
        <v>1880</v>
      </c>
    </row>
    <row r="11" spans="1:4" x14ac:dyDescent="0.25">
      <c r="A11" s="4" t="s">
        <v>1419</v>
      </c>
      <c r="B11" s="4">
        <v>333777</v>
      </c>
      <c r="C11" s="4" t="s">
        <v>2034</v>
      </c>
      <c r="D11" s="9">
        <v>935</v>
      </c>
    </row>
    <row r="12" spans="1:4" x14ac:dyDescent="0.25">
      <c r="A12" s="4" t="s">
        <v>1419</v>
      </c>
      <c r="B12" s="4">
        <v>333791</v>
      </c>
      <c r="C12" s="4" t="s">
        <v>2035</v>
      </c>
      <c r="D12" s="9">
        <v>750</v>
      </c>
    </row>
    <row r="13" spans="1:4" x14ac:dyDescent="0.25">
      <c r="C13" s="31" t="s">
        <v>83</v>
      </c>
      <c r="D13" s="32">
        <f>SUM(D2:D12)</f>
        <v>70505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35E2-46DD-4BB1-962E-387B04D9BDA3}">
  <dimension ref="A1:D9"/>
  <sheetViews>
    <sheetView zoomScaleNormal="100" zoomScaleSheetLayoutView="100" workbookViewId="0">
      <selection activeCell="C20" sqref="C20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335071</v>
      </c>
      <c r="C2" s="4" t="s">
        <v>2036</v>
      </c>
      <c r="D2" s="9">
        <v>2990</v>
      </c>
    </row>
    <row r="3" spans="1:4" x14ac:dyDescent="0.25">
      <c r="A3" s="4" t="s">
        <v>500</v>
      </c>
      <c r="B3" s="4">
        <v>335570</v>
      </c>
      <c r="C3" s="4" t="s">
        <v>2037</v>
      </c>
      <c r="D3" s="9">
        <v>19279</v>
      </c>
    </row>
    <row r="4" spans="1:4" x14ac:dyDescent="0.25">
      <c r="A4" s="4" t="s">
        <v>500</v>
      </c>
      <c r="B4" s="4">
        <v>335576</v>
      </c>
      <c r="C4" s="4" t="s">
        <v>2038</v>
      </c>
      <c r="D4" s="9">
        <v>9214</v>
      </c>
    </row>
    <row r="5" spans="1:4" x14ac:dyDescent="0.25">
      <c r="A5" s="4" t="s">
        <v>500</v>
      </c>
      <c r="B5" s="4">
        <v>335584</v>
      </c>
      <c r="C5" s="4" t="s">
        <v>2039</v>
      </c>
      <c r="D5" s="9">
        <v>4395</v>
      </c>
    </row>
    <row r="6" spans="1:4" x14ac:dyDescent="0.25">
      <c r="A6" s="4" t="s">
        <v>500</v>
      </c>
      <c r="B6" s="4">
        <v>335620</v>
      </c>
      <c r="C6" s="4" t="s">
        <v>2040</v>
      </c>
      <c r="D6" s="9">
        <v>4111</v>
      </c>
    </row>
    <row r="7" spans="1:4" x14ac:dyDescent="0.25">
      <c r="A7" s="4" t="s">
        <v>500</v>
      </c>
      <c r="B7" s="4">
        <v>335595</v>
      </c>
      <c r="C7" s="4" t="s">
        <v>2041</v>
      </c>
      <c r="D7" s="9">
        <v>7088</v>
      </c>
    </row>
    <row r="8" spans="1:4" x14ac:dyDescent="0.25">
      <c r="A8" s="4" t="s">
        <v>315</v>
      </c>
      <c r="B8" s="4">
        <v>333171</v>
      </c>
      <c r="C8" s="4" t="s">
        <v>2042</v>
      </c>
      <c r="D8" s="9">
        <v>3675</v>
      </c>
    </row>
    <row r="9" spans="1:4" x14ac:dyDescent="0.25">
      <c r="C9" s="31" t="s">
        <v>83</v>
      </c>
      <c r="D9" s="32">
        <f>SUM(D2:D8)</f>
        <v>50752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6443-3B59-459E-890A-AFCDAC2F0422}">
  <dimension ref="A1:D11"/>
  <sheetViews>
    <sheetView zoomScaleNormal="100" zoomScaleSheetLayoutView="100" workbookViewId="0">
      <selection activeCell="A22" sqref="A22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500</v>
      </c>
      <c r="B2" s="4">
        <v>336308</v>
      </c>
      <c r="C2" s="4" t="s">
        <v>2043</v>
      </c>
      <c r="D2" s="9">
        <v>7797</v>
      </c>
    </row>
    <row r="3" spans="1:4" x14ac:dyDescent="0.25">
      <c r="A3" s="4" t="s">
        <v>500</v>
      </c>
      <c r="B3" s="4">
        <v>336189</v>
      </c>
      <c r="C3" s="4" t="s">
        <v>2044</v>
      </c>
      <c r="D3" s="9">
        <v>2056</v>
      </c>
    </row>
    <row r="4" spans="1:4" x14ac:dyDescent="0.25">
      <c r="A4" s="4" t="s">
        <v>500</v>
      </c>
      <c r="B4" s="4">
        <v>336326</v>
      </c>
      <c r="C4" s="4" t="s">
        <v>2045</v>
      </c>
      <c r="D4" s="9">
        <v>5741</v>
      </c>
    </row>
    <row r="5" spans="1:4" x14ac:dyDescent="0.25">
      <c r="A5" s="4" t="s">
        <v>500</v>
      </c>
      <c r="B5" s="4">
        <v>336205</v>
      </c>
      <c r="C5" s="4" t="s">
        <v>2046</v>
      </c>
      <c r="D5" s="9">
        <v>4040</v>
      </c>
    </row>
    <row r="6" spans="1:4" x14ac:dyDescent="0.25">
      <c r="A6" s="4" t="s">
        <v>500</v>
      </c>
      <c r="B6" s="4">
        <v>336340</v>
      </c>
      <c r="C6" s="4" t="s">
        <v>2047</v>
      </c>
      <c r="D6" s="9">
        <v>8293</v>
      </c>
    </row>
    <row r="7" spans="1:4" x14ac:dyDescent="0.25">
      <c r="A7" s="4" t="s">
        <v>500</v>
      </c>
      <c r="B7" s="4">
        <v>336223</v>
      </c>
      <c r="C7" s="4" t="s">
        <v>2048</v>
      </c>
      <c r="D7" s="9">
        <v>992</v>
      </c>
    </row>
    <row r="8" spans="1:4" x14ac:dyDescent="0.25">
      <c r="A8" s="4" t="s">
        <v>500</v>
      </c>
      <c r="B8" s="4">
        <v>336456</v>
      </c>
      <c r="C8" s="4" t="s">
        <v>2049</v>
      </c>
      <c r="D8" s="9">
        <v>13892</v>
      </c>
    </row>
    <row r="9" spans="1:4" x14ac:dyDescent="0.25">
      <c r="A9" s="4" t="s">
        <v>500</v>
      </c>
      <c r="B9" s="4">
        <v>336228</v>
      </c>
      <c r="C9" s="4" t="s">
        <v>2050</v>
      </c>
      <c r="D9" s="9">
        <v>142</v>
      </c>
    </row>
    <row r="10" spans="1:4" x14ac:dyDescent="0.25">
      <c r="A10" s="4" t="s">
        <v>81</v>
      </c>
      <c r="B10" s="4">
        <v>336532</v>
      </c>
      <c r="C10" s="4" t="s">
        <v>2051</v>
      </c>
      <c r="D10" s="9">
        <v>2593</v>
      </c>
    </row>
    <row r="11" spans="1:4" x14ac:dyDescent="0.25">
      <c r="C11" s="31" t="s">
        <v>83</v>
      </c>
      <c r="D11" s="32">
        <f>SUM(D2:D10)</f>
        <v>45546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9F1B-A892-48DE-AE4B-4F010C90A2DE}">
  <dimension ref="A1:D7"/>
  <sheetViews>
    <sheetView zoomScaleNormal="100" zoomScaleSheetLayoutView="100" workbookViewId="0">
      <selection activeCell="C21" sqref="C21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680</v>
      </c>
      <c r="B2" s="4">
        <v>337307</v>
      </c>
      <c r="C2" s="4" t="s">
        <v>2052</v>
      </c>
      <c r="D2" s="9">
        <v>1548</v>
      </c>
    </row>
    <row r="3" spans="1:4" x14ac:dyDescent="0.25">
      <c r="A3" s="4" t="s">
        <v>167</v>
      </c>
      <c r="B3" s="4">
        <v>336703</v>
      </c>
      <c r="C3" s="4" t="s">
        <v>2053</v>
      </c>
      <c r="D3" s="9">
        <v>325</v>
      </c>
    </row>
    <row r="4" spans="1:4" x14ac:dyDescent="0.25">
      <c r="A4" s="4" t="s">
        <v>167</v>
      </c>
      <c r="B4" s="4">
        <v>336697</v>
      </c>
      <c r="C4" s="4" t="s">
        <v>2054</v>
      </c>
      <c r="D4" s="9">
        <v>97</v>
      </c>
    </row>
    <row r="5" spans="1:4" x14ac:dyDescent="0.25">
      <c r="A5" s="4" t="s">
        <v>269</v>
      </c>
      <c r="B5" s="4">
        <v>337128</v>
      </c>
      <c r="C5" s="4" t="s">
        <v>2055</v>
      </c>
      <c r="D5" s="9">
        <v>1425</v>
      </c>
    </row>
    <row r="6" spans="1:4" x14ac:dyDescent="0.25">
      <c r="A6" s="4" t="s">
        <v>1180</v>
      </c>
      <c r="B6" s="4">
        <v>335998</v>
      </c>
      <c r="C6" s="4" t="s">
        <v>2056</v>
      </c>
      <c r="D6" s="9">
        <v>5670</v>
      </c>
    </row>
    <row r="7" spans="1:4" x14ac:dyDescent="0.25">
      <c r="C7" s="31" t="s">
        <v>83</v>
      </c>
      <c r="D7" s="32">
        <f>SUM(D2:D6)</f>
        <v>9065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61AB-6432-4D19-9065-34F7757B5D77}">
  <dimension ref="A1:D8"/>
  <sheetViews>
    <sheetView zoomScaleNormal="100" zoomScaleSheetLayoutView="100" workbookViewId="0">
      <selection activeCell="A23" sqref="A23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680</v>
      </c>
      <c r="B2" s="4">
        <v>337307</v>
      </c>
      <c r="C2" s="4" t="s">
        <v>2052</v>
      </c>
      <c r="D2" s="9">
        <v>1548</v>
      </c>
    </row>
    <row r="3" spans="1:4" x14ac:dyDescent="0.25">
      <c r="A3" s="4" t="s">
        <v>24</v>
      </c>
      <c r="B3" s="4">
        <v>339960</v>
      </c>
      <c r="C3" s="4" t="s">
        <v>2057</v>
      </c>
      <c r="D3" s="9">
        <v>13747</v>
      </c>
    </row>
    <row r="4" spans="1:4" x14ac:dyDescent="0.25">
      <c r="A4" s="4" t="s">
        <v>167</v>
      </c>
      <c r="B4" s="4">
        <v>335384</v>
      </c>
      <c r="C4" s="4" t="s">
        <v>2058</v>
      </c>
      <c r="D4" s="9">
        <v>2417</v>
      </c>
    </row>
    <row r="5" spans="1:4" x14ac:dyDescent="0.25">
      <c r="A5" s="4" t="s">
        <v>167</v>
      </c>
      <c r="B5" s="4">
        <v>336703</v>
      </c>
      <c r="C5" s="4" t="s">
        <v>2053</v>
      </c>
      <c r="D5" s="9">
        <v>325</v>
      </c>
    </row>
    <row r="6" spans="1:4" x14ac:dyDescent="0.25">
      <c r="A6" s="4" t="s">
        <v>167</v>
      </c>
      <c r="B6" s="4">
        <v>336697</v>
      </c>
      <c r="C6" s="4" t="s">
        <v>2054</v>
      </c>
      <c r="D6" s="9">
        <v>97</v>
      </c>
    </row>
    <row r="7" spans="1:4" x14ac:dyDescent="0.25">
      <c r="A7" s="4" t="s">
        <v>167</v>
      </c>
      <c r="B7" s="4">
        <v>337041</v>
      </c>
      <c r="C7" s="4" t="s">
        <v>2059</v>
      </c>
      <c r="D7" s="9">
        <v>2775</v>
      </c>
    </row>
    <row r="8" spans="1:4" x14ac:dyDescent="0.25">
      <c r="C8" s="31" t="s">
        <v>83</v>
      </c>
      <c r="D8" s="32">
        <f>SUM(D2:D7)</f>
        <v>20909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B02D-8949-448C-A0FA-09C9A3B60E22}">
  <dimension ref="A1:D18"/>
  <sheetViews>
    <sheetView zoomScaleNormal="100" zoomScaleSheetLayoutView="100" workbookViewId="0">
      <selection activeCell="C35" sqref="C35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147</v>
      </c>
      <c r="B2" s="4">
        <v>336148</v>
      </c>
      <c r="C2" s="4" t="s">
        <v>2060</v>
      </c>
      <c r="D2" s="9">
        <v>1065</v>
      </c>
    </row>
    <row r="3" spans="1:4" x14ac:dyDescent="0.25">
      <c r="A3" s="4" t="s">
        <v>680</v>
      </c>
      <c r="B3" s="4">
        <v>337307</v>
      </c>
      <c r="C3" s="4" t="s">
        <v>2052</v>
      </c>
      <c r="D3" s="9">
        <v>1548</v>
      </c>
    </row>
    <row r="4" spans="1:4" x14ac:dyDescent="0.25">
      <c r="A4" s="4" t="s">
        <v>500</v>
      </c>
      <c r="B4" s="4">
        <v>340176</v>
      </c>
      <c r="C4" s="4" t="s">
        <v>2061</v>
      </c>
      <c r="D4" s="9">
        <v>2126</v>
      </c>
    </row>
    <row r="5" spans="1:4" x14ac:dyDescent="0.25">
      <c r="A5" s="4" t="s">
        <v>24</v>
      </c>
      <c r="B5" s="4">
        <v>339983</v>
      </c>
      <c r="C5" s="4" t="s">
        <v>2062</v>
      </c>
      <c r="D5" s="9">
        <v>3385</v>
      </c>
    </row>
    <row r="6" spans="1:4" x14ac:dyDescent="0.25">
      <c r="A6" s="4" t="s">
        <v>24</v>
      </c>
      <c r="B6" s="4">
        <v>339979</v>
      </c>
      <c r="C6" s="4" t="s">
        <v>2063</v>
      </c>
      <c r="D6" s="9">
        <v>2546</v>
      </c>
    </row>
    <row r="7" spans="1:4" x14ac:dyDescent="0.25">
      <c r="A7" s="4" t="s">
        <v>24</v>
      </c>
      <c r="B7" s="4">
        <v>336711</v>
      </c>
      <c r="C7" s="4" t="s">
        <v>2064</v>
      </c>
      <c r="D7" s="9">
        <v>1840</v>
      </c>
    </row>
    <row r="8" spans="1:4" x14ac:dyDescent="0.25">
      <c r="A8" s="4" t="s">
        <v>167</v>
      </c>
      <c r="B8" s="4">
        <v>336703</v>
      </c>
      <c r="C8" s="4" t="s">
        <v>2053</v>
      </c>
      <c r="D8" s="9">
        <v>325</v>
      </c>
    </row>
    <row r="9" spans="1:4" x14ac:dyDescent="0.25">
      <c r="A9" s="4" t="s">
        <v>167</v>
      </c>
      <c r="B9" s="4">
        <v>336697</v>
      </c>
      <c r="C9" s="4" t="s">
        <v>2054</v>
      </c>
      <c r="D9" s="9">
        <v>97</v>
      </c>
    </row>
    <row r="10" spans="1:4" x14ac:dyDescent="0.25">
      <c r="A10" s="4" t="s">
        <v>180</v>
      </c>
      <c r="B10" s="4">
        <v>338381</v>
      </c>
      <c r="C10" s="4" t="s">
        <v>2065</v>
      </c>
      <c r="D10" s="9">
        <v>87345</v>
      </c>
    </row>
    <row r="11" spans="1:4" x14ac:dyDescent="0.25">
      <c r="A11" s="4" t="s">
        <v>180</v>
      </c>
      <c r="B11" s="4">
        <v>338381</v>
      </c>
      <c r="C11" s="4" t="s">
        <v>2066</v>
      </c>
      <c r="D11" s="9">
        <v>46706</v>
      </c>
    </row>
    <row r="12" spans="1:4" x14ac:dyDescent="0.25">
      <c r="A12" s="4" t="s">
        <v>180</v>
      </c>
      <c r="B12" s="4">
        <v>338381</v>
      </c>
      <c r="C12" s="4" t="s">
        <v>2067</v>
      </c>
      <c r="D12" s="9">
        <v>15735</v>
      </c>
    </row>
    <row r="13" spans="1:4" x14ac:dyDescent="0.25">
      <c r="A13" s="4" t="s">
        <v>180</v>
      </c>
      <c r="B13" s="4">
        <v>338381</v>
      </c>
      <c r="C13" s="4" t="s">
        <v>2068</v>
      </c>
      <c r="D13" s="9">
        <v>66193</v>
      </c>
    </row>
    <row r="14" spans="1:4" x14ac:dyDescent="0.25">
      <c r="A14" s="4" t="s">
        <v>180</v>
      </c>
      <c r="B14" s="4">
        <v>338381</v>
      </c>
      <c r="C14" s="4" t="s">
        <v>2069</v>
      </c>
      <c r="D14" s="9">
        <v>27507</v>
      </c>
    </row>
    <row r="15" spans="1:4" x14ac:dyDescent="0.25">
      <c r="A15" s="4" t="s">
        <v>180</v>
      </c>
      <c r="B15" s="4">
        <v>338381</v>
      </c>
      <c r="C15" s="4" t="s">
        <v>2070</v>
      </c>
      <c r="D15" s="9">
        <v>67956</v>
      </c>
    </row>
    <row r="16" spans="1:4" x14ac:dyDescent="0.25">
      <c r="A16" s="4" t="s">
        <v>315</v>
      </c>
      <c r="B16" s="4">
        <v>335910</v>
      </c>
      <c r="C16" s="4" t="s">
        <v>2071</v>
      </c>
      <c r="D16" s="9">
        <v>4050</v>
      </c>
    </row>
    <row r="17" spans="1:4" x14ac:dyDescent="0.25">
      <c r="A17" s="4" t="s">
        <v>315</v>
      </c>
      <c r="B17" s="4">
        <v>335910</v>
      </c>
      <c r="C17" s="4" t="s">
        <v>2072</v>
      </c>
      <c r="D17" s="9">
        <v>21290</v>
      </c>
    </row>
    <row r="18" spans="1:4" x14ac:dyDescent="0.25">
      <c r="C18" s="31" t="s">
        <v>83</v>
      </c>
      <c r="D18" s="32">
        <f>SUM(D2:D17)</f>
        <v>349714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60EB-7121-4722-9BC0-0FD84ABC34E7}">
  <dimension ref="A1:D6"/>
  <sheetViews>
    <sheetView zoomScaleNormal="100" zoomScaleSheetLayoutView="100" workbookViewId="0">
      <selection activeCell="A25" sqref="A25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315</v>
      </c>
      <c r="B2" s="4">
        <v>336958</v>
      </c>
      <c r="C2" s="4" t="s">
        <v>2073</v>
      </c>
      <c r="D2" s="9">
        <v>7545</v>
      </c>
    </row>
    <row r="3" spans="1:4" x14ac:dyDescent="0.25">
      <c r="A3" s="4" t="s">
        <v>315</v>
      </c>
      <c r="B3" s="4">
        <v>336958</v>
      </c>
      <c r="C3" s="4" t="s">
        <v>2074</v>
      </c>
      <c r="D3" s="9">
        <v>5570</v>
      </c>
    </row>
    <row r="4" spans="1:4" x14ac:dyDescent="0.25">
      <c r="A4" s="4" t="s">
        <v>1501</v>
      </c>
      <c r="B4" s="4">
        <v>340037</v>
      </c>
      <c r="C4" s="4" t="s">
        <v>2075</v>
      </c>
      <c r="D4" s="9">
        <v>3200</v>
      </c>
    </row>
    <row r="5" spans="1:4" x14ac:dyDescent="0.25">
      <c r="A5" s="4" t="s">
        <v>1920</v>
      </c>
      <c r="B5" s="4">
        <v>336897</v>
      </c>
      <c r="C5" s="4" t="s">
        <v>2076</v>
      </c>
      <c r="D5" s="9">
        <v>6140</v>
      </c>
    </row>
    <row r="6" spans="1:4" x14ac:dyDescent="0.25">
      <c r="C6" s="31" t="s">
        <v>83</v>
      </c>
      <c r="D6" s="32">
        <f>SUM(D2:D5)</f>
        <v>22455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C139-2346-454C-8BE7-371482891C4F}">
  <dimension ref="A1:D19"/>
  <sheetViews>
    <sheetView zoomScaleNormal="100" zoomScaleSheetLayoutView="100" workbookViewId="0">
      <selection activeCell="I11" sqref="I11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108</v>
      </c>
      <c r="B2" s="4">
        <v>340431</v>
      </c>
      <c r="C2" s="4" t="s">
        <v>2077</v>
      </c>
      <c r="D2" s="9">
        <v>6510</v>
      </c>
    </row>
    <row r="3" spans="1:4" x14ac:dyDescent="0.25">
      <c r="A3" s="4" t="s">
        <v>500</v>
      </c>
      <c r="B3" s="4">
        <v>341963</v>
      </c>
      <c r="C3" s="4" t="s">
        <v>2078</v>
      </c>
      <c r="D3" s="9">
        <v>332</v>
      </c>
    </row>
    <row r="4" spans="1:4" x14ac:dyDescent="0.25">
      <c r="A4" s="4" t="s">
        <v>111</v>
      </c>
      <c r="B4" s="4">
        <v>341953</v>
      </c>
      <c r="C4" s="4" t="s">
        <v>2079</v>
      </c>
      <c r="D4" s="9">
        <v>163</v>
      </c>
    </row>
    <row r="5" spans="1:4" x14ac:dyDescent="0.25">
      <c r="A5" s="4" t="s">
        <v>111</v>
      </c>
      <c r="B5" s="4">
        <v>341959</v>
      </c>
      <c r="C5" s="4" t="s">
        <v>2080</v>
      </c>
      <c r="D5" s="9">
        <v>817</v>
      </c>
    </row>
    <row r="6" spans="1:4" x14ac:dyDescent="0.25">
      <c r="A6" s="4" t="s">
        <v>111</v>
      </c>
      <c r="B6" s="4">
        <v>341955</v>
      </c>
      <c r="C6" s="4" t="s">
        <v>2081</v>
      </c>
      <c r="D6" s="9">
        <v>163</v>
      </c>
    </row>
    <row r="7" spans="1:4" x14ac:dyDescent="0.25">
      <c r="A7" s="4" t="s">
        <v>111</v>
      </c>
      <c r="B7" s="4">
        <v>341958</v>
      </c>
      <c r="C7" s="4" t="s">
        <v>2082</v>
      </c>
      <c r="D7" s="9">
        <v>490</v>
      </c>
    </row>
    <row r="8" spans="1:4" x14ac:dyDescent="0.25">
      <c r="A8" s="4" t="s">
        <v>111</v>
      </c>
      <c r="B8" s="4">
        <v>343039</v>
      </c>
      <c r="C8" s="4" t="s">
        <v>2083</v>
      </c>
      <c r="D8" s="9">
        <v>72</v>
      </c>
    </row>
    <row r="9" spans="1:4" x14ac:dyDescent="0.25">
      <c r="A9" s="4" t="s">
        <v>111</v>
      </c>
      <c r="B9" s="4">
        <v>340339</v>
      </c>
      <c r="C9" s="4" t="s">
        <v>2084</v>
      </c>
      <c r="D9" s="9">
        <v>223</v>
      </c>
    </row>
    <row r="10" spans="1:4" x14ac:dyDescent="0.25">
      <c r="A10" s="4" t="s">
        <v>180</v>
      </c>
      <c r="B10" s="4">
        <v>338381</v>
      </c>
      <c r="C10" s="4" t="s">
        <v>2085</v>
      </c>
      <c r="D10" s="9">
        <v>65665</v>
      </c>
    </row>
    <row r="11" spans="1:4" x14ac:dyDescent="0.25">
      <c r="A11" s="4" t="s">
        <v>180</v>
      </c>
      <c r="B11" s="4">
        <v>338381</v>
      </c>
      <c r="C11" s="4" t="s">
        <v>2086</v>
      </c>
      <c r="D11" s="9">
        <v>67843</v>
      </c>
    </row>
    <row r="12" spans="1:4" x14ac:dyDescent="0.25">
      <c r="A12" s="4" t="s">
        <v>718</v>
      </c>
      <c r="B12" s="4">
        <v>341644</v>
      </c>
      <c r="C12" s="4" t="s">
        <v>2087</v>
      </c>
      <c r="D12" s="9">
        <v>800</v>
      </c>
    </row>
    <row r="13" spans="1:4" x14ac:dyDescent="0.25">
      <c r="A13" s="4" t="s">
        <v>718</v>
      </c>
      <c r="B13" s="4">
        <v>341624</v>
      </c>
      <c r="C13" s="4" t="s">
        <v>2088</v>
      </c>
      <c r="D13" s="9">
        <v>2133</v>
      </c>
    </row>
    <row r="14" spans="1:4" ht="14.25" customHeight="1" x14ac:dyDescent="0.25">
      <c r="A14" s="4" t="s">
        <v>718</v>
      </c>
      <c r="B14" s="4">
        <v>341643</v>
      </c>
      <c r="C14" s="4" t="s">
        <v>2089</v>
      </c>
      <c r="D14" s="9">
        <v>2590</v>
      </c>
    </row>
    <row r="15" spans="1:4" x14ac:dyDescent="0.25">
      <c r="A15" s="4" t="s">
        <v>315</v>
      </c>
      <c r="B15" s="4">
        <v>336958</v>
      </c>
      <c r="C15" s="4" t="s">
        <v>2073</v>
      </c>
      <c r="D15" s="9">
        <v>7545</v>
      </c>
    </row>
    <row r="16" spans="1:4" x14ac:dyDescent="0.25">
      <c r="A16" s="4" t="s">
        <v>315</v>
      </c>
      <c r="B16" s="4">
        <v>336958</v>
      </c>
      <c r="C16" s="4" t="s">
        <v>2074</v>
      </c>
      <c r="D16" s="9">
        <v>5570</v>
      </c>
    </row>
    <row r="17" spans="1:4" x14ac:dyDescent="0.25">
      <c r="A17" s="4" t="s">
        <v>1501</v>
      </c>
      <c r="B17" s="4">
        <v>340037</v>
      </c>
      <c r="C17" s="4" t="s">
        <v>2075</v>
      </c>
      <c r="D17" s="9">
        <v>3200</v>
      </c>
    </row>
    <row r="18" spans="1:4" x14ac:dyDescent="0.25">
      <c r="A18" s="4" t="s">
        <v>1920</v>
      </c>
      <c r="B18" s="4">
        <v>336897</v>
      </c>
      <c r="C18" s="4" t="s">
        <v>2090</v>
      </c>
      <c r="D18" s="9">
        <v>6140</v>
      </c>
    </row>
    <row r="19" spans="1:4" x14ac:dyDescent="0.25">
      <c r="C19" s="31" t="s">
        <v>83</v>
      </c>
      <c r="D19" s="32">
        <f>SUM(D2:D18)</f>
        <v>170256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03EF-D3FA-4FA3-83A9-4BD562675F54}">
  <dimension ref="A1:D4"/>
  <sheetViews>
    <sheetView zoomScaleNormal="100" zoomScaleSheetLayoutView="100" workbookViewId="0">
      <selection activeCell="C26" sqref="C26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111</v>
      </c>
      <c r="B2" s="4">
        <v>345542</v>
      </c>
      <c r="C2" s="4" t="s">
        <v>2091</v>
      </c>
      <c r="D2" s="9">
        <v>39052</v>
      </c>
    </row>
    <row r="3" spans="1:4" x14ac:dyDescent="0.25">
      <c r="A3" s="4" t="s">
        <v>995</v>
      </c>
      <c r="B3" s="4">
        <v>344257</v>
      </c>
      <c r="C3" s="4" t="s">
        <v>2093</v>
      </c>
      <c r="D3" s="9">
        <v>11750</v>
      </c>
    </row>
    <row r="4" spans="1:4" x14ac:dyDescent="0.25">
      <c r="C4" s="31" t="s">
        <v>83</v>
      </c>
      <c r="D4" s="32">
        <f>SUM(D2:D3)</f>
        <v>50802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8E940-A4BB-4E94-92C0-7BFC7928BF47}">
  <dimension ref="A1:D15"/>
  <sheetViews>
    <sheetView zoomScaleNormal="100" zoomScaleSheetLayoutView="100" workbookViewId="0">
      <selection activeCell="D15" sqref="D15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7</v>
      </c>
      <c r="B2" s="4">
        <v>338471</v>
      </c>
      <c r="C2" s="4" t="s">
        <v>2094</v>
      </c>
      <c r="D2" s="9">
        <v>18889</v>
      </c>
    </row>
    <row r="3" spans="1:4" x14ac:dyDescent="0.25">
      <c r="A3" s="4" t="s">
        <v>7</v>
      </c>
      <c r="B3" s="4">
        <v>338471</v>
      </c>
      <c r="C3" s="4" t="s">
        <v>2095</v>
      </c>
      <c r="D3" s="9">
        <v>18889</v>
      </c>
    </row>
    <row r="4" spans="1:4" x14ac:dyDescent="0.25">
      <c r="A4" s="4" t="s">
        <v>9</v>
      </c>
      <c r="B4" s="4">
        <v>341843</v>
      </c>
      <c r="C4" s="4" t="s">
        <v>2096</v>
      </c>
      <c r="D4" s="9">
        <v>8035</v>
      </c>
    </row>
    <row r="5" spans="1:4" x14ac:dyDescent="0.25">
      <c r="A5" s="4" t="s">
        <v>9</v>
      </c>
      <c r="B5" s="4">
        <v>340124</v>
      </c>
      <c r="C5" s="4" t="s">
        <v>2097</v>
      </c>
      <c r="D5" s="9">
        <v>6370</v>
      </c>
    </row>
    <row r="6" spans="1:4" x14ac:dyDescent="0.25">
      <c r="A6" s="4" t="s">
        <v>9</v>
      </c>
      <c r="B6" s="4">
        <v>340121</v>
      </c>
      <c r="C6" s="4" t="s">
        <v>2098</v>
      </c>
      <c r="D6" s="9">
        <v>3785</v>
      </c>
    </row>
    <row r="7" spans="1:4" x14ac:dyDescent="0.25">
      <c r="A7" s="4" t="s">
        <v>9</v>
      </c>
      <c r="B7" s="4">
        <v>340196</v>
      </c>
      <c r="C7" s="4" t="s">
        <v>2099</v>
      </c>
      <c r="D7" s="9">
        <v>960</v>
      </c>
    </row>
    <row r="8" spans="1:4" x14ac:dyDescent="0.25">
      <c r="A8" s="4" t="s">
        <v>111</v>
      </c>
      <c r="B8" s="4">
        <v>345542</v>
      </c>
      <c r="C8" s="4" t="s">
        <v>2091</v>
      </c>
      <c r="D8" s="9">
        <v>39052</v>
      </c>
    </row>
    <row r="9" spans="1:4" x14ac:dyDescent="0.25">
      <c r="A9" s="4" t="s">
        <v>26</v>
      </c>
      <c r="B9" s="4">
        <v>336877</v>
      </c>
      <c r="C9" s="4" t="s">
        <v>2100</v>
      </c>
      <c r="D9" s="9">
        <v>6845</v>
      </c>
    </row>
    <row r="10" spans="1:4" x14ac:dyDescent="0.25">
      <c r="A10" s="4" t="s">
        <v>26</v>
      </c>
      <c r="B10" s="4">
        <v>336877</v>
      </c>
      <c r="C10" s="4" t="s">
        <v>2101</v>
      </c>
      <c r="D10" s="9">
        <v>21675</v>
      </c>
    </row>
    <row r="11" spans="1:4" x14ac:dyDescent="0.25">
      <c r="A11" s="4" t="s">
        <v>26</v>
      </c>
      <c r="B11" s="4">
        <v>336877</v>
      </c>
      <c r="C11" s="4" t="s">
        <v>2102</v>
      </c>
      <c r="D11" s="9">
        <v>6845</v>
      </c>
    </row>
    <row r="12" spans="1:4" x14ac:dyDescent="0.25">
      <c r="A12" s="4" t="s">
        <v>315</v>
      </c>
      <c r="B12" s="4">
        <v>341919</v>
      </c>
      <c r="C12" s="4" t="s">
        <v>2092</v>
      </c>
      <c r="D12" s="9">
        <v>0</v>
      </c>
    </row>
    <row r="13" spans="1:4" x14ac:dyDescent="0.25">
      <c r="A13" s="4" t="s">
        <v>995</v>
      </c>
      <c r="B13" s="4">
        <v>344257</v>
      </c>
      <c r="C13" s="4" t="s">
        <v>2093</v>
      </c>
      <c r="D13" s="9">
        <v>11750</v>
      </c>
    </row>
    <row r="14" spans="1:4" x14ac:dyDescent="0.25">
      <c r="A14" s="4" t="s">
        <v>995</v>
      </c>
      <c r="B14" s="4">
        <v>346876</v>
      </c>
      <c r="C14" s="4" t="s">
        <v>2103</v>
      </c>
      <c r="D14" s="9">
        <v>224</v>
      </c>
    </row>
    <row r="15" spans="1:4" x14ac:dyDescent="0.25">
      <c r="C15" s="31" t="s">
        <v>83</v>
      </c>
      <c r="D15" s="32">
        <f>SUM(D2:D14)</f>
        <v>143319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DAD0-5D4E-4AAE-BF1C-80A0E6F2993B}">
  <dimension ref="A1:D10"/>
  <sheetViews>
    <sheetView zoomScaleNormal="100" zoomScaleSheetLayoutView="100" workbookViewId="0">
      <selection activeCell="I21" sqref="I21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81</v>
      </c>
      <c r="B2" s="4">
        <v>349157</v>
      </c>
      <c r="C2" s="4" t="s">
        <v>2104</v>
      </c>
      <c r="D2" s="9">
        <v>6870</v>
      </c>
    </row>
    <row r="3" spans="1:4" x14ac:dyDescent="0.25">
      <c r="A3" s="4" t="s">
        <v>1252</v>
      </c>
      <c r="B3" s="4">
        <v>345548</v>
      </c>
      <c r="C3" s="4" t="s">
        <v>2105</v>
      </c>
      <c r="D3" s="9">
        <v>3960</v>
      </c>
    </row>
    <row r="4" spans="1:4" x14ac:dyDescent="0.25">
      <c r="A4" s="4" t="s">
        <v>1582</v>
      </c>
      <c r="B4" s="4">
        <v>344474</v>
      </c>
      <c r="C4" s="4" t="s">
        <v>2106</v>
      </c>
      <c r="D4" s="9">
        <v>75000</v>
      </c>
    </row>
    <row r="5" spans="1:4" x14ac:dyDescent="0.25">
      <c r="A5" s="4" t="s">
        <v>1582</v>
      </c>
      <c r="B5" s="4">
        <v>344474</v>
      </c>
      <c r="C5" s="4" t="s">
        <v>2107</v>
      </c>
      <c r="D5" s="9">
        <v>65000</v>
      </c>
    </row>
    <row r="6" spans="1:4" x14ac:dyDescent="0.25">
      <c r="A6" s="4" t="s">
        <v>1582</v>
      </c>
      <c r="B6" s="4">
        <v>344474</v>
      </c>
      <c r="C6" s="4" t="s">
        <v>2108</v>
      </c>
      <c r="D6" s="9">
        <v>35000</v>
      </c>
    </row>
    <row r="7" spans="1:4" x14ac:dyDescent="0.25">
      <c r="A7" s="4" t="s">
        <v>180</v>
      </c>
      <c r="B7" s="4">
        <v>336789</v>
      </c>
      <c r="C7" s="4" t="s">
        <v>2109</v>
      </c>
      <c r="D7" s="9">
        <v>1700</v>
      </c>
    </row>
    <row r="8" spans="1:4" x14ac:dyDescent="0.25">
      <c r="A8" s="4" t="s">
        <v>995</v>
      </c>
      <c r="B8" s="4">
        <v>349120</v>
      </c>
      <c r="C8" s="4" t="s">
        <v>2110</v>
      </c>
      <c r="D8" s="9">
        <v>75591</v>
      </c>
    </row>
    <row r="9" spans="1:4" x14ac:dyDescent="0.25">
      <c r="A9" s="4" t="s">
        <v>995</v>
      </c>
      <c r="B9" s="4">
        <v>346876</v>
      </c>
      <c r="C9" s="4" t="s">
        <v>2103</v>
      </c>
      <c r="D9" s="9">
        <v>224</v>
      </c>
    </row>
    <row r="10" spans="1:4" x14ac:dyDescent="0.25">
      <c r="C10" s="31" t="s">
        <v>83</v>
      </c>
      <c r="D10" s="32">
        <f>SUM(D2:D9)</f>
        <v>263345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37C7-FE7F-45AF-A033-4A637CBCCD8C}">
  <dimension ref="A1:D4"/>
  <sheetViews>
    <sheetView zoomScaleNormal="100" zoomScaleSheetLayoutView="100" workbookViewId="0">
      <selection activeCell="C8" sqref="C8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81</v>
      </c>
      <c r="B2" s="4">
        <v>350213</v>
      </c>
      <c r="C2" s="4" t="s">
        <v>2111</v>
      </c>
      <c r="D2" s="9">
        <v>3392</v>
      </c>
    </row>
    <row r="3" spans="1:4" x14ac:dyDescent="0.25">
      <c r="A3" s="4" t="s">
        <v>81</v>
      </c>
      <c r="B3" s="4">
        <v>350232</v>
      </c>
      <c r="C3" s="4" t="s">
        <v>2112</v>
      </c>
      <c r="D3" s="9">
        <v>4522</v>
      </c>
    </row>
    <row r="4" spans="1:4" x14ac:dyDescent="0.25">
      <c r="C4" s="31" t="s">
        <v>83</v>
      </c>
      <c r="D4" s="32">
        <f>SUM(D2:D3)</f>
        <v>7914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19D5-1079-4ADB-88FD-9589C65BB304}">
  <dimension ref="A1:D40"/>
  <sheetViews>
    <sheetView zoomScaleNormal="100" zoomScaleSheetLayoutView="100" workbookViewId="0">
      <selection activeCell="D40" sqref="D40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1967</v>
      </c>
      <c r="B2" s="4">
        <v>350755</v>
      </c>
      <c r="C2" s="4" t="s">
        <v>2113</v>
      </c>
      <c r="D2" s="9">
        <v>25760</v>
      </c>
    </row>
    <row r="3" spans="1:4" x14ac:dyDescent="0.25">
      <c r="A3" s="4" t="s">
        <v>256</v>
      </c>
      <c r="B3" s="4">
        <v>341894</v>
      </c>
      <c r="C3" s="4" t="s">
        <v>2114</v>
      </c>
      <c r="D3" s="9">
        <v>21615</v>
      </c>
    </row>
    <row r="4" spans="1:4" x14ac:dyDescent="0.25">
      <c r="A4" s="4" t="s">
        <v>500</v>
      </c>
      <c r="B4" s="4">
        <v>350987</v>
      </c>
      <c r="C4" s="4" t="s">
        <v>2115</v>
      </c>
      <c r="D4" s="9">
        <v>2565</v>
      </c>
    </row>
    <row r="5" spans="1:4" x14ac:dyDescent="0.25">
      <c r="A5" s="4" t="s">
        <v>24</v>
      </c>
      <c r="B5" s="4">
        <v>351125</v>
      </c>
      <c r="C5" s="4" t="s">
        <v>2116</v>
      </c>
      <c r="D5" s="9">
        <v>8542</v>
      </c>
    </row>
    <row r="6" spans="1:4" x14ac:dyDescent="0.25">
      <c r="A6" s="4" t="s">
        <v>715</v>
      </c>
      <c r="B6" s="4">
        <v>350718</v>
      </c>
      <c r="C6" s="4" t="s">
        <v>2117</v>
      </c>
      <c r="D6" s="9">
        <v>2023</v>
      </c>
    </row>
    <row r="7" spans="1:4" x14ac:dyDescent="0.25">
      <c r="A7" s="4" t="s">
        <v>718</v>
      </c>
      <c r="B7" s="4">
        <v>351216</v>
      </c>
      <c r="C7" s="4" t="s">
        <v>2118</v>
      </c>
      <c r="D7" s="9">
        <v>3885</v>
      </c>
    </row>
    <row r="8" spans="1:4" x14ac:dyDescent="0.25">
      <c r="A8" s="4" t="s">
        <v>718</v>
      </c>
      <c r="B8" s="4">
        <v>351190</v>
      </c>
      <c r="C8" s="4" t="s">
        <v>2119</v>
      </c>
      <c r="D8" s="9">
        <v>5600</v>
      </c>
    </row>
    <row r="9" spans="1:4" x14ac:dyDescent="0.25">
      <c r="A9" s="4" t="s">
        <v>718</v>
      </c>
      <c r="B9" s="4">
        <v>351177</v>
      </c>
      <c r="C9" s="4" t="s">
        <v>2120</v>
      </c>
      <c r="D9" s="9">
        <v>1600</v>
      </c>
    </row>
    <row r="10" spans="1:4" x14ac:dyDescent="0.25">
      <c r="A10" s="4" t="s">
        <v>315</v>
      </c>
      <c r="B10" s="4">
        <v>341919</v>
      </c>
      <c r="C10" s="4" t="s">
        <v>2092</v>
      </c>
      <c r="D10" s="9">
        <v>0</v>
      </c>
    </row>
    <row r="11" spans="1:4" x14ac:dyDescent="0.25">
      <c r="A11" s="4" t="s">
        <v>315</v>
      </c>
      <c r="B11" s="4">
        <v>350916</v>
      </c>
      <c r="C11" s="4" t="s">
        <v>2121</v>
      </c>
      <c r="D11" s="9">
        <v>2295</v>
      </c>
    </row>
    <row r="12" spans="1:4" x14ac:dyDescent="0.25">
      <c r="A12" s="4" t="s">
        <v>995</v>
      </c>
      <c r="B12" s="4">
        <v>350374</v>
      </c>
      <c r="C12" s="4" t="s">
        <v>2122</v>
      </c>
      <c r="D12" s="9">
        <v>500</v>
      </c>
    </row>
    <row r="13" spans="1:4" x14ac:dyDescent="0.25">
      <c r="A13" s="4" t="s">
        <v>443</v>
      </c>
      <c r="B13" s="4">
        <v>350825</v>
      </c>
      <c r="C13" s="4" t="s">
        <v>2123</v>
      </c>
      <c r="D13" s="9">
        <v>1150</v>
      </c>
    </row>
    <row r="14" spans="1:4" x14ac:dyDescent="0.25">
      <c r="A14" s="4" t="s">
        <v>61</v>
      </c>
      <c r="B14" s="4">
        <v>350892</v>
      </c>
      <c r="C14" s="4" t="s">
        <v>2124</v>
      </c>
      <c r="D14" s="9">
        <v>500</v>
      </c>
    </row>
    <row r="15" spans="1:4" hidden="1" x14ac:dyDescent="0.25">
      <c r="A15" s="4"/>
      <c r="B15" s="4"/>
      <c r="C15" s="4"/>
      <c r="D15" s="9"/>
    </row>
    <row r="16" spans="1:4" hidden="1" x14ac:dyDescent="0.25">
      <c r="A16" s="4"/>
      <c r="B16" s="4"/>
      <c r="C16" s="4"/>
      <c r="D16" s="9"/>
    </row>
    <row r="17" spans="1:4" hidden="1" x14ac:dyDescent="0.25">
      <c r="A17" s="4"/>
      <c r="B17" s="4"/>
      <c r="C17" s="4"/>
      <c r="D17" s="9"/>
    </row>
    <row r="18" spans="1:4" hidden="1" x14ac:dyDescent="0.25">
      <c r="A18" s="4"/>
      <c r="B18" s="4"/>
      <c r="C18" s="4"/>
      <c r="D18" s="9"/>
    </row>
    <row r="19" spans="1:4" hidden="1" x14ac:dyDescent="0.25">
      <c r="A19" s="4"/>
      <c r="B19" s="4"/>
      <c r="C19" s="4"/>
      <c r="D19" s="9"/>
    </row>
    <row r="20" spans="1:4" hidden="1" x14ac:dyDescent="0.25">
      <c r="A20" s="4"/>
      <c r="B20" s="4"/>
      <c r="C20" s="4"/>
      <c r="D20" s="9"/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x14ac:dyDescent="0.25">
      <c r="C40" s="31" t="s">
        <v>83</v>
      </c>
      <c r="D40" s="32">
        <f>SUM(D2:D39)</f>
        <v>76035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DC35-40E8-45B3-8A9D-08C3E8BE50D7}">
  <dimension ref="A1:D40"/>
  <sheetViews>
    <sheetView zoomScaleNormal="100" zoomScaleSheetLayoutView="100" workbookViewId="0">
      <selection activeCell="C48" sqref="C48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500</v>
      </c>
      <c r="B2" s="4">
        <v>350987</v>
      </c>
      <c r="C2" s="4" t="s">
        <v>2115</v>
      </c>
      <c r="D2" s="9">
        <v>2565</v>
      </c>
    </row>
    <row r="3" spans="1:4" x14ac:dyDescent="0.25">
      <c r="A3" s="4" t="s">
        <v>24</v>
      </c>
      <c r="B3" s="4">
        <v>351125</v>
      </c>
      <c r="C3" s="4" t="s">
        <v>2116</v>
      </c>
      <c r="D3" s="9">
        <v>8542</v>
      </c>
    </row>
    <row r="4" spans="1:4" x14ac:dyDescent="0.25">
      <c r="A4" s="4" t="s">
        <v>167</v>
      </c>
      <c r="B4" s="4">
        <v>351100</v>
      </c>
      <c r="C4" s="4" t="s">
        <v>2125</v>
      </c>
      <c r="D4" s="9">
        <v>752</v>
      </c>
    </row>
    <row r="5" spans="1:4" x14ac:dyDescent="0.25">
      <c r="A5" s="4" t="s">
        <v>718</v>
      </c>
      <c r="B5" s="4">
        <v>351216</v>
      </c>
      <c r="C5" s="4" t="s">
        <v>2118</v>
      </c>
      <c r="D5" s="9">
        <v>3885</v>
      </c>
    </row>
    <row r="6" spans="1:4" x14ac:dyDescent="0.25">
      <c r="A6" s="4" t="s">
        <v>718</v>
      </c>
      <c r="B6" s="4">
        <v>351190</v>
      </c>
      <c r="C6" s="4" t="s">
        <v>2119</v>
      </c>
      <c r="D6" s="9">
        <v>5600</v>
      </c>
    </row>
    <row r="7" spans="1:4" x14ac:dyDescent="0.25">
      <c r="A7" s="4" t="s">
        <v>718</v>
      </c>
      <c r="B7" s="4">
        <v>351469</v>
      </c>
      <c r="C7" s="4" t="s">
        <v>2126</v>
      </c>
      <c r="D7" s="9">
        <v>18500</v>
      </c>
    </row>
    <row r="8" spans="1:4" x14ac:dyDescent="0.25">
      <c r="A8" s="4" t="s">
        <v>718</v>
      </c>
      <c r="B8" s="4">
        <v>351471</v>
      </c>
      <c r="C8" s="4" t="s">
        <v>2127</v>
      </c>
      <c r="D8" s="9">
        <v>4255</v>
      </c>
    </row>
    <row r="9" spans="1:4" x14ac:dyDescent="0.25">
      <c r="A9" s="4" t="s">
        <v>315</v>
      </c>
      <c r="B9" s="4">
        <v>341919</v>
      </c>
      <c r="C9" s="4" t="s">
        <v>2092</v>
      </c>
      <c r="D9" s="9">
        <v>0</v>
      </c>
    </row>
    <row r="10" spans="1:4" x14ac:dyDescent="0.25">
      <c r="A10" s="4" t="s">
        <v>61</v>
      </c>
      <c r="B10" s="4">
        <v>350892</v>
      </c>
      <c r="C10" s="4" t="s">
        <v>2124</v>
      </c>
      <c r="D10" s="9">
        <v>500</v>
      </c>
    </row>
    <row r="11" spans="1:4" hidden="1" x14ac:dyDescent="0.25">
      <c r="A11" s="4"/>
      <c r="B11" s="4"/>
      <c r="C11" s="4"/>
      <c r="D11" s="9"/>
    </row>
    <row r="12" spans="1:4" hidden="1" x14ac:dyDescent="0.25">
      <c r="A12" s="4"/>
      <c r="B12" s="4"/>
      <c r="C12" s="4"/>
      <c r="D12" s="9"/>
    </row>
    <row r="13" spans="1:4" hidden="1" x14ac:dyDescent="0.25">
      <c r="A13" s="4"/>
      <c r="B13" s="4"/>
      <c r="C13" s="4"/>
      <c r="D13" s="9"/>
    </row>
    <row r="14" spans="1:4" hidden="1" x14ac:dyDescent="0.25">
      <c r="A14" s="4"/>
      <c r="B14" s="4"/>
      <c r="C14" s="4"/>
      <c r="D14" s="9"/>
    </row>
    <row r="15" spans="1:4" hidden="1" x14ac:dyDescent="0.25">
      <c r="A15" s="4"/>
      <c r="B15" s="4"/>
      <c r="C15" s="4"/>
      <c r="D15" s="9"/>
    </row>
    <row r="16" spans="1:4" hidden="1" x14ac:dyDescent="0.25">
      <c r="A16" s="4"/>
      <c r="B16" s="4"/>
      <c r="C16" s="4"/>
      <c r="D16" s="9"/>
    </row>
    <row r="17" spans="1:4" hidden="1" x14ac:dyDescent="0.25">
      <c r="A17" s="4"/>
      <c r="B17" s="4"/>
      <c r="C17" s="4"/>
      <c r="D17" s="9"/>
    </row>
    <row r="18" spans="1:4" hidden="1" x14ac:dyDescent="0.25">
      <c r="A18" s="4"/>
      <c r="B18" s="4"/>
      <c r="C18" s="4"/>
      <c r="D18" s="9"/>
    </row>
    <row r="19" spans="1:4" hidden="1" x14ac:dyDescent="0.25">
      <c r="A19" s="4"/>
      <c r="B19" s="4"/>
      <c r="C19" s="4"/>
      <c r="D19" s="9"/>
    </row>
    <row r="20" spans="1:4" hidden="1" x14ac:dyDescent="0.25">
      <c r="A20" s="4"/>
      <c r="B20" s="4"/>
      <c r="C20" s="4"/>
      <c r="D20" s="9"/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x14ac:dyDescent="0.25">
      <c r="C40" s="31" t="s">
        <v>83</v>
      </c>
      <c r="D40" s="32">
        <f>SUM(D2:D39)</f>
        <v>44599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F48D1-7A92-4852-9692-6264648787EB}">
  <dimension ref="A1:D15"/>
  <sheetViews>
    <sheetView zoomScaleNormal="100" zoomScaleSheetLayoutView="100" workbookViewId="0">
      <selection activeCell="F21" sqref="F21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351686</v>
      </c>
      <c r="C2" s="4" t="s">
        <v>2128</v>
      </c>
      <c r="D2" s="9">
        <v>638</v>
      </c>
    </row>
    <row r="3" spans="1:4" x14ac:dyDescent="0.25">
      <c r="A3" s="4" t="s">
        <v>111</v>
      </c>
      <c r="B3" s="4">
        <v>352872</v>
      </c>
      <c r="C3" s="4" t="s">
        <v>2129</v>
      </c>
      <c r="D3" s="9">
        <v>580</v>
      </c>
    </row>
    <row r="4" spans="1:4" x14ac:dyDescent="0.25">
      <c r="A4" s="4" t="s">
        <v>167</v>
      </c>
      <c r="B4" s="4">
        <v>350802</v>
      </c>
      <c r="C4" s="4" t="s">
        <v>2130</v>
      </c>
      <c r="D4" s="9">
        <v>2929</v>
      </c>
    </row>
    <row r="5" spans="1:4" x14ac:dyDescent="0.25">
      <c r="A5" s="4" t="s">
        <v>167</v>
      </c>
      <c r="B5" s="4">
        <v>350696</v>
      </c>
      <c r="C5" s="4" t="s">
        <v>2131</v>
      </c>
      <c r="D5" s="9">
        <v>1480</v>
      </c>
    </row>
    <row r="6" spans="1:4" x14ac:dyDescent="0.25">
      <c r="A6" s="4" t="s">
        <v>167</v>
      </c>
      <c r="B6" s="4">
        <v>350694</v>
      </c>
      <c r="C6" s="4" t="s">
        <v>2132</v>
      </c>
      <c r="D6" s="9">
        <v>2821</v>
      </c>
    </row>
    <row r="7" spans="1:4" x14ac:dyDescent="0.25">
      <c r="A7" s="4" t="s">
        <v>718</v>
      </c>
      <c r="B7" s="4">
        <v>353972</v>
      </c>
      <c r="C7" s="4" t="s">
        <v>2133</v>
      </c>
      <c r="D7" s="9">
        <v>16650</v>
      </c>
    </row>
    <row r="8" spans="1:4" x14ac:dyDescent="0.25">
      <c r="A8" s="4" t="s">
        <v>718</v>
      </c>
      <c r="B8" s="4">
        <v>353971</v>
      </c>
      <c r="C8" s="4" t="s">
        <v>2134</v>
      </c>
      <c r="D8" s="9">
        <v>4995</v>
      </c>
    </row>
    <row r="9" spans="1:4" x14ac:dyDescent="0.25">
      <c r="A9" s="4" t="s">
        <v>718</v>
      </c>
      <c r="B9" s="4">
        <v>353969</v>
      </c>
      <c r="C9" s="4" t="s">
        <v>2135</v>
      </c>
      <c r="D9" s="9">
        <v>1110</v>
      </c>
    </row>
    <row r="10" spans="1:4" x14ac:dyDescent="0.25">
      <c r="A10" s="4" t="s">
        <v>718</v>
      </c>
      <c r="B10" s="4">
        <v>353968</v>
      </c>
      <c r="C10" s="4" t="s">
        <v>2136</v>
      </c>
      <c r="D10" s="9">
        <v>3700</v>
      </c>
    </row>
    <row r="11" spans="1:4" x14ac:dyDescent="0.25">
      <c r="A11" s="4" t="s">
        <v>718</v>
      </c>
      <c r="B11" s="4">
        <v>353967</v>
      </c>
      <c r="C11" s="4" t="s">
        <v>2137</v>
      </c>
      <c r="D11" s="9">
        <v>3145</v>
      </c>
    </row>
    <row r="12" spans="1:4" x14ac:dyDescent="0.25">
      <c r="A12" s="4" t="s">
        <v>718</v>
      </c>
      <c r="B12" s="4">
        <v>353966</v>
      </c>
      <c r="C12" s="4" t="s">
        <v>2138</v>
      </c>
      <c r="D12" s="9">
        <v>2405</v>
      </c>
    </row>
    <row r="13" spans="1:4" x14ac:dyDescent="0.25">
      <c r="A13" s="4" t="s">
        <v>718</v>
      </c>
      <c r="B13" s="4">
        <v>353965</v>
      </c>
      <c r="C13" s="4" t="s">
        <v>2139</v>
      </c>
      <c r="D13" s="9">
        <v>25900</v>
      </c>
    </row>
    <row r="14" spans="1:4" x14ac:dyDescent="0.25">
      <c r="A14" s="4" t="s">
        <v>1093</v>
      </c>
      <c r="B14" s="4">
        <v>340041</v>
      </c>
      <c r="C14" s="4" t="s">
        <v>2140</v>
      </c>
      <c r="D14" s="9">
        <v>29420</v>
      </c>
    </row>
    <row r="15" spans="1:4" x14ac:dyDescent="0.25">
      <c r="C15" s="31" t="s">
        <v>83</v>
      </c>
      <c r="D15" s="32">
        <f>SUM(D2:D14)</f>
        <v>95773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1C5D-09CC-441C-9160-8783A6CA9106}">
  <dimension ref="A1:D40"/>
  <sheetViews>
    <sheetView zoomScaleNormal="100" zoomScaleSheetLayoutView="100" workbookViewId="0">
      <selection activeCell="C53" sqref="C53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500</v>
      </c>
      <c r="B2" s="4">
        <v>355210</v>
      </c>
      <c r="C2" s="4" t="s">
        <v>2141</v>
      </c>
      <c r="D2" s="9">
        <v>1464</v>
      </c>
    </row>
    <row r="3" spans="1:4" x14ac:dyDescent="0.25">
      <c r="A3" s="4" t="s">
        <v>1093</v>
      </c>
      <c r="B3" s="4">
        <v>340041</v>
      </c>
      <c r="C3" s="4" t="s">
        <v>2140</v>
      </c>
      <c r="D3" s="9">
        <v>29420</v>
      </c>
    </row>
    <row r="4" spans="1:4" x14ac:dyDescent="0.25">
      <c r="A4" s="4" t="s">
        <v>34</v>
      </c>
      <c r="B4" s="4">
        <v>353939</v>
      </c>
      <c r="C4" s="4" t="s">
        <v>2142</v>
      </c>
      <c r="D4" s="9">
        <v>1575</v>
      </c>
    </row>
    <row r="5" spans="1:4" x14ac:dyDescent="0.25">
      <c r="A5" s="4" t="s">
        <v>1920</v>
      </c>
      <c r="B5" s="4">
        <v>355164</v>
      </c>
      <c r="C5" s="4" t="s">
        <v>2143</v>
      </c>
      <c r="D5" s="9">
        <v>2050</v>
      </c>
    </row>
    <row r="6" spans="1:4" hidden="1" x14ac:dyDescent="0.25">
      <c r="A6" s="4"/>
      <c r="B6" s="4"/>
      <c r="C6" s="4"/>
      <c r="D6" s="9"/>
    </row>
    <row r="7" spans="1:4" hidden="1" x14ac:dyDescent="0.25">
      <c r="A7" s="4"/>
      <c r="B7" s="4"/>
      <c r="C7" s="4"/>
      <c r="D7" s="9"/>
    </row>
    <row r="8" spans="1:4" hidden="1" x14ac:dyDescent="0.25">
      <c r="A8" s="4"/>
      <c r="B8" s="4"/>
      <c r="C8" s="4"/>
      <c r="D8" s="9"/>
    </row>
    <row r="9" spans="1:4" hidden="1" x14ac:dyDescent="0.25">
      <c r="A9" s="4"/>
      <c r="B9" s="4"/>
      <c r="C9" s="4"/>
      <c r="D9" s="9"/>
    </row>
    <row r="10" spans="1:4" hidden="1" x14ac:dyDescent="0.25">
      <c r="A10" s="4"/>
      <c r="B10" s="4"/>
      <c r="C10" s="4"/>
      <c r="D10" s="9"/>
    </row>
    <row r="11" spans="1:4" hidden="1" x14ac:dyDescent="0.25">
      <c r="A11" s="4"/>
      <c r="B11" s="4"/>
      <c r="C11" s="4"/>
      <c r="D11" s="9"/>
    </row>
    <row r="12" spans="1:4" hidden="1" x14ac:dyDescent="0.25">
      <c r="A12" s="4"/>
      <c r="B12" s="4"/>
      <c r="C12" s="4"/>
      <c r="D12" s="9"/>
    </row>
    <row r="13" spans="1:4" hidden="1" x14ac:dyDescent="0.25">
      <c r="A13" s="4"/>
      <c r="B13" s="4"/>
      <c r="C13" s="4"/>
      <c r="D13" s="9"/>
    </row>
    <row r="14" spans="1:4" hidden="1" x14ac:dyDescent="0.25">
      <c r="A14" s="4"/>
      <c r="B14" s="4"/>
      <c r="C14" s="4"/>
      <c r="D14" s="9"/>
    </row>
    <row r="15" spans="1:4" hidden="1" x14ac:dyDescent="0.25">
      <c r="A15" s="4"/>
      <c r="B15" s="4"/>
      <c r="C15" s="4"/>
      <c r="D15" s="9"/>
    </row>
    <row r="16" spans="1:4" hidden="1" x14ac:dyDescent="0.25">
      <c r="A16" s="4"/>
      <c r="B16" s="4"/>
      <c r="C16" s="4"/>
      <c r="D16" s="9"/>
    </row>
    <row r="17" spans="1:4" hidden="1" x14ac:dyDescent="0.25">
      <c r="A17" s="4"/>
      <c r="B17" s="4"/>
      <c r="C17" s="4"/>
      <c r="D17" s="9"/>
    </row>
    <row r="18" spans="1:4" hidden="1" x14ac:dyDescent="0.25">
      <c r="A18" s="4"/>
      <c r="B18" s="4"/>
      <c r="C18" s="4"/>
      <c r="D18" s="9"/>
    </row>
    <row r="19" spans="1:4" hidden="1" x14ac:dyDescent="0.25">
      <c r="A19" s="4"/>
      <c r="B19" s="4"/>
      <c r="C19" s="4"/>
      <c r="D19" s="9"/>
    </row>
    <row r="20" spans="1:4" hidden="1" x14ac:dyDescent="0.25">
      <c r="A20" s="4"/>
      <c r="B20" s="4"/>
      <c r="C20" s="4"/>
      <c r="D20" s="9"/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x14ac:dyDescent="0.25">
      <c r="C40" s="31" t="s">
        <v>83</v>
      </c>
      <c r="D40" s="32">
        <f>SUM(D2:D39)</f>
        <v>34509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445E-15FF-4FF5-9550-ECC6E29738BA}">
  <dimension ref="A1:D33"/>
  <sheetViews>
    <sheetView zoomScaleNormal="100" zoomScaleSheetLayoutView="100" workbookViewId="0">
      <selection activeCell="G11" sqref="G11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108</v>
      </c>
      <c r="B2" s="4">
        <v>355419</v>
      </c>
      <c r="C2" s="4" t="s">
        <v>2144</v>
      </c>
      <c r="D2" s="9">
        <v>2095</v>
      </c>
    </row>
    <row r="3" spans="1:4" x14ac:dyDescent="0.25">
      <c r="A3" s="4" t="s">
        <v>108</v>
      </c>
      <c r="B3" s="4">
        <v>355403</v>
      </c>
      <c r="C3" s="4" t="s">
        <v>2145</v>
      </c>
      <c r="D3" s="9">
        <v>6026</v>
      </c>
    </row>
    <row r="4" spans="1:4" x14ac:dyDescent="0.25">
      <c r="A4" s="4" t="s">
        <v>108</v>
      </c>
      <c r="B4" s="4">
        <v>356513</v>
      </c>
      <c r="C4" s="4" t="s">
        <v>2147</v>
      </c>
      <c r="D4" s="9">
        <v>1200</v>
      </c>
    </row>
    <row r="5" spans="1:4" x14ac:dyDescent="0.25">
      <c r="A5" s="4" t="s">
        <v>500</v>
      </c>
      <c r="B5" s="4">
        <v>356173</v>
      </c>
      <c r="C5" s="4" t="s">
        <v>2148</v>
      </c>
      <c r="D5" s="9">
        <v>992</v>
      </c>
    </row>
    <row r="6" spans="1:4" x14ac:dyDescent="0.25">
      <c r="A6" s="4" t="s">
        <v>500</v>
      </c>
      <c r="B6" s="4">
        <v>356171</v>
      </c>
      <c r="C6" s="4" t="s">
        <v>2149</v>
      </c>
      <c r="D6" s="9">
        <v>1134</v>
      </c>
    </row>
    <row r="7" spans="1:4" x14ac:dyDescent="0.25">
      <c r="A7" s="4" t="s">
        <v>500</v>
      </c>
      <c r="B7" s="4">
        <v>356174</v>
      </c>
      <c r="C7" s="4" t="s">
        <v>2150</v>
      </c>
      <c r="D7" s="9">
        <v>1630</v>
      </c>
    </row>
    <row r="8" spans="1:4" x14ac:dyDescent="0.25">
      <c r="A8" s="4" t="s">
        <v>500</v>
      </c>
      <c r="B8" s="4">
        <v>356170</v>
      </c>
      <c r="C8" s="4" t="s">
        <v>2151</v>
      </c>
      <c r="D8" s="9">
        <v>567</v>
      </c>
    </row>
    <row r="9" spans="1:4" x14ac:dyDescent="0.25">
      <c r="A9" s="4" t="s">
        <v>500</v>
      </c>
      <c r="B9" s="4">
        <v>355878</v>
      </c>
      <c r="C9" s="4" t="s">
        <v>2146</v>
      </c>
      <c r="D9" s="9">
        <v>732</v>
      </c>
    </row>
    <row r="10" spans="1:4" x14ac:dyDescent="0.25">
      <c r="A10" s="4" t="s">
        <v>24</v>
      </c>
      <c r="B10" s="4">
        <v>356200</v>
      </c>
      <c r="C10" s="4" t="s">
        <v>2152</v>
      </c>
      <c r="D10" s="9">
        <v>2189</v>
      </c>
    </row>
    <row r="11" spans="1:4" x14ac:dyDescent="0.25">
      <c r="A11" s="4" t="s">
        <v>111</v>
      </c>
      <c r="B11" s="4">
        <v>356094</v>
      </c>
      <c r="C11" s="4" t="s">
        <v>2153</v>
      </c>
      <c r="D11" s="9">
        <v>72</v>
      </c>
    </row>
    <row r="12" spans="1:4" x14ac:dyDescent="0.25">
      <c r="A12" s="4" t="s">
        <v>111</v>
      </c>
      <c r="B12" s="4">
        <v>356532</v>
      </c>
      <c r="C12" s="4" t="s">
        <v>2154</v>
      </c>
      <c r="D12" s="9">
        <v>1947</v>
      </c>
    </row>
    <row r="13" spans="1:4" x14ac:dyDescent="0.25">
      <c r="A13" s="4" t="s">
        <v>111</v>
      </c>
      <c r="B13" s="4">
        <v>356093</v>
      </c>
      <c r="C13" s="4" t="s">
        <v>2155</v>
      </c>
      <c r="D13" s="9">
        <v>490</v>
      </c>
    </row>
    <row r="14" spans="1:4" x14ac:dyDescent="0.25">
      <c r="A14" s="4" t="s">
        <v>111</v>
      </c>
      <c r="B14" s="4">
        <v>356581</v>
      </c>
      <c r="C14" s="4" t="s">
        <v>2156</v>
      </c>
      <c r="D14" s="9">
        <v>72</v>
      </c>
    </row>
    <row r="15" spans="1:4" x14ac:dyDescent="0.25">
      <c r="A15" s="4" t="s">
        <v>111</v>
      </c>
      <c r="B15" s="4">
        <v>356092</v>
      </c>
      <c r="C15" s="4" t="s">
        <v>2157</v>
      </c>
      <c r="D15" s="9">
        <v>431</v>
      </c>
    </row>
    <row r="16" spans="1:4" x14ac:dyDescent="0.25">
      <c r="A16" s="4" t="s">
        <v>111</v>
      </c>
      <c r="B16" s="4">
        <v>356176</v>
      </c>
      <c r="C16" s="4" t="s">
        <v>2158</v>
      </c>
      <c r="D16" s="9">
        <v>9510</v>
      </c>
    </row>
    <row r="17" spans="1:4" x14ac:dyDescent="0.25">
      <c r="A17" s="4" t="s">
        <v>167</v>
      </c>
      <c r="B17" s="4">
        <v>353910</v>
      </c>
      <c r="C17" s="4" t="s">
        <v>2159</v>
      </c>
      <c r="D17" s="9">
        <v>18190</v>
      </c>
    </row>
    <row r="18" spans="1:4" x14ac:dyDescent="0.25">
      <c r="A18" s="4" t="s">
        <v>2160</v>
      </c>
      <c r="B18" s="4">
        <v>356413</v>
      </c>
      <c r="C18" s="4" t="s">
        <v>2161</v>
      </c>
      <c r="D18" s="9">
        <v>0</v>
      </c>
    </row>
    <row r="19" spans="1:4" x14ac:dyDescent="0.25">
      <c r="A19" s="4" t="s">
        <v>175</v>
      </c>
      <c r="B19" s="4">
        <v>355976</v>
      </c>
      <c r="C19" s="4" t="s">
        <v>2162</v>
      </c>
      <c r="D19" s="9">
        <v>1190</v>
      </c>
    </row>
    <row r="20" spans="1:4" x14ac:dyDescent="0.25">
      <c r="A20" s="4" t="s">
        <v>26</v>
      </c>
      <c r="B20" s="4">
        <v>342994</v>
      </c>
      <c r="C20" s="4" t="s">
        <v>2163</v>
      </c>
      <c r="D20" s="9">
        <v>740</v>
      </c>
    </row>
    <row r="21" spans="1:4" x14ac:dyDescent="0.25">
      <c r="A21" s="4" t="s">
        <v>1419</v>
      </c>
      <c r="B21" s="4">
        <v>353900</v>
      </c>
      <c r="C21" s="4" t="s">
        <v>2164</v>
      </c>
      <c r="D21" s="9">
        <v>6820</v>
      </c>
    </row>
    <row r="22" spans="1:4" x14ac:dyDescent="0.25">
      <c r="A22" s="4" t="s">
        <v>1582</v>
      </c>
      <c r="B22" s="4">
        <v>348057</v>
      </c>
      <c r="C22" s="4" t="s">
        <v>2165</v>
      </c>
      <c r="D22" s="9">
        <v>407</v>
      </c>
    </row>
    <row r="23" spans="1:4" x14ac:dyDescent="0.25">
      <c r="A23" s="4" t="s">
        <v>718</v>
      </c>
      <c r="B23" s="4">
        <v>356380</v>
      </c>
      <c r="C23" s="4" t="s">
        <v>2166</v>
      </c>
      <c r="D23" s="9">
        <v>24790</v>
      </c>
    </row>
    <row r="24" spans="1:4" x14ac:dyDescent="0.25">
      <c r="A24" s="4" t="s">
        <v>1093</v>
      </c>
      <c r="B24" s="4">
        <v>340041</v>
      </c>
      <c r="C24" s="4" t="s">
        <v>2140</v>
      </c>
      <c r="D24" s="9">
        <v>29420</v>
      </c>
    </row>
    <row r="25" spans="1:4" x14ac:dyDescent="0.25">
      <c r="A25" s="4" t="s">
        <v>315</v>
      </c>
      <c r="B25" s="4">
        <v>350743</v>
      </c>
      <c r="C25" s="4" t="s">
        <v>2167</v>
      </c>
      <c r="D25" s="9">
        <v>1895</v>
      </c>
    </row>
    <row r="26" spans="1:4" x14ac:dyDescent="0.25">
      <c r="A26" s="4" t="s">
        <v>832</v>
      </c>
      <c r="B26" s="4">
        <v>344279</v>
      </c>
      <c r="C26" s="4" t="s">
        <v>2168</v>
      </c>
      <c r="D26" s="9">
        <v>938</v>
      </c>
    </row>
    <row r="27" spans="1:4" x14ac:dyDescent="0.25">
      <c r="A27" s="4" t="s">
        <v>832</v>
      </c>
      <c r="B27" s="4">
        <v>354089</v>
      </c>
      <c r="C27" s="4" t="s">
        <v>2169</v>
      </c>
      <c r="D27" s="9">
        <v>2980</v>
      </c>
    </row>
    <row r="28" spans="1:4" x14ac:dyDescent="0.25">
      <c r="A28" s="4" t="s">
        <v>832</v>
      </c>
      <c r="B28" s="4">
        <v>344369</v>
      </c>
      <c r="C28" s="4" t="s">
        <v>2170</v>
      </c>
      <c r="D28" s="9">
        <v>3975</v>
      </c>
    </row>
    <row r="29" spans="1:4" x14ac:dyDescent="0.25">
      <c r="A29" s="4" t="s">
        <v>832</v>
      </c>
      <c r="B29" s="4">
        <v>351109</v>
      </c>
      <c r="C29" s="4" t="s">
        <v>2171</v>
      </c>
      <c r="D29" s="9">
        <v>1380</v>
      </c>
    </row>
    <row r="30" spans="1:4" x14ac:dyDescent="0.25">
      <c r="A30" s="4" t="s">
        <v>832</v>
      </c>
      <c r="B30" s="4">
        <v>356319</v>
      </c>
      <c r="C30" s="4" t="s">
        <v>2172</v>
      </c>
      <c r="D30" s="9">
        <v>563</v>
      </c>
    </row>
    <row r="31" spans="1:4" x14ac:dyDescent="0.25">
      <c r="A31" s="4" t="s">
        <v>52</v>
      </c>
      <c r="B31" s="4">
        <v>350776</v>
      </c>
      <c r="C31" s="4" t="s">
        <v>2173</v>
      </c>
      <c r="D31" s="9">
        <v>1290</v>
      </c>
    </row>
    <row r="32" spans="1:4" x14ac:dyDescent="0.25">
      <c r="A32" s="4" t="s">
        <v>52</v>
      </c>
      <c r="B32" s="4">
        <v>356423</v>
      </c>
      <c r="C32" s="4" t="s">
        <v>2174</v>
      </c>
      <c r="D32" s="9">
        <v>125</v>
      </c>
    </row>
    <row r="33" spans="3:4" x14ac:dyDescent="0.25">
      <c r="C33" s="31" t="s">
        <v>83</v>
      </c>
      <c r="D33" s="32">
        <f>SUM(D2:D32)</f>
        <v>123790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2CE0-DD9F-4830-81A8-57959F43C9F6}">
  <dimension ref="A1:D40"/>
  <sheetViews>
    <sheetView zoomScaleNormal="100" zoomScaleSheetLayoutView="100" workbookViewId="0">
      <selection activeCell="A53" sqref="A53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108</v>
      </c>
      <c r="B2" s="4">
        <v>355419</v>
      </c>
      <c r="C2" s="4" t="s">
        <v>2144</v>
      </c>
      <c r="D2" s="9">
        <v>2095</v>
      </c>
    </row>
    <row r="3" spans="1:4" x14ac:dyDescent="0.25">
      <c r="A3" s="4" t="s">
        <v>108</v>
      </c>
      <c r="B3" s="4">
        <v>355403</v>
      </c>
      <c r="C3" s="4" t="s">
        <v>2145</v>
      </c>
      <c r="D3" s="9">
        <v>6026</v>
      </c>
    </row>
    <row r="4" spans="1:4" x14ac:dyDescent="0.25">
      <c r="A4" s="4" t="s">
        <v>500</v>
      </c>
      <c r="B4" s="4">
        <v>356171</v>
      </c>
      <c r="C4" s="4" t="s">
        <v>2149</v>
      </c>
      <c r="D4" s="9">
        <v>1134</v>
      </c>
    </row>
    <row r="5" spans="1:4" x14ac:dyDescent="0.25">
      <c r="A5" s="4" t="s">
        <v>500</v>
      </c>
      <c r="B5" s="4">
        <v>356174</v>
      </c>
      <c r="C5" s="4" t="s">
        <v>2150</v>
      </c>
      <c r="D5" s="9">
        <v>1630</v>
      </c>
    </row>
    <row r="6" spans="1:4" x14ac:dyDescent="0.25">
      <c r="A6" s="4" t="s">
        <v>500</v>
      </c>
      <c r="B6" s="4">
        <v>356170</v>
      </c>
      <c r="C6" s="4" t="s">
        <v>2151</v>
      </c>
      <c r="D6" s="9">
        <v>567</v>
      </c>
    </row>
    <row r="7" spans="1:4" x14ac:dyDescent="0.25">
      <c r="A7" s="4" t="s">
        <v>500</v>
      </c>
      <c r="B7" s="4">
        <v>356724</v>
      </c>
      <c r="C7" s="4" t="s">
        <v>2175</v>
      </c>
      <c r="D7" s="9">
        <v>732</v>
      </c>
    </row>
    <row r="8" spans="1:4" x14ac:dyDescent="0.25">
      <c r="A8" s="4" t="s">
        <v>500</v>
      </c>
      <c r="B8" s="4">
        <v>355878</v>
      </c>
      <c r="C8" s="4" t="s">
        <v>2146</v>
      </c>
      <c r="D8" s="9">
        <v>732</v>
      </c>
    </row>
    <row r="9" spans="1:4" x14ac:dyDescent="0.25">
      <c r="A9" s="4" t="s">
        <v>500</v>
      </c>
      <c r="B9" s="4">
        <v>356663</v>
      </c>
      <c r="C9" s="4" t="s">
        <v>2176</v>
      </c>
      <c r="D9" s="9">
        <v>4391</v>
      </c>
    </row>
    <row r="10" spans="1:4" x14ac:dyDescent="0.25">
      <c r="A10" s="4" t="s">
        <v>24</v>
      </c>
      <c r="B10" s="4">
        <v>356200</v>
      </c>
      <c r="C10" s="4" t="s">
        <v>2152</v>
      </c>
      <c r="D10" s="9">
        <v>2189</v>
      </c>
    </row>
    <row r="11" spans="1:4" x14ac:dyDescent="0.25">
      <c r="A11" s="4" t="s">
        <v>111</v>
      </c>
      <c r="B11" s="4">
        <v>356938</v>
      </c>
      <c r="C11" s="4" t="s">
        <v>2177</v>
      </c>
      <c r="D11" s="9">
        <v>163</v>
      </c>
    </row>
    <row r="12" spans="1:4" x14ac:dyDescent="0.25">
      <c r="A12" s="4" t="s">
        <v>111</v>
      </c>
      <c r="B12" s="4">
        <v>356937</v>
      </c>
      <c r="C12" s="4" t="s">
        <v>2178</v>
      </c>
      <c r="D12" s="9">
        <v>654</v>
      </c>
    </row>
    <row r="13" spans="1:4" x14ac:dyDescent="0.25">
      <c r="A13" s="4" t="s">
        <v>111</v>
      </c>
      <c r="B13" s="4">
        <v>356934</v>
      </c>
      <c r="C13" s="4" t="s">
        <v>2179</v>
      </c>
      <c r="D13" s="9">
        <v>163</v>
      </c>
    </row>
    <row r="14" spans="1:4" x14ac:dyDescent="0.25">
      <c r="A14" s="4" t="s">
        <v>111</v>
      </c>
      <c r="B14" s="4">
        <v>356093</v>
      </c>
      <c r="C14" s="4" t="s">
        <v>2155</v>
      </c>
      <c r="D14" s="9">
        <v>490</v>
      </c>
    </row>
    <row r="15" spans="1:4" x14ac:dyDescent="0.25">
      <c r="A15" s="4" t="s">
        <v>111</v>
      </c>
      <c r="B15" s="4">
        <v>356581</v>
      </c>
      <c r="C15" s="4" t="s">
        <v>2156</v>
      </c>
      <c r="D15" s="9">
        <v>72</v>
      </c>
    </row>
    <row r="16" spans="1:4" x14ac:dyDescent="0.25">
      <c r="A16" s="4" t="s">
        <v>111</v>
      </c>
      <c r="B16" s="4">
        <v>356623</v>
      </c>
      <c r="C16" s="4" t="s">
        <v>2180</v>
      </c>
      <c r="D16" s="9">
        <v>287</v>
      </c>
    </row>
    <row r="17" spans="1:4" x14ac:dyDescent="0.25">
      <c r="A17" s="4" t="s">
        <v>167</v>
      </c>
      <c r="B17" s="4">
        <v>356507</v>
      </c>
      <c r="C17" s="4" t="s">
        <v>2181</v>
      </c>
      <c r="D17" s="9">
        <v>4712</v>
      </c>
    </row>
    <row r="18" spans="1:4" x14ac:dyDescent="0.25">
      <c r="A18" s="4" t="s">
        <v>26</v>
      </c>
      <c r="B18" s="4">
        <v>342994</v>
      </c>
      <c r="C18" s="4" t="s">
        <v>2163</v>
      </c>
      <c r="D18" s="9">
        <v>740</v>
      </c>
    </row>
    <row r="19" spans="1:4" x14ac:dyDescent="0.25">
      <c r="A19" s="4" t="s">
        <v>1093</v>
      </c>
      <c r="B19" s="4">
        <v>340041</v>
      </c>
      <c r="C19" s="4" t="s">
        <v>2140</v>
      </c>
      <c r="D19" s="9">
        <v>29420</v>
      </c>
    </row>
    <row r="20" spans="1:4" x14ac:dyDescent="0.25">
      <c r="A20" s="4" t="s">
        <v>315</v>
      </c>
      <c r="B20" s="4">
        <v>350743</v>
      </c>
      <c r="C20" s="4" t="s">
        <v>2167</v>
      </c>
      <c r="D20" s="9">
        <v>1895</v>
      </c>
    </row>
    <row r="21" spans="1:4" x14ac:dyDescent="0.25">
      <c r="A21" s="4" t="s">
        <v>832</v>
      </c>
      <c r="B21" s="4">
        <v>351678</v>
      </c>
      <c r="C21" s="4" t="s">
        <v>2182</v>
      </c>
      <c r="D21" s="9">
        <v>3275</v>
      </c>
    </row>
    <row r="22" spans="1:4" x14ac:dyDescent="0.25">
      <c r="A22" s="4" t="s">
        <v>995</v>
      </c>
      <c r="B22" s="4">
        <v>356606</v>
      </c>
      <c r="C22" s="4" t="s">
        <v>2183</v>
      </c>
      <c r="D22" s="9">
        <v>535</v>
      </c>
    </row>
    <row r="23" spans="1:4" x14ac:dyDescent="0.25">
      <c r="A23" s="4" t="s">
        <v>52</v>
      </c>
      <c r="B23" s="4">
        <v>356423</v>
      </c>
      <c r="C23" s="4" t="s">
        <v>2174</v>
      </c>
      <c r="D23" s="9">
        <v>125</v>
      </c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x14ac:dyDescent="0.25">
      <c r="C40" s="31" t="s">
        <v>83</v>
      </c>
      <c r="D40" s="32">
        <f>SUM(D2:D39)</f>
        <v>62027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D5BF-9621-419A-BA68-8619332D23CB}">
  <dimension ref="A1:D40"/>
  <sheetViews>
    <sheetView zoomScaleNormal="100" zoomScaleSheetLayoutView="100" workbookViewId="0">
      <selection activeCell="C49" sqref="C49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108</v>
      </c>
      <c r="B2" s="4">
        <v>355419</v>
      </c>
      <c r="C2" s="4" t="s">
        <v>2144</v>
      </c>
      <c r="D2" s="9">
        <v>2095</v>
      </c>
    </row>
    <row r="3" spans="1:4" x14ac:dyDescent="0.25">
      <c r="A3" s="4" t="s">
        <v>108</v>
      </c>
      <c r="B3" s="4">
        <v>355403</v>
      </c>
      <c r="C3" s="4" t="s">
        <v>2145</v>
      </c>
      <c r="D3" s="9">
        <v>6026</v>
      </c>
    </row>
    <row r="4" spans="1:4" x14ac:dyDescent="0.25">
      <c r="A4" s="4" t="s">
        <v>500</v>
      </c>
      <c r="B4" s="4">
        <v>356171</v>
      </c>
      <c r="C4" s="4" t="s">
        <v>2149</v>
      </c>
      <c r="D4" s="9">
        <v>1134</v>
      </c>
    </row>
    <row r="5" spans="1:4" x14ac:dyDescent="0.25">
      <c r="A5" s="4" t="s">
        <v>500</v>
      </c>
      <c r="B5" s="4">
        <v>356174</v>
      </c>
      <c r="C5" s="4" t="s">
        <v>2150</v>
      </c>
      <c r="D5" s="9">
        <v>1630</v>
      </c>
    </row>
    <row r="6" spans="1:4" x14ac:dyDescent="0.25">
      <c r="A6" s="4" t="s">
        <v>500</v>
      </c>
      <c r="B6" s="4">
        <v>356170</v>
      </c>
      <c r="C6" s="4" t="s">
        <v>2151</v>
      </c>
      <c r="D6" s="9">
        <v>567</v>
      </c>
    </row>
    <row r="7" spans="1:4" x14ac:dyDescent="0.25">
      <c r="A7" s="4" t="s">
        <v>500</v>
      </c>
      <c r="B7" s="4">
        <v>356724</v>
      </c>
      <c r="C7" s="4" t="s">
        <v>2175</v>
      </c>
      <c r="D7" s="9">
        <v>732</v>
      </c>
    </row>
    <row r="8" spans="1:4" x14ac:dyDescent="0.25">
      <c r="A8" s="4" t="s">
        <v>500</v>
      </c>
      <c r="B8" s="4">
        <v>355878</v>
      </c>
      <c r="C8" s="4" t="s">
        <v>2146</v>
      </c>
      <c r="D8" s="9">
        <v>732</v>
      </c>
    </row>
    <row r="9" spans="1:4" x14ac:dyDescent="0.25">
      <c r="A9" s="4" t="s">
        <v>500</v>
      </c>
      <c r="B9" s="4">
        <v>356663</v>
      </c>
      <c r="C9" s="4" t="s">
        <v>2176</v>
      </c>
      <c r="D9" s="9">
        <v>4391</v>
      </c>
    </row>
    <row r="10" spans="1:4" x14ac:dyDescent="0.25">
      <c r="A10" s="4" t="s">
        <v>24</v>
      </c>
      <c r="B10" s="4">
        <v>356200</v>
      </c>
      <c r="C10" s="4" t="s">
        <v>2152</v>
      </c>
      <c r="D10" s="9">
        <v>2189</v>
      </c>
    </row>
    <row r="11" spans="1:4" x14ac:dyDescent="0.25">
      <c r="A11" s="4" t="s">
        <v>111</v>
      </c>
      <c r="B11" s="4">
        <v>356938</v>
      </c>
      <c r="C11" s="4" t="s">
        <v>2177</v>
      </c>
      <c r="D11" s="9">
        <v>163</v>
      </c>
    </row>
    <row r="12" spans="1:4" x14ac:dyDescent="0.25">
      <c r="A12" s="4" t="s">
        <v>111</v>
      </c>
      <c r="B12" s="4">
        <v>356937</v>
      </c>
      <c r="C12" s="4" t="s">
        <v>2178</v>
      </c>
      <c r="D12" s="9">
        <v>654</v>
      </c>
    </row>
    <row r="13" spans="1:4" x14ac:dyDescent="0.25">
      <c r="A13" s="4" t="s">
        <v>111</v>
      </c>
      <c r="B13" s="4">
        <v>356934</v>
      </c>
      <c r="C13" s="4" t="s">
        <v>2179</v>
      </c>
      <c r="D13" s="9">
        <v>163</v>
      </c>
    </row>
    <row r="14" spans="1:4" x14ac:dyDescent="0.25">
      <c r="A14" s="4" t="s">
        <v>111</v>
      </c>
      <c r="B14" s="4">
        <v>356093</v>
      </c>
      <c r="C14" s="4" t="s">
        <v>2155</v>
      </c>
      <c r="D14" s="9">
        <v>490</v>
      </c>
    </row>
    <row r="15" spans="1:4" x14ac:dyDescent="0.25">
      <c r="A15" s="4" t="s">
        <v>111</v>
      </c>
      <c r="B15" s="4">
        <v>356581</v>
      </c>
      <c r="C15" s="4" t="s">
        <v>2156</v>
      </c>
      <c r="D15" s="9">
        <v>72</v>
      </c>
    </row>
    <row r="16" spans="1:4" x14ac:dyDescent="0.25">
      <c r="A16" s="4" t="s">
        <v>111</v>
      </c>
      <c r="B16" s="4">
        <v>356623</v>
      </c>
      <c r="C16" s="4" t="s">
        <v>2180</v>
      </c>
      <c r="D16" s="9">
        <v>287</v>
      </c>
    </row>
    <row r="17" spans="1:4" x14ac:dyDescent="0.25">
      <c r="A17" s="4" t="s">
        <v>167</v>
      </c>
      <c r="B17" s="4">
        <v>356507</v>
      </c>
      <c r="C17" s="4" t="s">
        <v>2181</v>
      </c>
      <c r="D17" s="9">
        <v>4712</v>
      </c>
    </row>
    <row r="18" spans="1:4" x14ac:dyDescent="0.25">
      <c r="A18" s="4" t="s">
        <v>26</v>
      </c>
      <c r="B18" s="4">
        <v>342994</v>
      </c>
      <c r="C18" s="4" t="s">
        <v>2163</v>
      </c>
      <c r="D18" s="9">
        <v>740</v>
      </c>
    </row>
    <row r="19" spans="1:4" x14ac:dyDescent="0.25">
      <c r="A19" s="4" t="s">
        <v>1093</v>
      </c>
      <c r="B19" s="4">
        <v>340041</v>
      </c>
      <c r="C19" s="4" t="s">
        <v>2140</v>
      </c>
      <c r="D19" s="9">
        <v>29420</v>
      </c>
    </row>
    <row r="20" spans="1:4" x14ac:dyDescent="0.25">
      <c r="A20" s="4" t="s">
        <v>315</v>
      </c>
      <c r="B20" s="4">
        <v>350743</v>
      </c>
      <c r="C20" s="4" t="s">
        <v>2167</v>
      </c>
      <c r="D20" s="9">
        <v>1895</v>
      </c>
    </row>
    <row r="21" spans="1:4" x14ac:dyDescent="0.25">
      <c r="A21" s="4" t="s">
        <v>832</v>
      </c>
      <c r="B21" s="4">
        <v>351678</v>
      </c>
      <c r="C21" s="4" t="s">
        <v>2182</v>
      </c>
      <c r="D21" s="9">
        <v>3275</v>
      </c>
    </row>
    <row r="22" spans="1:4" x14ac:dyDescent="0.25">
      <c r="A22" s="4" t="s">
        <v>995</v>
      </c>
      <c r="B22" s="4">
        <v>356606</v>
      </c>
      <c r="C22" s="4" t="s">
        <v>2183</v>
      </c>
      <c r="D22" s="9">
        <v>535</v>
      </c>
    </row>
    <row r="23" spans="1:4" x14ac:dyDescent="0.25">
      <c r="A23" s="4" t="s">
        <v>52</v>
      </c>
      <c r="B23" s="4">
        <v>356423</v>
      </c>
      <c r="C23" s="4" t="s">
        <v>2174</v>
      </c>
      <c r="D23" s="9">
        <v>125</v>
      </c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x14ac:dyDescent="0.25">
      <c r="C40" s="31" t="s">
        <v>83</v>
      </c>
      <c r="D40" s="32">
        <f>SUM(D2:D39)</f>
        <v>62027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9067-9EBC-4202-9A9C-802170206EC0}">
  <dimension ref="A1:D40"/>
  <sheetViews>
    <sheetView zoomScaleNormal="100" zoomScaleSheetLayoutView="100" workbookViewId="0">
      <selection activeCell="A50" sqref="A50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356580</v>
      </c>
      <c r="C2" s="4" t="s">
        <v>2184</v>
      </c>
      <c r="D2" s="9">
        <v>2020</v>
      </c>
    </row>
    <row r="3" spans="1:4" x14ac:dyDescent="0.25">
      <c r="A3" s="4" t="s">
        <v>7</v>
      </c>
      <c r="B3" s="4">
        <v>350421</v>
      </c>
      <c r="C3" s="4" t="s">
        <v>2185</v>
      </c>
      <c r="D3" s="9">
        <v>995</v>
      </c>
    </row>
    <row r="4" spans="1:4" x14ac:dyDescent="0.25">
      <c r="A4" s="4" t="s">
        <v>98</v>
      </c>
      <c r="B4" s="4">
        <v>356885</v>
      </c>
      <c r="C4" s="4" t="s">
        <v>2186</v>
      </c>
      <c r="D4" s="9">
        <v>100</v>
      </c>
    </row>
    <row r="5" spans="1:4" x14ac:dyDescent="0.25">
      <c r="A5" s="4" t="s">
        <v>147</v>
      </c>
      <c r="B5" s="4">
        <v>336526</v>
      </c>
      <c r="C5" s="4" t="s">
        <v>2187</v>
      </c>
      <c r="D5" s="9">
        <v>4423</v>
      </c>
    </row>
    <row r="6" spans="1:4" x14ac:dyDescent="0.25">
      <c r="A6" s="4" t="s">
        <v>147</v>
      </c>
      <c r="B6" s="4">
        <v>336526</v>
      </c>
      <c r="C6" s="4" t="s">
        <v>2188</v>
      </c>
      <c r="D6" s="9">
        <v>9135</v>
      </c>
    </row>
    <row r="7" spans="1:4" x14ac:dyDescent="0.25">
      <c r="A7" s="4" t="s">
        <v>147</v>
      </c>
      <c r="B7" s="4">
        <v>336526</v>
      </c>
      <c r="C7" s="4" t="s">
        <v>2189</v>
      </c>
      <c r="D7" s="9">
        <v>6583</v>
      </c>
    </row>
    <row r="8" spans="1:4" x14ac:dyDescent="0.25">
      <c r="A8" s="4" t="s">
        <v>147</v>
      </c>
      <c r="B8" s="4">
        <v>336526</v>
      </c>
      <c r="C8" s="4" t="s">
        <v>2190</v>
      </c>
      <c r="D8" s="9">
        <v>1215</v>
      </c>
    </row>
    <row r="9" spans="1:4" x14ac:dyDescent="0.25">
      <c r="A9" s="4" t="s">
        <v>147</v>
      </c>
      <c r="B9" s="4">
        <v>336526</v>
      </c>
      <c r="C9" s="4" t="s">
        <v>2191</v>
      </c>
      <c r="D9" s="9">
        <v>4423</v>
      </c>
    </row>
    <row r="10" spans="1:4" x14ac:dyDescent="0.25">
      <c r="A10" s="4" t="s">
        <v>147</v>
      </c>
      <c r="B10" s="4">
        <v>336526</v>
      </c>
      <c r="C10" s="4" t="s">
        <v>2192</v>
      </c>
      <c r="D10" s="9">
        <v>8965</v>
      </c>
    </row>
    <row r="11" spans="1:4" x14ac:dyDescent="0.25">
      <c r="A11" s="4" t="s">
        <v>500</v>
      </c>
      <c r="B11" s="4">
        <v>357581</v>
      </c>
      <c r="C11" s="4" t="s">
        <v>2193</v>
      </c>
      <c r="D11" s="9">
        <v>101</v>
      </c>
    </row>
    <row r="12" spans="1:4" x14ac:dyDescent="0.25">
      <c r="A12" s="4" t="s">
        <v>111</v>
      </c>
      <c r="B12" s="4">
        <v>357411</v>
      </c>
      <c r="C12" s="4" t="s">
        <v>2194</v>
      </c>
      <c r="D12" s="9">
        <v>35307</v>
      </c>
    </row>
    <row r="13" spans="1:4" x14ac:dyDescent="0.25">
      <c r="A13" s="4" t="s">
        <v>26</v>
      </c>
      <c r="B13" s="4">
        <v>342994</v>
      </c>
      <c r="C13" s="4" t="s">
        <v>2195</v>
      </c>
      <c r="D13" s="9">
        <v>740</v>
      </c>
    </row>
    <row r="14" spans="1:4" x14ac:dyDescent="0.25">
      <c r="A14" s="4" t="s">
        <v>718</v>
      </c>
      <c r="B14" s="4">
        <v>356878</v>
      </c>
      <c r="C14" s="4" t="s">
        <v>2196</v>
      </c>
      <c r="D14" s="9">
        <v>22755</v>
      </c>
    </row>
    <row r="15" spans="1:4" x14ac:dyDescent="0.25">
      <c r="A15" s="4" t="s">
        <v>718</v>
      </c>
      <c r="B15" s="4">
        <v>357408</v>
      </c>
      <c r="C15" s="4" t="s">
        <v>2197</v>
      </c>
      <c r="D15" s="9">
        <v>800</v>
      </c>
    </row>
    <row r="16" spans="1:4" x14ac:dyDescent="0.25">
      <c r="A16" s="4" t="s">
        <v>1093</v>
      </c>
      <c r="B16" s="4">
        <v>340041</v>
      </c>
      <c r="C16" s="4" t="s">
        <v>2140</v>
      </c>
      <c r="D16" s="9">
        <v>29420</v>
      </c>
    </row>
    <row r="17" spans="1:4" x14ac:dyDescent="0.25">
      <c r="A17" s="4" t="s">
        <v>315</v>
      </c>
      <c r="B17" s="4">
        <v>357049</v>
      </c>
      <c r="C17" s="4" t="s">
        <v>2198</v>
      </c>
      <c r="D17" s="9">
        <v>185</v>
      </c>
    </row>
    <row r="18" spans="1:4" x14ac:dyDescent="0.25">
      <c r="A18" s="4" t="s">
        <v>995</v>
      </c>
      <c r="B18" s="4">
        <v>356606</v>
      </c>
      <c r="C18" s="4" t="s">
        <v>2183</v>
      </c>
      <c r="D18" s="9">
        <v>535</v>
      </c>
    </row>
    <row r="19" spans="1:4" x14ac:dyDescent="0.25">
      <c r="A19" s="4" t="s">
        <v>995</v>
      </c>
      <c r="B19" s="4">
        <v>344119</v>
      </c>
      <c r="C19" s="4" t="s">
        <v>2199</v>
      </c>
      <c r="D19" s="9">
        <v>650</v>
      </c>
    </row>
    <row r="20" spans="1:4" x14ac:dyDescent="0.25">
      <c r="A20" s="4" t="s">
        <v>52</v>
      </c>
      <c r="B20" s="4">
        <v>356423</v>
      </c>
      <c r="C20" s="4" t="s">
        <v>2174</v>
      </c>
      <c r="D20" s="9">
        <v>125</v>
      </c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x14ac:dyDescent="0.25">
      <c r="C40" s="31" t="s">
        <v>83</v>
      </c>
      <c r="D40" s="32">
        <f>SUM(D2:D39)</f>
        <v>128477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D8C6-E286-46C4-93A2-1D395B0B192D}">
  <dimension ref="A1:D40"/>
  <sheetViews>
    <sheetView zoomScaleNormal="100" zoomScaleSheetLayoutView="100" workbookViewId="0">
      <selection activeCell="B64" sqref="B64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356580</v>
      </c>
      <c r="C2" s="4" t="s">
        <v>2184</v>
      </c>
      <c r="D2" s="9">
        <v>2020</v>
      </c>
    </row>
    <row r="3" spans="1:4" x14ac:dyDescent="0.25">
      <c r="A3" s="4" t="s">
        <v>98</v>
      </c>
      <c r="B3" s="4">
        <v>356885</v>
      </c>
      <c r="C3" s="4" t="s">
        <v>2186</v>
      </c>
      <c r="D3" s="9">
        <v>100</v>
      </c>
    </row>
    <row r="4" spans="1:4" x14ac:dyDescent="0.25">
      <c r="A4" s="4" t="s">
        <v>2200</v>
      </c>
      <c r="B4" s="4">
        <v>357763</v>
      </c>
      <c r="C4" s="4" t="s">
        <v>2201</v>
      </c>
      <c r="D4" s="9">
        <v>3590</v>
      </c>
    </row>
    <row r="5" spans="1:4" x14ac:dyDescent="0.25">
      <c r="A5" s="4" t="s">
        <v>2200</v>
      </c>
      <c r="B5" s="4">
        <v>357268</v>
      </c>
      <c r="C5" s="4" t="s">
        <v>2202</v>
      </c>
      <c r="D5" s="9">
        <v>2354</v>
      </c>
    </row>
    <row r="6" spans="1:4" x14ac:dyDescent="0.25">
      <c r="A6" s="4" t="s">
        <v>2200</v>
      </c>
      <c r="B6" s="4">
        <v>357770</v>
      </c>
      <c r="C6" s="4" t="s">
        <v>2203</v>
      </c>
      <c r="D6" s="9">
        <v>1995</v>
      </c>
    </row>
    <row r="7" spans="1:4" x14ac:dyDescent="0.25">
      <c r="A7" s="4" t="s">
        <v>2200</v>
      </c>
      <c r="B7" s="4">
        <v>357271</v>
      </c>
      <c r="C7" s="4" t="s">
        <v>2204</v>
      </c>
      <c r="D7" s="9">
        <v>969</v>
      </c>
    </row>
    <row r="8" spans="1:4" x14ac:dyDescent="0.25">
      <c r="A8" s="4" t="s">
        <v>2200</v>
      </c>
      <c r="B8" s="4">
        <v>357286</v>
      </c>
      <c r="C8" s="4" t="s">
        <v>2205</v>
      </c>
      <c r="D8" s="9">
        <v>7658</v>
      </c>
    </row>
    <row r="9" spans="1:4" x14ac:dyDescent="0.25">
      <c r="A9" s="4" t="s">
        <v>2200</v>
      </c>
      <c r="B9" s="4">
        <v>357301</v>
      </c>
      <c r="C9" s="4" t="s">
        <v>2206</v>
      </c>
      <c r="D9" s="9">
        <v>2760</v>
      </c>
    </row>
    <row r="10" spans="1:4" x14ac:dyDescent="0.25">
      <c r="A10" s="4" t="s">
        <v>2200</v>
      </c>
      <c r="B10" s="4">
        <v>357306</v>
      </c>
      <c r="C10" s="4" t="s">
        <v>2207</v>
      </c>
      <c r="D10" s="9">
        <v>2190</v>
      </c>
    </row>
    <row r="11" spans="1:4" x14ac:dyDescent="0.25">
      <c r="A11" s="4" t="s">
        <v>2200</v>
      </c>
      <c r="B11" s="4">
        <v>357344</v>
      </c>
      <c r="C11" s="4" t="s">
        <v>2208</v>
      </c>
      <c r="D11" s="9">
        <v>2805</v>
      </c>
    </row>
    <row r="12" spans="1:4" x14ac:dyDescent="0.25">
      <c r="A12" s="4" t="s">
        <v>2200</v>
      </c>
      <c r="B12" s="4">
        <v>357349</v>
      </c>
      <c r="C12" s="4" t="s">
        <v>2209</v>
      </c>
      <c r="D12" s="9">
        <v>3968</v>
      </c>
    </row>
    <row r="13" spans="1:4" x14ac:dyDescent="0.25">
      <c r="A13" s="4" t="s">
        <v>2200</v>
      </c>
      <c r="B13" s="4">
        <v>357774</v>
      </c>
      <c r="C13" s="4" t="s">
        <v>2210</v>
      </c>
      <c r="D13" s="9">
        <v>15670</v>
      </c>
    </row>
    <row r="14" spans="1:4" x14ac:dyDescent="0.25">
      <c r="A14" s="4" t="s">
        <v>2200</v>
      </c>
      <c r="B14" s="4">
        <v>357357</v>
      </c>
      <c r="C14" s="4" t="s">
        <v>2211</v>
      </c>
      <c r="D14" s="9">
        <v>12937</v>
      </c>
    </row>
    <row r="15" spans="1:4" x14ac:dyDescent="0.25">
      <c r="A15" s="4" t="s">
        <v>2200</v>
      </c>
      <c r="B15" s="4">
        <v>357369</v>
      </c>
      <c r="C15" s="4" t="s">
        <v>2212</v>
      </c>
      <c r="D15" s="9">
        <v>15887</v>
      </c>
    </row>
    <row r="16" spans="1:4" x14ac:dyDescent="0.25">
      <c r="A16" s="4" t="s">
        <v>26</v>
      </c>
      <c r="B16" s="4">
        <v>342994</v>
      </c>
      <c r="C16" s="4" t="s">
        <v>2195</v>
      </c>
      <c r="D16" s="9">
        <v>740</v>
      </c>
    </row>
    <row r="17" spans="1:4" x14ac:dyDescent="0.25">
      <c r="A17" s="4" t="s">
        <v>718</v>
      </c>
      <c r="B17" s="4">
        <v>356878</v>
      </c>
      <c r="C17" s="4" t="s">
        <v>2196</v>
      </c>
      <c r="D17" s="9">
        <v>22755</v>
      </c>
    </row>
    <row r="18" spans="1:4" x14ac:dyDescent="0.25">
      <c r="A18" s="4" t="s">
        <v>1093</v>
      </c>
      <c r="B18" s="4">
        <v>340041</v>
      </c>
      <c r="C18" s="4" t="s">
        <v>2140</v>
      </c>
      <c r="D18" s="9">
        <v>29420</v>
      </c>
    </row>
    <row r="19" spans="1:4" x14ac:dyDescent="0.25">
      <c r="A19" s="4" t="s">
        <v>995</v>
      </c>
      <c r="B19" s="4">
        <v>356606</v>
      </c>
      <c r="C19" s="4" t="s">
        <v>2183</v>
      </c>
      <c r="D19" s="9">
        <v>535</v>
      </c>
    </row>
    <row r="20" spans="1:4" x14ac:dyDescent="0.25">
      <c r="A20" s="4" t="s">
        <v>52</v>
      </c>
      <c r="B20" s="4">
        <v>356423</v>
      </c>
      <c r="C20" s="4" t="s">
        <v>2174</v>
      </c>
      <c r="D20" s="9">
        <v>125</v>
      </c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x14ac:dyDescent="0.25">
      <c r="C40" s="31" t="s">
        <v>83</v>
      </c>
      <c r="D40" s="32">
        <f>SUM(D2:D39)</f>
        <v>128478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8E8C-DB0A-4EA4-ABDD-B83C0805FC5A}">
  <dimension ref="A1:D40"/>
  <sheetViews>
    <sheetView zoomScaleNormal="100" zoomScaleSheetLayoutView="100" workbookViewId="0">
      <selection activeCell="B54" sqref="B54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356580</v>
      </c>
      <c r="C2" s="4" t="s">
        <v>2184</v>
      </c>
      <c r="D2" s="9">
        <v>2020</v>
      </c>
    </row>
    <row r="3" spans="1:4" x14ac:dyDescent="0.25">
      <c r="A3" s="4" t="s">
        <v>111</v>
      </c>
      <c r="B3" s="4">
        <v>358362</v>
      </c>
      <c r="C3" s="4" t="s">
        <v>2213</v>
      </c>
      <c r="D3" s="9">
        <v>327</v>
      </c>
    </row>
    <row r="4" spans="1:4" x14ac:dyDescent="0.25">
      <c r="A4" s="4" t="s">
        <v>111</v>
      </c>
      <c r="B4" s="4">
        <v>358365</v>
      </c>
      <c r="C4" s="4" t="s">
        <v>2214</v>
      </c>
      <c r="D4" s="9">
        <v>1961</v>
      </c>
    </row>
    <row r="5" spans="1:4" x14ac:dyDescent="0.25">
      <c r="A5" s="4" t="s">
        <v>81</v>
      </c>
      <c r="B5" s="4">
        <v>358134</v>
      </c>
      <c r="C5" s="4" t="s">
        <v>2215</v>
      </c>
      <c r="D5" s="9">
        <v>41890</v>
      </c>
    </row>
    <row r="6" spans="1:4" x14ac:dyDescent="0.25">
      <c r="A6" s="4" t="s">
        <v>2200</v>
      </c>
      <c r="B6" s="4">
        <v>357763</v>
      </c>
      <c r="C6" s="4" t="s">
        <v>2201</v>
      </c>
      <c r="D6" s="9">
        <v>3590</v>
      </c>
    </row>
    <row r="7" spans="1:4" x14ac:dyDescent="0.25">
      <c r="A7" s="4" t="s">
        <v>2200</v>
      </c>
      <c r="B7" s="4">
        <v>357268</v>
      </c>
      <c r="C7" s="4" t="s">
        <v>2202</v>
      </c>
      <c r="D7" s="9">
        <v>2354</v>
      </c>
    </row>
    <row r="8" spans="1:4" x14ac:dyDescent="0.25">
      <c r="A8" s="4" t="s">
        <v>2200</v>
      </c>
      <c r="B8" s="4">
        <v>357770</v>
      </c>
      <c r="C8" s="4" t="s">
        <v>2203</v>
      </c>
      <c r="D8" s="9">
        <v>1995</v>
      </c>
    </row>
    <row r="9" spans="1:4" x14ac:dyDescent="0.25">
      <c r="A9" s="4" t="s">
        <v>2200</v>
      </c>
      <c r="B9" s="4">
        <v>357271</v>
      </c>
      <c r="C9" s="4" t="s">
        <v>2204</v>
      </c>
      <c r="D9" s="9">
        <v>969</v>
      </c>
    </row>
    <row r="10" spans="1:4" x14ac:dyDescent="0.25">
      <c r="A10" s="4" t="s">
        <v>2200</v>
      </c>
      <c r="B10" s="4">
        <v>357286</v>
      </c>
      <c r="C10" s="4" t="s">
        <v>2205</v>
      </c>
      <c r="D10" s="9">
        <v>7658</v>
      </c>
    </row>
    <row r="11" spans="1:4" x14ac:dyDescent="0.25">
      <c r="A11" s="4" t="s">
        <v>2200</v>
      </c>
      <c r="B11" s="4">
        <v>357301</v>
      </c>
      <c r="C11" s="4" t="s">
        <v>2206</v>
      </c>
      <c r="D11" s="9">
        <v>2760</v>
      </c>
    </row>
    <row r="12" spans="1:4" x14ac:dyDescent="0.25">
      <c r="A12" s="4" t="s">
        <v>2200</v>
      </c>
      <c r="B12" s="4">
        <v>357306</v>
      </c>
      <c r="C12" s="4" t="s">
        <v>2207</v>
      </c>
      <c r="D12" s="9">
        <v>2190</v>
      </c>
    </row>
    <row r="13" spans="1:4" x14ac:dyDescent="0.25">
      <c r="A13" s="4" t="s">
        <v>2200</v>
      </c>
      <c r="B13" s="4">
        <v>357344</v>
      </c>
      <c r="C13" s="4" t="s">
        <v>2208</v>
      </c>
      <c r="D13" s="9">
        <v>2805</v>
      </c>
    </row>
    <row r="14" spans="1:4" x14ac:dyDescent="0.25">
      <c r="A14" s="4" t="s">
        <v>2200</v>
      </c>
      <c r="B14" s="4">
        <v>357349</v>
      </c>
      <c r="C14" s="4" t="s">
        <v>2209</v>
      </c>
      <c r="D14" s="9">
        <v>3968</v>
      </c>
    </row>
    <row r="15" spans="1:4" x14ac:dyDescent="0.25">
      <c r="A15" s="4" t="s">
        <v>2200</v>
      </c>
      <c r="B15" s="4">
        <v>357774</v>
      </c>
      <c r="C15" s="4" t="s">
        <v>2210</v>
      </c>
      <c r="D15" s="9">
        <v>15670</v>
      </c>
    </row>
    <row r="16" spans="1:4" x14ac:dyDescent="0.25">
      <c r="A16" s="4" t="s">
        <v>2200</v>
      </c>
      <c r="B16" s="4">
        <v>357357</v>
      </c>
      <c r="C16" s="4" t="s">
        <v>2211</v>
      </c>
      <c r="D16" s="9">
        <v>12937</v>
      </c>
    </row>
    <row r="17" spans="1:4" x14ac:dyDescent="0.25">
      <c r="A17" s="4" t="s">
        <v>2200</v>
      </c>
      <c r="B17" s="4">
        <v>357369</v>
      </c>
      <c r="C17" s="4" t="s">
        <v>2212</v>
      </c>
      <c r="D17" s="9">
        <v>15887</v>
      </c>
    </row>
    <row r="18" spans="1:4" x14ac:dyDescent="0.25">
      <c r="A18" s="4" t="s">
        <v>26</v>
      </c>
      <c r="B18" s="4">
        <v>342994</v>
      </c>
      <c r="C18" s="4" t="s">
        <v>2195</v>
      </c>
      <c r="D18" s="9">
        <v>740</v>
      </c>
    </row>
    <row r="19" spans="1:4" x14ac:dyDescent="0.25">
      <c r="A19" s="4" t="s">
        <v>1093</v>
      </c>
      <c r="B19" s="4">
        <v>340041</v>
      </c>
      <c r="C19" s="4" t="s">
        <v>2140</v>
      </c>
      <c r="D19" s="9">
        <v>29420</v>
      </c>
    </row>
    <row r="20" spans="1:4" x14ac:dyDescent="0.25">
      <c r="A20" s="4" t="s">
        <v>2216</v>
      </c>
      <c r="B20" s="4">
        <v>357812</v>
      </c>
      <c r="C20" s="4" t="s">
        <v>2217</v>
      </c>
      <c r="D20" s="9">
        <v>1975</v>
      </c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x14ac:dyDescent="0.25">
      <c r="C40" s="31" t="s">
        <v>83</v>
      </c>
      <c r="D40" s="32">
        <f>SUM(D2:D39)</f>
        <v>151116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7A37-B9D9-47D2-864F-C9D739208263}">
  <dimension ref="A1:D40"/>
  <sheetViews>
    <sheetView zoomScaleNormal="100" zoomScaleSheetLayoutView="100" workbookViewId="0">
      <selection activeCell="D40" sqref="D40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7</v>
      </c>
      <c r="B2" s="4">
        <v>357415</v>
      </c>
      <c r="C2" s="4" t="s">
        <v>2218</v>
      </c>
      <c r="D2" s="9">
        <v>350</v>
      </c>
    </row>
    <row r="3" spans="1:4" x14ac:dyDescent="0.25">
      <c r="A3" s="4" t="s">
        <v>7</v>
      </c>
      <c r="B3" s="4">
        <v>356006</v>
      </c>
      <c r="C3" s="4" t="s">
        <v>2219</v>
      </c>
      <c r="D3" s="9">
        <v>175</v>
      </c>
    </row>
    <row r="4" spans="1:4" x14ac:dyDescent="0.25">
      <c r="A4" s="4" t="s">
        <v>108</v>
      </c>
      <c r="B4" s="4">
        <v>358533</v>
      </c>
      <c r="C4" s="4" t="s">
        <v>2220</v>
      </c>
      <c r="D4" s="9">
        <v>18553</v>
      </c>
    </row>
    <row r="5" spans="1:4" x14ac:dyDescent="0.25">
      <c r="A5" s="4" t="s">
        <v>108</v>
      </c>
      <c r="B5" s="4">
        <v>358735</v>
      </c>
      <c r="C5" s="4" t="s">
        <v>2221</v>
      </c>
      <c r="D5" s="9">
        <v>3885</v>
      </c>
    </row>
    <row r="6" spans="1:4" x14ac:dyDescent="0.25">
      <c r="A6" s="4" t="s">
        <v>108</v>
      </c>
      <c r="B6" s="4">
        <v>358750</v>
      </c>
      <c r="C6" s="4" t="s">
        <v>2222</v>
      </c>
      <c r="D6" s="9">
        <v>7734</v>
      </c>
    </row>
    <row r="7" spans="1:4" x14ac:dyDescent="0.25">
      <c r="A7" s="4" t="s">
        <v>108</v>
      </c>
      <c r="B7" s="4">
        <v>358755</v>
      </c>
      <c r="C7" s="4" t="s">
        <v>2223</v>
      </c>
      <c r="D7" s="9">
        <v>6399</v>
      </c>
    </row>
    <row r="8" spans="1:4" x14ac:dyDescent="0.25">
      <c r="A8" s="4" t="s">
        <v>500</v>
      </c>
      <c r="B8" s="4">
        <v>358699</v>
      </c>
      <c r="C8" s="4" t="s">
        <v>2224</v>
      </c>
      <c r="D8" s="9">
        <v>732</v>
      </c>
    </row>
    <row r="9" spans="1:4" x14ac:dyDescent="0.25">
      <c r="A9" s="4" t="s">
        <v>167</v>
      </c>
      <c r="B9" s="4">
        <v>357521</v>
      </c>
      <c r="C9" s="4" t="s">
        <v>2225</v>
      </c>
      <c r="D9" s="9">
        <v>558</v>
      </c>
    </row>
    <row r="10" spans="1:4" x14ac:dyDescent="0.25">
      <c r="A10" s="4" t="s">
        <v>167</v>
      </c>
      <c r="B10" s="4">
        <v>357520</v>
      </c>
      <c r="C10" s="4" t="s">
        <v>2226</v>
      </c>
      <c r="D10" s="9">
        <v>870</v>
      </c>
    </row>
    <row r="11" spans="1:4" x14ac:dyDescent="0.25">
      <c r="A11" s="4" t="s">
        <v>81</v>
      </c>
      <c r="B11" s="4">
        <v>358134</v>
      </c>
      <c r="C11" s="4" t="s">
        <v>2215</v>
      </c>
      <c r="D11" s="9">
        <v>41890</v>
      </c>
    </row>
    <row r="12" spans="1:4" x14ac:dyDescent="0.25">
      <c r="A12" s="4" t="s">
        <v>2200</v>
      </c>
      <c r="B12" s="4">
        <v>357763</v>
      </c>
      <c r="C12" s="4" t="s">
        <v>2201</v>
      </c>
      <c r="D12" s="9">
        <v>3590</v>
      </c>
    </row>
    <row r="13" spans="1:4" x14ac:dyDescent="0.25">
      <c r="A13" s="4" t="s">
        <v>2200</v>
      </c>
      <c r="B13" s="4">
        <v>357268</v>
      </c>
      <c r="C13" s="4" t="s">
        <v>2202</v>
      </c>
      <c r="D13" s="9">
        <v>2354</v>
      </c>
    </row>
    <row r="14" spans="1:4" x14ac:dyDescent="0.25">
      <c r="A14" s="4" t="s">
        <v>2200</v>
      </c>
      <c r="B14" s="4">
        <v>357770</v>
      </c>
      <c r="C14" s="4" t="s">
        <v>2203</v>
      </c>
      <c r="D14" s="9">
        <v>1995</v>
      </c>
    </row>
    <row r="15" spans="1:4" x14ac:dyDescent="0.25">
      <c r="A15" s="4" t="s">
        <v>2200</v>
      </c>
      <c r="B15" s="4">
        <v>357271</v>
      </c>
      <c r="C15" s="4" t="s">
        <v>2204</v>
      </c>
      <c r="D15" s="9">
        <v>969</v>
      </c>
    </row>
    <row r="16" spans="1:4" x14ac:dyDescent="0.25">
      <c r="A16" s="4" t="s">
        <v>2200</v>
      </c>
      <c r="B16" s="4">
        <v>357286</v>
      </c>
      <c r="C16" s="4" t="s">
        <v>2205</v>
      </c>
      <c r="D16" s="9">
        <v>7658</v>
      </c>
    </row>
    <row r="17" spans="1:4" x14ac:dyDescent="0.25">
      <c r="A17" s="4" t="s">
        <v>2200</v>
      </c>
      <c r="B17" s="4">
        <v>357301</v>
      </c>
      <c r="C17" s="4" t="s">
        <v>2206</v>
      </c>
      <c r="D17" s="9">
        <v>2760</v>
      </c>
    </row>
    <row r="18" spans="1:4" x14ac:dyDescent="0.25">
      <c r="A18" s="4" t="s">
        <v>2200</v>
      </c>
      <c r="B18" s="4">
        <v>357306</v>
      </c>
      <c r="C18" s="4" t="s">
        <v>2207</v>
      </c>
      <c r="D18" s="9">
        <v>2190</v>
      </c>
    </row>
    <row r="19" spans="1:4" x14ac:dyDescent="0.25">
      <c r="A19" s="4" t="s">
        <v>2200</v>
      </c>
      <c r="B19" s="4">
        <v>357344</v>
      </c>
      <c r="C19" s="4" t="s">
        <v>2208</v>
      </c>
      <c r="D19" s="9">
        <v>2805</v>
      </c>
    </row>
    <row r="20" spans="1:4" x14ac:dyDescent="0.25">
      <c r="A20" s="4" t="s">
        <v>2200</v>
      </c>
      <c r="B20" s="4">
        <v>357349</v>
      </c>
      <c r="C20" s="4" t="s">
        <v>2209</v>
      </c>
      <c r="D20" s="9">
        <v>3968</v>
      </c>
    </row>
    <row r="21" spans="1:4" x14ac:dyDescent="0.25">
      <c r="A21" s="4" t="s">
        <v>2200</v>
      </c>
      <c r="B21" s="4">
        <v>357369</v>
      </c>
      <c r="C21" s="4" t="s">
        <v>2212</v>
      </c>
      <c r="D21" s="9">
        <v>15887</v>
      </c>
    </row>
    <row r="22" spans="1:4" x14ac:dyDescent="0.25">
      <c r="A22" s="4" t="s">
        <v>26</v>
      </c>
      <c r="B22" s="4">
        <v>342994</v>
      </c>
      <c r="C22" s="4" t="s">
        <v>2195</v>
      </c>
      <c r="D22" s="9">
        <v>740</v>
      </c>
    </row>
    <row r="23" spans="1:4" x14ac:dyDescent="0.25">
      <c r="A23" s="4" t="s">
        <v>2216</v>
      </c>
      <c r="B23" s="4">
        <v>357812</v>
      </c>
      <c r="C23" s="4" t="s">
        <v>2217</v>
      </c>
      <c r="D23" s="9">
        <v>1975</v>
      </c>
    </row>
    <row r="24" spans="1:4" x14ac:dyDescent="0.25">
      <c r="A24" s="4" t="s">
        <v>221</v>
      </c>
      <c r="B24" s="4">
        <v>356797</v>
      </c>
      <c r="C24" s="4" t="s">
        <v>2227</v>
      </c>
      <c r="D24" s="9">
        <v>2545</v>
      </c>
    </row>
    <row r="25" spans="1:4" x14ac:dyDescent="0.25">
      <c r="A25" s="4" t="s">
        <v>315</v>
      </c>
      <c r="B25" s="4">
        <v>358436</v>
      </c>
      <c r="C25" s="4" t="s">
        <v>2228</v>
      </c>
      <c r="D25" s="9">
        <v>995</v>
      </c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x14ac:dyDescent="0.25">
      <c r="C40" s="31" t="s">
        <v>83</v>
      </c>
      <c r="D40" s="32">
        <f>SUM(D2:D39)</f>
        <v>131577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C42C-987D-4F3D-A27D-06896C20A8C7}">
  <dimension ref="A1:D30"/>
  <sheetViews>
    <sheetView zoomScaleNormal="100" zoomScaleSheetLayoutView="100" workbookViewId="0">
      <selection activeCell="A47" sqref="A47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7</v>
      </c>
      <c r="B2" s="4">
        <v>357415</v>
      </c>
      <c r="C2" s="4" t="s">
        <v>2218</v>
      </c>
      <c r="D2" s="9">
        <v>350</v>
      </c>
    </row>
    <row r="3" spans="1:4" x14ac:dyDescent="0.25">
      <c r="A3" s="4" t="s">
        <v>7</v>
      </c>
      <c r="B3" s="4">
        <v>356006</v>
      </c>
      <c r="C3" s="4" t="s">
        <v>2219</v>
      </c>
      <c r="D3" s="9">
        <v>175</v>
      </c>
    </row>
    <row r="4" spans="1:4" x14ac:dyDescent="0.25">
      <c r="A4" s="4" t="s">
        <v>108</v>
      </c>
      <c r="B4" s="4">
        <v>358540</v>
      </c>
      <c r="C4" s="4" t="s">
        <v>2230</v>
      </c>
      <c r="D4" s="9">
        <v>13773</v>
      </c>
    </row>
    <row r="5" spans="1:4" x14ac:dyDescent="0.25">
      <c r="A5" s="4" t="s">
        <v>81</v>
      </c>
      <c r="B5" s="4">
        <v>358134</v>
      </c>
      <c r="C5" s="4" t="s">
        <v>2215</v>
      </c>
      <c r="D5" s="9">
        <v>41890</v>
      </c>
    </row>
    <row r="6" spans="1:4" x14ac:dyDescent="0.25">
      <c r="A6" s="4" t="s">
        <v>26</v>
      </c>
      <c r="B6" s="4">
        <v>342994</v>
      </c>
      <c r="C6" s="4" t="s">
        <v>2195</v>
      </c>
      <c r="D6" s="9">
        <v>740</v>
      </c>
    </row>
    <row r="7" spans="1:4" x14ac:dyDescent="0.25">
      <c r="A7" s="4" t="s">
        <v>26</v>
      </c>
      <c r="B7" s="4">
        <v>358620</v>
      </c>
      <c r="C7" s="4" t="s">
        <v>2231</v>
      </c>
      <c r="D7" s="9">
        <v>20254</v>
      </c>
    </row>
    <row r="8" spans="1:4" x14ac:dyDescent="0.25">
      <c r="A8" s="4" t="s">
        <v>26</v>
      </c>
      <c r="B8" s="4">
        <v>358620</v>
      </c>
      <c r="C8" s="4" t="s">
        <v>2232</v>
      </c>
      <c r="D8" s="9">
        <v>23120</v>
      </c>
    </row>
    <row r="9" spans="1:4" x14ac:dyDescent="0.25">
      <c r="A9" s="4" t="s">
        <v>26</v>
      </c>
      <c r="B9" s="4">
        <v>358620</v>
      </c>
      <c r="C9" s="4" t="s">
        <v>2233</v>
      </c>
      <c r="D9" s="9">
        <v>38571</v>
      </c>
    </row>
    <row r="10" spans="1:4" x14ac:dyDescent="0.25">
      <c r="A10" s="4" t="s">
        <v>26</v>
      </c>
      <c r="B10" s="4">
        <v>358620</v>
      </c>
      <c r="C10" s="4" t="s">
        <v>2234</v>
      </c>
      <c r="D10" s="9">
        <v>4211</v>
      </c>
    </row>
    <row r="11" spans="1:4" x14ac:dyDescent="0.25">
      <c r="A11" s="4" t="s">
        <v>26</v>
      </c>
      <c r="B11" s="4">
        <v>358620</v>
      </c>
      <c r="C11" s="4" t="s">
        <v>2235</v>
      </c>
      <c r="D11" s="9">
        <v>980</v>
      </c>
    </row>
    <row r="12" spans="1:4" x14ac:dyDescent="0.25">
      <c r="A12" s="4" t="s">
        <v>26</v>
      </c>
      <c r="B12" s="4">
        <v>358620</v>
      </c>
      <c r="C12" s="4" t="s">
        <v>2236</v>
      </c>
      <c r="D12" s="9">
        <v>1430</v>
      </c>
    </row>
    <row r="13" spans="1:4" x14ac:dyDescent="0.25">
      <c r="A13" s="4" t="s">
        <v>221</v>
      </c>
      <c r="B13" s="4">
        <v>356797</v>
      </c>
      <c r="C13" s="4" t="s">
        <v>2237</v>
      </c>
      <c r="D13" s="9">
        <v>350</v>
      </c>
    </row>
    <row r="14" spans="1:4" x14ac:dyDescent="0.25">
      <c r="A14" s="4" t="s">
        <v>221</v>
      </c>
      <c r="B14" s="4">
        <v>356797</v>
      </c>
      <c r="C14" s="4" t="s">
        <v>2238</v>
      </c>
      <c r="D14" s="9">
        <v>2195</v>
      </c>
    </row>
    <row r="15" spans="1:4" x14ac:dyDescent="0.25">
      <c r="A15" s="4" t="s">
        <v>315</v>
      </c>
      <c r="B15" s="4">
        <v>358436</v>
      </c>
      <c r="C15" s="4" t="s">
        <v>2228</v>
      </c>
      <c r="D15" s="9">
        <v>995</v>
      </c>
    </row>
    <row r="16" spans="1:4" x14ac:dyDescent="0.25">
      <c r="A16" s="4" t="s">
        <v>832</v>
      </c>
      <c r="B16" s="4">
        <v>350992</v>
      </c>
      <c r="C16" s="4" t="s">
        <v>2239</v>
      </c>
      <c r="D16" s="9">
        <v>10490</v>
      </c>
    </row>
    <row r="17" spans="1:4" x14ac:dyDescent="0.25">
      <c r="A17" s="4" t="s">
        <v>832</v>
      </c>
      <c r="B17" s="4">
        <v>357980</v>
      </c>
      <c r="C17" s="4" t="s">
        <v>2240</v>
      </c>
      <c r="D17" s="9">
        <v>1145</v>
      </c>
    </row>
    <row r="18" spans="1:4" x14ac:dyDescent="0.25">
      <c r="A18" s="4" t="s">
        <v>832</v>
      </c>
      <c r="B18" s="4">
        <v>358607</v>
      </c>
      <c r="C18" s="4" t="s">
        <v>2241</v>
      </c>
      <c r="D18" s="9">
        <v>390</v>
      </c>
    </row>
    <row r="19" spans="1:4" x14ac:dyDescent="0.25">
      <c r="A19" s="4" t="s">
        <v>832</v>
      </c>
      <c r="B19" s="4">
        <v>358607</v>
      </c>
      <c r="C19" s="4" t="s">
        <v>2242</v>
      </c>
      <c r="D19" s="9">
        <v>390</v>
      </c>
    </row>
    <row r="20" spans="1:4" x14ac:dyDescent="0.25">
      <c r="A20" s="4" t="s">
        <v>1387</v>
      </c>
      <c r="B20" s="4">
        <v>357569</v>
      </c>
      <c r="C20" s="4" t="s">
        <v>2243</v>
      </c>
      <c r="D20" s="9">
        <v>15459</v>
      </c>
    </row>
    <row r="21" spans="1:4" x14ac:dyDescent="0.25">
      <c r="A21" s="4" t="s">
        <v>1387</v>
      </c>
      <c r="B21" s="4">
        <v>357569</v>
      </c>
      <c r="C21" s="4" t="s">
        <v>2244</v>
      </c>
      <c r="D21" s="9">
        <v>8708</v>
      </c>
    </row>
    <row r="22" spans="1:4" x14ac:dyDescent="0.25">
      <c r="A22" s="4" t="s">
        <v>1387</v>
      </c>
      <c r="B22" s="4">
        <v>357569</v>
      </c>
      <c r="C22" s="4" t="s">
        <v>2245</v>
      </c>
      <c r="D22" s="9">
        <v>3055</v>
      </c>
    </row>
    <row r="23" spans="1:4" x14ac:dyDescent="0.25">
      <c r="A23" s="4" t="s">
        <v>1387</v>
      </c>
      <c r="B23" s="4">
        <v>357569</v>
      </c>
      <c r="C23" s="4" t="s">
        <v>2246</v>
      </c>
      <c r="D23" s="9">
        <v>14295</v>
      </c>
    </row>
    <row r="24" spans="1:4" x14ac:dyDescent="0.25">
      <c r="A24" s="4" t="s">
        <v>1387</v>
      </c>
      <c r="B24" s="4">
        <v>357569</v>
      </c>
      <c r="C24" s="4" t="s">
        <v>2247</v>
      </c>
      <c r="D24" s="9">
        <v>6265</v>
      </c>
    </row>
    <row r="25" spans="1:4" x14ac:dyDescent="0.25">
      <c r="A25" s="4" t="s">
        <v>1387</v>
      </c>
      <c r="B25" s="4">
        <v>357569</v>
      </c>
      <c r="C25" s="4" t="s">
        <v>2248</v>
      </c>
      <c r="D25" s="9">
        <v>16455</v>
      </c>
    </row>
    <row r="26" spans="1:4" x14ac:dyDescent="0.25">
      <c r="A26" s="4" t="s">
        <v>1387</v>
      </c>
      <c r="B26" s="4">
        <v>357569</v>
      </c>
      <c r="C26" s="4" t="s">
        <v>2249</v>
      </c>
      <c r="D26" s="9">
        <v>6265</v>
      </c>
    </row>
    <row r="27" spans="1:4" x14ac:dyDescent="0.25">
      <c r="A27" s="4" t="s">
        <v>1387</v>
      </c>
      <c r="B27" s="4">
        <v>341751</v>
      </c>
      <c r="C27" s="4" t="s">
        <v>2250</v>
      </c>
      <c r="D27" s="9">
        <v>695</v>
      </c>
    </row>
    <row r="28" spans="1:4" x14ac:dyDescent="0.25">
      <c r="A28" s="4" t="s">
        <v>1535</v>
      </c>
      <c r="B28" s="4">
        <v>351362</v>
      </c>
      <c r="C28" s="4" t="s">
        <v>2251</v>
      </c>
      <c r="D28" s="9">
        <v>395</v>
      </c>
    </row>
    <row r="29" spans="1:4" x14ac:dyDescent="0.25">
      <c r="A29" s="4" t="s">
        <v>332</v>
      </c>
      <c r="B29" s="4">
        <v>357731</v>
      </c>
      <c r="C29" s="4" t="s">
        <v>2229</v>
      </c>
      <c r="D29" s="9">
        <v>130</v>
      </c>
    </row>
    <row r="30" spans="1:4" x14ac:dyDescent="0.25">
      <c r="C30" s="31" t="s">
        <v>83</v>
      </c>
      <c r="D30" s="32">
        <f>SUM(D2:D29)</f>
        <v>233171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2E02-9623-48F6-AFDA-9881E3813660}">
  <dimension ref="A1:D40"/>
  <sheetViews>
    <sheetView zoomScaleNormal="100" zoomScaleSheetLayoutView="100" workbookViewId="0">
      <selection activeCell="A47" sqref="A47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2160</v>
      </c>
      <c r="B2" s="4">
        <v>359460</v>
      </c>
      <c r="C2" s="4" t="s">
        <v>2252</v>
      </c>
      <c r="D2" s="9">
        <v>10800</v>
      </c>
    </row>
    <row r="3" spans="1:4" x14ac:dyDescent="0.25">
      <c r="A3" s="4" t="s">
        <v>1582</v>
      </c>
      <c r="B3" s="4">
        <v>358248</v>
      </c>
      <c r="C3" s="4" t="s">
        <v>2253</v>
      </c>
      <c r="D3" s="9">
        <v>8836</v>
      </c>
    </row>
    <row r="4" spans="1:4" x14ac:dyDescent="0.25">
      <c r="A4" s="4" t="s">
        <v>1582</v>
      </c>
      <c r="B4" s="4">
        <v>359079</v>
      </c>
      <c r="C4" s="4" t="s">
        <v>2254</v>
      </c>
      <c r="D4" s="9">
        <v>265</v>
      </c>
    </row>
    <row r="5" spans="1:4" x14ac:dyDescent="0.25">
      <c r="A5" s="4" t="s">
        <v>1582</v>
      </c>
      <c r="B5" s="4">
        <v>359078</v>
      </c>
      <c r="C5" s="4" t="s">
        <v>2255</v>
      </c>
      <c r="D5" s="9">
        <v>14074</v>
      </c>
    </row>
    <row r="6" spans="1:4" x14ac:dyDescent="0.25">
      <c r="A6" s="4" t="s">
        <v>1582</v>
      </c>
      <c r="B6" s="4">
        <v>359076</v>
      </c>
      <c r="C6" s="4" t="s">
        <v>2256</v>
      </c>
      <c r="D6" s="9">
        <v>14459</v>
      </c>
    </row>
    <row r="7" spans="1:4" x14ac:dyDescent="0.25">
      <c r="A7" s="4" t="s">
        <v>1582</v>
      </c>
      <c r="B7" s="4">
        <v>359332</v>
      </c>
      <c r="C7" s="4" t="s">
        <v>2257</v>
      </c>
      <c r="D7" s="9">
        <v>176</v>
      </c>
    </row>
    <row r="8" spans="1:4" x14ac:dyDescent="0.25">
      <c r="A8" s="4" t="s">
        <v>1582</v>
      </c>
      <c r="B8" s="4">
        <v>359331</v>
      </c>
      <c r="C8" s="4" t="s">
        <v>2258</v>
      </c>
      <c r="D8" s="9">
        <v>8335</v>
      </c>
    </row>
    <row r="9" spans="1:4" x14ac:dyDescent="0.25">
      <c r="A9" s="4" t="s">
        <v>1582</v>
      </c>
      <c r="B9" s="4">
        <v>359230</v>
      </c>
      <c r="C9" s="4" t="s">
        <v>2259</v>
      </c>
      <c r="D9" s="9">
        <v>1847</v>
      </c>
    </row>
    <row r="10" spans="1:4" x14ac:dyDescent="0.25">
      <c r="A10" s="4" t="s">
        <v>1582</v>
      </c>
      <c r="B10" s="4">
        <v>359356</v>
      </c>
      <c r="C10" s="4" t="s">
        <v>2260</v>
      </c>
      <c r="D10" s="9">
        <v>1825</v>
      </c>
    </row>
    <row r="11" spans="1:4" x14ac:dyDescent="0.25">
      <c r="A11" s="4" t="s">
        <v>1582</v>
      </c>
      <c r="B11" s="4">
        <v>358266</v>
      </c>
      <c r="C11" s="4" t="s">
        <v>2261</v>
      </c>
      <c r="D11" s="9">
        <v>761</v>
      </c>
    </row>
    <row r="12" spans="1:4" x14ac:dyDescent="0.25">
      <c r="A12" s="4" t="s">
        <v>1582</v>
      </c>
      <c r="B12" s="4">
        <v>358264</v>
      </c>
      <c r="C12" s="4" t="s">
        <v>2262</v>
      </c>
      <c r="D12" s="9">
        <v>11609</v>
      </c>
    </row>
    <row r="13" spans="1:4" x14ac:dyDescent="0.25">
      <c r="A13" s="4" t="s">
        <v>1582</v>
      </c>
      <c r="B13" s="4">
        <v>358241</v>
      </c>
      <c r="C13" s="4" t="s">
        <v>2263</v>
      </c>
      <c r="D13" s="9">
        <v>21262</v>
      </c>
    </row>
    <row r="14" spans="1:4" x14ac:dyDescent="0.25">
      <c r="A14" s="4" t="s">
        <v>1582</v>
      </c>
      <c r="B14" s="4">
        <v>359245</v>
      </c>
      <c r="C14" s="4" t="s">
        <v>2264</v>
      </c>
      <c r="D14" s="9">
        <v>2955</v>
      </c>
    </row>
    <row r="15" spans="1:4" x14ac:dyDescent="0.25">
      <c r="A15" s="4" t="s">
        <v>1582</v>
      </c>
      <c r="B15" s="4">
        <v>359269</v>
      </c>
      <c r="C15" s="4" t="s">
        <v>2265</v>
      </c>
      <c r="D15" s="9">
        <v>1588</v>
      </c>
    </row>
    <row r="16" spans="1:4" x14ac:dyDescent="0.25">
      <c r="A16" s="4" t="s">
        <v>1582</v>
      </c>
      <c r="B16" s="4">
        <v>359239</v>
      </c>
      <c r="C16" s="4" t="s">
        <v>2266</v>
      </c>
      <c r="D16" s="9">
        <v>3352</v>
      </c>
    </row>
    <row r="17" spans="1:4" x14ac:dyDescent="0.25">
      <c r="A17" s="4" t="s">
        <v>221</v>
      </c>
      <c r="B17" s="4">
        <v>356797</v>
      </c>
      <c r="C17" s="4" t="s">
        <v>2267</v>
      </c>
      <c r="D17" s="9">
        <v>2195</v>
      </c>
    </row>
    <row r="18" spans="1:4" x14ac:dyDescent="0.25">
      <c r="A18" s="4" t="s">
        <v>221</v>
      </c>
      <c r="B18" s="4">
        <v>356722</v>
      </c>
      <c r="C18" s="4" t="s">
        <v>2268</v>
      </c>
      <c r="D18" s="9">
        <v>1330</v>
      </c>
    </row>
    <row r="19" spans="1:4" x14ac:dyDescent="0.25">
      <c r="A19" s="4" t="s">
        <v>32</v>
      </c>
      <c r="B19" s="4">
        <v>359511</v>
      </c>
      <c r="C19" s="4" t="s">
        <v>2269</v>
      </c>
      <c r="D19" s="9">
        <v>170</v>
      </c>
    </row>
    <row r="20" spans="1:4" x14ac:dyDescent="0.25">
      <c r="A20" s="4" t="s">
        <v>315</v>
      </c>
      <c r="B20" s="4">
        <v>358436</v>
      </c>
      <c r="C20" s="4" t="s">
        <v>2228</v>
      </c>
      <c r="D20" s="9">
        <v>995</v>
      </c>
    </row>
    <row r="21" spans="1:4" x14ac:dyDescent="0.25">
      <c r="A21" s="4" t="s">
        <v>832</v>
      </c>
      <c r="B21" s="4">
        <v>357980</v>
      </c>
      <c r="C21" s="4" t="s">
        <v>2240</v>
      </c>
      <c r="D21" s="9">
        <v>1145</v>
      </c>
    </row>
    <row r="22" spans="1:4" x14ac:dyDescent="0.25">
      <c r="A22" s="4" t="s">
        <v>1891</v>
      </c>
      <c r="B22" s="4">
        <v>356689</v>
      </c>
      <c r="C22" s="4" t="s">
        <v>2270</v>
      </c>
      <c r="D22" s="9">
        <v>7835</v>
      </c>
    </row>
    <row r="23" spans="1:4" x14ac:dyDescent="0.25">
      <c r="A23" s="4" t="s">
        <v>1891</v>
      </c>
      <c r="B23" s="4">
        <v>356689</v>
      </c>
      <c r="C23" s="4" t="s">
        <v>2271</v>
      </c>
      <c r="D23" s="9">
        <v>28332</v>
      </c>
    </row>
    <row r="24" spans="1:4" x14ac:dyDescent="0.25">
      <c r="A24" s="4" t="s">
        <v>1891</v>
      </c>
      <c r="B24" s="4">
        <v>351681</v>
      </c>
      <c r="C24" s="4" t="s">
        <v>2272</v>
      </c>
      <c r="D24" s="9">
        <v>1785</v>
      </c>
    </row>
    <row r="25" spans="1:4" x14ac:dyDescent="0.25">
      <c r="A25" s="4" t="s">
        <v>1891</v>
      </c>
      <c r="B25" s="4">
        <v>356689</v>
      </c>
      <c r="C25" s="4" t="s">
        <v>2273</v>
      </c>
      <c r="D25" s="9">
        <v>9755</v>
      </c>
    </row>
    <row r="26" spans="1:4" x14ac:dyDescent="0.25">
      <c r="A26" s="4" t="s">
        <v>1891</v>
      </c>
      <c r="B26" s="4">
        <v>356689</v>
      </c>
      <c r="C26" s="4" t="s">
        <v>2274</v>
      </c>
      <c r="D26" s="9">
        <v>30492</v>
      </c>
    </row>
    <row r="27" spans="1:4" x14ac:dyDescent="0.25">
      <c r="A27" s="4" t="s">
        <v>1891</v>
      </c>
      <c r="B27" s="4">
        <v>356689</v>
      </c>
      <c r="C27" s="4" t="s">
        <v>2275</v>
      </c>
      <c r="D27" s="9">
        <v>15002</v>
      </c>
    </row>
    <row r="28" spans="1:4" x14ac:dyDescent="0.25">
      <c r="A28" s="4" t="s">
        <v>1891</v>
      </c>
      <c r="B28" s="4">
        <v>356689</v>
      </c>
      <c r="C28" s="4" t="s">
        <v>2276</v>
      </c>
      <c r="D28" s="9">
        <v>29378</v>
      </c>
    </row>
    <row r="29" spans="1:4" x14ac:dyDescent="0.25">
      <c r="A29" s="4" t="s">
        <v>332</v>
      </c>
      <c r="B29" s="4">
        <v>357731</v>
      </c>
      <c r="C29" s="4" t="s">
        <v>2229</v>
      </c>
      <c r="D29" s="9">
        <v>130</v>
      </c>
    </row>
    <row r="30" spans="1:4" x14ac:dyDescent="0.25">
      <c r="A30" s="4" t="s">
        <v>315</v>
      </c>
      <c r="B30" s="4">
        <v>355815</v>
      </c>
      <c r="C30" s="4" t="s">
        <v>2277</v>
      </c>
      <c r="D30" s="9">
        <v>1160</v>
      </c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x14ac:dyDescent="0.25">
      <c r="C40" s="31" t="s">
        <v>83</v>
      </c>
      <c r="D40" s="32">
        <f>SUM(D2:D39)</f>
        <v>231848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B64E-6BCD-443F-A2FF-3D3FDF5CD46D}">
  <dimension ref="A1:D92"/>
  <sheetViews>
    <sheetView zoomScaleNormal="100" zoomScaleSheetLayoutView="100" workbookViewId="0">
      <selection activeCell="A97" sqref="A97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359928</v>
      </c>
      <c r="C2" s="4" t="s">
        <v>2278</v>
      </c>
      <c r="D2" s="9">
        <v>7490</v>
      </c>
    </row>
    <row r="3" spans="1:4" x14ac:dyDescent="0.25">
      <c r="A3" s="4" t="s">
        <v>98</v>
      </c>
      <c r="B3" s="4">
        <v>359727</v>
      </c>
      <c r="C3" s="4" t="s">
        <v>2279</v>
      </c>
      <c r="D3" s="9">
        <v>6141</v>
      </c>
    </row>
    <row r="4" spans="1:4" x14ac:dyDescent="0.25">
      <c r="A4" s="4" t="s">
        <v>98</v>
      </c>
      <c r="B4" s="4">
        <v>359928</v>
      </c>
      <c r="C4" s="4" t="s">
        <v>2280</v>
      </c>
      <c r="D4" s="9">
        <v>2779</v>
      </c>
    </row>
    <row r="5" spans="1:4" x14ac:dyDescent="0.25">
      <c r="A5" s="4" t="s">
        <v>98</v>
      </c>
      <c r="B5" s="4">
        <v>359928</v>
      </c>
      <c r="C5" s="4" t="s">
        <v>2281</v>
      </c>
      <c r="D5" s="9">
        <v>4801</v>
      </c>
    </row>
    <row r="6" spans="1:4" x14ac:dyDescent="0.25">
      <c r="A6" s="4" t="s">
        <v>98</v>
      </c>
      <c r="B6" s="4">
        <v>359928</v>
      </c>
      <c r="C6" s="4" t="s">
        <v>2282</v>
      </c>
      <c r="D6" s="9">
        <v>5210</v>
      </c>
    </row>
    <row r="7" spans="1:4" x14ac:dyDescent="0.25">
      <c r="A7" s="4" t="s">
        <v>500</v>
      </c>
      <c r="B7" s="4">
        <v>359705</v>
      </c>
      <c r="C7" s="4" t="s">
        <v>2283</v>
      </c>
      <c r="D7" s="9">
        <v>3659</v>
      </c>
    </row>
    <row r="8" spans="1:4" x14ac:dyDescent="0.25">
      <c r="A8" s="4" t="s">
        <v>167</v>
      </c>
      <c r="B8" s="4">
        <v>359933</v>
      </c>
      <c r="C8" s="4" t="s">
        <v>2284</v>
      </c>
      <c r="D8" s="9">
        <v>872</v>
      </c>
    </row>
    <row r="9" spans="1:4" x14ac:dyDescent="0.25">
      <c r="A9" s="4" t="s">
        <v>2160</v>
      </c>
      <c r="B9" s="4">
        <v>359460</v>
      </c>
      <c r="C9" s="4" t="s">
        <v>2252</v>
      </c>
      <c r="D9" s="9">
        <v>10800</v>
      </c>
    </row>
    <row r="10" spans="1:4" x14ac:dyDescent="0.25">
      <c r="A10" s="4" t="s">
        <v>1582</v>
      </c>
      <c r="B10" s="4">
        <v>358248</v>
      </c>
      <c r="C10" s="4" t="s">
        <v>2253</v>
      </c>
      <c r="D10" s="9">
        <v>8836</v>
      </c>
    </row>
    <row r="11" spans="1:4" x14ac:dyDescent="0.25">
      <c r="A11" s="4" t="s">
        <v>1582</v>
      </c>
      <c r="B11" s="4">
        <v>359079</v>
      </c>
      <c r="C11" s="4" t="s">
        <v>2254</v>
      </c>
      <c r="D11" s="9">
        <v>265</v>
      </c>
    </row>
    <row r="12" spans="1:4" x14ac:dyDescent="0.25">
      <c r="A12" s="4" t="s">
        <v>1582</v>
      </c>
      <c r="B12" s="4">
        <v>359078</v>
      </c>
      <c r="C12" s="4" t="s">
        <v>2255</v>
      </c>
      <c r="D12" s="9">
        <v>14074</v>
      </c>
    </row>
    <row r="13" spans="1:4" x14ac:dyDescent="0.25">
      <c r="A13" s="4" t="s">
        <v>1582</v>
      </c>
      <c r="B13" s="4">
        <v>359076</v>
      </c>
      <c r="C13" s="4" t="s">
        <v>2256</v>
      </c>
      <c r="D13" s="9">
        <v>14459</v>
      </c>
    </row>
    <row r="14" spans="1:4" x14ac:dyDescent="0.25">
      <c r="A14" s="4" t="s">
        <v>1582</v>
      </c>
      <c r="B14" s="4">
        <v>359332</v>
      </c>
      <c r="C14" s="4" t="s">
        <v>2257</v>
      </c>
      <c r="D14" s="9">
        <v>176</v>
      </c>
    </row>
    <row r="15" spans="1:4" x14ac:dyDescent="0.25">
      <c r="A15" s="4" t="s">
        <v>1582</v>
      </c>
      <c r="B15" s="4">
        <v>359331</v>
      </c>
      <c r="C15" s="4" t="s">
        <v>2258</v>
      </c>
      <c r="D15" s="9">
        <v>8335</v>
      </c>
    </row>
    <row r="16" spans="1:4" x14ac:dyDescent="0.25">
      <c r="A16" s="4" t="s">
        <v>1582</v>
      </c>
      <c r="B16" s="4">
        <v>359230</v>
      </c>
      <c r="C16" s="4" t="s">
        <v>2259</v>
      </c>
      <c r="D16" s="9">
        <v>1847</v>
      </c>
    </row>
    <row r="17" spans="1:4" x14ac:dyDescent="0.25">
      <c r="A17" s="4" t="s">
        <v>1582</v>
      </c>
      <c r="B17" s="4">
        <v>359356</v>
      </c>
      <c r="C17" s="4" t="s">
        <v>2260</v>
      </c>
      <c r="D17" s="9">
        <v>1825</v>
      </c>
    </row>
    <row r="18" spans="1:4" x14ac:dyDescent="0.25">
      <c r="A18" s="4" t="s">
        <v>1582</v>
      </c>
      <c r="B18" s="4">
        <v>359254</v>
      </c>
      <c r="C18" s="4" t="s">
        <v>2285</v>
      </c>
      <c r="D18" s="9">
        <v>3324</v>
      </c>
    </row>
    <row r="19" spans="1:4" x14ac:dyDescent="0.25">
      <c r="A19" s="4" t="s">
        <v>1582</v>
      </c>
      <c r="B19" s="4">
        <v>358266</v>
      </c>
      <c r="C19" s="4" t="s">
        <v>2261</v>
      </c>
      <c r="D19" s="9">
        <v>761</v>
      </c>
    </row>
    <row r="20" spans="1:4" x14ac:dyDescent="0.25">
      <c r="A20" s="4" t="s">
        <v>1582</v>
      </c>
      <c r="B20" s="4">
        <v>358264</v>
      </c>
      <c r="C20" s="4" t="s">
        <v>2262</v>
      </c>
      <c r="D20" s="9">
        <v>11609</v>
      </c>
    </row>
    <row r="21" spans="1:4" x14ac:dyDescent="0.25">
      <c r="A21" s="4" t="s">
        <v>1582</v>
      </c>
      <c r="B21" s="4">
        <v>358241</v>
      </c>
      <c r="C21" s="4" t="s">
        <v>2263</v>
      </c>
      <c r="D21" s="9">
        <v>21262</v>
      </c>
    </row>
    <row r="22" spans="1:4" x14ac:dyDescent="0.25">
      <c r="A22" s="4" t="s">
        <v>1582</v>
      </c>
      <c r="B22" s="4">
        <v>359245</v>
      </c>
      <c r="C22" s="4" t="s">
        <v>2264</v>
      </c>
      <c r="D22" s="9">
        <v>2955</v>
      </c>
    </row>
    <row r="23" spans="1:4" x14ac:dyDescent="0.25">
      <c r="A23" s="4" t="s">
        <v>1582</v>
      </c>
      <c r="B23" s="4">
        <v>359269</v>
      </c>
      <c r="C23" s="4" t="s">
        <v>2265</v>
      </c>
      <c r="D23" s="9">
        <v>1588</v>
      </c>
    </row>
    <row r="24" spans="1:4" x14ac:dyDescent="0.25">
      <c r="A24" s="4" t="s">
        <v>1582</v>
      </c>
      <c r="B24" s="4">
        <v>359239</v>
      </c>
      <c r="C24" s="4" t="s">
        <v>2266</v>
      </c>
      <c r="D24" s="9">
        <v>3352</v>
      </c>
    </row>
    <row r="25" spans="1:4" x14ac:dyDescent="0.25">
      <c r="A25" s="4" t="s">
        <v>180</v>
      </c>
      <c r="B25" s="4">
        <v>359127</v>
      </c>
      <c r="C25" s="4" t="s">
        <v>2286</v>
      </c>
      <c r="D25" s="9">
        <v>2610</v>
      </c>
    </row>
    <row r="26" spans="1:4" x14ac:dyDescent="0.25">
      <c r="A26" s="4" t="s">
        <v>180</v>
      </c>
      <c r="B26" s="4">
        <v>358659</v>
      </c>
      <c r="C26" s="4" t="s">
        <v>2287</v>
      </c>
      <c r="D26" s="9">
        <v>1015</v>
      </c>
    </row>
    <row r="27" spans="1:4" x14ac:dyDescent="0.25">
      <c r="A27" s="4" t="s">
        <v>180</v>
      </c>
      <c r="B27" s="4">
        <v>359726</v>
      </c>
      <c r="C27" s="4" t="s">
        <v>2288</v>
      </c>
      <c r="D27" s="9">
        <v>995</v>
      </c>
    </row>
    <row r="28" spans="1:4" x14ac:dyDescent="0.25">
      <c r="A28" s="4" t="s">
        <v>715</v>
      </c>
      <c r="B28" s="4">
        <v>359592</v>
      </c>
      <c r="C28" s="4" t="s">
        <v>2289</v>
      </c>
      <c r="D28" s="9">
        <v>500</v>
      </c>
    </row>
    <row r="29" spans="1:4" x14ac:dyDescent="0.25">
      <c r="A29" s="4" t="s">
        <v>1093</v>
      </c>
      <c r="B29" s="4">
        <v>351618</v>
      </c>
      <c r="C29" s="4" t="s">
        <v>2290</v>
      </c>
      <c r="D29" s="9">
        <v>2485</v>
      </c>
    </row>
    <row r="30" spans="1:4" x14ac:dyDescent="0.25">
      <c r="A30" s="4" t="s">
        <v>32</v>
      </c>
      <c r="B30" s="4">
        <v>359511</v>
      </c>
      <c r="C30" s="4" t="s">
        <v>2269</v>
      </c>
      <c r="D30" s="9">
        <v>170</v>
      </c>
    </row>
    <row r="31" spans="1:4" x14ac:dyDescent="0.25">
      <c r="A31" s="4" t="s">
        <v>315</v>
      </c>
      <c r="B31" s="4">
        <v>358436</v>
      </c>
      <c r="C31" s="4" t="s">
        <v>2228</v>
      </c>
      <c r="D31" s="9">
        <v>995</v>
      </c>
    </row>
    <row r="32" spans="1:4" x14ac:dyDescent="0.25">
      <c r="A32" s="4" t="s">
        <v>2291</v>
      </c>
      <c r="B32" s="4">
        <v>359004</v>
      </c>
      <c r="C32" s="4" t="s">
        <v>2292</v>
      </c>
      <c r="D32" s="9">
        <v>4960</v>
      </c>
    </row>
    <row r="33" spans="1:4" x14ac:dyDescent="0.25">
      <c r="A33" s="4" t="s">
        <v>2291</v>
      </c>
      <c r="B33" s="4">
        <v>356882</v>
      </c>
      <c r="C33" s="4" t="s">
        <v>2293</v>
      </c>
      <c r="D33" s="9">
        <v>1775</v>
      </c>
    </row>
    <row r="34" spans="1:4" x14ac:dyDescent="0.25">
      <c r="A34" s="4" t="s">
        <v>2291</v>
      </c>
      <c r="B34" s="4">
        <v>338696</v>
      </c>
      <c r="C34" s="4" t="s">
        <v>2294</v>
      </c>
      <c r="D34" s="9">
        <v>15475</v>
      </c>
    </row>
    <row r="35" spans="1:4" x14ac:dyDescent="0.25">
      <c r="A35" s="4" t="s">
        <v>832</v>
      </c>
      <c r="B35" s="4">
        <v>357980</v>
      </c>
      <c r="C35" s="4" t="s">
        <v>2240</v>
      </c>
      <c r="D35" s="9">
        <v>1145</v>
      </c>
    </row>
    <row r="36" spans="1:4" x14ac:dyDescent="0.25">
      <c r="A36" s="4" t="s">
        <v>1891</v>
      </c>
      <c r="B36" s="4">
        <v>359801</v>
      </c>
      <c r="C36" s="4" t="s">
        <v>2295</v>
      </c>
      <c r="D36" s="9">
        <v>14825</v>
      </c>
    </row>
    <row r="37" spans="1:4" x14ac:dyDescent="0.25">
      <c r="A37" s="4" t="s">
        <v>1891</v>
      </c>
      <c r="B37" s="4">
        <v>359801</v>
      </c>
      <c r="C37" s="4" t="s">
        <v>2296</v>
      </c>
      <c r="D37" s="9">
        <v>5669</v>
      </c>
    </row>
    <row r="38" spans="1:4" x14ac:dyDescent="0.25">
      <c r="A38" s="4" t="s">
        <v>1891</v>
      </c>
      <c r="B38" s="4">
        <v>356689</v>
      </c>
      <c r="C38" s="4" t="s">
        <v>2271</v>
      </c>
      <c r="D38" s="9">
        <v>28332</v>
      </c>
    </row>
    <row r="39" spans="1:4" x14ac:dyDescent="0.25">
      <c r="A39" s="4" t="s">
        <v>1891</v>
      </c>
      <c r="B39" s="4">
        <v>356689</v>
      </c>
      <c r="C39" s="4" t="s">
        <v>2273</v>
      </c>
      <c r="D39" s="9">
        <v>9755</v>
      </c>
    </row>
    <row r="40" spans="1:4" x14ac:dyDescent="0.25">
      <c r="A40" s="4" t="s">
        <v>1891</v>
      </c>
      <c r="B40" s="4">
        <v>356689</v>
      </c>
      <c r="C40" s="4" t="s">
        <v>2274</v>
      </c>
      <c r="D40" s="9">
        <v>30492</v>
      </c>
    </row>
    <row r="41" spans="1:4" x14ac:dyDescent="0.25">
      <c r="A41" s="4" t="s">
        <v>1891</v>
      </c>
      <c r="B41" s="4">
        <v>356689</v>
      </c>
      <c r="C41" s="4" t="s">
        <v>2275</v>
      </c>
      <c r="D41" s="9">
        <v>15002</v>
      </c>
    </row>
    <row r="42" spans="1:4" x14ac:dyDescent="0.25">
      <c r="A42" s="4" t="s">
        <v>1891</v>
      </c>
      <c r="B42" s="4">
        <v>356689</v>
      </c>
      <c r="C42" s="4" t="s">
        <v>2276</v>
      </c>
      <c r="D42" s="9">
        <v>29378</v>
      </c>
    </row>
    <row r="43" spans="1:4" x14ac:dyDescent="0.25">
      <c r="A43" s="4" t="s">
        <v>995</v>
      </c>
      <c r="B43" s="4">
        <v>354080</v>
      </c>
      <c r="C43" s="4" t="s">
        <v>2297</v>
      </c>
      <c r="D43" s="9">
        <v>9393</v>
      </c>
    </row>
    <row r="44" spans="1:4" x14ac:dyDescent="0.25">
      <c r="A44" s="4" t="s">
        <v>995</v>
      </c>
      <c r="B44" s="4">
        <v>354080</v>
      </c>
      <c r="C44" s="4" t="s">
        <v>2298</v>
      </c>
      <c r="D44" s="9">
        <v>62596</v>
      </c>
    </row>
    <row r="45" spans="1:4" x14ac:dyDescent="0.25">
      <c r="A45" s="4" t="s">
        <v>995</v>
      </c>
      <c r="B45" s="4">
        <v>359414</v>
      </c>
      <c r="C45" s="4" t="s">
        <v>2299</v>
      </c>
      <c r="D45" s="9">
        <v>1990</v>
      </c>
    </row>
    <row r="46" spans="1:4" x14ac:dyDescent="0.25">
      <c r="A46" s="4" t="s">
        <v>332</v>
      </c>
      <c r="B46" s="4">
        <v>357731</v>
      </c>
      <c r="C46" s="4" t="s">
        <v>2229</v>
      </c>
      <c r="D46" s="9">
        <v>130</v>
      </c>
    </row>
    <row r="47" spans="1:4" x14ac:dyDescent="0.25">
      <c r="A47" s="4" t="s">
        <v>332</v>
      </c>
      <c r="B47" s="4">
        <v>359610</v>
      </c>
      <c r="C47" s="4" t="s">
        <v>2300</v>
      </c>
      <c r="D47" s="9">
        <v>720</v>
      </c>
    </row>
    <row r="48" spans="1:4" x14ac:dyDescent="0.25">
      <c r="A48" s="4" t="s">
        <v>315</v>
      </c>
      <c r="B48" s="4">
        <v>355815</v>
      </c>
      <c r="C48" s="4" t="s">
        <v>2277</v>
      </c>
      <c r="D48" s="9">
        <v>1160</v>
      </c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83</v>
      </c>
      <c r="D92" s="32">
        <f>SUM(D2:D91)</f>
        <v>377987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09EC-36BA-4CFE-B04D-85A5B1B8BCD0}">
  <dimension ref="A1:D92"/>
  <sheetViews>
    <sheetView zoomScaleNormal="100" zoomScaleSheetLayoutView="100" workbookViewId="0">
      <selection activeCell="C98" sqref="C98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355312</v>
      </c>
      <c r="C2" s="4" t="s">
        <v>2301</v>
      </c>
      <c r="D2" s="9">
        <v>3270</v>
      </c>
    </row>
    <row r="3" spans="1:4" x14ac:dyDescent="0.25">
      <c r="A3" s="4" t="s">
        <v>256</v>
      </c>
      <c r="B3" s="4">
        <v>355312</v>
      </c>
      <c r="C3" s="4" t="s">
        <v>2302</v>
      </c>
      <c r="D3" s="9">
        <v>6495</v>
      </c>
    </row>
    <row r="4" spans="1:4" x14ac:dyDescent="0.25">
      <c r="A4" s="4" t="s">
        <v>256</v>
      </c>
      <c r="B4" s="4">
        <v>355312</v>
      </c>
      <c r="C4" s="4" t="s">
        <v>2303</v>
      </c>
      <c r="D4" s="9">
        <v>9810</v>
      </c>
    </row>
    <row r="5" spans="1:4" x14ac:dyDescent="0.25">
      <c r="A5" s="4" t="s">
        <v>500</v>
      </c>
      <c r="B5" s="4">
        <v>360672</v>
      </c>
      <c r="C5" s="4" t="s">
        <v>2304</v>
      </c>
      <c r="D5" s="9">
        <v>165</v>
      </c>
    </row>
    <row r="6" spans="1:4" x14ac:dyDescent="0.25">
      <c r="A6" s="4" t="s">
        <v>718</v>
      </c>
      <c r="B6" s="4">
        <v>360600</v>
      </c>
      <c r="C6" s="4" t="s">
        <v>2305</v>
      </c>
      <c r="D6" s="9">
        <v>4977</v>
      </c>
    </row>
    <row r="7" spans="1:4" x14ac:dyDescent="0.25">
      <c r="A7" s="4" t="s">
        <v>32</v>
      </c>
      <c r="B7" s="4">
        <v>359511</v>
      </c>
      <c r="C7" s="4" t="s">
        <v>2269</v>
      </c>
      <c r="D7" s="9">
        <v>170</v>
      </c>
    </row>
    <row r="8" spans="1:4" x14ac:dyDescent="0.25">
      <c r="A8" s="4" t="s">
        <v>315</v>
      </c>
      <c r="B8" s="4">
        <v>359050</v>
      </c>
      <c r="C8" s="4" t="s">
        <v>2306</v>
      </c>
      <c r="D8" s="9">
        <v>895</v>
      </c>
    </row>
    <row r="9" spans="1:4" x14ac:dyDescent="0.25">
      <c r="A9" s="4" t="s">
        <v>315</v>
      </c>
      <c r="B9" s="4">
        <v>360591</v>
      </c>
      <c r="C9" s="4" t="s">
        <v>2307</v>
      </c>
      <c r="D9" s="9">
        <v>420</v>
      </c>
    </row>
    <row r="10" spans="1:4" x14ac:dyDescent="0.25">
      <c r="A10" s="4" t="s">
        <v>315</v>
      </c>
      <c r="B10" s="4">
        <v>355523</v>
      </c>
      <c r="C10" s="4" t="s">
        <v>2308</v>
      </c>
      <c r="D10" s="9">
        <v>1800</v>
      </c>
    </row>
    <row r="11" spans="1:4" x14ac:dyDescent="0.25">
      <c r="A11" s="4" t="s">
        <v>315</v>
      </c>
      <c r="B11" s="4">
        <v>359134</v>
      </c>
      <c r="C11" s="4" t="s">
        <v>2309</v>
      </c>
      <c r="D11" s="9">
        <v>4230</v>
      </c>
    </row>
    <row r="12" spans="1:4" x14ac:dyDescent="0.25">
      <c r="A12" s="4" t="s">
        <v>315</v>
      </c>
      <c r="B12" s="4">
        <v>359132</v>
      </c>
      <c r="C12" s="4" t="s">
        <v>2310</v>
      </c>
      <c r="D12" s="9">
        <v>690</v>
      </c>
    </row>
    <row r="13" spans="1:4" x14ac:dyDescent="0.25">
      <c r="A13" s="4" t="s">
        <v>2291</v>
      </c>
      <c r="B13" s="4">
        <v>356882</v>
      </c>
      <c r="C13" s="4" t="s">
        <v>2293</v>
      </c>
      <c r="D13" s="9">
        <v>1775</v>
      </c>
    </row>
    <row r="14" spans="1:4" x14ac:dyDescent="0.25">
      <c r="A14" s="4" t="s">
        <v>832</v>
      </c>
      <c r="B14" s="4">
        <v>355693</v>
      </c>
      <c r="C14" s="4" t="s">
        <v>2311</v>
      </c>
      <c r="D14" s="9">
        <v>7944</v>
      </c>
    </row>
    <row r="15" spans="1:4" x14ac:dyDescent="0.25">
      <c r="A15" s="4" t="s">
        <v>832</v>
      </c>
      <c r="B15" s="4">
        <v>358937</v>
      </c>
      <c r="C15" s="4" t="s">
        <v>2312</v>
      </c>
      <c r="D15" s="9">
        <v>2000</v>
      </c>
    </row>
    <row r="16" spans="1:4" x14ac:dyDescent="0.25">
      <c r="A16" s="4" t="s">
        <v>832</v>
      </c>
      <c r="B16" s="4">
        <v>358937</v>
      </c>
      <c r="C16" s="4" t="s">
        <v>2313</v>
      </c>
      <c r="D16" s="9">
        <v>2000</v>
      </c>
    </row>
    <row r="17" spans="1:4" x14ac:dyDescent="0.25">
      <c r="A17" s="4" t="s">
        <v>1387</v>
      </c>
      <c r="B17" s="4">
        <v>360160</v>
      </c>
      <c r="C17" s="4" t="s">
        <v>2314</v>
      </c>
      <c r="D17" s="9">
        <v>895</v>
      </c>
    </row>
    <row r="18" spans="1:4" x14ac:dyDescent="0.25">
      <c r="A18" s="4" t="s">
        <v>1387</v>
      </c>
      <c r="B18" s="4">
        <v>360011</v>
      </c>
      <c r="C18" s="4" t="s">
        <v>2315</v>
      </c>
      <c r="D18" s="9">
        <v>465</v>
      </c>
    </row>
    <row r="19" spans="1:4" x14ac:dyDescent="0.25">
      <c r="A19" s="4" t="s">
        <v>995</v>
      </c>
      <c r="B19" s="4">
        <v>360156</v>
      </c>
      <c r="C19" s="4" t="s">
        <v>2316</v>
      </c>
      <c r="D19" s="9">
        <v>420</v>
      </c>
    </row>
    <row r="20" spans="1:4" x14ac:dyDescent="0.25">
      <c r="A20" s="4" t="s">
        <v>995</v>
      </c>
      <c r="B20" s="4">
        <v>359414</v>
      </c>
      <c r="C20" s="4" t="s">
        <v>2299</v>
      </c>
      <c r="D20" s="9">
        <v>1990</v>
      </c>
    </row>
    <row r="21" spans="1:4" x14ac:dyDescent="0.25">
      <c r="A21" s="4" t="s">
        <v>332</v>
      </c>
      <c r="B21" s="4">
        <v>357731</v>
      </c>
      <c r="C21" s="4" t="s">
        <v>2229</v>
      </c>
      <c r="D21" s="9">
        <v>130</v>
      </c>
    </row>
    <row r="22" spans="1:4" x14ac:dyDescent="0.25">
      <c r="A22" s="4" t="s">
        <v>332</v>
      </c>
      <c r="B22" s="4">
        <v>359610</v>
      </c>
      <c r="C22" s="4" t="s">
        <v>2300</v>
      </c>
      <c r="D22" s="9">
        <v>720</v>
      </c>
    </row>
    <row r="23" spans="1:4" x14ac:dyDescent="0.25">
      <c r="A23" s="4" t="s">
        <v>206</v>
      </c>
      <c r="B23" s="4">
        <v>360441</v>
      </c>
      <c r="C23" s="4" t="s">
        <v>2317</v>
      </c>
      <c r="D23" s="9">
        <v>1500</v>
      </c>
    </row>
    <row r="24" spans="1:4" x14ac:dyDescent="0.25">
      <c r="A24" s="4" t="s">
        <v>315</v>
      </c>
      <c r="B24" s="4">
        <v>355815</v>
      </c>
      <c r="C24" s="4" t="s">
        <v>2277</v>
      </c>
      <c r="D24" s="9">
        <v>1160</v>
      </c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83</v>
      </c>
      <c r="D92" s="32">
        <f>SUM(D2:D91)</f>
        <v>53921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BE77-E8F3-4868-BCCC-C928193EA131}">
  <dimension ref="A1:D92"/>
  <sheetViews>
    <sheetView zoomScaleNormal="100" zoomScaleSheetLayoutView="100" workbookViewId="0">
      <selection activeCell="H8" sqref="H8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361023</v>
      </c>
      <c r="C2" s="4" t="s">
        <v>2318</v>
      </c>
      <c r="D2" s="9">
        <v>357</v>
      </c>
    </row>
    <row r="3" spans="1:4" x14ac:dyDescent="0.25">
      <c r="A3" s="4" t="s">
        <v>143</v>
      </c>
      <c r="B3" s="4">
        <v>359300</v>
      </c>
      <c r="C3" s="4" t="s">
        <v>2319</v>
      </c>
      <c r="D3" s="9">
        <v>9015</v>
      </c>
    </row>
    <row r="4" spans="1:4" x14ac:dyDescent="0.25">
      <c r="A4" s="4" t="s">
        <v>232</v>
      </c>
      <c r="B4" s="4">
        <v>361270</v>
      </c>
      <c r="C4" s="4" t="s">
        <v>2320</v>
      </c>
      <c r="D4" s="9">
        <v>0</v>
      </c>
    </row>
    <row r="5" spans="1:4" x14ac:dyDescent="0.25">
      <c r="A5" s="4" t="s">
        <v>175</v>
      </c>
      <c r="B5" s="4">
        <v>361259</v>
      </c>
      <c r="C5" s="4" t="s">
        <v>2321</v>
      </c>
      <c r="D5" s="9">
        <v>131</v>
      </c>
    </row>
    <row r="6" spans="1:4" x14ac:dyDescent="0.25">
      <c r="A6" s="4" t="s">
        <v>1904</v>
      </c>
      <c r="B6" s="4">
        <v>360579</v>
      </c>
      <c r="C6" s="4" t="s">
        <v>2322</v>
      </c>
      <c r="D6" s="9">
        <v>5615</v>
      </c>
    </row>
    <row r="7" spans="1:4" x14ac:dyDescent="0.25">
      <c r="A7" s="4" t="s">
        <v>1419</v>
      </c>
      <c r="B7" s="4">
        <v>357219</v>
      </c>
      <c r="C7" s="4" t="s">
        <v>2323</v>
      </c>
      <c r="D7" s="9">
        <v>540</v>
      </c>
    </row>
    <row r="8" spans="1:4" x14ac:dyDescent="0.25">
      <c r="A8" s="4" t="s">
        <v>1419</v>
      </c>
      <c r="B8" s="4">
        <v>357295</v>
      </c>
      <c r="C8" s="4" t="s">
        <v>2324</v>
      </c>
      <c r="D8" s="9">
        <v>5220</v>
      </c>
    </row>
    <row r="9" spans="1:4" x14ac:dyDescent="0.25">
      <c r="A9" s="4" t="s">
        <v>1419</v>
      </c>
      <c r="B9" s="4">
        <v>357471</v>
      </c>
      <c r="C9" s="4" t="s">
        <v>2325</v>
      </c>
      <c r="D9" s="9">
        <v>14400</v>
      </c>
    </row>
    <row r="10" spans="1:4" x14ac:dyDescent="0.25">
      <c r="A10" s="4" t="s">
        <v>1419</v>
      </c>
      <c r="B10" s="4">
        <v>357470</v>
      </c>
      <c r="C10" s="4" t="s">
        <v>2326</v>
      </c>
      <c r="D10" s="9">
        <v>450</v>
      </c>
    </row>
    <row r="11" spans="1:4" x14ac:dyDescent="0.25">
      <c r="A11" s="4" t="s">
        <v>1419</v>
      </c>
      <c r="B11" s="4">
        <v>360882</v>
      </c>
      <c r="C11" s="4" t="s">
        <v>2327</v>
      </c>
      <c r="D11" s="9">
        <v>5695</v>
      </c>
    </row>
    <row r="12" spans="1:4" x14ac:dyDescent="0.25">
      <c r="A12" s="4" t="s">
        <v>1419</v>
      </c>
      <c r="B12" s="4">
        <v>360956</v>
      </c>
      <c r="C12" s="4" t="s">
        <v>2328</v>
      </c>
      <c r="D12" s="9">
        <v>10930</v>
      </c>
    </row>
    <row r="13" spans="1:4" x14ac:dyDescent="0.25">
      <c r="A13" s="4" t="s">
        <v>1419</v>
      </c>
      <c r="B13" s="4">
        <v>360957</v>
      </c>
      <c r="C13" s="4" t="s">
        <v>2329</v>
      </c>
      <c r="D13" s="9">
        <v>1290</v>
      </c>
    </row>
    <row r="14" spans="1:4" x14ac:dyDescent="0.25">
      <c r="A14" s="4" t="s">
        <v>1419</v>
      </c>
      <c r="B14" s="4">
        <v>361001</v>
      </c>
      <c r="C14" s="4" t="s">
        <v>2330</v>
      </c>
      <c r="D14" s="9">
        <v>12140</v>
      </c>
    </row>
    <row r="15" spans="1:4" x14ac:dyDescent="0.25">
      <c r="A15" s="4" t="s">
        <v>1419</v>
      </c>
      <c r="B15" s="4">
        <v>361008</v>
      </c>
      <c r="C15" s="4" t="s">
        <v>2331</v>
      </c>
      <c r="D15" s="9">
        <v>8475</v>
      </c>
    </row>
    <row r="16" spans="1:4" x14ac:dyDescent="0.25">
      <c r="A16" s="4" t="s">
        <v>1419</v>
      </c>
      <c r="B16" s="4">
        <v>361017</v>
      </c>
      <c r="C16" s="4" t="s">
        <v>2332</v>
      </c>
      <c r="D16" s="9">
        <v>16300</v>
      </c>
    </row>
    <row r="17" spans="1:4" x14ac:dyDescent="0.25">
      <c r="A17" s="4" t="s">
        <v>1419</v>
      </c>
      <c r="B17" s="4">
        <v>361027</v>
      </c>
      <c r="C17" s="4" t="s">
        <v>2333</v>
      </c>
      <c r="D17" s="9">
        <v>14480</v>
      </c>
    </row>
    <row r="18" spans="1:4" x14ac:dyDescent="0.25">
      <c r="A18" s="4" t="s">
        <v>1419</v>
      </c>
      <c r="B18" s="4">
        <v>361033</v>
      </c>
      <c r="C18" s="4" t="s">
        <v>2334</v>
      </c>
      <c r="D18" s="9">
        <v>9870</v>
      </c>
    </row>
    <row r="19" spans="1:4" x14ac:dyDescent="0.25">
      <c r="A19" s="4" t="s">
        <v>1419</v>
      </c>
      <c r="B19" s="4">
        <v>361037</v>
      </c>
      <c r="C19" s="4" t="s">
        <v>2335</v>
      </c>
      <c r="D19" s="9">
        <v>8345</v>
      </c>
    </row>
    <row r="20" spans="1:4" x14ac:dyDescent="0.25">
      <c r="A20" s="4" t="s">
        <v>1419</v>
      </c>
      <c r="B20" s="4">
        <v>361039</v>
      </c>
      <c r="C20" s="4" t="s">
        <v>2336</v>
      </c>
      <c r="D20" s="9">
        <v>6435</v>
      </c>
    </row>
    <row r="21" spans="1:4" x14ac:dyDescent="0.25">
      <c r="A21" s="4" t="s">
        <v>1419</v>
      </c>
      <c r="B21" s="4">
        <v>361046</v>
      </c>
      <c r="C21" s="4" t="s">
        <v>2337</v>
      </c>
      <c r="D21" s="9">
        <v>9410</v>
      </c>
    </row>
    <row r="22" spans="1:4" x14ac:dyDescent="0.25">
      <c r="A22" s="4" t="s">
        <v>1419</v>
      </c>
      <c r="B22" s="4">
        <v>361061</v>
      </c>
      <c r="C22" s="4" t="s">
        <v>2338</v>
      </c>
      <c r="D22" s="9">
        <v>4605</v>
      </c>
    </row>
    <row r="23" spans="1:4" x14ac:dyDescent="0.25">
      <c r="A23" s="4" t="s">
        <v>1419</v>
      </c>
      <c r="B23" s="4">
        <v>361065</v>
      </c>
      <c r="C23" s="4" t="s">
        <v>2339</v>
      </c>
      <c r="D23" s="9">
        <v>7310</v>
      </c>
    </row>
    <row r="24" spans="1:4" x14ac:dyDescent="0.25">
      <c r="A24" s="4" t="s">
        <v>1419</v>
      </c>
      <c r="B24" s="4">
        <v>361066</v>
      </c>
      <c r="C24" s="4" t="s">
        <v>2340</v>
      </c>
      <c r="D24" s="9">
        <v>6015</v>
      </c>
    </row>
    <row r="25" spans="1:4" x14ac:dyDescent="0.25">
      <c r="A25" s="4" t="s">
        <v>1419</v>
      </c>
      <c r="B25" s="4">
        <v>361071</v>
      </c>
      <c r="C25" s="4" t="s">
        <v>2341</v>
      </c>
      <c r="D25" s="9">
        <v>13295</v>
      </c>
    </row>
    <row r="26" spans="1:4" x14ac:dyDescent="0.25">
      <c r="A26" s="4" t="s">
        <v>1419</v>
      </c>
      <c r="B26" s="4">
        <v>361078</v>
      </c>
      <c r="C26" s="4" t="s">
        <v>2342</v>
      </c>
      <c r="D26" s="9">
        <v>15210</v>
      </c>
    </row>
    <row r="27" spans="1:4" x14ac:dyDescent="0.25">
      <c r="A27" s="4" t="s">
        <v>1419</v>
      </c>
      <c r="B27" s="4">
        <v>361084</v>
      </c>
      <c r="C27" s="4" t="s">
        <v>2343</v>
      </c>
      <c r="D27" s="9">
        <v>8335</v>
      </c>
    </row>
    <row r="28" spans="1:4" x14ac:dyDescent="0.25">
      <c r="A28" s="4" t="s">
        <v>1419</v>
      </c>
      <c r="B28" s="4">
        <v>361109</v>
      </c>
      <c r="C28" s="4" t="s">
        <v>2344</v>
      </c>
      <c r="D28" s="9">
        <v>4480</v>
      </c>
    </row>
    <row r="29" spans="1:4" x14ac:dyDescent="0.25">
      <c r="A29" s="4" t="s">
        <v>1419</v>
      </c>
      <c r="B29" s="4">
        <v>361113</v>
      </c>
      <c r="C29" s="4" t="s">
        <v>2345</v>
      </c>
      <c r="D29" s="9">
        <v>8825</v>
      </c>
    </row>
    <row r="30" spans="1:4" x14ac:dyDescent="0.25">
      <c r="A30" s="4" t="s">
        <v>1419</v>
      </c>
      <c r="B30" s="4">
        <v>361130</v>
      </c>
      <c r="C30" s="4" t="s">
        <v>2346</v>
      </c>
      <c r="D30" s="9">
        <v>13415</v>
      </c>
    </row>
    <row r="31" spans="1:4" x14ac:dyDescent="0.25">
      <c r="A31" s="4" t="s">
        <v>1419</v>
      </c>
      <c r="B31" s="4">
        <v>361133</v>
      </c>
      <c r="C31" s="4" t="s">
        <v>2347</v>
      </c>
      <c r="D31" s="9">
        <v>5125</v>
      </c>
    </row>
    <row r="32" spans="1:4" x14ac:dyDescent="0.25">
      <c r="A32" s="4" t="s">
        <v>1419</v>
      </c>
      <c r="B32" s="4">
        <v>361135</v>
      </c>
      <c r="C32" s="4" t="s">
        <v>2348</v>
      </c>
      <c r="D32" s="9">
        <v>14120</v>
      </c>
    </row>
    <row r="33" spans="1:4" x14ac:dyDescent="0.25">
      <c r="A33" s="4" t="s">
        <v>1419</v>
      </c>
      <c r="B33" s="4">
        <v>361136</v>
      </c>
      <c r="C33" s="4" t="s">
        <v>2349</v>
      </c>
      <c r="D33" s="9">
        <v>11370</v>
      </c>
    </row>
    <row r="34" spans="1:4" x14ac:dyDescent="0.25">
      <c r="A34" s="4" t="s">
        <v>1419</v>
      </c>
      <c r="B34" s="4">
        <v>361137</v>
      </c>
      <c r="C34" s="4" t="s">
        <v>2350</v>
      </c>
      <c r="D34" s="9">
        <v>16200</v>
      </c>
    </row>
    <row r="35" spans="1:4" x14ac:dyDescent="0.25">
      <c r="A35" s="4" t="s">
        <v>1419</v>
      </c>
      <c r="B35" s="4">
        <v>361147</v>
      </c>
      <c r="C35" s="4" t="s">
        <v>2351</v>
      </c>
      <c r="D35" s="9">
        <v>26885</v>
      </c>
    </row>
    <row r="36" spans="1:4" x14ac:dyDescent="0.25">
      <c r="A36" s="4" t="s">
        <v>1419</v>
      </c>
      <c r="B36" s="4">
        <v>357215</v>
      </c>
      <c r="C36" s="4" t="s">
        <v>2352</v>
      </c>
      <c r="D36" s="9">
        <v>270</v>
      </c>
    </row>
    <row r="37" spans="1:4" x14ac:dyDescent="0.25">
      <c r="A37" s="4" t="s">
        <v>1419</v>
      </c>
      <c r="B37" s="4">
        <v>357217</v>
      </c>
      <c r="C37" s="4" t="s">
        <v>2353</v>
      </c>
      <c r="D37" s="9">
        <v>1080</v>
      </c>
    </row>
    <row r="38" spans="1:4" x14ac:dyDescent="0.25">
      <c r="A38" s="4" t="s">
        <v>1419</v>
      </c>
      <c r="B38" s="4">
        <v>357485</v>
      </c>
      <c r="C38" s="4" t="s">
        <v>2354</v>
      </c>
      <c r="D38" s="9">
        <v>360</v>
      </c>
    </row>
    <row r="39" spans="1:4" x14ac:dyDescent="0.25">
      <c r="A39" s="4" t="s">
        <v>1419</v>
      </c>
      <c r="B39" s="4">
        <v>357474</v>
      </c>
      <c r="C39" s="4" t="s">
        <v>2355</v>
      </c>
      <c r="D39" s="9">
        <v>630</v>
      </c>
    </row>
    <row r="40" spans="1:4" x14ac:dyDescent="0.25">
      <c r="A40" s="4" t="s">
        <v>1419</v>
      </c>
      <c r="B40" s="4">
        <v>357484</v>
      </c>
      <c r="C40" s="4" t="s">
        <v>2356</v>
      </c>
      <c r="D40" s="9">
        <v>6750</v>
      </c>
    </row>
    <row r="41" spans="1:4" x14ac:dyDescent="0.25">
      <c r="A41" s="4" t="s">
        <v>1419</v>
      </c>
      <c r="B41" s="4">
        <v>357211</v>
      </c>
      <c r="C41" s="4" t="s">
        <v>2357</v>
      </c>
      <c r="D41" s="9">
        <v>180</v>
      </c>
    </row>
    <row r="42" spans="1:4" x14ac:dyDescent="0.25">
      <c r="A42" s="4" t="s">
        <v>1419</v>
      </c>
      <c r="B42" s="4">
        <v>357483</v>
      </c>
      <c r="C42" s="4" t="s">
        <v>2358</v>
      </c>
      <c r="D42" s="9">
        <v>15030</v>
      </c>
    </row>
    <row r="43" spans="1:4" x14ac:dyDescent="0.25">
      <c r="A43" s="4" t="s">
        <v>1419</v>
      </c>
      <c r="B43" s="4">
        <v>357216</v>
      </c>
      <c r="C43" s="4" t="s">
        <v>2359</v>
      </c>
      <c r="D43" s="9">
        <v>90</v>
      </c>
    </row>
    <row r="44" spans="1:4" x14ac:dyDescent="0.25">
      <c r="A44" s="4" t="s">
        <v>1419</v>
      </c>
      <c r="B44" s="4">
        <v>357481</v>
      </c>
      <c r="C44" s="4" t="s">
        <v>2360</v>
      </c>
      <c r="D44" s="9">
        <v>2700</v>
      </c>
    </row>
    <row r="45" spans="1:4" x14ac:dyDescent="0.25">
      <c r="A45" s="4" t="s">
        <v>1419</v>
      </c>
      <c r="B45" s="4">
        <v>357210</v>
      </c>
      <c r="C45" s="4" t="s">
        <v>2361</v>
      </c>
      <c r="D45" s="9">
        <v>900</v>
      </c>
    </row>
    <row r="46" spans="1:4" x14ac:dyDescent="0.25">
      <c r="A46" s="4" t="s">
        <v>1419</v>
      </c>
      <c r="B46" s="4">
        <v>357479</v>
      </c>
      <c r="C46" s="4" t="s">
        <v>2362</v>
      </c>
      <c r="D46" s="9">
        <v>27360</v>
      </c>
    </row>
    <row r="47" spans="1:4" x14ac:dyDescent="0.25">
      <c r="A47" s="4" t="s">
        <v>180</v>
      </c>
      <c r="B47" s="4">
        <v>354064</v>
      </c>
      <c r="C47" s="4" t="s">
        <v>2363</v>
      </c>
      <c r="D47" s="9">
        <v>18060</v>
      </c>
    </row>
    <row r="48" spans="1:4" x14ac:dyDescent="0.25">
      <c r="A48" s="4" t="s">
        <v>180</v>
      </c>
      <c r="B48" s="4">
        <v>355959</v>
      </c>
      <c r="C48" s="4" t="s">
        <v>2364</v>
      </c>
      <c r="D48" s="9">
        <v>895</v>
      </c>
    </row>
    <row r="49" spans="1:4" x14ac:dyDescent="0.25">
      <c r="A49" s="4" t="s">
        <v>718</v>
      </c>
      <c r="B49" s="4">
        <v>360975</v>
      </c>
      <c r="C49" s="4" t="s">
        <v>2365</v>
      </c>
      <c r="D49" s="9">
        <v>8295</v>
      </c>
    </row>
    <row r="50" spans="1:4" x14ac:dyDescent="0.25">
      <c r="A50" s="4" t="s">
        <v>718</v>
      </c>
      <c r="B50" s="4">
        <v>361197</v>
      </c>
      <c r="C50" s="4" t="s">
        <v>2366</v>
      </c>
      <c r="D50" s="9">
        <v>21600</v>
      </c>
    </row>
    <row r="51" spans="1:4" x14ac:dyDescent="0.25">
      <c r="A51" s="4" t="s">
        <v>718</v>
      </c>
      <c r="B51" s="4">
        <v>360973</v>
      </c>
      <c r="C51" s="4" t="s">
        <v>2367</v>
      </c>
      <c r="D51" s="9">
        <v>555</v>
      </c>
    </row>
    <row r="52" spans="1:4" x14ac:dyDescent="0.25">
      <c r="A52" s="4" t="s">
        <v>718</v>
      </c>
      <c r="B52" s="4">
        <v>360977</v>
      </c>
      <c r="C52" s="4" t="s">
        <v>2368</v>
      </c>
      <c r="D52" s="9">
        <v>1242</v>
      </c>
    </row>
    <row r="53" spans="1:4" x14ac:dyDescent="0.25">
      <c r="A53" s="4" t="s">
        <v>718</v>
      </c>
      <c r="B53" s="4">
        <v>360904</v>
      </c>
      <c r="C53" s="4" t="s">
        <v>2369</v>
      </c>
      <c r="D53" s="9">
        <v>16800</v>
      </c>
    </row>
    <row r="54" spans="1:4" x14ac:dyDescent="0.25">
      <c r="A54" s="4" t="s">
        <v>718</v>
      </c>
      <c r="B54" s="4">
        <v>360903</v>
      </c>
      <c r="C54" s="4" t="s">
        <v>2370</v>
      </c>
      <c r="D54" s="9">
        <v>3700</v>
      </c>
    </row>
    <row r="55" spans="1:4" x14ac:dyDescent="0.25">
      <c r="A55" s="4" t="s">
        <v>718</v>
      </c>
      <c r="B55" s="4">
        <v>360933</v>
      </c>
      <c r="C55" s="4" t="s">
        <v>2371</v>
      </c>
      <c r="D55" s="9">
        <v>8000</v>
      </c>
    </row>
    <row r="56" spans="1:4" x14ac:dyDescent="0.25">
      <c r="A56" s="4" t="s">
        <v>718</v>
      </c>
      <c r="B56" s="4">
        <v>360934</v>
      </c>
      <c r="C56" s="4" t="s">
        <v>2372</v>
      </c>
      <c r="D56" s="9">
        <v>11100</v>
      </c>
    </row>
    <row r="57" spans="1:4" x14ac:dyDescent="0.25">
      <c r="A57" s="4" t="s">
        <v>718</v>
      </c>
      <c r="B57" s="4">
        <v>360951</v>
      </c>
      <c r="C57" s="4" t="s">
        <v>2373</v>
      </c>
      <c r="D57" s="9">
        <v>800</v>
      </c>
    </row>
    <row r="58" spans="1:4" x14ac:dyDescent="0.25">
      <c r="A58" s="4" t="s">
        <v>718</v>
      </c>
      <c r="B58" s="4">
        <v>360950</v>
      </c>
      <c r="C58" s="4" t="s">
        <v>2374</v>
      </c>
      <c r="D58" s="9">
        <v>6660</v>
      </c>
    </row>
    <row r="59" spans="1:4" x14ac:dyDescent="0.25">
      <c r="A59" s="4" t="s">
        <v>718</v>
      </c>
      <c r="B59" s="4">
        <v>360915</v>
      </c>
      <c r="C59" s="4" t="s">
        <v>2375</v>
      </c>
      <c r="D59" s="9">
        <v>6660</v>
      </c>
    </row>
    <row r="60" spans="1:4" x14ac:dyDescent="0.25">
      <c r="A60" s="4" t="s">
        <v>718</v>
      </c>
      <c r="B60" s="4">
        <v>360888</v>
      </c>
      <c r="C60" s="4" t="s">
        <v>2376</v>
      </c>
      <c r="D60" s="9">
        <v>4070</v>
      </c>
    </row>
    <row r="61" spans="1:4" x14ac:dyDescent="0.25">
      <c r="A61" s="4" t="s">
        <v>718</v>
      </c>
      <c r="B61" s="4">
        <v>360891</v>
      </c>
      <c r="C61" s="4" t="s">
        <v>2377</v>
      </c>
      <c r="D61" s="9">
        <v>10390</v>
      </c>
    </row>
    <row r="62" spans="1:4" x14ac:dyDescent="0.25">
      <c r="A62" s="4" t="s">
        <v>32</v>
      </c>
      <c r="B62" s="4">
        <v>359511</v>
      </c>
      <c r="C62" s="4" t="s">
        <v>2269</v>
      </c>
      <c r="D62" s="9">
        <v>170</v>
      </c>
    </row>
    <row r="63" spans="1:4" x14ac:dyDescent="0.25">
      <c r="A63" s="4" t="s">
        <v>315</v>
      </c>
      <c r="B63" s="4">
        <v>361011</v>
      </c>
      <c r="C63" s="4" t="s">
        <v>2378</v>
      </c>
      <c r="D63" s="9">
        <v>15995</v>
      </c>
    </row>
    <row r="64" spans="1:4" x14ac:dyDescent="0.25">
      <c r="A64" s="4" t="s">
        <v>315</v>
      </c>
      <c r="B64" s="4">
        <v>360591</v>
      </c>
      <c r="C64" s="4" t="s">
        <v>2379</v>
      </c>
      <c r="D64" s="9">
        <v>420</v>
      </c>
    </row>
    <row r="65" spans="1:4" x14ac:dyDescent="0.25">
      <c r="A65" s="4" t="s">
        <v>2291</v>
      </c>
      <c r="B65" s="4">
        <v>356882</v>
      </c>
      <c r="C65" s="4" t="s">
        <v>2293</v>
      </c>
      <c r="D65" s="9">
        <v>1775</v>
      </c>
    </row>
    <row r="66" spans="1:4" x14ac:dyDescent="0.25">
      <c r="A66" s="4" t="s">
        <v>832</v>
      </c>
      <c r="B66" s="4">
        <v>359396</v>
      </c>
      <c r="C66" s="4" t="s">
        <v>2380</v>
      </c>
      <c r="D66" s="9">
        <v>19744</v>
      </c>
    </row>
    <row r="67" spans="1:4" x14ac:dyDescent="0.25">
      <c r="A67" s="4" t="s">
        <v>832</v>
      </c>
      <c r="B67" s="4">
        <v>357998</v>
      </c>
      <c r="C67" s="4" t="s">
        <v>2381</v>
      </c>
      <c r="D67" s="9">
        <v>6350</v>
      </c>
    </row>
    <row r="68" spans="1:4" x14ac:dyDescent="0.25">
      <c r="A68" s="4" t="s">
        <v>832</v>
      </c>
      <c r="B68" s="4">
        <v>359387</v>
      </c>
      <c r="C68" s="4" t="s">
        <v>2382</v>
      </c>
      <c r="D68" s="9">
        <v>1135</v>
      </c>
    </row>
    <row r="69" spans="1:4" x14ac:dyDescent="0.25">
      <c r="A69" s="4" t="s">
        <v>832</v>
      </c>
      <c r="B69" s="4">
        <v>360210</v>
      </c>
      <c r="C69" s="4" t="s">
        <v>2383</v>
      </c>
      <c r="D69" s="9">
        <v>1590</v>
      </c>
    </row>
    <row r="70" spans="1:4" x14ac:dyDescent="0.25">
      <c r="A70" s="4" t="s">
        <v>832</v>
      </c>
      <c r="B70" s="4">
        <v>356505</v>
      </c>
      <c r="C70" s="4" t="s">
        <v>2384</v>
      </c>
      <c r="D70" s="9">
        <v>300</v>
      </c>
    </row>
    <row r="71" spans="1:4" x14ac:dyDescent="0.25">
      <c r="A71" s="4" t="s">
        <v>832</v>
      </c>
      <c r="B71" s="4">
        <v>357999</v>
      </c>
      <c r="C71" s="4" t="s">
        <v>2385</v>
      </c>
      <c r="D71" s="9">
        <v>695</v>
      </c>
    </row>
    <row r="72" spans="1:4" x14ac:dyDescent="0.25">
      <c r="A72" s="4" t="s">
        <v>995</v>
      </c>
      <c r="B72" s="4">
        <v>357375</v>
      </c>
      <c r="C72" s="4" t="s">
        <v>2386</v>
      </c>
      <c r="D72" s="9">
        <v>3630</v>
      </c>
    </row>
    <row r="73" spans="1:4" x14ac:dyDescent="0.25">
      <c r="A73" s="4" t="s">
        <v>995</v>
      </c>
      <c r="B73" s="4">
        <v>361060</v>
      </c>
      <c r="C73" s="4" t="s">
        <v>2387</v>
      </c>
      <c r="D73" s="9">
        <v>1495</v>
      </c>
    </row>
    <row r="74" spans="1:4" x14ac:dyDescent="0.25">
      <c r="A74" s="4" t="s">
        <v>995</v>
      </c>
      <c r="B74" s="4">
        <v>359414</v>
      </c>
      <c r="C74" s="4" t="s">
        <v>2299</v>
      </c>
      <c r="D74" s="9">
        <v>1990</v>
      </c>
    </row>
    <row r="75" spans="1:4" x14ac:dyDescent="0.25">
      <c r="A75" s="4" t="s">
        <v>332</v>
      </c>
      <c r="B75" s="4">
        <v>357731</v>
      </c>
      <c r="C75" s="4" t="s">
        <v>2229</v>
      </c>
      <c r="D75" s="9">
        <v>130</v>
      </c>
    </row>
    <row r="76" spans="1:4" x14ac:dyDescent="0.25">
      <c r="A76" s="4" t="s">
        <v>332</v>
      </c>
      <c r="B76" s="4">
        <v>359610</v>
      </c>
      <c r="C76" s="4" t="s">
        <v>2300</v>
      </c>
      <c r="D76" s="9">
        <v>720</v>
      </c>
    </row>
    <row r="77" spans="1:4" x14ac:dyDescent="0.25">
      <c r="A77" s="4" t="s">
        <v>1106</v>
      </c>
      <c r="B77" s="4">
        <v>360385</v>
      </c>
      <c r="C77" s="4" t="s">
        <v>2388</v>
      </c>
      <c r="D77" s="9">
        <v>1250</v>
      </c>
    </row>
    <row r="78" spans="1:4" x14ac:dyDescent="0.25">
      <c r="A78" s="4" t="s">
        <v>206</v>
      </c>
      <c r="B78" s="4">
        <v>360441</v>
      </c>
      <c r="C78" s="4" t="s">
        <v>2317</v>
      </c>
      <c r="D78" s="9">
        <v>1500</v>
      </c>
    </row>
    <row r="79" spans="1:4" x14ac:dyDescent="0.25">
      <c r="A79" s="4" t="s">
        <v>315</v>
      </c>
      <c r="B79" s="4">
        <v>355815</v>
      </c>
      <c r="C79" s="4" t="s">
        <v>2277</v>
      </c>
      <c r="D79" s="9">
        <v>1160</v>
      </c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83</v>
      </c>
      <c r="D92" s="32">
        <f>SUM(D2:D91)</f>
        <v>528514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4DC2-A859-4773-94E9-3FF31C575B86}">
  <dimension ref="A1:D92"/>
  <sheetViews>
    <sheetView zoomScaleNormal="100" zoomScaleSheetLayoutView="100" workbookViewId="0">
      <selection activeCell="J19" sqref="J19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hidden="1" x14ac:dyDescent="0.25">
      <c r="A2" s="4" t="s">
        <v>232</v>
      </c>
      <c r="B2" s="4">
        <v>361270</v>
      </c>
      <c r="C2" s="4" t="s">
        <v>2320</v>
      </c>
      <c r="D2" s="9">
        <v>0</v>
      </c>
    </row>
    <row r="3" spans="1:4" x14ac:dyDescent="0.25">
      <c r="A3" s="4" t="s">
        <v>108</v>
      </c>
      <c r="B3" s="4">
        <v>361976</v>
      </c>
      <c r="C3" s="4" t="s">
        <v>2389</v>
      </c>
      <c r="D3" s="9">
        <v>2760</v>
      </c>
    </row>
    <row r="4" spans="1:4" x14ac:dyDescent="0.25">
      <c r="A4" s="4" t="s">
        <v>167</v>
      </c>
      <c r="B4" s="4">
        <v>361658</v>
      </c>
      <c r="C4" s="4" t="s">
        <v>2390</v>
      </c>
      <c r="D4" s="9">
        <v>7511</v>
      </c>
    </row>
    <row r="5" spans="1:4" x14ac:dyDescent="0.25">
      <c r="A5" s="4" t="s">
        <v>167</v>
      </c>
      <c r="B5" s="4">
        <v>361669</v>
      </c>
      <c r="C5" s="4" t="s">
        <v>2391</v>
      </c>
      <c r="D5" s="9">
        <v>3503</v>
      </c>
    </row>
    <row r="6" spans="1:4" x14ac:dyDescent="0.25">
      <c r="A6" s="4" t="s">
        <v>167</v>
      </c>
      <c r="B6" s="4">
        <v>361043</v>
      </c>
      <c r="C6" s="4" t="s">
        <v>2392</v>
      </c>
      <c r="D6" s="9">
        <v>385</v>
      </c>
    </row>
    <row r="7" spans="1:4" x14ac:dyDescent="0.25">
      <c r="A7" s="4" t="s">
        <v>175</v>
      </c>
      <c r="B7" s="4">
        <v>361259</v>
      </c>
      <c r="C7" s="4" t="s">
        <v>2321</v>
      </c>
      <c r="D7" s="9">
        <v>131</v>
      </c>
    </row>
    <row r="8" spans="1:4" x14ac:dyDescent="0.25">
      <c r="A8" s="4" t="s">
        <v>2393</v>
      </c>
      <c r="B8" s="4">
        <v>359291</v>
      </c>
      <c r="C8" s="4" t="s">
        <v>2394</v>
      </c>
      <c r="D8" s="9">
        <v>2475</v>
      </c>
    </row>
    <row r="9" spans="1:4" x14ac:dyDescent="0.25">
      <c r="A9" s="4" t="s">
        <v>1904</v>
      </c>
      <c r="B9" s="4">
        <v>360579</v>
      </c>
      <c r="C9" s="4" t="s">
        <v>2322</v>
      </c>
      <c r="D9" s="9">
        <v>5615</v>
      </c>
    </row>
    <row r="10" spans="1:4" x14ac:dyDescent="0.25">
      <c r="A10" s="4" t="s">
        <v>1419</v>
      </c>
      <c r="B10" s="4">
        <v>361017</v>
      </c>
      <c r="C10" s="4" t="s">
        <v>2332</v>
      </c>
      <c r="D10" s="9">
        <v>16300</v>
      </c>
    </row>
    <row r="11" spans="1:4" x14ac:dyDescent="0.25">
      <c r="A11" s="4" t="s">
        <v>1252</v>
      </c>
      <c r="B11" s="4">
        <v>361316</v>
      </c>
      <c r="C11" s="4" t="s">
        <v>2395</v>
      </c>
      <c r="D11" s="9">
        <v>330</v>
      </c>
    </row>
    <row r="12" spans="1:4" x14ac:dyDescent="0.25">
      <c r="A12" s="4" t="s">
        <v>1252</v>
      </c>
      <c r="B12" s="4">
        <v>361445</v>
      </c>
      <c r="C12" s="4" t="s">
        <v>2396</v>
      </c>
      <c r="D12" s="9">
        <v>6133</v>
      </c>
    </row>
    <row r="13" spans="1:4" x14ac:dyDescent="0.25">
      <c r="A13" s="4" t="s">
        <v>1252</v>
      </c>
      <c r="B13" s="4">
        <v>361746</v>
      </c>
      <c r="C13" s="4" t="s">
        <v>2397</v>
      </c>
      <c r="D13" s="9">
        <v>3828</v>
      </c>
    </row>
    <row r="14" spans="1:4" x14ac:dyDescent="0.25">
      <c r="A14" s="4" t="s">
        <v>1252</v>
      </c>
      <c r="B14" s="4">
        <v>361212</v>
      </c>
      <c r="C14" s="4" t="s">
        <v>2398</v>
      </c>
      <c r="D14" s="9">
        <v>11594</v>
      </c>
    </row>
    <row r="15" spans="1:4" x14ac:dyDescent="0.25">
      <c r="A15" s="4" t="s">
        <v>1252</v>
      </c>
      <c r="B15" s="4">
        <v>361316</v>
      </c>
      <c r="C15" s="4" t="s">
        <v>2399</v>
      </c>
      <c r="D15" s="9">
        <v>6278</v>
      </c>
    </row>
    <row r="16" spans="1:4" x14ac:dyDescent="0.25">
      <c r="A16" s="4" t="s">
        <v>1252</v>
      </c>
      <c r="B16" s="4">
        <v>361320</v>
      </c>
      <c r="C16" s="4" t="s">
        <v>2400</v>
      </c>
      <c r="D16" s="9">
        <v>2794</v>
      </c>
    </row>
    <row r="17" spans="1:4" x14ac:dyDescent="0.25">
      <c r="A17" s="4" t="s">
        <v>1252</v>
      </c>
      <c r="B17" s="4">
        <v>361445</v>
      </c>
      <c r="C17" s="4" t="s">
        <v>2401</v>
      </c>
      <c r="D17" s="9">
        <v>2200</v>
      </c>
    </row>
    <row r="18" spans="1:4" x14ac:dyDescent="0.25">
      <c r="A18" s="4" t="s">
        <v>1252</v>
      </c>
      <c r="B18" s="4">
        <v>361746</v>
      </c>
      <c r="C18" s="4" t="s">
        <v>2402</v>
      </c>
      <c r="D18" s="9">
        <v>3168</v>
      </c>
    </row>
    <row r="19" spans="1:4" x14ac:dyDescent="0.25">
      <c r="A19" s="4" t="s">
        <v>1252</v>
      </c>
      <c r="B19" s="4">
        <v>361212</v>
      </c>
      <c r="C19" s="4" t="s">
        <v>2403</v>
      </c>
      <c r="D19" s="9">
        <v>1232</v>
      </c>
    </row>
    <row r="20" spans="1:4" x14ac:dyDescent="0.25">
      <c r="A20" s="4" t="s">
        <v>1252</v>
      </c>
      <c r="B20" s="4">
        <v>361320</v>
      </c>
      <c r="C20" s="4" t="s">
        <v>2404</v>
      </c>
      <c r="D20" s="9">
        <v>1782</v>
      </c>
    </row>
    <row r="21" spans="1:4" x14ac:dyDescent="0.25">
      <c r="A21" s="4" t="s">
        <v>1252</v>
      </c>
      <c r="B21" s="4">
        <v>361445</v>
      </c>
      <c r="C21" s="4" t="s">
        <v>2405</v>
      </c>
      <c r="D21" s="9">
        <v>16143</v>
      </c>
    </row>
    <row r="22" spans="1:4" x14ac:dyDescent="0.25">
      <c r="A22" s="4" t="s">
        <v>180</v>
      </c>
      <c r="B22" s="4">
        <v>355959</v>
      </c>
      <c r="C22" s="4" t="s">
        <v>2364</v>
      </c>
      <c r="D22" s="9">
        <v>895</v>
      </c>
    </row>
    <row r="23" spans="1:4" x14ac:dyDescent="0.25">
      <c r="A23" s="4" t="s">
        <v>718</v>
      </c>
      <c r="B23" s="4">
        <v>360975</v>
      </c>
      <c r="C23" s="4" t="s">
        <v>2365</v>
      </c>
      <c r="D23" s="9">
        <v>8295</v>
      </c>
    </row>
    <row r="24" spans="1:4" x14ac:dyDescent="0.25">
      <c r="A24" s="4" t="s">
        <v>718</v>
      </c>
      <c r="B24" s="4">
        <v>361197</v>
      </c>
      <c r="C24" s="4" t="s">
        <v>2366</v>
      </c>
      <c r="D24" s="9">
        <v>21600</v>
      </c>
    </row>
    <row r="25" spans="1:4" x14ac:dyDescent="0.25">
      <c r="A25" s="4" t="s">
        <v>718</v>
      </c>
      <c r="B25" s="4">
        <v>360973</v>
      </c>
      <c r="C25" s="4" t="s">
        <v>2367</v>
      </c>
      <c r="D25" s="9">
        <v>555</v>
      </c>
    </row>
    <row r="26" spans="1:4" x14ac:dyDescent="0.25">
      <c r="A26" s="4" t="s">
        <v>718</v>
      </c>
      <c r="B26" s="4">
        <v>360977</v>
      </c>
      <c r="C26" s="4" t="s">
        <v>2368</v>
      </c>
      <c r="D26" s="9">
        <v>1242</v>
      </c>
    </row>
    <row r="27" spans="1:4" x14ac:dyDescent="0.25">
      <c r="A27" s="4" t="s">
        <v>718</v>
      </c>
      <c r="B27" s="4">
        <v>360933</v>
      </c>
      <c r="C27" s="4" t="s">
        <v>2371</v>
      </c>
      <c r="D27" s="9">
        <v>8000</v>
      </c>
    </row>
    <row r="28" spans="1:4" x14ac:dyDescent="0.25">
      <c r="A28" s="4" t="s">
        <v>718</v>
      </c>
      <c r="B28" s="4">
        <v>360934</v>
      </c>
      <c r="C28" s="4" t="s">
        <v>2372</v>
      </c>
      <c r="D28" s="9">
        <v>11100</v>
      </c>
    </row>
    <row r="29" spans="1:4" x14ac:dyDescent="0.25">
      <c r="A29" s="4" t="s">
        <v>718</v>
      </c>
      <c r="B29" s="4">
        <v>360951</v>
      </c>
      <c r="C29" s="4" t="s">
        <v>2373</v>
      </c>
      <c r="D29" s="9">
        <v>800</v>
      </c>
    </row>
    <row r="30" spans="1:4" x14ac:dyDescent="0.25">
      <c r="A30" s="4" t="s">
        <v>718</v>
      </c>
      <c r="B30" s="4">
        <v>360950</v>
      </c>
      <c r="C30" s="4" t="s">
        <v>2374</v>
      </c>
      <c r="D30" s="9">
        <v>6660</v>
      </c>
    </row>
    <row r="31" spans="1:4" x14ac:dyDescent="0.25">
      <c r="A31" s="4" t="s">
        <v>718</v>
      </c>
      <c r="B31" s="4">
        <v>360915</v>
      </c>
      <c r="C31" s="4" t="s">
        <v>2375</v>
      </c>
      <c r="D31" s="9">
        <v>6660</v>
      </c>
    </row>
    <row r="32" spans="1:4" x14ac:dyDescent="0.25">
      <c r="A32" s="4" t="s">
        <v>718</v>
      </c>
      <c r="B32" s="4">
        <v>360888</v>
      </c>
      <c r="C32" s="4" t="s">
        <v>2376</v>
      </c>
      <c r="D32" s="9">
        <v>4070</v>
      </c>
    </row>
    <row r="33" spans="1:4" x14ac:dyDescent="0.25">
      <c r="A33" s="4" t="s">
        <v>718</v>
      </c>
      <c r="B33" s="4">
        <v>360891</v>
      </c>
      <c r="C33" s="4" t="s">
        <v>2377</v>
      </c>
      <c r="D33" s="9">
        <v>10390</v>
      </c>
    </row>
    <row r="34" spans="1:4" x14ac:dyDescent="0.25">
      <c r="A34" s="4" t="s">
        <v>32</v>
      </c>
      <c r="B34" s="4">
        <v>361504</v>
      </c>
      <c r="C34" s="4" t="s">
        <v>2406</v>
      </c>
      <c r="D34" s="9">
        <v>23705</v>
      </c>
    </row>
    <row r="35" spans="1:4" x14ac:dyDescent="0.25">
      <c r="A35" s="4" t="s">
        <v>32</v>
      </c>
      <c r="B35" s="4">
        <v>361510</v>
      </c>
      <c r="C35" s="4" t="s">
        <v>2407</v>
      </c>
      <c r="D35" s="9">
        <v>1195</v>
      </c>
    </row>
    <row r="36" spans="1:4" x14ac:dyDescent="0.25">
      <c r="A36" s="4" t="s">
        <v>32</v>
      </c>
      <c r="B36" s="4">
        <v>359511</v>
      </c>
      <c r="C36" s="4" t="s">
        <v>2269</v>
      </c>
      <c r="D36" s="9">
        <v>170</v>
      </c>
    </row>
    <row r="37" spans="1:4" x14ac:dyDescent="0.25">
      <c r="A37" s="4" t="s">
        <v>34</v>
      </c>
      <c r="B37" s="4">
        <v>361841</v>
      </c>
      <c r="C37" s="4" t="s">
        <v>2408</v>
      </c>
      <c r="D37" s="9">
        <v>69162</v>
      </c>
    </row>
    <row r="38" spans="1:4" x14ac:dyDescent="0.25">
      <c r="A38" s="4" t="s">
        <v>34</v>
      </c>
      <c r="B38" s="4">
        <v>361667</v>
      </c>
      <c r="C38" s="4" t="s">
        <v>2409</v>
      </c>
      <c r="D38" s="9">
        <v>16606</v>
      </c>
    </row>
    <row r="39" spans="1:4" x14ac:dyDescent="0.25">
      <c r="A39" s="4" t="s">
        <v>315</v>
      </c>
      <c r="B39" s="4">
        <v>360591</v>
      </c>
      <c r="C39" s="4" t="s">
        <v>2379</v>
      </c>
      <c r="D39" s="9">
        <v>420</v>
      </c>
    </row>
    <row r="40" spans="1:4" x14ac:dyDescent="0.25">
      <c r="A40" s="4" t="s">
        <v>2291</v>
      </c>
      <c r="B40" s="4">
        <v>356882</v>
      </c>
      <c r="C40" s="4" t="s">
        <v>2410</v>
      </c>
      <c r="D40" s="9">
        <v>1775</v>
      </c>
    </row>
    <row r="41" spans="1:4" x14ac:dyDescent="0.25">
      <c r="A41" s="4" t="s">
        <v>995</v>
      </c>
      <c r="B41" s="4">
        <v>361060</v>
      </c>
      <c r="C41" s="4" t="s">
        <v>2411</v>
      </c>
      <c r="D41" s="9">
        <v>1495</v>
      </c>
    </row>
    <row r="42" spans="1:4" x14ac:dyDescent="0.25">
      <c r="A42" s="4" t="s">
        <v>995</v>
      </c>
      <c r="B42" s="4">
        <v>359414</v>
      </c>
      <c r="C42" s="4" t="s">
        <v>2299</v>
      </c>
      <c r="D42" s="9">
        <v>1990</v>
      </c>
    </row>
    <row r="43" spans="1:4" x14ac:dyDescent="0.25">
      <c r="A43" s="4" t="s">
        <v>332</v>
      </c>
      <c r="B43" s="4">
        <v>357731</v>
      </c>
      <c r="C43" s="4" t="s">
        <v>2229</v>
      </c>
      <c r="D43" s="9">
        <v>130</v>
      </c>
    </row>
    <row r="44" spans="1:4" x14ac:dyDescent="0.25">
      <c r="A44" s="4" t="s">
        <v>1106</v>
      </c>
      <c r="B44" s="4">
        <v>360385</v>
      </c>
      <c r="C44" s="4" t="s">
        <v>2388</v>
      </c>
      <c r="D44" s="9">
        <v>1250</v>
      </c>
    </row>
    <row r="45" spans="1:4" x14ac:dyDescent="0.25">
      <c r="A45" s="4" t="s">
        <v>206</v>
      </c>
      <c r="B45" s="4">
        <v>360441</v>
      </c>
      <c r="C45" s="4" t="s">
        <v>2317</v>
      </c>
      <c r="D45" s="9">
        <v>1500</v>
      </c>
    </row>
    <row r="46" spans="1:4" x14ac:dyDescent="0.25">
      <c r="A46" s="4" t="s">
        <v>61</v>
      </c>
      <c r="B46" s="4">
        <v>361652</v>
      </c>
      <c r="C46" s="4" t="s">
        <v>2412</v>
      </c>
      <c r="D46" s="9">
        <v>12920</v>
      </c>
    </row>
    <row r="47" spans="1:4" x14ac:dyDescent="0.25">
      <c r="A47" s="4" t="s">
        <v>61</v>
      </c>
      <c r="B47" s="4">
        <v>361651</v>
      </c>
      <c r="C47" s="4" t="s">
        <v>2413</v>
      </c>
      <c r="D47" s="9">
        <v>3549</v>
      </c>
    </row>
    <row r="48" spans="1:4" x14ac:dyDescent="0.25">
      <c r="A48" s="4" t="s">
        <v>1419</v>
      </c>
      <c r="B48" s="4">
        <v>361027</v>
      </c>
      <c r="C48" s="4" t="s">
        <v>2333</v>
      </c>
      <c r="D48" s="9">
        <v>14480</v>
      </c>
    </row>
    <row r="49" spans="1:4" x14ac:dyDescent="0.25">
      <c r="A49" s="4" t="s">
        <v>315</v>
      </c>
      <c r="B49" s="4">
        <v>351481</v>
      </c>
      <c r="C49" s="4" t="s">
        <v>2414</v>
      </c>
      <c r="D49" s="9">
        <v>230</v>
      </c>
    </row>
    <row r="50" spans="1:4" x14ac:dyDescent="0.25">
      <c r="A50" s="4" t="s">
        <v>315</v>
      </c>
      <c r="B50" s="4">
        <v>350916</v>
      </c>
      <c r="C50" s="4" t="s">
        <v>2415</v>
      </c>
      <c r="D50" s="9">
        <v>2295</v>
      </c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83</v>
      </c>
      <c r="D92" s="32">
        <f>SUM(D2:D91)</f>
        <v>327301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1234-8897-4452-9B33-A2B1B8C98735}">
  <dimension ref="A1:D92"/>
  <sheetViews>
    <sheetView zoomScaleNormal="100" zoomScaleSheetLayoutView="100" workbookViewId="0">
      <selection activeCell="A96" sqref="A96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hidden="1" x14ac:dyDescent="0.25">
      <c r="A2" s="4" t="s">
        <v>232</v>
      </c>
      <c r="B2" s="4">
        <v>361270</v>
      </c>
      <c r="C2" s="4" t="s">
        <v>2320</v>
      </c>
      <c r="D2" s="9">
        <v>0</v>
      </c>
    </row>
    <row r="3" spans="1:4" x14ac:dyDescent="0.25">
      <c r="A3" s="4" t="s">
        <v>5</v>
      </c>
      <c r="B3" s="4">
        <v>358309</v>
      </c>
      <c r="C3" s="4" t="s">
        <v>2416</v>
      </c>
      <c r="D3" s="9">
        <v>1976</v>
      </c>
    </row>
    <row r="4" spans="1:4" x14ac:dyDescent="0.25">
      <c r="A4" s="4" t="s">
        <v>5</v>
      </c>
      <c r="B4" s="4">
        <v>359444</v>
      </c>
      <c r="C4" s="4" t="s">
        <v>2417</v>
      </c>
      <c r="D4" s="9">
        <v>3690</v>
      </c>
    </row>
    <row r="5" spans="1:4" x14ac:dyDescent="0.25">
      <c r="A5" s="4" t="s">
        <v>5</v>
      </c>
      <c r="B5" s="4">
        <v>358309</v>
      </c>
      <c r="C5" s="4" t="s">
        <v>2418</v>
      </c>
      <c r="D5" s="9">
        <v>3600</v>
      </c>
    </row>
    <row r="6" spans="1:4" x14ac:dyDescent="0.25">
      <c r="A6" s="4" t="s">
        <v>638</v>
      </c>
      <c r="B6" s="4">
        <v>360427</v>
      </c>
      <c r="C6" s="4" t="s">
        <v>2419</v>
      </c>
      <c r="D6" s="9">
        <v>295</v>
      </c>
    </row>
    <row r="7" spans="1:4" x14ac:dyDescent="0.25">
      <c r="A7" s="4" t="s">
        <v>232</v>
      </c>
      <c r="B7" s="4">
        <v>361270</v>
      </c>
      <c r="C7" s="4" t="s">
        <v>2320</v>
      </c>
      <c r="D7" s="9">
        <v>0</v>
      </c>
    </row>
    <row r="8" spans="1:4" x14ac:dyDescent="0.25">
      <c r="A8" s="4" t="s">
        <v>500</v>
      </c>
      <c r="B8" s="4">
        <v>361971</v>
      </c>
      <c r="C8" s="4" t="s">
        <v>2420</v>
      </c>
      <c r="D8" s="9">
        <v>1064</v>
      </c>
    </row>
    <row r="9" spans="1:4" x14ac:dyDescent="0.25">
      <c r="A9" s="4" t="s">
        <v>167</v>
      </c>
      <c r="B9" s="4">
        <v>361043</v>
      </c>
      <c r="C9" s="4" t="s">
        <v>2392</v>
      </c>
      <c r="D9" s="9">
        <v>385</v>
      </c>
    </row>
    <row r="10" spans="1:4" x14ac:dyDescent="0.25">
      <c r="A10" s="4" t="s">
        <v>175</v>
      </c>
      <c r="B10" s="4">
        <v>361259</v>
      </c>
      <c r="C10" s="4" t="s">
        <v>2321</v>
      </c>
      <c r="D10" s="9">
        <v>131</v>
      </c>
    </row>
    <row r="11" spans="1:4" x14ac:dyDescent="0.25">
      <c r="A11" s="4" t="s">
        <v>2393</v>
      </c>
      <c r="B11" s="4">
        <v>362156</v>
      </c>
      <c r="C11" s="4" t="s">
        <v>2421</v>
      </c>
      <c r="D11" s="9">
        <v>1785</v>
      </c>
    </row>
    <row r="12" spans="1:4" x14ac:dyDescent="0.25">
      <c r="A12" s="4" t="s">
        <v>1904</v>
      </c>
      <c r="B12" s="4">
        <v>360579</v>
      </c>
      <c r="C12" s="4" t="s">
        <v>2322</v>
      </c>
      <c r="D12" s="9">
        <v>5615</v>
      </c>
    </row>
    <row r="13" spans="1:4" x14ac:dyDescent="0.25">
      <c r="A13" s="4" t="s">
        <v>1419</v>
      </c>
      <c r="B13" s="4">
        <v>361017</v>
      </c>
      <c r="C13" s="4" t="s">
        <v>2332</v>
      </c>
      <c r="D13" s="9">
        <v>16300</v>
      </c>
    </row>
    <row r="14" spans="1:4" x14ac:dyDescent="0.25">
      <c r="A14" s="4" t="s">
        <v>1252</v>
      </c>
      <c r="B14" s="4">
        <v>361316</v>
      </c>
      <c r="C14" s="4" t="s">
        <v>2395</v>
      </c>
      <c r="D14" s="9">
        <v>330</v>
      </c>
    </row>
    <row r="15" spans="1:4" x14ac:dyDescent="0.25">
      <c r="A15" s="4" t="s">
        <v>1252</v>
      </c>
      <c r="B15" s="4">
        <v>361445</v>
      </c>
      <c r="C15" s="4" t="s">
        <v>2396</v>
      </c>
      <c r="D15" s="9">
        <v>6133</v>
      </c>
    </row>
    <row r="16" spans="1:4" x14ac:dyDescent="0.25">
      <c r="A16" s="4" t="s">
        <v>1252</v>
      </c>
      <c r="B16" s="4">
        <v>361746</v>
      </c>
      <c r="C16" s="4" t="s">
        <v>2397</v>
      </c>
      <c r="D16" s="9">
        <v>3828</v>
      </c>
    </row>
    <row r="17" spans="1:4" x14ac:dyDescent="0.25">
      <c r="A17" s="4" t="s">
        <v>1252</v>
      </c>
      <c r="B17" s="4">
        <v>361212</v>
      </c>
      <c r="C17" s="4" t="s">
        <v>2398</v>
      </c>
      <c r="D17" s="9">
        <v>11594</v>
      </c>
    </row>
    <row r="18" spans="1:4" x14ac:dyDescent="0.25">
      <c r="A18" s="4" t="s">
        <v>1252</v>
      </c>
      <c r="B18" s="4">
        <v>361316</v>
      </c>
      <c r="C18" s="4" t="s">
        <v>2399</v>
      </c>
      <c r="D18" s="9">
        <v>6278</v>
      </c>
    </row>
    <row r="19" spans="1:4" x14ac:dyDescent="0.25">
      <c r="A19" s="4" t="s">
        <v>1252</v>
      </c>
      <c r="B19" s="4">
        <v>361320</v>
      </c>
      <c r="C19" s="4" t="s">
        <v>2400</v>
      </c>
      <c r="D19" s="9">
        <v>2794</v>
      </c>
    </row>
    <row r="20" spans="1:4" x14ac:dyDescent="0.25">
      <c r="A20" s="4" t="s">
        <v>1252</v>
      </c>
      <c r="B20" s="4">
        <v>361445</v>
      </c>
      <c r="C20" s="4" t="s">
        <v>2401</v>
      </c>
      <c r="D20" s="9">
        <v>2200</v>
      </c>
    </row>
    <row r="21" spans="1:4" x14ac:dyDescent="0.25">
      <c r="A21" s="4" t="s">
        <v>1252</v>
      </c>
      <c r="B21" s="4">
        <v>361746</v>
      </c>
      <c r="C21" s="4" t="s">
        <v>2402</v>
      </c>
      <c r="D21" s="9">
        <v>3168</v>
      </c>
    </row>
    <row r="22" spans="1:4" x14ac:dyDescent="0.25">
      <c r="A22" s="4" t="s">
        <v>1252</v>
      </c>
      <c r="B22" s="4">
        <v>361212</v>
      </c>
      <c r="C22" s="4" t="s">
        <v>2403</v>
      </c>
      <c r="D22" s="9">
        <v>1232</v>
      </c>
    </row>
    <row r="23" spans="1:4" x14ac:dyDescent="0.25">
      <c r="A23" s="4" t="s">
        <v>1252</v>
      </c>
      <c r="B23" s="4">
        <v>361320</v>
      </c>
      <c r="C23" s="4" t="s">
        <v>2404</v>
      </c>
      <c r="D23" s="9">
        <v>1782</v>
      </c>
    </row>
    <row r="24" spans="1:4" x14ac:dyDescent="0.25">
      <c r="A24" s="4" t="s">
        <v>1252</v>
      </c>
      <c r="B24" s="4">
        <v>361445</v>
      </c>
      <c r="C24" s="4" t="s">
        <v>2405</v>
      </c>
      <c r="D24" s="9">
        <v>16143</v>
      </c>
    </row>
    <row r="25" spans="1:4" x14ac:dyDescent="0.25">
      <c r="A25" s="4" t="s">
        <v>1252</v>
      </c>
      <c r="B25" s="4">
        <v>361429</v>
      </c>
      <c r="C25" s="4" t="s">
        <v>2422</v>
      </c>
      <c r="D25" s="9">
        <v>33809</v>
      </c>
    </row>
    <row r="26" spans="1:4" x14ac:dyDescent="0.25">
      <c r="A26" s="4" t="s">
        <v>1252</v>
      </c>
      <c r="B26" s="4">
        <v>361429</v>
      </c>
      <c r="C26" s="4" t="s">
        <v>2423</v>
      </c>
      <c r="D26" s="9">
        <v>35921</v>
      </c>
    </row>
    <row r="27" spans="1:4" x14ac:dyDescent="0.25">
      <c r="A27" s="4" t="s">
        <v>180</v>
      </c>
      <c r="B27" s="4">
        <v>360631</v>
      </c>
      <c r="C27" s="4" t="s">
        <v>2424</v>
      </c>
      <c r="D27" s="9">
        <v>795</v>
      </c>
    </row>
    <row r="28" spans="1:4" x14ac:dyDescent="0.25">
      <c r="A28" s="4" t="s">
        <v>180</v>
      </c>
      <c r="B28" s="4">
        <v>355959</v>
      </c>
      <c r="C28" s="4" t="s">
        <v>2364</v>
      </c>
      <c r="D28" s="9">
        <v>895</v>
      </c>
    </row>
    <row r="29" spans="1:4" x14ac:dyDescent="0.25">
      <c r="A29" s="4" t="s">
        <v>718</v>
      </c>
      <c r="B29" s="4">
        <v>360975</v>
      </c>
      <c r="C29" s="4" t="s">
        <v>2365</v>
      </c>
      <c r="D29" s="9">
        <v>8295</v>
      </c>
    </row>
    <row r="30" spans="1:4" x14ac:dyDescent="0.25">
      <c r="A30" s="4" t="s">
        <v>718</v>
      </c>
      <c r="B30" s="4">
        <v>361197</v>
      </c>
      <c r="C30" s="4" t="s">
        <v>2366</v>
      </c>
      <c r="D30" s="9">
        <v>21600</v>
      </c>
    </row>
    <row r="31" spans="1:4" x14ac:dyDescent="0.25">
      <c r="A31" s="4" t="s">
        <v>718</v>
      </c>
      <c r="B31" s="4">
        <v>360973</v>
      </c>
      <c r="C31" s="4" t="s">
        <v>2367</v>
      </c>
      <c r="D31" s="9">
        <v>555</v>
      </c>
    </row>
    <row r="32" spans="1:4" x14ac:dyDescent="0.25">
      <c r="A32" s="4" t="s">
        <v>718</v>
      </c>
      <c r="B32" s="4">
        <v>360977</v>
      </c>
      <c r="C32" s="4" t="s">
        <v>2368</v>
      </c>
      <c r="D32" s="9">
        <v>1242</v>
      </c>
    </row>
    <row r="33" spans="1:4" x14ac:dyDescent="0.25">
      <c r="A33" s="4" t="s">
        <v>718</v>
      </c>
      <c r="B33" s="4">
        <v>360933</v>
      </c>
      <c r="C33" s="4" t="s">
        <v>2371</v>
      </c>
      <c r="D33" s="9">
        <v>8000</v>
      </c>
    </row>
    <row r="34" spans="1:4" x14ac:dyDescent="0.25">
      <c r="A34" s="4" t="s">
        <v>718</v>
      </c>
      <c r="B34" s="4">
        <v>360934</v>
      </c>
      <c r="C34" s="4" t="s">
        <v>2372</v>
      </c>
      <c r="D34" s="9">
        <v>11100</v>
      </c>
    </row>
    <row r="35" spans="1:4" x14ac:dyDescent="0.25">
      <c r="A35" s="4" t="s">
        <v>718</v>
      </c>
      <c r="B35" s="4">
        <v>360951</v>
      </c>
      <c r="C35" s="4" t="s">
        <v>2373</v>
      </c>
      <c r="D35" s="9">
        <v>800</v>
      </c>
    </row>
    <row r="36" spans="1:4" x14ac:dyDescent="0.25">
      <c r="A36" s="4" t="s">
        <v>718</v>
      </c>
      <c r="B36" s="4">
        <v>360950</v>
      </c>
      <c r="C36" s="4" t="s">
        <v>2374</v>
      </c>
      <c r="D36" s="9">
        <v>6660</v>
      </c>
    </row>
    <row r="37" spans="1:4" x14ac:dyDescent="0.25">
      <c r="A37" s="4" t="s">
        <v>718</v>
      </c>
      <c r="B37" s="4">
        <v>360915</v>
      </c>
      <c r="C37" s="4" t="s">
        <v>2375</v>
      </c>
      <c r="D37" s="9">
        <v>6660</v>
      </c>
    </row>
    <row r="38" spans="1:4" x14ac:dyDescent="0.25">
      <c r="A38" s="4" t="s">
        <v>718</v>
      </c>
      <c r="B38" s="4">
        <v>360891</v>
      </c>
      <c r="C38" s="4" t="s">
        <v>2377</v>
      </c>
      <c r="D38" s="9">
        <v>10390</v>
      </c>
    </row>
    <row r="39" spans="1:4" x14ac:dyDescent="0.25">
      <c r="A39" s="4" t="s">
        <v>32</v>
      </c>
      <c r="B39" s="4">
        <v>362125</v>
      </c>
      <c r="C39" s="4" t="s">
        <v>2425</v>
      </c>
      <c r="D39" s="9">
        <v>23600</v>
      </c>
    </row>
    <row r="40" spans="1:4" x14ac:dyDescent="0.25">
      <c r="A40" s="4" t="s">
        <v>32</v>
      </c>
      <c r="B40" s="4">
        <v>361510</v>
      </c>
      <c r="C40" s="4" t="s">
        <v>2407</v>
      </c>
      <c r="D40" s="9">
        <v>1195</v>
      </c>
    </row>
    <row r="41" spans="1:4" x14ac:dyDescent="0.25">
      <c r="A41" s="4" t="s">
        <v>32</v>
      </c>
      <c r="B41" s="4">
        <v>359511</v>
      </c>
      <c r="C41" s="4" t="s">
        <v>2269</v>
      </c>
      <c r="D41" s="9">
        <v>170</v>
      </c>
    </row>
    <row r="42" spans="1:4" x14ac:dyDescent="0.25">
      <c r="A42" s="4" t="s">
        <v>34</v>
      </c>
      <c r="B42" s="4">
        <v>361667</v>
      </c>
      <c r="C42" s="4" t="s">
        <v>2409</v>
      </c>
      <c r="D42" s="9">
        <v>16606</v>
      </c>
    </row>
    <row r="43" spans="1:4" x14ac:dyDescent="0.25">
      <c r="A43" s="4" t="s">
        <v>315</v>
      </c>
      <c r="B43" s="4">
        <v>361993</v>
      </c>
      <c r="C43" s="4" t="s">
        <v>2426</v>
      </c>
      <c r="D43" s="9">
        <v>920</v>
      </c>
    </row>
    <row r="44" spans="1:4" x14ac:dyDescent="0.25">
      <c r="A44" s="4" t="s">
        <v>2291</v>
      </c>
      <c r="B44" s="4">
        <v>356882</v>
      </c>
      <c r="C44" s="4" t="s">
        <v>2410</v>
      </c>
      <c r="D44" s="9">
        <v>1775</v>
      </c>
    </row>
    <row r="45" spans="1:4" x14ac:dyDescent="0.25">
      <c r="A45" s="4" t="s">
        <v>2291</v>
      </c>
      <c r="B45" s="4">
        <v>360472</v>
      </c>
      <c r="C45" s="4" t="s">
        <v>2427</v>
      </c>
      <c r="D45" s="9">
        <v>300</v>
      </c>
    </row>
    <row r="46" spans="1:4" x14ac:dyDescent="0.25">
      <c r="A46" s="4" t="s">
        <v>832</v>
      </c>
      <c r="B46" s="4">
        <v>350772</v>
      </c>
      <c r="C46" s="4" t="s">
        <v>2428</v>
      </c>
      <c r="D46" s="9">
        <v>695</v>
      </c>
    </row>
    <row r="47" spans="1:4" x14ac:dyDescent="0.25">
      <c r="A47" s="4" t="s">
        <v>832</v>
      </c>
      <c r="B47" s="4">
        <v>362102</v>
      </c>
      <c r="C47" s="4" t="s">
        <v>2429</v>
      </c>
      <c r="D47" s="9">
        <v>650</v>
      </c>
    </row>
    <row r="48" spans="1:4" x14ac:dyDescent="0.25">
      <c r="A48" s="4" t="s">
        <v>995</v>
      </c>
      <c r="B48" s="4">
        <v>361060</v>
      </c>
      <c r="C48" s="4" t="s">
        <v>2411</v>
      </c>
      <c r="D48" s="9">
        <v>1495</v>
      </c>
    </row>
    <row r="49" spans="1:4" x14ac:dyDescent="0.25">
      <c r="A49" s="4" t="s">
        <v>995</v>
      </c>
      <c r="B49" s="4">
        <v>359414</v>
      </c>
      <c r="C49" s="4" t="s">
        <v>2299</v>
      </c>
      <c r="D49" s="9">
        <v>1990</v>
      </c>
    </row>
    <row r="50" spans="1:4" x14ac:dyDescent="0.25">
      <c r="A50" s="4" t="s">
        <v>332</v>
      </c>
      <c r="B50" s="4">
        <v>357731</v>
      </c>
      <c r="C50" s="4" t="s">
        <v>2229</v>
      </c>
      <c r="D50" s="9">
        <v>130</v>
      </c>
    </row>
    <row r="51" spans="1:4" x14ac:dyDescent="0.25">
      <c r="A51" s="4" t="s">
        <v>206</v>
      </c>
      <c r="B51" s="4">
        <v>360441</v>
      </c>
      <c r="C51" s="4" t="s">
        <v>2317</v>
      </c>
      <c r="D51" s="9">
        <v>1500</v>
      </c>
    </row>
    <row r="52" spans="1:4" x14ac:dyDescent="0.25">
      <c r="A52" s="4" t="s">
        <v>1419</v>
      </c>
      <c r="B52" s="4">
        <v>361027</v>
      </c>
      <c r="C52" s="4" t="s">
        <v>2333</v>
      </c>
      <c r="D52" s="9">
        <v>14480</v>
      </c>
    </row>
    <row r="53" spans="1:4" x14ac:dyDescent="0.25">
      <c r="A53" s="4" t="s">
        <v>315</v>
      </c>
      <c r="B53" s="4">
        <v>351481</v>
      </c>
      <c r="C53" s="4" t="s">
        <v>2414</v>
      </c>
      <c r="D53" s="9">
        <v>230</v>
      </c>
    </row>
    <row r="54" spans="1:4" x14ac:dyDescent="0.25">
      <c r="A54" s="4" t="s">
        <v>315</v>
      </c>
      <c r="B54" s="4">
        <v>350916</v>
      </c>
      <c r="C54" s="4" t="s">
        <v>2415</v>
      </c>
      <c r="D54" s="9">
        <v>2295</v>
      </c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83</v>
      </c>
      <c r="D92" s="32">
        <f>SUM(D2:D91)</f>
        <v>305076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CBB5-3819-49BD-887F-BA730A54E132}">
  <dimension ref="A1:D92"/>
  <sheetViews>
    <sheetView topLeftCell="A17" zoomScaleNormal="100" zoomScaleSheetLayoutView="100" workbookViewId="0">
      <selection activeCell="C99" sqref="C99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hidden="1" x14ac:dyDescent="0.25">
      <c r="A2" s="4" t="s">
        <v>232</v>
      </c>
      <c r="B2" s="4">
        <v>361270</v>
      </c>
      <c r="C2" s="4" t="s">
        <v>2320</v>
      </c>
      <c r="D2" s="9">
        <v>0</v>
      </c>
    </row>
    <row r="3" spans="1:4" x14ac:dyDescent="0.25">
      <c r="A3" s="4" t="s">
        <v>5</v>
      </c>
      <c r="B3" s="4">
        <v>359444</v>
      </c>
      <c r="C3" s="4" t="s">
        <v>2417</v>
      </c>
      <c r="D3" s="9">
        <v>3690</v>
      </c>
    </row>
    <row r="4" spans="1:4" x14ac:dyDescent="0.25">
      <c r="A4" s="4" t="s">
        <v>5</v>
      </c>
      <c r="B4" s="4">
        <v>358309</v>
      </c>
      <c r="C4" s="4" t="s">
        <v>2418</v>
      </c>
      <c r="D4" s="9">
        <v>3600</v>
      </c>
    </row>
    <row r="5" spans="1:4" x14ac:dyDescent="0.25">
      <c r="A5" s="4" t="s">
        <v>638</v>
      </c>
      <c r="B5" s="4">
        <v>360427</v>
      </c>
      <c r="C5" s="4" t="s">
        <v>2419</v>
      </c>
      <c r="D5" s="9">
        <v>295</v>
      </c>
    </row>
    <row r="6" spans="1:4" x14ac:dyDescent="0.25">
      <c r="A6" s="4" t="s">
        <v>108</v>
      </c>
      <c r="B6" s="4">
        <v>363672</v>
      </c>
      <c r="C6" s="4" t="s">
        <v>2430</v>
      </c>
      <c r="D6" s="9">
        <v>115</v>
      </c>
    </row>
    <row r="7" spans="1:4" x14ac:dyDescent="0.25">
      <c r="A7" s="4" t="s">
        <v>108</v>
      </c>
      <c r="B7" s="4">
        <v>363582</v>
      </c>
      <c r="C7" s="4" t="s">
        <v>2431</v>
      </c>
      <c r="D7" s="9">
        <v>300</v>
      </c>
    </row>
    <row r="8" spans="1:4" x14ac:dyDescent="0.25">
      <c r="A8" s="4" t="s">
        <v>111</v>
      </c>
      <c r="B8" s="4">
        <v>363926</v>
      </c>
      <c r="C8" s="4" t="s">
        <v>2432</v>
      </c>
      <c r="D8" s="9">
        <v>198042</v>
      </c>
    </row>
    <row r="9" spans="1:4" x14ac:dyDescent="0.25">
      <c r="A9" s="4" t="s">
        <v>167</v>
      </c>
      <c r="B9" s="4">
        <v>361043</v>
      </c>
      <c r="C9" s="4" t="s">
        <v>2392</v>
      </c>
      <c r="D9" s="9">
        <v>385</v>
      </c>
    </row>
    <row r="10" spans="1:4" x14ac:dyDescent="0.25">
      <c r="A10" s="4" t="s">
        <v>175</v>
      </c>
      <c r="B10" s="4">
        <v>361259</v>
      </c>
      <c r="C10" s="4" t="s">
        <v>2321</v>
      </c>
      <c r="D10" s="9">
        <v>131</v>
      </c>
    </row>
    <row r="11" spans="1:4" x14ac:dyDescent="0.25">
      <c r="A11" s="4" t="s">
        <v>1252</v>
      </c>
      <c r="B11" s="4">
        <v>361316</v>
      </c>
      <c r="C11" s="4" t="s">
        <v>2395</v>
      </c>
      <c r="D11" s="9">
        <v>330</v>
      </c>
    </row>
    <row r="12" spans="1:4" x14ac:dyDescent="0.25">
      <c r="A12" s="4" t="s">
        <v>1252</v>
      </c>
      <c r="B12" s="4">
        <v>361445</v>
      </c>
      <c r="C12" s="4" t="s">
        <v>2396</v>
      </c>
      <c r="D12" s="9">
        <v>6133</v>
      </c>
    </row>
    <row r="13" spans="1:4" x14ac:dyDescent="0.25">
      <c r="A13" s="4" t="s">
        <v>1252</v>
      </c>
      <c r="B13" s="4">
        <v>361746</v>
      </c>
      <c r="C13" s="4" t="s">
        <v>2397</v>
      </c>
      <c r="D13" s="9">
        <v>3828</v>
      </c>
    </row>
    <row r="14" spans="1:4" x14ac:dyDescent="0.25">
      <c r="A14" s="4" t="s">
        <v>1252</v>
      </c>
      <c r="B14" s="4">
        <v>361212</v>
      </c>
      <c r="C14" s="4" t="s">
        <v>2398</v>
      </c>
      <c r="D14" s="9">
        <v>11594</v>
      </c>
    </row>
    <row r="15" spans="1:4" x14ac:dyDescent="0.25">
      <c r="A15" s="4" t="s">
        <v>1252</v>
      </c>
      <c r="B15" s="4">
        <v>361316</v>
      </c>
      <c r="C15" s="4" t="s">
        <v>2399</v>
      </c>
      <c r="D15" s="9">
        <v>6278</v>
      </c>
    </row>
    <row r="16" spans="1:4" x14ac:dyDescent="0.25">
      <c r="A16" s="4" t="s">
        <v>1252</v>
      </c>
      <c r="B16" s="4">
        <v>361320</v>
      </c>
      <c r="C16" s="4" t="s">
        <v>2400</v>
      </c>
      <c r="D16" s="9">
        <v>2794</v>
      </c>
    </row>
    <row r="17" spans="1:4" x14ac:dyDescent="0.25">
      <c r="A17" s="4" t="s">
        <v>1252</v>
      </c>
      <c r="B17" s="4">
        <v>361445</v>
      </c>
      <c r="C17" s="4" t="s">
        <v>2401</v>
      </c>
      <c r="D17" s="9">
        <v>2200</v>
      </c>
    </row>
    <row r="18" spans="1:4" x14ac:dyDescent="0.25">
      <c r="A18" s="4" t="s">
        <v>1252</v>
      </c>
      <c r="B18" s="4">
        <v>361746</v>
      </c>
      <c r="C18" s="4" t="s">
        <v>2402</v>
      </c>
      <c r="D18" s="9">
        <v>3168</v>
      </c>
    </row>
    <row r="19" spans="1:4" x14ac:dyDescent="0.25">
      <c r="A19" s="4" t="s">
        <v>1252</v>
      </c>
      <c r="B19" s="4">
        <v>361212</v>
      </c>
      <c r="C19" s="4" t="s">
        <v>2403</v>
      </c>
      <c r="D19" s="9">
        <v>1232</v>
      </c>
    </row>
    <row r="20" spans="1:4" x14ac:dyDescent="0.25">
      <c r="A20" s="4" t="s">
        <v>1252</v>
      </c>
      <c r="B20" s="4">
        <v>361320</v>
      </c>
      <c r="C20" s="4" t="s">
        <v>2404</v>
      </c>
      <c r="D20" s="9">
        <v>1782</v>
      </c>
    </row>
    <row r="21" spans="1:4" x14ac:dyDescent="0.25">
      <c r="A21" s="4" t="s">
        <v>1252</v>
      </c>
      <c r="B21" s="4">
        <v>361445</v>
      </c>
      <c r="C21" s="4" t="s">
        <v>2405</v>
      </c>
      <c r="D21" s="9">
        <v>16143</v>
      </c>
    </row>
    <row r="22" spans="1:4" x14ac:dyDescent="0.25">
      <c r="A22" s="4" t="s">
        <v>180</v>
      </c>
      <c r="B22" s="4">
        <v>360631</v>
      </c>
      <c r="C22" s="4" t="s">
        <v>2424</v>
      </c>
      <c r="D22" s="9">
        <v>795</v>
      </c>
    </row>
    <row r="23" spans="1:4" x14ac:dyDescent="0.25">
      <c r="A23" s="4" t="s">
        <v>718</v>
      </c>
      <c r="B23" s="4">
        <v>360975</v>
      </c>
      <c r="C23" s="4" t="s">
        <v>2365</v>
      </c>
      <c r="D23" s="9">
        <v>8295</v>
      </c>
    </row>
    <row r="24" spans="1:4" x14ac:dyDescent="0.25">
      <c r="A24" s="4" t="s">
        <v>718</v>
      </c>
      <c r="B24" s="4">
        <v>361197</v>
      </c>
      <c r="C24" s="4" t="s">
        <v>2366</v>
      </c>
      <c r="D24" s="9">
        <v>21600</v>
      </c>
    </row>
    <row r="25" spans="1:4" x14ac:dyDescent="0.25">
      <c r="A25" s="4" t="s">
        <v>718</v>
      </c>
      <c r="B25" s="4">
        <v>360973</v>
      </c>
      <c r="C25" s="4" t="s">
        <v>2367</v>
      </c>
      <c r="D25" s="9">
        <v>555</v>
      </c>
    </row>
    <row r="26" spans="1:4" x14ac:dyDescent="0.25">
      <c r="A26" s="4" t="s">
        <v>718</v>
      </c>
      <c r="B26" s="4">
        <v>360977</v>
      </c>
      <c r="C26" s="4" t="s">
        <v>2368</v>
      </c>
      <c r="D26" s="9">
        <v>1242</v>
      </c>
    </row>
    <row r="27" spans="1:4" x14ac:dyDescent="0.25">
      <c r="A27" s="4" t="s">
        <v>718</v>
      </c>
      <c r="B27" s="4">
        <v>360933</v>
      </c>
      <c r="C27" s="4" t="s">
        <v>2371</v>
      </c>
      <c r="D27" s="9">
        <v>8000</v>
      </c>
    </row>
    <row r="28" spans="1:4" x14ac:dyDescent="0.25">
      <c r="A28" s="4" t="s">
        <v>718</v>
      </c>
      <c r="B28" s="4">
        <v>360934</v>
      </c>
      <c r="C28" s="4" t="s">
        <v>2372</v>
      </c>
      <c r="D28" s="9">
        <v>11100</v>
      </c>
    </row>
    <row r="29" spans="1:4" x14ac:dyDescent="0.25">
      <c r="A29" s="4" t="s">
        <v>718</v>
      </c>
      <c r="B29" s="4">
        <v>360951</v>
      </c>
      <c r="C29" s="4" t="s">
        <v>2373</v>
      </c>
      <c r="D29" s="9">
        <v>800</v>
      </c>
    </row>
    <row r="30" spans="1:4" x14ac:dyDescent="0.25">
      <c r="A30" s="4" t="s">
        <v>718</v>
      </c>
      <c r="B30" s="4">
        <v>360950</v>
      </c>
      <c r="C30" s="4" t="s">
        <v>2374</v>
      </c>
      <c r="D30" s="9">
        <v>6660</v>
      </c>
    </row>
    <row r="31" spans="1:4" x14ac:dyDescent="0.25">
      <c r="A31" s="4" t="s">
        <v>718</v>
      </c>
      <c r="B31" s="4">
        <v>360915</v>
      </c>
      <c r="C31" s="4" t="s">
        <v>2375</v>
      </c>
      <c r="D31" s="9">
        <v>6660</v>
      </c>
    </row>
    <row r="32" spans="1:4" x14ac:dyDescent="0.25">
      <c r="A32" s="4" t="s">
        <v>718</v>
      </c>
      <c r="B32" s="4">
        <v>360891</v>
      </c>
      <c r="C32" s="4" t="s">
        <v>2377</v>
      </c>
      <c r="D32" s="9">
        <v>10390</v>
      </c>
    </row>
    <row r="33" spans="1:4" x14ac:dyDescent="0.25">
      <c r="A33" s="4" t="s">
        <v>32</v>
      </c>
      <c r="B33" s="4">
        <v>359511</v>
      </c>
      <c r="C33" s="4" t="s">
        <v>2269</v>
      </c>
      <c r="D33" s="9">
        <v>170</v>
      </c>
    </row>
    <row r="34" spans="1:4" x14ac:dyDescent="0.25">
      <c r="A34" s="4" t="s">
        <v>34</v>
      </c>
      <c r="B34" s="4">
        <v>361667</v>
      </c>
      <c r="C34" s="4" t="s">
        <v>2409</v>
      </c>
      <c r="D34" s="9">
        <v>16606</v>
      </c>
    </row>
    <row r="35" spans="1:4" x14ac:dyDescent="0.25">
      <c r="A35" s="4" t="s">
        <v>34</v>
      </c>
      <c r="B35" s="4">
        <v>361772</v>
      </c>
      <c r="C35" s="4" t="s">
        <v>2433</v>
      </c>
      <c r="D35" s="9">
        <v>3360</v>
      </c>
    </row>
    <row r="36" spans="1:4" x14ac:dyDescent="0.25">
      <c r="A36" s="4" t="s">
        <v>832</v>
      </c>
      <c r="B36" s="4">
        <v>350772</v>
      </c>
      <c r="C36" s="4" t="s">
        <v>2428</v>
      </c>
      <c r="D36" s="9">
        <v>695</v>
      </c>
    </row>
    <row r="37" spans="1:4" x14ac:dyDescent="0.25">
      <c r="A37" s="4" t="s">
        <v>832</v>
      </c>
      <c r="B37" s="4">
        <v>362102</v>
      </c>
      <c r="C37" s="4" t="s">
        <v>2429</v>
      </c>
      <c r="D37" s="9">
        <v>650</v>
      </c>
    </row>
    <row r="38" spans="1:4" x14ac:dyDescent="0.25">
      <c r="A38" s="4" t="s">
        <v>832</v>
      </c>
      <c r="B38" s="4">
        <v>359045</v>
      </c>
      <c r="C38" s="4" t="s">
        <v>2434</v>
      </c>
      <c r="D38" s="9">
        <v>595</v>
      </c>
    </row>
    <row r="39" spans="1:4" x14ac:dyDescent="0.25">
      <c r="A39" s="4" t="s">
        <v>832</v>
      </c>
      <c r="B39" s="4">
        <v>363569</v>
      </c>
      <c r="C39" s="4" t="s">
        <v>2435</v>
      </c>
      <c r="D39" s="9">
        <v>950</v>
      </c>
    </row>
    <row r="40" spans="1:4" x14ac:dyDescent="0.25">
      <c r="A40" s="4" t="s">
        <v>995</v>
      </c>
      <c r="B40" s="4">
        <v>361060</v>
      </c>
      <c r="C40" s="4" t="s">
        <v>2411</v>
      </c>
      <c r="D40" s="9">
        <v>1495</v>
      </c>
    </row>
    <row r="41" spans="1:4" x14ac:dyDescent="0.25">
      <c r="A41" s="4" t="s">
        <v>315</v>
      </c>
      <c r="B41" s="4">
        <v>351481</v>
      </c>
      <c r="C41" s="4" t="s">
        <v>2414</v>
      </c>
      <c r="D41" s="9">
        <v>230</v>
      </c>
    </row>
    <row r="42" spans="1:4" x14ac:dyDescent="0.25">
      <c r="A42" s="4" t="s">
        <v>315</v>
      </c>
      <c r="B42" s="4">
        <v>350916</v>
      </c>
      <c r="C42" s="4" t="s">
        <v>2415</v>
      </c>
      <c r="D42" s="9">
        <v>2295</v>
      </c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83</v>
      </c>
      <c r="D92" s="32">
        <f>SUM(D2:D91)</f>
        <v>365183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ABD0-2612-4DC5-BE6B-77A896EFD832}">
  <dimension ref="A1:D92"/>
  <sheetViews>
    <sheetView zoomScaleNormal="100" zoomScaleSheetLayoutView="100" workbookViewId="0">
      <selection activeCell="C99" sqref="C99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hidden="1" x14ac:dyDescent="0.25">
      <c r="A2" s="4" t="s">
        <v>232</v>
      </c>
      <c r="B2" s="4">
        <v>361270</v>
      </c>
      <c r="C2" s="4" t="s">
        <v>2320</v>
      </c>
      <c r="D2" s="9">
        <v>0</v>
      </c>
    </row>
    <row r="3" spans="1:4" x14ac:dyDescent="0.25">
      <c r="A3" s="4" t="s">
        <v>5</v>
      </c>
      <c r="B3" s="4">
        <v>359444</v>
      </c>
      <c r="C3" s="4" t="s">
        <v>2417</v>
      </c>
      <c r="D3" s="9">
        <v>3690</v>
      </c>
    </row>
    <row r="4" spans="1:4" x14ac:dyDescent="0.25">
      <c r="A4" s="4" t="s">
        <v>5</v>
      </c>
      <c r="B4" s="4">
        <v>358309</v>
      </c>
      <c r="C4" s="4" t="s">
        <v>2418</v>
      </c>
      <c r="D4" s="9">
        <v>3600</v>
      </c>
    </row>
    <row r="5" spans="1:4" x14ac:dyDescent="0.25">
      <c r="A5" s="4" t="s">
        <v>638</v>
      </c>
      <c r="B5" s="4">
        <v>360427</v>
      </c>
      <c r="C5" s="4" t="s">
        <v>2419</v>
      </c>
      <c r="D5" s="9">
        <v>295</v>
      </c>
    </row>
    <row r="6" spans="1:4" x14ac:dyDescent="0.25">
      <c r="A6" s="4" t="s">
        <v>108</v>
      </c>
      <c r="B6" s="4">
        <v>363672</v>
      </c>
      <c r="C6" s="4" t="s">
        <v>2430</v>
      </c>
      <c r="D6" s="9">
        <v>115</v>
      </c>
    </row>
    <row r="7" spans="1:4" x14ac:dyDescent="0.25">
      <c r="A7" s="4" t="s">
        <v>108</v>
      </c>
      <c r="B7" s="4">
        <v>362349</v>
      </c>
      <c r="C7" s="4" t="s">
        <v>2436</v>
      </c>
      <c r="D7" s="9">
        <v>5980</v>
      </c>
    </row>
    <row r="8" spans="1:4" x14ac:dyDescent="0.25">
      <c r="A8" s="4" t="s">
        <v>108</v>
      </c>
      <c r="B8" s="4">
        <v>362344</v>
      </c>
      <c r="C8" s="4" t="s">
        <v>2437</v>
      </c>
      <c r="D8" s="9">
        <v>5980</v>
      </c>
    </row>
    <row r="9" spans="1:4" x14ac:dyDescent="0.25">
      <c r="A9" s="4" t="s">
        <v>108</v>
      </c>
      <c r="B9" s="4">
        <v>362205</v>
      </c>
      <c r="C9" s="4" t="s">
        <v>2438</v>
      </c>
      <c r="D9" s="9">
        <v>5546</v>
      </c>
    </row>
    <row r="10" spans="1:4" x14ac:dyDescent="0.25">
      <c r="A10" s="4" t="s">
        <v>108</v>
      </c>
      <c r="B10" s="4">
        <v>363582</v>
      </c>
      <c r="C10" s="4" t="s">
        <v>2431</v>
      </c>
      <c r="D10" s="9">
        <v>300</v>
      </c>
    </row>
    <row r="11" spans="1:4" x14ac:dyDescent="0.25">
      <c r="A11" s="4" t="s">
        <v>108</v>
      </c>
      <c r="B11" s="4">
        <v>362354</v>
      </c>
      <c r="C11" s="4" t="s">
        <v>2439</v>
      </c>
      <c r="D11" s="9">
        <v>5980</v>
      </c>
    </row>
    <row r="12" spans="1:4" x14ac:dyDescent="0.25">
      <c r="A12" s="4" t="s">
        <v>108</v>
      </c>
      <c r="B12" s="4">
        <v>362288</v>
      </c>
      <c r="C12" s="4" t="s">
        <v>2440</v>
      </c>
      <c r="D12" s="9">
        <v>625</v>
      </c>
    </row>
    <row r="13" spans="1:4" x14ac:dyDescent="0.25">
      <c r="A13" s="4" t="s">
        <v>108</v>
      </c>
      <c r="B13" s="4">
        <v>362355</v>
      </c>
      <c r="C13" s="4" t="s">
        <v>2441</v>
      </c>
      <c r="D13" s="9">
        <v>5980</v>
      </c>
    </row>
    <row r="14" spans="1:4" x14ac:dyDescent="0.25">
      <c r="A14" s="4" t="s">
        <v>111</v>
      </c>
      <c r="B14" s="4">
        <v>363926</v>
      </c>
      <c r="C14" s="4" t="s">
        <v>2432</v>
      </c>
      <c r="D14" s="9">
        <v>198042</v>
      </c>
    </row>
    <row r="15" spans="1:4" x14ac:dyDescent="0.25">
      <c r="A15" s="4" t="s">
        <v>111</v>
      </c>
      <c r="B15" s="4">
        <v>364263</v>
      </c>
      <c r="C15" s="4" t="s">
        <v>2442</v>
      </c>
      <c r="D15" s="9">
        <v>251</v>
      </c>
    </row>
    <row r="16" spans="1:4" x14ac:dyDescent="0.25">
      <c r="A16" s="4" t="s">
        <v>167</v>
      </c>
      <c r="B16" s="4">
        <v>361043</v>
      </c>
      <c r="C16" s="4" t="s">
        <v>2392</v>
      </c>
      <c r="D16" s="9">
        <v>385</v>
      </c>
    </row>
    <row r="17" spans="1:4" x14ac:dyDescent="0.25">
      <c r="A17" s="4" t="s">
        <v>175</v>
      </c>
      <c r="B17" s="4">
        <v>361502</v>
      </c>
      <c r="C17" s="4" t="s">
        <v>2443</v>
      </c>
      <c r="D17" s="9">
        <v>795</v>
      </c>
    </row>
    <row r="18" spans="1:4" x14ac:dyDescent="0.25">
      <c r="A18" s="4" t="s">
        <v>175</v>
      </c>
      <c r="B18" s="4">
        <v>361259</v>
      </c>
      <c r="C18" s="4" t="s">
        <v>2321</v>
      </c>
      <c r="D18" s="9">
        <v>131</v>
      </c>
    </row>
    <row r="19" spans="1:4" x14ac:dyDescent="0.25">
      <c r="A19" s="4" t="s">
        <v>1252</v>
      </c>
      <c r="B19" s="4">
        <v>361316</v>
      </c>
      <c r="C19" s="4" t="s">
        <v>2395</v>
      </c>
      <c r="D19" s="9">
        <v>330</v>
      </c>
    </row>
    <row r="20" spans="1:4" x14ac:dyDescent="0.25">
      <c r="A20" s="4" t="s">
        <v>1252</v>
      </c>
      <c r="B20" s="4">
        <v>361445</v>
      </c>
      <c r="C20" s="4" t="s">
        <v>2396</v>
      </c>
      <c r="D20" s="9">
        <v>6133</v>
      </c>
    </row>
    <row r="21" spans="1:4" x14ac:dyDescent="0.25">
      <c r="A21" s="4" t="s">
        <v>1252</v>
      </c>
      <c r="B21" s="4">
        <v>361746</v>
      </c>
      <c r="C21" s="4" t="s">
        <v>2397</v>
      </c>
      <c r="D21" s="9">
        <v>3828</v>
      </c>
    </row>
    <row r="22" spans="1:4" x14ac:dyDescent="0.25">
      <c r="A22" s="4" t="s">
        <v>1252</v>
      </c>
      <c r="B22" s="4">
        <v>361212</v>
      </c>
      <c r="C22" s="4" t="s">
        <v>2398</v>
      </c>
      <c r="D22" s="9">
        <v>11594</v>
      </c>
    </row>
    <row r="23" spans="1:4" x14ac:dyDescent="0.25">
      <c r="A23" s="4" t="s">
        <v>1252</v>
      </c>
      <c r="B23" s="4">
        <v>361316</v>
      </c>
      <c r="C23" s="4" t="s">
        <v>2399</v>
      </c>
      <c r="D23" s="9">
        <v>6278</v>
      </c>
    </row>
    <row r="24" spans="1:4" x14ac:dyDescent="0.25">
      <c r="A24" s="4" t="s">
        <v>1252</v>
      </c>
      <c r="B24" s="4">
        <v>361320</v>
      </c>
      <c r="C24" s="4" t="s">
        <v>2400</v>
      </c>
      <c r="D24" s="9">
        <v>2794</v>
      </c>
    </row>
    <row r="25" spans="1:4" x14ac:dyDescent="0.25">
      <c r="A25" s="4" t="s">
        <v>1252</v>
      </c>
      <c r="B25" s="4">
        <v>361445</v>
      </c>
      <c r="C25" s="4" t="s">
        <v>2401</v>
      </c>
      <c r="D25" s="9">
        <v>2200</v>
      </c>
    </row>
    <row r="26" spans="1:4" x14ac:dyDescent="0.25">
      <c r="A26" s="4" t="s">
        <v>1252</v>
      </c>
      <c r="B26" s="4">
        <v>361746</v>
      </c>
      <c r="C26" s="4" t="s">
        <v>2402</v>
      </c>
      <c r="D26" s="9">
        <v>3168</v>
      </c>
    </row>
    <row r="27" spans="1:4" x14ac:dyDescent="0.25">
      <c r="A27" s="4" t="s">
        <v>1252</v>
      </c>
      <c r="B27" s="4">
        <v>361212</v>
      </c>
      <c r="C27" s="4" t="s">
        <v>2403</v>
      </c>
      <c r="D27" s="9">
        <v>1232</v>
      </c>
    </row>
    <row r="28" spans="1:4" x14ac:dyDescent="0.25">
      <c r="A28" s="4" t="s">
        <v>1252</v>
      </c>
      <c r="B28" s="4">
        <v>361320</v>
      </c>
      <c r="C28" s="4" t="s">
        <v>2404</v>
      </c>
      <c r="D28" s="9">
        <v>1782</v>
      </c>
    </row>
    <row r="29" spans="1:4" x14ac:dyDescent="0.25">
      <c r="A29" s="4" t="s">
        <v>1252</v>
      </c>
      <c r="B29" s="4">
        <v>361445</v>
      </c>
      <c r="C29" s="4" t="s">
        <v>2405</v>
      </c>
      <c r="D29" s="9">
        <v>16143</v>
      </c>
    </row>
    <row r="30" spans="1:4" x14ac:dyDescent="0.25">
      <c r="A30" s="4" t="s">
        <v>1252</v>
      </c>
      <c r="B30" s="4">
        <v>362159</v>
      </c>
      <c r="C30" s="4" t="s">
        <v>2444</v>
      </c>
      <c r="D30" s="9">
        <v>4950</v>
      </c>
    </row>
    <row r="31" spans="1:4" x14ac:dyDescent="0.25">
      <c r="A31" s="4" t="s">
        <v>1252</v>
      </c>
      <c r="B31" s="4">
        <v>362159</v>
      </c>
      <c r="C31" s="4" t="s">
        <v>2445</v>
      </c>
      <c r="D31" s="9">
        <v>809</v>
      </c>
    </row>
    <row r="32" spans="1:4" x14ac:dyDescent="0.25">
      <c r="A32" s="4" t="s">
        <v>180</v>
      </c>
      <c r="B32" s="4">
        <v>362477</v>
      </c>
      <c r="C32" s="4" t="s">
        <v>2446</v>
      </c>
      <c r="D32" s="9">
        <v>1380</v>
      </c>
    </row>
    <row r="33" spans="1:4" x14ac:dyDescent="0.25">
      <c r="A33" s="4" t="s">
        <v>180</v>
      </c>
      <c r="B33" s="4">
        <v>360631</v>
      </c>
      <c r="C33" s="4" t="s">
        <v>2424</v>
      </c>
      <c r="D33" s="9">
        <v>795</v>
      </c>
    </row>
    <row r="34" spans="1:4" x14ac:dyDescent="0.25">
      <c r="A34" s="4" t="s">
        <v>180</v>
      </c>
      <c r="B34" s="4">
        <v>358367</v>
      </c>
      <c r="C34" s="4" t="s">
        <v>2447</v>
      </c>
      <c r="D34" s="9">
        <v>4890</v>
      </c>
    </row>
    <row r="35" spans="1:4" x14ac:dyDescent="0.25">
      <c r="A35" s="4" t="s">
        <v>32</v>
      </c>
      <c r="B35" s="4">
        <v>359511</v>
      </c>
      <c r="C35" s="4" t="s">
        <v>2269</v>
      </c>
      <c r="D35" s="9">
        <v>170</v>
      </c>
    </row>
    <row r="36" spans="1:4" x14ac:dyDescent="0.25">
      <c r="A36" s="4" t="s">
        <v>34</v>
      </c>
      <c r="B36" s="4">
        <v>361667</v>
      </c>
      <c r="C36" s="4" t="s">
        <v>2409</v>
      </c>
      <c r="D36" s="9">
        <v>16606</v>
      </c>
    </row>
    <row r="37" spans="1:4" x14ac:dyDescent="0.25">
      <c r="A37" s="4" t="s">
        <v>315</v>
      </c>
      <c r="B37" s="4">
        <v>362230</v>
      </c>
      <c r="C37" s="4" t="s">
        <v>2448</v>
      </c>
      <c r="D37" s="9">
        <v>10105</v>
      </c>
    </row>
    <row r="38" spans="1:4" x14ac:dyDescent="0.25">
      <c r="A38" s="4" t="s">
        <v>315</v>
      </c>
      <c r="B38" s="4">
        <v>362230</v>
      </c>
      <c r="C38" s="4" t="s">
        <v>2449</v>
      </c>
      <c r="D38" s="9">
        <v>8639</v>
      </c>
    </row>
    <row r="39" spans="1:4" x14ac:dyDescent="0.25">
      <c r="A39" s="4" t="s">
        <v>315</v>
      </c>
      <c r="B39" s="4">
        <v>363860</v>
      </c>
      <c r="C39" s="4" t="s">
        <v>2450</v>
      </c>
      <c r="D39" s="9">
        <v>1980</v>
      </c>
    </row>
    <row r="40" spans="1:4" x14ac:dyDescent="0.25">
      <c r="A40" s="4" t="s">
        <v>315</v>
      </c>
      <c r="B40" s="4">
        <v>362230</v>
      </c>
      <c r="C40" s="4" t="s">
        <v>2451</v>
      </c>
      <c r="D40" s="9">
        <v>1115</v>
      </c>
    </row>
    <row r="41" spans="1:4" x14ac:dyDescent="0.25">
      <c r="A41" s="4" t="s">
        <v>315</v>
      </c>
      <c r="B41" s="4">
        <v>362230</v>
      </c>
      <c r="C41" s="4" t="s">
        <v>2452</v>
      </c>
      <c r="D41" s="9">
        <v>12198</v>
      </c>
    </row>
    <row r="42" spans="1:4" x14ac:dyDescent="0.25">
      <c r="A42" s="4" t="s">
        <v>832</v>
      </c>
      <c r="B42" s="4">
        <v>360859</v>
      </c>
      <c r="C42" s="4" t="s">
        <v>2453</v>
      </c>
      <c r="D42" s="9">
        <v>1740</v>
      </c>
    </row>
    <row r="43" spans="1:4" x14ac:dyDescent="0.25">
      <c r="A43" s="4" t="s">
        <v>832</v>
      </c>
      <c r="B43" s="4">
        <v>359045</v>
      </c>
      <c r="C43" s="4" t="s">
        <v>2434</v>
      </c>
      <c r="D43" s="9">
        <v>595</v>
      </c>
    </row>
    <row r="44" spans="1:4" x14ac:dyDescent="0.25">
      <c r="A44" s="4" t="s">
        <v>832</v>
      </c>
      <c r="B44" s="4">
        <v>363569</v>
      </c>
      <c r="C44" s="4" t="s">
        <v>2435</v>
      </c>
      <c r="D44" s="9">
        <v>950</v>
      </c>
    </row>
    <row r="45" spans="1:4" x14ac:dyDescent="0.25">
      <c r="A45" s="4" t="s">
        <v>1387</v>
      </c>
      <c r="B45" s="4">
        <v>361346</v>
      </c>
      <c r="C45" s="4" t="s">
        <v>2454</v>
      </c>
      <c r="D45" s="9">
        <v>15015</v>
      </c>
    </row>
    <row r="46" spans="1:4" x14ac:dyDescent="0.25">
      <c r="A46" s="4" t="s">
        <v>995</v>
      </c>
      <c r="B46" s="4">
        <v>361060</v>
      </c>
      <c r="C46" s="4" t="s">
        <v>2411</v>
      </c>
      <c r="D46" s="9">
        <v>1495</v>
      </c>
    </row>
    <row r="47" spans="1:4" x14ac:dyDescent="0.25">
      <c r="A47" s="4" t="s">
        <v>995</v>
      </c>
      <c r="B47" s="4">
        <v>357692</v>
      </c>
      <c r="C47" s="4" t="s">
        <v>2455</v>
      </c>
      <c r="D47" s="9">
        <v>230</v>
      </c>
    </row>
    <row r="48" spans="1:4" x14ac:dyDescent="0.25">
      <c r="A48" s="4" t="s">
        <v>24</v>
      </c>
      <c r="B48" s="4">
        <v>364310</v>
      </c>
      <c r="C48" s="4" t="s">
        <v>2456</v>
      </c>
      <c r="D48" s="9">
        <v>17778</v>
      </c>
    </row>
    <row r="49" spans="1:4" x14ac:dyDescent="0.25">
      <c r="A49" s="4" t="s">
        <v>315</v>
      </c>
      <c r="B49" s="4">
        <v>351481</v>
      </c>
      <c r="C49" s="4" t="s">
        <v>2414</v>
      </c>
      <c r="D49" s="9">
        <v>230</v>
      </c>
    </row>
    <row r="50" spans="1:4" x14ac:dyDescent="0.25">
      <c r="A50" s="4" t="s">
        <v>315</v>
      </c>
      <c r="B50" s="4">
        <v>350916</v>
      </c>
      <c r="C50" s="4" t="s">
        <v>2415</v>
      </c>
      <c r="D50" s="9">
        <v>2295</v>
      </c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83</v>
      </c>
      <c r="D92" s="32">
        <f>SUM(D2:D91)</f>
        <v>397142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6A41-B5CD-41D6-A792-38CA57601336}">
  <dimension ref="A1:D92"/>
  <sheetViews>
    <sheetView zoomScaleNormal="100" zoomScaleSheetLayoutView="100" workbookViewId="0">
      <selection activeCell="A97" sqref="A97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hidden="1" x14ac:dyDescent="0.25">
      <c r="A2" s="4" t="s">
        <v>232</v>
      </c>
      <c r="B2" s="4">
        <v>361270</v>
      </c>
      <c r="C2" s="4" t="s">
        <v>2320</v>
      </c>
      <c r="D2" s="9">
        <v>0</v>
      </c>
    </row>
    <row r="3" spans="1:4" x14ac:dyDescent="0.25">
      <c r="A3" s="4" t="s">
        <v>1967</v>
      </c>
      <c r="B3" s="4">
        <v>362084</v>
      </c>
      <c r="C3" s="4" t="s">
        <v>2457</v>
      </c>
      <c r="D3" s="9">
        <v>1300</v>
      </c>
    </row>
    <row r="4" spans="1:4" x14ac:dyDescent="0.25">
      <c r="A4" s="4" t="s">
        <v>143</v>
      </c>
      <c r="B4" s="4">
        <v>359333</v>
      </c>
      <c r="C4" s="4" t="s">
        <v>2458</v>
      </c>
      <c r="D4" s="9">
        <v>20499</v>
      </c>
    </row>
    <row r="5" spans="1:4" x14ac:dyDescent="0.25">
      <c r="A5" s="4" t="s">
        <v>143</v>
      </c>
      <c r="B5" s="4">
        <v>359336</v>
      </c>
      <c r="C5" s="4" t="s">
        <v>2459</v>
      </c>
      <c r="D5" s="9">
        <v>5750</v>
      </c>
    </row>
    <row r="6" spans="1:4" x14ac:dyDescent="0.25">
      <c r="A6" s="4" t="s">
        <v>108</v>
      </c>
      <c r="B6" s="4">
        <v>363672</v>
      </c>
      <c r="C6" s="4" t="s">
        <v>2430</v>
      </c>
      <c r="D6" s="9">
        <v>115</v>
      </c>
    </row>
    <row r="7" spans="1:4" x14ac:dyDescent="0.25">
      <c r="A7" s="4" t="s">
        <v>108</v>
      </c>
      <c r="B7" s="4">
        <v>362349</v>
      </c>
      <c r="C7" s="4" t="s">
        <v>2436</v>
      </c>
      <c r="D7" s="9">
        <v>5980</v>
      </c>
    </row>
    <row r="8" spans="1:4" x14ac:dyDescent="0.25">
      <c r="A8" s="4" t="s">
        <v>108</v>
      </c>
      <c r="B8" s="4">
        <v>362344</v>
      </c>
      <c r="C8" s="4" t="s">
        <v>2437</v>
      </c>
      <c r="D8" s="9">
        <v>5980</v>
      </c>
    </row>
    <row r="9" spans="1:4" x14ac:dyDescent="0.25">
      <c r="A9" s="4" t="s">
        <v>108</v>
      </c>
      <c r="B9" s="4">
        <v>362205</v>
      </c>
      <c r="C9" s="4" t="s">
        <v>2438</v>
      </c>
      <c r="D9" s="9">
        <v>5546</v>
      </c>
    </row>
    <row r="10" spans="1:4" x14ac:dyDescent="0.25">
      <c r="A10" s="4" t="s">
        <v>108</v>
      </c>
      <c r="B10" s="4">
        <v>363582</v>
      </c>
      <c r="C10" s="4" t="s">
        <v>2431</v>
      </c>
      <c r="D10" s="9">
        <v>300</v>
      </c>
    </row>
    <row r="11" spans="1:4" x14ac:dyDescent="0.25">
      <c r="A11" s="4" t="s">
        <v>24</v>
      </c>
      <c r="B11" s="4">
        <v>364220</v>
      </c>
      <c r="C11" s="4" t="s">
        <v>2460</v>
      </c>
      <c r="D11" s="9">
        <v>4393</v>
      </c>
    </row>
    <row r="12" spans="1:4" x14ac:dyDescent="0.25">
      <c r="A12" s="4" t="s">
        <v>111</v>
      </c>
      <c r="B12" s="4">
        <v>364942</v>
      </c>
      <c r="C12" s="4" t="s">
        <v>2461</v>
      </c>
      <c r="D12" s="9">
        <v>27897</v>
      </c>
    </row>
    <row r="13" spans="1:4" x14ac:dyDescent="0.25">
      <c r="A13" s="4" t="s">
        <v>111</v>
      </c>
      <c r="B13" s="4">
        <v>364839</v>
      </c>
      <c r="C13" s="4" t="s">
        <v>2462</v>
      </c>
      <c r="D13" s="9">
        <v>186360</v>
      </c>
    </row>
    <row r="14" spans="1:4" x14ac:dyDescent="0.25">
      <c r="A14" s="4" t="s">
        <v>111</v>
      </c>
      <c r="B14" s="4">
        <v>364263</v>
      </c>
      <c r="C14" s="4" t="s">
        <v>2442</v>
      </c>
      <c r="D14" s="9">
        <v>251</v>
      </c>
    </row>
    <row r="15" spans="1:4" x14ac:dyDescent="0.25">
      <c r="A15" s="4" t="s">
        <v>330</v>
      </c>
      <c r="B15" s="4">
        <v>355721</v>
      </c>
      <c r="C15" s="4" t="s">
        <v>2463</v>
      </c>
      <c r="D15" s="9">
        <v>7805</v>
      </c>
    </row>
    <row r="16" spans="1:4" x14ac:dyDescent="0.25">
      <c r="A16" s="4" t="s">
        <v>330</v>
      </c>
      <c r="B16" s="4">
        <v>361444</v>
      </c>
      <c r="C16" s="4" t="s">
        <v>2464</v>
      </c>
      <c r="D16" s="9">
        <v>350</v>
      </c>
    </row>
    <row r="17" spans="1:4" x14ac:dyDescent="0.25">
      <c r="A17" s="4" t="s">
        <v>330</v>
      </c>
      <c r="B17" s="4">
        <v>360199</v>
      </c>
      <c r="C17" s="4" t="s">
        <v>2465</v>
      </c>
      <c r="D17" s="9">
        <v>2290</v>
      </c>
    </row>
    <row r="18" spans="1:4" x14ac:dyDescent="0.25">
      <c r="A18" s="4" t="s">
        <v>330</v>
      </c>
      <c r="B18" s="4">
        <v>355721</v>
      </c>
      <c r="C18" s="4" t="s">
        <v>2466</v>
      </c>
      <c r="D18" s="9">
        <v>12655</v>
      </c>
    </row>
    <row r="19" spans="1:4" x14ac:dyDescent="0.25">
      <c r="A19" s="4" t="s">
        <v>330</v>
      </c>
      <c r="B19" s="4">
        <v>355721</v>
      </c>
      <c r="C19" s="4" t="s">
        <v>2467</v>
      </c>
      <c r="D19" s="9">
        <v>7805</v>
      </c>
    </row>
    <row r="20" spans="1:4" x14ac:dyDescent="0.25">
      <c r="A20" s="4" t="s">
        <v>180</v>
      </c>
      <c r="B20" s="4">
        <v>362477</v>
      </c>
      <c r="C20" s="4" t="s">
        <v>2446</v>
      </c>
      <c r="D20" s="9">
        <v>1380</v>
      </c>
    </row>
    <row r="21" spans="1:4" x14ac:dyDescent="0.25">
      <c r="A21" s="4" t="s">
        <v>180</v>
      </c>
      <c r="B21" s="4">
        <v>360631</v>
      </c>
      <c r="C21" s="4" t="s">
        <v>2424</v>
      </c>
      <c r="D21" s="9">
        <v>795</v>
      </c>
    </row>
    <row r="22" spans="1:4" x14ac:dyDescent="0.25">
      <c r="A22" s="4" t="s">
        <v>221</v>
      </c>
      <c r="B22" s="4">
        <v>363841</v>
      </c>
      <c r="C22" s="4" t="s">
        <v>2468</v>
      </c>
      <c r="D22" s="9">
        <v>570</v>
      </c>
    </row>
    <row r="23" spans="1:4" x14ac:dyDescent="0.25">
      <c r="A23" s="4" t="s">
        <v>32</v>
      </c>
      <c r="B23" s="4">
        <v>359819</v>
      </c>
      <c r="C23" s="4" t="s">
        <v>2469</v>
      </c>
      <c r="D23" s="9">
        <v>6770</v>
      </c>
    </row>
    <row r="24" spans="1:4" x14ac:dyDescent="0.25">
      <c r="A24" s="4" t="s">
        <v>32</v>
      </c>
      <c r="B24" s="4">
        <v>359511</v>
      </c>
      <c r="C24" s="4" t="s">
        <v>2269</v>
      </c>
      <c r="D24" s="9">
        <v>170</v>
      </c>
    </row>
    <row r="25" spans="1:4" x14ac:dyDescent="0.25">
      <c r="A25" s="4" t="s">
        <v>34</v>
      </c>
      <c r="B25" s="4">
        <v>361667</v>
      </c>
      <c r="C25" s="4" t="s">
        <v>2409</v>
      </c>
      <c r="D25" s="9">
        <v>16606</v>
      </c>
    </row>
    <row r="26" spans="1:4" x14ac:dyDescent="0.25">
      <c r="A26" s="4" t="s">
        <v>832</v>
      </c>
      <c r="B26" s="4">
        <v>359045</v>
      </c>
      <c r="C26" s="4" t="s">
        <v>2434</v>
      </c>
      <c r="D26" s="9">
        <v>595</v>
      </c>
    </row>
    <row r="27" spans="1:4" x14ac:dyDescent="0.25">
      <c r="A27" s="4" t="s">
        <v>832</v>
      </c>
      <c r="B27" s="4">
        <v>364394</v>
      </c>
      <c r="C27" s="4" t="s">
        <v>2470</v>
      </c>
      <c r="D27" s="9">
        <v>110</v>
      </c>
    </row>
    <row r="28" spans="1:4" x14ac:dyDescent="0.25">
      <c r="A28" s="4" t="s">
        <v>832</v>
      </c>
      <c r="B28" s="4">
        <v>363569</v>
      </c>
      <c r="C28" s="4" t="s">
        <v>2435</v>
      </c>
      <c r="D28" s="9">
        <v>950</v>
      </c>
    </row>
    <row r="29" spans="1:4" x14ac:dyDescent="0.25">
      <c r="A29" s="4" t="s">
        <v>995</v>
      </c>
      <c r="B29" s="4">
        <v>357285</v>
      </c>
      <c r="C29" s="4" t="s">
        <v>2471</v>
      </c>
      <c r="D29" s="9">
        <v>10860</v>
      </c>
    </row>
    <row r="30" spans="1:4" x14ac:dyDescent="0.25">
      <c r="A30" s="4" t="s">
        <v>995</v>
      </c>
      <c r="B30" s="4">
        <v>357218</v>
      </c>
      <c r="C30" s="4" t="s">
        <v>2472</v>
      </c>
      <c r="D30" s="9">
        <v>4630</v>
      </c>
    </row>
    <row r="31" spans="1:4" x14ac:dyDescent="0.25">
      <c r="A31" s="4" t="s">
        <v>995</v>
      </c>
      <c r="B31" s="4">
        <v>361060</v>
      </c>
      <c r="C31" s="4" t="s">
        <v>2411</v>
      </c>
      <c r="D31" s="9">
        <v>1495</v>
      </c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83</v>
      </c>
      <c r="D92" s="32">
        <f>SUM(D2:D91)</f>
        <v>340207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731A-FA6A-432E-ACB7-4921F502135F}">
  <dimension ref="A1:D94"/>
  <sheetViews>
    <sheetView zoomScaleNormal="100" zoomScaleSheetLayoutView="100" workbookViewId="0">
      <selection activeCell="F21" sqref="F21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hidden="1" x14ac:dyDescent="0.25">
      <c r="A2" s="4" t="s">
        <v>232</v>
      </c>
      <c r="B2" s="4">
        <v>361270</v>
      </c>
      <c r="C2" s="4" t="s">
        <v>2320</v>
      </c>
      <c r="D2" s="9">
        <v>0</v>
      </c>
    </row>
    <row r="3" spans="1:4" x14ac:dyDescent="0.25">
      <c r="A3" s="4" t="s">
        <v>1967</v>
      </c>
      <c r="B3" s="4">
        <v>366203</v>
      </c>
      <c r="C3" s="4" t="s">
        <v>2473</v>
      </c>
      <c r="D3" s="9">
        <v>79930</v>
      </c>
    </row>
    <row r="4" spans="1:4" x14ac:dyDescent="0.25">
      <c r="A4" s="4" t="s">
        <v>1967</v>
      </c>
      <c r="B4" s="4">
        <v>366206</v>
      </c>
      <c r="C4" s="4" t="s">
        <v>2474</v>
      </c>
      <c r="D4" s="9">
        <v>51395</v>
      </c>
    </row>
    <row r="5" spans="1:4" x14ac:dyDescent="0.25">
      <c r="A5" s="4" t="s">
        <v>256</v>
      </c>
      <c r="B5" s="4">
        <v>357510</v>
      </c>
      <c r="C5" s="4" t="s">
        <v>2475</v>
      </c>
      <c r="D5" s="9">
        <v>5450</v>
      </c>
    </row>
    <row r="6" spans="1:4" x14ac:dyDescent="0.25">
      <c r="A6" s="4" t="s">
        <v>500</v>
      </c>
      <c r="B6" s="4">
        <v>366459</v>
      </c>
      <c r="C6" s="4" t="s">
        <v>2476</v>
      </c>
      <c r="D6" s="9">
        <v>12050</v>
      </c>
    </row>
    <row r="7" spans="1:4" x14ac:dyDescent="0.25">
      <c r="A7" s="4" t="s">
        <v>500</v>
      </c>
      <c r="B7" s="4">
        <v>366398</v>
      </c>
      <c r="C7" s="4" t="s">
        <v>2477</v>
      </c>
      <c r="D7" s="9">
        <v>2623</v>
      </c>
    </row>
    <row r="8" spans="1:4" x14ac:dyDescent="0.25">
      <c r="A8" s="4" t="s">
        <v>500</v>
      </c>
      <c r="B8" s="4">
        <v>366478</v>
      </c>
      <c r="C8" s="4" t="s">
        <v>2478</v>
      </c>
      <c r="D8" s="9">
        <v>10916</v>
      </c>
    </row>
    <row r="9" spans="1:4" x14ac:dyDescent="0.25">
      <c r="A9" s="4" t="s">
        <v>500</v>
      </c>
      <c r="B9" s="4">
        <v>366404</v>
      </c>
      <c r="C9" s="4" t="s">
        <v>2479</v>
      </c>
      <c r="D9" s="9">
        <v>5316</v>
      </c>
    </row>
    <row r="10" spans="1:4" x14ac:dyDescent="0.25">
      <c r="A10" s="4" t="s">
        <v>500</v>
      </c>
      <c r="B10" s="4">
        <v>366409</v>
      </c>
      <c r="C10" s="4" t="s">
        <v>2480</v>
      </c>
      <c r="D10" s="9">
        <v>5103</v>
      </c>
    </row>
    <row r="11" spans="1:4" x14ac:dyDescent="0.25">
      <c r="A11" s="4" t="s">
        <v>500</v>
      </c>
      <c r="B11" s="4">
        <v>366412</v>
      </c>
      <c r="C11" s="4" t="s">
        <v>2481</v>
      </c>
      <c r="D11" s="9">
        <v>1063</v>
      </c>
    </row>
    <row r="12" spans="1:4" x14ac:dyDescent="0.25">
      <c r="A12" s="4" t="s">
        <v>500</v>
      </c>
      <c r="B12" s="4">
        <v>366417</v>
      </c>
      <c r="C12" s="4" t="s">
        <v>2482</v>
      </c>
      <c r="D12" s="9">
        <v>992</v>
      </c>
    </row>
    <row r="13" spans="1:4" x14ac:dyDescent="0.25">
      <c r="A13" s="4" t="s">
        <v>26</v>
      </c>
      <c r="B13" s="4">
        <v>361514</v>
      </c>
      <c r="C13" s="4" t="s">
        <v>2483</v>
      </c>
      <c r="D13" s="9">
        <v>3426</v>
      </c>
    </row>
    <row r="14" spans="1:4" x14ac:dyDescent="0.25">
      <c r="A14" s="4" t="s">
        <v>26</v>
      </c>
      <c r="B14" s="4">
        <v>361789</v>
      </c>
      <c r="C14" s="4" t="s">
        <v>2484</v>
      </c>
      <c r="D14" s="9">
        <v>2140</v>
      </c>
    </row>
    <row r="15" spans="1:4" x14ac:dyDescent="0.25">
      <c r="A15" s="4" t="s">
        <v>26</v>
      </c>
      <c r="B15" s="4">
        <v>361795</v>
      </c>
      <c r="C15" s="4" t="s">
        <v>2485</v>
      </c>
      <c r="D15" s="9">
        <v>15825</v>
      </c>
    </row>
    <row r="16" spans="1:4" x14ac:dyDescent="0.25">
      <c r="A16" s="4" t="s">
        <v>26</v>
      </c>
      <c r="B16" s="4">
        <v>361795</v>
      </c>
      <c r="C16" s="4" t="s">
        <v>2486</v>
      </c>
      <c r="D16" s="9">
        <v>11850</v>
      </c>
    </row>
    <row r="17" spans="1:4" x14ac:dyDescent="0.25">
      <c r="A17" s="4" t="s">
        <v>26</v>
      </c>
      <c r="B17" s="4">
        <v>361795</v>
      </c>
      <c r="C17" s="4" t="s">
        <v>2487</v>
      </c>
      <c r="D17" s="9">
        <v>17075</v>
      </c>
    </row>
    <row r="18" spans="1:4" x14ac:dyDescent="0.25">
      <c r="A18" s="4" t="s">
        <v>26</v>
      </c>
      <c r="B18" s="4">
        <v>361795</v>
      </c>
      <c r="C18" s="4" t="s">
        <v>2488</v>
      </c>
      <c r="D18" s="9">
        <v>2590</v>
      </c>
    </row>
    <row r="19" spans="1:4" x14ac:dyDescent="0.25">
      <c r="A19" s="4" t="s">
        <v>180</v>
      </c>
      <c r="B19" s="4">
        <v>362477</v>
      </c>
      <c r="C19" s="4" t="s">
        <v>2446</v>
      </c>
      <c r="D19" s="9">
        <v>1380</v>
      </c>
    </row>
    <row r="20" spans="1:4" x14ac:dyDescent="0.25">
      <c r="A20" s="4" t="s">
        <v>180</v>
      </c>
      <c r="B20" s="4">
        <v>360631</v>
      </c>
      <c r="C20" s="4" t="s">
        <v>2424</v>
      </c>
      <c r="D20" s="9">
        <v>795</v>
      </c>
    </row>
    <row r="21" spans="1:4" x14ac:dyDescent="0.25">
      <c r="A21" s="4" t="s">
        <v>180</v>
      </c>
      <c r="B21" s="4">
        <v>363904</v>
      </c>
      <c r="C21" s="4" t="s">
        <v>2489</v>
      </c>
      <c r="D21" s="9">
        <v>690</v>
      </c>
    </row>
    <row r="22" spans="1:4" x14ac:dyDescent="0.25">
      <c r="A22" s="4" t="s">
        <v>221</v>
      </c>
      <c r="B22" s="4">
        <v>363841</v>
      </c>
      <c r="C22" s="4" t="s">
        <v>2468</v>
      </c>
      <c r="D22" s="9">
        <v>570</v>
      </c>
    </row>
    <row r="23" spans="1:4" x14ac:dyDescent="0.25">
      <c r="A23" s="4" t="s">
        <v>32</v>
      </c>
      <c r="B23" s="4">
        <v>359511</v>
      </c>
      <c r="C23" s="4" t="s">
        <v>2269</v>
      </c>
      <c r="D23" s="9">
        <v>170</v>
      </c>
    </row>
    <row r="24" spans="1:4" x14ac:dyDescent="0.25">
      <c r="A24" s="4" t="s">
        <v>34</v>
      </c>
      <c r="B24" s="4">
        <v>361667</v>
      </c>
      <c r="C24" s="4" t="s">
        <v>2409</v>
      </c>
      <c r="D24" s="9">
        <v>16606</v>
      </c>
    </row>
    <row r="25" spans="1:4" x14ac:dyDescent="0.25">
      <c r="A25" s="4" t="s">
        <v>315</v>
      </c>
      <c r="B25" s="4">
        <v>364668</v>
      </c>
      <c r="C25" s="4" t="s">
        <v>2490</v>
      </c>
      <c r="D25" s="9">
        <v>230</v>
      </c>
    </row>
    <row r="26" spans="1:4" x14ac:dyDescent="0.25">
      <c r="A26" s="4" t="s">
        <v>315</v>
      </c>
      <c r="B26" s="4">
        <v>361910</v>
      </c>
      <c r="C26" s="4" t="s">
        <v>2491</v>
      </c>
      <c r="D26" s="9">
        <v>41005</v>
      </c>
    </row>
    <row r="27" spans="1:4" x14ac:dyDescent="0.25">
      <c r="A27" s="4" t="s">
        <v>315</v>
      </c>
      <c r="B27" s="4">
        <v>363865</v>
      </c>
      <c r="C27" s="4" t="s">
        <v>2492</v>
      </c>
      <c r="D27" s="9">
        <v>125</v>
      </c>
    </row>
    <row r="28" spans="1:4" x14ac:dyDescent="0.25">
      <c r="A28" s="4" t="s">
        <v>315</v>
      </c>
      <c r="B28" s="4">
        <v>361910</v>
      </c>
      <c r="C28" s="4" t="s">
        <v>2493</v>
      </c>
      <c r="D28" s="9">
        <v>5630</v>
      </c>
    </row>
    <row r="29" spans="1:4" x14ac:dyDescent="0.25">
      <c r="A29" s="4" t="s">
        <v>213</v>
      </c>
      <c r="B29" s="4">
        <v>366198</v>
      </c>
      <c r="C29" s="4" t="s">
        <v>2494</v>
      </c>
      <c r="D29" s="9">
        <v>17775</v>
      </c>
    </row>
    <row r="30" spans="1:4" x14ac:dyDescent="0.25">
      <c r="A30" s="4" t="s">
        <v>1717</v>
      </c>
      <c r="B30" s="4">
        <v>362013</v>
      </c>
      <c r="C30" s="4" t="s">
        <v>2495</v>
      </c>
      <c r="D30" s="9">
        <v>1445</v>
      </c>
    </row>
    <row r="31" spans="1:4" x14ac:dyDescent="0.25">
      <c r="A31" s="4" t="s">
        <v>832</v>
      </c>
      <c r="B31" s="4">
        <v>361682</v>
      </c>
      <c r="C31" s="4" t="s">
        <v>2496</v>
      </c>
      <c r="D31" s="9">
        <v>1034</v>
      </c>
    </row>
    <row r="32" spans="1:4" x14ac:dyDescent="0.25">
      <c r="A32" s="4" t="s">
        <v>832</v>
      </c>
      <c r="B32" s="4">
        <v>360921</v>
      </c>
      <c r="C32" s="4" t="s">
        <v>2497</v>
      </c>
      <c r="D32" s="9">
        <v>17103</v>
      </c>
    </row>
    <row r="33" spans="1:4" x14ac:dyDescent="0.25">
      <c r="A33" s="4" t="s">
        <v>832</v>
      </c>
      <c r="B33" s="4">
        <v>359045</v>
      </c>
      <c r="C33" s="4" t="s">
        <v>2434</v>
      </c>
      <c r="D33" s="9">
        <v>595</v>
      </c>
    </row>
    <row r="34" spans="1:4" x14ac:dyDescent="0.25">
      <c r="A34" s="4" t="s">
        <v>832</v>
      </c>
      <c r="B34" s="4">
        <v>363569</v>
      </c>
      <c r="C34" s="4" t="s">
        <v>2435</v>
      </c>
      <c r="D34" s="9">
        <v>950</v>
      </c>
    </row>
    <row r="35" spans="1:4" x14ac:dyDescent="0.25">
      <c r="A35" s="4" t="s">
        <v>832</v>
      </c>
      <c r="B35" s="4">
        <v>360921</v>
      </c>
      <c r="C35" s="4" t="s">
        <v>2498</v>
      </c>
      <c r="D35" s="9">
        <v>5905</v>
      </c>
    </row>
    <row r="36" spans="1:4" x14ac:dyDescent="0.25">
      <c r="A36" s="4" t="s">
        <v>995</v>
      </c>
      <c r="B36" s="4">
        <v>361060</v>
      </c>
      <c r="C36" s="4" t="s">
        <v>2411</v>
      </c>
      <c r="D36" s="9">
        <v>1495</v>
      </c>
    </row>
    <row r="37" spans="1:4" x14ac:dyDescent="0.25">
      <c r="A37" s="4" t="s">
        <v>2499</v>
      </c>
      <c r="B37" s="4">
        <v>364264</v>
      </c>
      <c r="C37" s="4" t="s">
        <v>2500</v>
      </c>
      <c r="D37" s="9">
        <v>450</v>
      </c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SUM(D3:D5,D13:D37)</f>
        <v>303634</v>
      </c>
    </row>
    <row r="93" spans="1:4" x14ac:dyDescent="0.25">
      <c r="C93" s="31" t="s">
        <v>2501</v>
      </c>
      <c r="D93" s="32">
        <f>SUM(D6:D12)</f>
        <v>38063</v>
      </c>
    </row>
    <row r="94" spans="1:4" x14ac:dyDescent="0.25">
      <c r="C94" s="31" t="s">
        <v>83</v>
      </c>
      <c r="D94" s="32">
        <f>SUM(D92:D93)</f>
        <v>341697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F787-2469-49DC-94B9-B976DA4CB00A}">
  <dimension ref="A1:D94"/>
  <sheetViews>
    <sheetView zoomScaleNormal="100" zoomScaleSheetLayoutView="100" workbookViewId="0">
      <selection activeCell="K17" sqref="K17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364087</v>
      </c>
      <c r="C2" s="4" t="s">
        <v>2503</v>
      </c>
      <c r="D2" s="9">
        <v>881</v>
      </c>
    </row>
    <row r="3" spans="1:4" x14ac:dyDescent="0.25">
      <c r="A3" s="4" t="s">
        <v>111</v>
      </c>
      <c r="B3" s="4">
        <v>366445</v>
      </c>
      <c r="C3" s="4" t="s">
        <v>2504</v>
      </c>
      <c r="D3" s="9">
        <v>99442</v>
      </c>
    </row>
    <row r="4" spans="1:4" x14ac:dyDescent="0.25">
      <c r="A4" s="4" t="s">
        <v>167</v>
      </c>
      <c r="B4" s="4">
        <v>368044</v>
      </c>
      <c r="C4" s="4" t="s">
        <v>2505</v>
      </c>
      <c r="D4" s="9">
        <v>795</v>
      </c>
    </row>
    <row r="5" spans="1:4" x14ac:dyDescent="0.25">
      <c r="A5" s="4" t="s">
        <v>26</v>
      </c>
      <c r="B5" s="4">
        <v>361789</v>
      </c>
      <c r="C5" s="4" t="s">
        <v>2484</v>
      </c>
      <c r="D5" s="9">
        <v>2140</v>
      </c>
    </row>
    <row r="6" spans="1:4" x14ac:dyDescent="0.25">
      <c r="A6" s="4" t="s">
        <v>180</v>
      </c>
      <c r="B6" s="4">
        <v>362477</v>
      </c>
      <c r="C6" s="4" t="s">
        <v>2446</v>
      </c>
      <c r="D6" s="9">
        <v>1380</v>
      </c>
    </row>
    <row r="7" spans="1:4" x14ac:dyDescent="0.25">
      <c r="A7" s="4" t="s">
        <v>180</v>
      </c>
      <c r="B7" s="4">
        <v>360631</v>
      </c>
      <c r="C7" s="4" t="s">
        <v>2424</v>
      </c>
      <c r="D7" s="9">
        <v>795</v>
      </c>
    </row>
    <row r="8" spans="1:4" x14ac:dyDescent="0.25">
      <c r="A8" s="4" t="s">
        <v>493</v>
      </c>
      <c r="B8" s="4">
        <v>366081</v>
      </c>
      <c r="C8" s="4" t="s">
        <v>2506</v>
      </c>
      <c r="D8" s="9">
        <v>789</v>
      </c>
    </row>
    <row r="9" spans="1:4" x14ac:dyDescent="0.25">
      <c r="A9" s="4" t="s">
        <v>34</v>
      </c>
      <c r="B9" s="4">
        <v>361667</v>
      </c>
      <c r="C9" s="4" t="s">
        <v>2409</v>
      </c>
      <c r="D9" s="9">
        <v>16606</v>
      </c>
    </row>
    <row r="10" spans="1:4" x14ac:dyDescent="0.25">
      <c r="A10" s="4" t="s">
        <v>315</v>
      </c>
      <c r="B10" s="4">
        <v>364668</v>
      </c>
      <c r="C10" s="4" t="s">
        <v>2490</v>
      </c>
      <c r="D10" s="9">
        <v>230</v>
      </c>
    </row>
    <row r="11" spans="1:4" x14ac:dyDescent="0.25">
      <c r="A11" s="4" t="s">
        <v>213</v>
      </c>
      <c r="B11" s="4">
        <v>366198</v>
      </c>
      <c r="C11" s="4" t="s">
        <v>2494</v>
      </c>
      <c r="D11" s="9">
        <v>17775</v>
      </c>
    </row>
    <row r="12" spans="1:4" x14ac:dyDescent="0.25">
      <c r="A12" s="4" t="s">
        <v>832</v>
      </c>
      <c r="B12" s="4">
        <v>359045</v>
      </c>
      <c r="C12" s="4" t="s">
        <v>2434</v>
      </c>
      <c r="D12" s="9">
        <v>595</v>
      </c>
    </row>
    <row r="13" spans="1:4" x14ac:dyDescent="0.25">
      <c r="A13" s="4" t="s">
        <v>832</v>
      </c>
      <c r="B13" s="4">
        <v>363569</v>
      </c>
      <c r="C13" s="4" t="s">
        <v>2435</v>
      </c>
      <c r="D13" s="9">
        <v>950</v>
      </c>
    </row>
    <row r="14" spans="1:4" x14ac:dyDescent="0.25">
      <c r="A14" s="4" t="s">
        <v>832</v>
      </c>
      <c r="B14" s="4">
        <v>364727</v>
      </c>
      <c r="C14" s="4" t="s">
        <v>2507</v>
      </c>
      <c r="D14" s="9">
        <v>2990</v>
      </c>
    </row>
    <row r="15" spans="1:4" x14ac:dyDescent="0.25">
      <c r="A15" s="4" t="s">
        <v>1535</v>
      </c>
      <c r="B15" s="4">
        <v>364049</v>
      </c>
      <c r="C15" s="4" t="s">
        <v>2508</v>
      </c>
      <c r="D15" s="9">
        <v>195</v>
      </c>
    </row>
    <row r="16" spans="1:4" x14ac:dyDescent="0.25">
      <c r="A16" s="4" t="s">
        <v>995</v>
      </c>
      <c r="B16" s="4">
        <v>361060</v>
      </c>
      <c r="C16" s="4" t="s">
        <v>2411</v>
      </c>
      <c r="D16" s="9">
        <v>1495</v>
      </c>
    </row>
    <row r="17" spans="1:4" x14ac:dyDescent="0.25">
      <c r="A17" s="4" t="s">
        <v>61</v>
      </c>
      <c r="B17" s="4">
        <v>367901</v>
      </c>
      <c r="C17" s="4" t="s">
        <v>2509</v>
      </c>
      <c r="D17" s="9">
        <v>33525</v>
      </c>
    </row>
    <row r="18" spans="1:4" x14ac:dyDescent="0.25">
      <c r="A18" s="4" t="s">
        <v>61</v>
      </c>
      <c r="B18" s="4">
        <v>367933</v>
      </c>
      <c r="C18" s="4" t="s">
        <v>2510</v>
      </c>
      <c r="D18" s="9">
        <v>4698</v>
      </c>
    </row>
    <row r="19" spans="1:4" hidden="1" x14ac:dyDescent="0.25">
      <c r="A19" s="4"/>
      <c r="B19" s="4"/>
      <c r="C19" s="4"/>
      <c r="D19" s="9"/>
    </row>
    <row r="20" spans="1:4" hidden="1" x14ac:dyDescent="0.25">
      <c r="A20" s="4"/>
      <c r="B20" s="4"/>
      <c r="C20" s="4"/>
      <c r="D20" s="9"/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SUM(D2,D5:D16)</f>
        <v>46821</v>
      </c>
    </row>
    <row r="93" spans="1:4" x14ac:dyDescent="0.25">
      <c r="C93" s="31" t="s">
        <v>2501</v>
      </c>
      <c r="D93" s="32">
        <f>SUM(D3:D4,D17:D18)</f>
        <v>138460</v>
      </c>
    </row>
    <row r="94" spans="1:4" x14ac:dyDescent="0.25">
      <c r="C94" s="31" t="s">
        <v>83</v>
      </c>
      <c r="D94" s="32">
        <f>SUM(D92:D93)</f>
        <v>185281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5960-F7D2-45B5-A10D-F06767E76E82}">
  <dimension ref="A1:D94"/>
  <sheetViews>
    <sheetView zoomScaleNormal="100" zoomScaleSheetLayoutView="100" workbookViewId="0">
      <selection activeCell="F23" sqref="F23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1967</v>
      </c>
      <c r="B2" s="4">
        <v>361988</v>
      </c>
      <c r="C2" s="4" t="s">
        <v>2511</v>
      </c>
      <c r="D2" s="9">
        <v>4340</v>
      </c>
    </row>
    <row r="3" spans="1:4" x14ac:dyDescent="0.25">
      <c r="A3" s="4" t="s">
        <v>1967</v>
      </c>
      <c r="B3" s="4">
        <v>361990</v>
      </c>
      <c r="C3" s="4" t="s">
        <v>2512</v>
      </c>
      <c r="D3" s="9">
        <v>1740</v>
      </c>
    </row>
    <row r="4" spans="1:4" x14ac:dyDescent="0.25">
      <c r="A4" s="4" t="s">
        <v>1967</v>
      </c>
      <c r="B4" s="4">
        <v>362075</v>
      </c>
      <c r="C4" s="4" t="s">
        <v>2513</v>
      </c>
      <c r="D4" s="9">
        <v>8595</v>
      </c>
    </row>
    <row r="5" spans="1:4" x14ac:dyDescent="0.25">
      <c r="A5" s="4" t="s">
        <v>1967</v>
      </c>
      <c r="B5" s="4">
        <v>362092</v>
      </c>
      <c r="C5" s="4" t="s">
        <v>2514</v>
      </c>
      <c r="D5" s="9">
        <v>5545</v>
      </c>
    </row>
    <row r="6" spans="1:4" x14ac:dyDescent="0.25">
      <c r="A6" s="4" t="s">
        <v>1967</v>
      </c>
      <c r="B6" s="4">
        <v>361986</v>
      </c>
      <c r="C6" s="4" t="s">
        <v>2515</v>
      </c>
      <c r="D6" s="9">
        <v>1305</v>
      </c>
    </row>
    <row r="7" spans="1:4" x14ac:dyDescent="0.25">
      <c r="A7" s="4" t="s">
        <v>1967</v>
      </c>
      <c r="B7" s="4">
        <v>362061</v>
      </c>
      <c r="C7" s="4" t="s">
        <v>2516</v>
      </c>
      <c r="D7" s="9">
        <v>2540</v>
      </c>
    </row>
    <row r="8" spans="1:4" x14ac:dyDescent="0.25">
      <c r="A8" s="4" t="s">
        <v>1967</v>
      </c>
      <c r="B8" s="4">
        <v>362065</v>
      </c>
      <c r="C8" s="4" t="s">
        <v>2517</v>
      </c>
      <c r="D8" s="9">
        <v>4970</v>
      </c>
    </row>
    <row r="9" spans="1:4" x14ac:dyDescent="0.25">
      <c r="A9" s="4" t="s">
        <v>1967</v>
      </c>
      <c r="B9" s="4">
        <v>362071</v>
      </c>
      <c r="C9" s="4" t="s">
        <v>2518</v>
      </c>
      <c r="D9" s="9">
        <v>4760</v>
      </c>
    </row>
    <row r="10" spans="1:4" x14ac:dyDescent="0.25">
      <c r="A10" s="4" t="s">
        <v>1967</v>
      </c>
      <c r="B10" s="4">
        <v>362085</v>
      </c>
      <c r="C10" s="4" t="s">
        <v>2519</v>
      </c>
      <c r="D10" s="9">
        <v>6115</v>
      </c>
    </row>
    <row r="11" spans="1:4" x14ac:dyDescent="0.25">
      <c r="A11" s="4" t="s">
        <v>1967</v>
      </c>
      <c r="B11" s="4">
        <v>362099</v>
      </c>
      <c r="C11" s="4" t="s">
        <v>2520</v>
      </c>
      <c r="D11" s="9">
        <v>5935</v>
      </c>
    </row>
    <row r="12" spans="1:4" x14ac:dyDescent="0.25">
      <c r="A12" s="4" t="s">
        <v>1967</v>
      </c>
      <c r="B12" s="4">
        <v>368052</v>
      </c>
      <c r="C12" s="4" t="s">
        <v>2521</v>
      </c>
      <c r="D12" s="9">
        <v>7440</v>
      </c>
    </row>
    <row r="13" spans="1:4" x14ac:dyDescent="0.25">
      <c r="A13" s="4" t="s">
        <v>98</v>
      </c>
      <c r="B13" s="4">
        <v>364087</v>
      </c>
      <c r="C13" s="4" t="s">
        <v>2503</v>
      </c>
      <c r="D13" s="9">
        <v>881</v>
      </c>
    </row>
    <row r="14" spans="1:4" x14ac:dyDescent="0.25">
      <c r="A14" s="4" t="s">
        <v>26</v>
      </c>
      <c r="B14" s="4">
        <v>366299</v>
      </c>
      <c r="C14" s="4" t="s">
        <v>2522</v>
      </c>
      <c r="D14" s="9">
        <v>1380</v>
      </c>
    </row>
    <row r="15" spans="1:4" x14ac:dyDescent="0.25">
      <c r="A15" s="4" t="s">
        <v>26</v>
      </c>
      <c r="B15" s="4">
        <v>361507</v>
      </c>
      <c r="C15" s="4" t="s">
        <v>2523</v>
      </c>
      <c r="D15" s="9">
        <v>5175</v>
      </c>
    </row>
    <row r="16" spans="1:4" x14ac:dyDescent="0.25">
      <c r="A16" s="4" t="s">
        <v>26</v>
      </c>
      <c r="B16" s="4">
        <v>361789</v>
      </c>
      <c r="C16" s="4" t="s">
        <v>2484</v>
      </c>
      <c r="D16" s="9">
        <v>2140</v>
      </c>
    </row>
    <row r="17" spans="1:4" x14ac:dyDescent="0.25">
      <c r="A17" s="4" t="s">
        <v>180</v>
      </c>
      <c r="B17" s="4">
        <v>362477</v>
      </c>
      <c r="C17" s="4" t="s">
        <v>2446</v>
      </c>
      <c r="D17" s="9">
        <v>1380</v>
      </c>
    </row>
    <row r="18" spans="1:4" x14ac:dyDescent="0.25">
      <c r="A18" s="4" t="s">
        <v>832</v>
      </c>
      <c r="B18" s="4">
        <v>368236</v>
      </c>
      <c r="C18" s="4" t="s">
        <v>2524</v>
      </c>
      <c r="D18" s="9">
        <v>375</v>
      </c>
    </row>
    <row r="19" spans="1:4" x14ac:dyDescent="0.25">
      <c r="A19" s="4" t="s">
        <v>832</v>
      </c>
      <c r="B19" s="4">
        <v>363569</v>
      </c>
      <c r="C19" s="4" t="s">
        <v>2435</v>
      </c>
      <c r="D19" s="9">
        <v>950</v>
      </c>
    </row>
    <row r="20" spans="1:4" x14ac:dyDescent="0.25">
      <c r="A20" s="4" t="s">
        <v>2525</v>
      </c>
      <c r="B20" s="4">
        <v>368045</v>
      </c>
      <c r="C20" s="4" t="s">
        <v>2526</v>
      </c>
      <c r="D20" s="9">
        <v>9825</v>
      </c>
    </row>
    <row r="21" spans="1:4" x14ac:dyDescent="0.25">
      <c r="A21" s="4" t="s">
        <v>1535</v>
      </c>
      <c r="B21" s="4">
        <v>364049</v>
      </c>
      <c r="C21" s="4" t="s">
        <v>2527</v>
      </c>
      <c r="D21" s="9">
        <v>195</v>
      </c>
    </row>
    <row r="22" spans="1:4" x14ac:dyDescent="0.25">
      <c r="A22" s="4" t="s">
        <v>995</v>
      </c>
      <c r="B22" s="4">
        <v>361060</v>
      </c>
      <c r="C22" s="4" t="s">
        <v>2411</v>
      </c>
      <c r="D22" s="9">
        <v>1495</v>
      </c>
    </row>
    <row r="23" spans="1:4" x14ac:dyDescent="0.25">
      <c r="A23" s="4" t="s">
        <v>52</v>
      </c>
      <c r="B23" s="4">
        <v>368111</v>
      </c>
      <c r="C23" s="4" t="s">
        <v>2528</v>
      </c>
      <c r="D23" s="9">
        <v>3495</v>
      </c>
    </row>
    <row r="24" spans="1:4" x14ac:dyDescent="0.25">
      <c r="A24" s="4" t="s">
        <v>52</v>
      </c>
      <c r="B24" s="4">
        <v>368116</v>
      </c>
      <c r="C24" s="4" t="s">
        <v>2529</v>
      </c>
      <c r="D24" s="9">
        <v>10090</v>
      </c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SUM(D2,D3:D24)</f>
        <v>90666</v>
      </c>
    </row>
    <row r="93" spans="1:4" x14ac:dyDescent="0.25">
      <c r="C93" s="31" t="s">
        <v>2501</v>
      </c>
      <c r="D93" s="32">
        <v>0</v>
      </c>
    </row>
    <row r="94" spans="1:4" x14ac:dyDescent="0.25">
      <c r="C94" s="31" t="s">
        <v>83</v>
      </c>
      <c r="D94" s="32">
        <f>SUM(D92:D93)</f>
        <v>90666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27E3-0111-489C-ADB9-628696BA0528}">
  <dimension ref="A1:D94"/>
  <sheetViews>
    <sheetView zoomScaleNormal="100" zoomScaleSheetLayoutView="100" workbookViewId="0">
      <selection activeCell="C100" sqref="C100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1582</v>
      </c>
      <c r="B2" s="4">
        <v>371034</v>
      </c>
      <c r="C2" s="4" t="s">
        <v>2530</v>
      </c>
      <c r="D2" s="9">
        <v>1323</v>
      </c>
    </row>
    <row r="3" spans="1:4" x14ac:dyDescent="0.25">
      <c r="A3" s="4" t="s">
        <v>1582</v>
      </c>
      <c r="B3" s="4">
        <v>371042</v>
      </c>
      <c r="C3" s="4" t="s">
        <v>2531</v>
      </c>
      <c r="D3" s="9">
        <v>21416</v>
      </c>
    </row>
    <row r="4" spans="1:4" x14ac:dyDescent="0.25">
      <c r="A4" s="4" t="s">
        <v>1582</v>
      </c>
      <c r="B4" s="4">
        <v>369520</v>
      </c>
      <c r="C4" s="4" t="s">
        <v>2532</v>
      </c>
      <c r="D4" s="9">
        <v>15463</v>
      </c>
    </row>
    <row r="5" spans="1:4" x14ac:dyDescent="0.25">
      <c r="A5" s="4" t="s">
        <v>1582</v>
      </c>
      <c r="B5" s="4">
        <v>369530</v>
      </c>
      <c r="C5" s="4" t="s">
        <v>2533</v>
      </c>
      <c r="D5" s="9">
        <v>30054</v>
      </c>
    </row>
    <row r="6" spans="1:4" x14ac:dyDescent="0.25">
      <c r="A6" s="4" t="s">
        <v>180</v>
      </c>
      <c r="B6" s="4">
        <v>362477</v>
      </c>
      <c r="C6" s="4" t="s">
        <v>2446</v>
      </c>
      <c r="D6" s="9">
        <v>1380</v>
      </c>
    </row>
    <row r="7" spans="1:4" x14ac:dyDescent="0.25">
      <c r="A7" s="4" t="s">
        <v>718</v>
      </c>
      <c r="B7" s="4">
        <v>372436</v>
      </c>
      <c r="C7" s="4" t="s">
        <v>2534</v>
      </c>
      <c r="D7" s="9">
        <v>3002</v>
      </c>
    </row>
    <row r="8" spans="1:4" x14ac:dyDescent="0.25">
      <c r="A8" s="4" t="s">
        <v>315</v>
      </c>
      <c r="B8" s="4">
        <v>370961</v>
      </c>
      <c r="C8" s="4" t="s">
        <v>2535</v>
      </c>
      <c r="D8" s="9">
        <v>495</v>
      </c>
    </row>
    <row r="9" spans="1:4" x14ac:dyDescent="0.25">
      <c r="A9" s="4" t="s">
        <v>315</v>
      </c>
      <c r="B9" s="4">
        <v>337262</v>
      </c>
      <c r="C9" s="4" t="s">
        <v>2536</v>
      </c>
      <c r="D9" s="9">
        <v>885</v>
      </c>
    </row>
    <row r="10" spans="1:4" x14ac:dyDescent="0.25">
      <c r="A10" s="4" t="s">
        <v>832</v>
      </c>
      <c r="B10" s="4">
        <v>363569</v>
      </c>
      <c r="C10" s="4" t="s">
        <v>2435</v>
      </c>
      <c r="D10" s="9">
        <v>950</v>
      </c>
    </row>
    <row r="11" spans="1:4" x14ac:dyDescent="0.25">
      <c r="A11" s="4" t="s">
        <v>1535</v>
      </c>
      <c r="B11" s="4">
        <v>364049</v>
      </c>
      <c r="C11" s="4" t="s">
        <v>2527</v>
      </c>
      <c r="D11" s="9">
        <v>195</v>
      </c>
    </row>
    <row r="12" spans="1:4" x14ac:dyDescent="0.25">
      <c r="A12" s="4" t="s">
        <v>995</v>
      </c>
      <c r="B12" s="4">
        <v>361060</v>
      </c>
      <c r="C12" s="4" t="s">
        <v>2411</v>
      </c>
      <c r="D12" s="9">
        <v>1495</v>
      </c>
    </row>
    <row r="13" spans="1:4" hidden="1" x14ac:dyDescent="0.25">
      <c r="A13" s="4"/>
      <c r="B13" s="4"/>
      <c r="C13" s="4"/>
      <c r="D13" s="9"/>
    </row>
    <row r="14" spans="1:4" hidden="1" x14ac:dyDescent="0.25">
      <c r="A14" s="4"/>
      <c r="B14" s="4"/>
      <c r="C14" s="4"/>
      <c r="D14" s="9"/>
    </row>
    <row r="15" spans="1:4" hidden="1" x14ac:dyDescent="0.25">
      <c r="A15" s="4"/>
      <c r="B15" s="4"/>
      <c r="C15" s="4"/>
      <c r="D15" s="9"/>
    </row>
    <row r="16" spans="1:4" hidden="1" x14ac:dyDescent="0.25">
      <c r="A16" s="4"/>
      <c r="B16" s="4"/>
      <c r="C16" s="4"/>
      <c r="D16" s="9"/>
    </row>
    <row r="17" spans="1:4" hidden="1" x14ac:dyDescent="0.25">
      <c r="A17" s="4"/>
      <c r="B17" s="4"/>
      <c r="C17" s="4"/>
      <c r="D17" s="9"/>
    </row>
    <row r="18" spans="1:4" hidden="1" x14ac:dyDescent="0.25">
      <c r="A18" s="4"/>
      <c r="B18" s="4"/>
      <c r="C18" s="4"/>
      <c r="D18" s="9"/>
    </row>
    <row r="19" spans="1:4" hidden="1" x14ac:dyDescent="0.25">
      <c r="A19" s="4"/>
      <c r="B19" s="4"/>
      <c r="C19" s="4"/>
      <c r="D19" s="9"/>
    </row>
    <row r="20" spans="1:4" hidden="1" x14ac:dyDescent="0.25">
      <c r="A20" s="4"/>
      <c r="B20" s="4"/>
      <c r="C20" s="4"/>
      <c r="D20" s="9"/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SUM(D2:D12)</f>
        <v>76658</v>
      </c>
    </row>
    <row r="93" spans="1:4" x14ac:dyDescent="0.25">
      <c r="C93" s="31" t="s">
        <v>2501</v>
      </c>
      <c r="D93" s="32">
        <v>0</v>
      </c>
    </row>
    <row r="94" spans="1:4" x14ac:dyDescent="0.25">
      <c r="C94" s="31" t="s">
        <v>83</v>
      </c>
      <c r="D94" s="32">
        <f>SUM(D92:D93)</f>
        <v>76658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8C98-7B8D-412D-874E-9A1D656D01EE}">
  <dimension ref="A1:D94"/>
  <sheetViews>
    <sheetView topLeftCell="A31" zoomScaleNormal="100" zoomScaleSheetLayoutView="100" workbookViewId="0">
      <selection activeCell="D94" sqref="D94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364204</v>
      </c>
      <c r="C2" s="4" t="s">
        <v>2537</v>
      </c>
      <c r="D2" s="9">
        <v>4615</v>
      </c>
    </row>
    <row r="3" spans="1:4" x14ac:dyDescent="0.25">
      <c r="A3" s="4" t="s">
        <v>98</v>
      </c>
      <c r="B3" s="4">
        <v>372753</v>
      </c>
      <c r="C3" s="4" t="s">
        <v>2538</v>
      </c>
      <c r="D3" s="9">
        <v>885</v>
      </c>
    </row>
    <row r="4" spans="1:4" x14ac:dyDescent="0.25">
      <c r="A4" s="4" t="s">
        <v>256</v>
      </c>
      <c r="B4" s="4">
        <v>357191</v>
      </c>
      <c r="C4" s="4" t="s">
        <v>2539</v>
      </c>
      <c r="D4" s="9">
        <v>20890</v>
      </c>
    </row>
    <row r="5" spans="1:4" x14ac:dyDescent="0.25">
      <c r="A5" s="4" t="s">
        <v>256</v>
      </c>
      <c r="B5" s="4">
        <v>364233</v>
      </c>
      <c r="C5" s="4" t="s">
        <v>2540</v>
      </c>
      <c r="D5" s="9">
        <v>7590</v>
      </c>
    </row>
    <row r="6" spans="1:4" x14ac:dyDescent="0.25">
      <c r="A6" s="4" t="s">
        <v>256</v>
      </c>
      <c r="B6" s="4">
        <v>364896</v>
      </c>
      <c r="C6" s="4" t="s">
        <v>2541</v>
      </c>
      <c r="D6" s="9">
        <v>27058</v>
      </c>
    </row>
    <row r="7" spans="1:4" x14ac:dyDescent="0.25">
      <c r="A7" s="4" t="s">
        <v>256</v>
      </c>
      <c r="B7" s="4">
        <v>370957</v>
      </c>
      <c r="C7" s="4" t="s">
        <v>2542</v>
      </c>
      <c r="D7" s="9">
        <v>1395</v>
      </c>
    </row>
    <row r="8" spans="1:4" x14ac:dyDescent="0.25">
      <c r="A8" s="4" t="s">
        <v>256</v>
      </c>
      <c r="B8" s="4">
        <v>360525</v>
      </c>
      <c r="C8" s="4" t="s">
        <v>2543</v>
      </c>
      <c r="D8" s="9">
        <v>7798</v>
      </c>
    </row>
    <row r="9" spans="1:4" x14ac:dyDescent="0.25">
      <c r="A9" s="4" t="s">
        <v>256</v>
      </c>
      <c r="B9" s="4">
        <v>364896</v>
      </c>
      <c r="C9" s="4" t="s">
        <v>2544</v>
      </c>
      <c r="D9" s="9">
        <v>20638</v>
      </c>
    </row>
    <row r="10" spans="1:4" x14ac:dyDescent="0.25">
      <c r="A10" s="4" t="s">
        <v>256</v>
      </c>
      <c r="B10" s="4">
        <v>364233</v>
      </c>
      <c r="C10" s="4" t="s">
        <v>2545</v>
      </c>
      <c r="D10" s="9">
        <v>3605</v>
      </c>
    </row>
    <row r="11" spans="1:4" x14ac:dyDescent="0.25">
      <c r="A11" s="4" t="s">
        <v>256</v>
      </c>
      <c r="B11" s="4">
        <v>371080</v>
      </c>
      <c r="C11" s="4" t="s">
        <v>2546</v>
      </c>
      <c r="D11" s="9">
        <v>16435</v>
      </c>
    </row>
    <row r="12" spans="1:4" x14ac:dyDescent="0.25">
      <c r="A12" s="4" t="s">
        <v>256</v>
      </c>
      <c r="B12" s="4">
        <v>364233</v>
      </c>
      <c r="C12" s="4" t="s">
        <v>2547</v>
      </c>
      <c r="D12" s="9">
        <v>3545</v>
      </c>
    </row>
    <row r="13" spans="1:4" x14ac:dyDescent="0.25">
      <c r="A13" s="4" t="s">
        <v>256</v>
      </c>
      <c r="B13" s="4">
        <v>364896</v>
      </c>
      <c r="C13" s="4" t="s">
        <v>2548</v>
      </c>
      <c r="D13" s="9">
        <v>35768</v>
      </c>
    </row>
    <row r="14" spans="1:4" x14ac:dyDescent="0.25">
      <c r="A14" s="4" t="s">
        <v>256</v>
      </c>
      <c r="B14" s="4">
        <v>364896</v>
      </c>
      <c r="C14" s="4" t="s">
        <v>2549</v>
      </c>
      <c r="D14" s="9">
        <v>13931</v>
      </c>
    </row>
    <row r="15" spans="1:4" x14ac:dyDescent="0.25">
      <c r="A15" s="4" t="s">
        <v>256</v>
      </c>
      <c r="B15" s="4">
        <v>364233</v>
      </c>
      <c r="C15" s="4" t="s">
        <v>2550</v>
      </c>
      <c r="D15" s="9">
        <v>7590</v>
      </c>
    </row>
    <row r="16" spans="1:4" x14ac:dyDescent="0.25">
      <c r="A16" s="4" t="s">
        <v>256</v>
      </c>
      <c r="B16" s="4">
        <v>371080</v>
      </c>
      <c r="C16" s="4" t="s">
        <v>2551</v>
      </c>
      <c r="D16" s="9">
        <v>10723</v>
      </c>
    </row>
    <row r="17" spans="1:4" x14ac:dyDescent="0.25">
      <c r="A17" s="4" t="s">
        <v>256</v>
      </c>
      <c r="B17" s="4">
        <v>364896</v>
      </c>
      <c r="C17" s="4" t="s">
        <v>2552</v>
      </c>
      <c r="D17" s="9">
        <v>27059</v>
      </c>
    </row>
    <row r="18" spans="1:4" x14ac:dyDescent="0.25">
      <c r="A18" s="4" t="s">
        <v>256</v>
      </c>
      <c r="B18" s="4">
        <v>364896</v>
      </c>
      <c r="C18" s="4" t="s">
        <v>2553</v>
      </c>
      <c r="D18" s="9">
        <v>20638</v>
      </c>
    </row>
    <row r="19" spans="1:4" x14ac:dyDescent="0.25">
      <c r="A19" s="4" t="s">
        <v>256</v>
      </c>
      <c r="B19" s="4">
        <v>371080</v>
      </c>
      <c r="C19" s="4" t="s">
        <v>2554</v>
      </c>
      <c r="D19" s="9">
        <v>11530</v>
      </c>
    </row>
    <row r="20" spans="1:4" x14ac:dyDescent="0.25">
      <c r="A20" s="4" t="s">
        <v>2555</v>
      </c>
      <c r="B20" s="4">
        <v>372325</v>
      </c>
      <c r="C20" s="4" t="s">
        <v>2556</v>
      </c>
      <c r="D20" s="9">
        <v>700</v>
      </c>
    </row>
    <row r="21" spans="1:4" x14ac:dyDescent="0.25">
      <c r="A21" s="4" t="s">
        <v>2555</v>
      </c>
      <c r="B21" s="4">
        <v>372326</v>
      </c>
      <c r="C21" s="4" t="s">
        <v>2557</v>
      </c>
      <c r="D21" s="9">
        <v>1125</v>
      </c>
    </row>
    <row r="22" spans="1:4" x14ac:dyDescent="0.25">
      <c r="A22" s="4" t="s">
        <v>143</v>
      </c>
      <c r="B22" s="4">
        <v>360554</v>
      </c>
      <c r="C22" s="4" t="s">
        <v>2558</v>
      </c>
      <c r="D22" s="9">
        <v>3075</v>
      </c>
    </row>
    <row r="23" spans="1:4" x14ac:dyDescent="0.25">
      <c r="A23" s="4" t="s">
        <v>143</v>
      </c>
      <c r="B23" s="4">
        <v>360541</v>
      </c>
      <c r="C23" s="4" t="s">
        <v>2559</v>
      </c>
      <c r="D23" s="9">
        <v>2625</v>
      </c>
    </row>
    <row r="24" spans="1:4" x14ac:dyDescent="0.25">
      <c r="A24" s="4" t="s">
        <v>500</v>
      </c>
      <c r="B24" s="4">
        <v>373868</v>
      </c>
      <c r="C24" s="4" t="s">
        <v>2560</v>
      </c>
      <c r="D24" s="9">
        <v>1047</v>
      </c>
    </row>
    <row r="25" spans="1:4" x14ac:dyDescent="0.25">
      <c r="A25" s="4" t="s">
        <v>2561</v>
      </c>
      <c r="B25" s="4">
        <v>368046</v>
      </c>
      <c r="C25" s="4" t="s">
        <v>2562</v>
      </c>
      <c r="D25" s="9">
        <v>23013</v>
      </c>
    </row>
    <row r="26" spans="1:4" x14ac:dyDescent="0.25">
      <c r="A26" s="4" t="s">
        <v>2561</v>
      </c>
      <c r="B26" s="4">
        <v>368053</v>
      </c>
      <c r="C26" s="4" t="s">
        <v>2563</v>
      </c>
      <c r="D26" s="9">
        <v>2430</v>
      </c>
    </row>
    <row r="27" spans="1:4" x14ac:dyDescent="0.25">
      <c r="A27" s="4" t="s">
        <v>26</v>
      </c>
      <c r="B27" s="4">
        <v>373754</v>
      </c>
      <c r="C27" s="4" t="s">
        <v>2564</v>
      </c>
      <c r="D27" s="9">
        <v>137</v>
      </c>
    </row>
    <row r="28" spans="1:4" x14ac:dyDescent="0.25">
      <c r="A28" s="4" t="s">
        <v>1582</v>
      </c>
      <c r="B28" s="4">
        <v>371034</v>
      </c>
      <c r="C28" s="4" t="s">
        <v>2530</v>
      </c>
      <c r="D28" s="9">
        <v>1323</v>
      </c>
    </row>
    <row r="29" spans="1:4" x14ac:dyDescent="0.25">
      <c r="A29" s="4" t="s">
        <v>1582</v>
      </c>
      <c r="B29" s="4">
        <v>371042</v>
      </c>
      <c r="C29" s="4" t="s">
        <v>2531</v>
      </c>
      <c r="D29" s="9">
        <v>21416</v>
      </c>
    </row>
    <row r="30" spans="1:4" x14ac:dyDescent="0.25">
      <c r="A30" s="4" t="s">
        <v>1582</v>
      </c>
      <c r="B30" s="4">
        <v>371115</v>
      </c>
      <c r="C30" s="4" t="s">
        <v>2565</v>
      </c>
      <c r="D30" s="9">
        <v>1499</v>
      </c>
    </row>
    <row r="31" spans="1:4" x14ac:dyDescent="0.25">
      <c r="A31" s="4" t="s">
        <v>1582</v>
      </c>
      <c r="B31" s="4">
        <v>369520</v>
      </c>
      <c r="C31" s="4" t="s">
        <v>2532</v>
      </c>
      <c r="D31" s="9">
        <v>15463</v>
      </c>
    </row>
    <row r="32" spans="1:4" x14ac:dyDescent="0.25">
      <c r="A32" s="4" t="s">
        <v>1582</v>
      </c>
      <c r="B32" s="4">
        <v>369530</v>
      </c>
      <c r="C32" s="4" t="s">
        <v>2533</v>
      </c>
      <c r="D32" s="9">
        <v>30054</v>
      </c>
    </row>
    <row r="33" spans="1:4" x14ac:dyDescent="0.25">
      <c r="A33" s="4" t="s">
        <v>180</v>
      </c>
      <c r="B33" s="4">
        <v>362477</v>
      </c>
      <c r="C33" s="4" t="s">
        <v>2446</v>
      </c>
      <c r="D33" s="9">
        <v>1380</v>
      </c>
    </row>
    <row r="34" spans="1:4" x14ac:dyDescent="0.25">
      <c r="A34" s="4" t="s">
        <v>180</v>
      </c>
      <c r="B34" s="4">
        <v>369538</v>
      </c>
      <c r="C34" s="4" t="s">
        <v>2566</v>
      </c>
      <c r="D34" s="9">
        <v>4369</v>
      </c>
    </row>
    <row r="35" spans="1:4" x14ac:dyDescent="0.25">
      <c r="A35" s="4" t="s">
        <v>180</v>
      </c>
      <c r="B35" s="4">
        <v>369538</v>
      </c>
      <c r="C35" s="4" t="s">
        <v>2567</v>
      </c>
      <c r="D35" s="9">
        <v>9418</v>
      </c>
    </row>
    <row r="36" spans="1:4" x14ac:dyDescent="0.25">
      <c r="A36" s="4" t="s">
        <v>180</v>
      </c>
      <c r="B36" s="4">
        <v>369538</v>
      </c>
      <c r="C36" s="4" t="s">
        <v>2568</v>
      </c>
      <c r="D36" s="9">
        <v>3169</v>
      </c>
    </row>
    <row r="37" spans="1:4" x14ac:dyDescent="0.25">
      <c r="A37" s="4" t="s">
        <v>180</v>
      </c>
      <c r="B37" s="4">
        <v>369538</v>
      </c>
      <c r="C37" s="4" t="s">
        <v>2569</v>
      </c>
      <c r="D37" s="9">
        <v>8094</v>
      </c>
    </row>
    <row r="38" spans="1:4" x14ac:dyDescent="0.25">
      <c r="A38" s="4" t="s">
        <v>1335</v>
      </c>
      <c r="B38" s="4">
        <v>370797</v>
      </c>
      <c r="C38" s="4" t="s">
        <v>2570</v>
      </c>
      <c r="D38" s="9">
        <v>2335</v>
      </c>
    </row>
    <row r="39" spans="1:4" x14ac:dyDescent="0.25">
      <c r="A39" s="4" t="s">
        <v>718</v>
      </c>
      <c r="B39" s="4">
        <v>372436</v>
      </c>
      <c r="C39" s="4" t="s">
        <v>2534</v>
      </c>
      <c r="D39" s="9">
        <v>3002</v>
      </c>
    </row>
    <row r="40" spans="1:4" x14ac:dyDescent="0.25">
      <c r="A40" s="4" t="s">
        <v>718</v>
      </c>
      <c r="B40" s="4">
        <v>373880</v>
      </c>
      <c r="C40" s="4" t="s">
        <v>2571</v>
      </c>
      <c r="D40" s="9">
        <v>8994</v>
      </c>
    </row>
    <row r="41" spans="1:4" x14ac:dyDescent="0.25">
      <c r="A41" s="4" t="s">
        <v>315</v>
      </c>
      <c r="B41" s="4">
        <v>372449</v>
      </c>
      <c r="C41" s="4" t="s">
        <v>2572</v>
      </c>
      <c r="D41" s="9">
        <v>371</v>
      </c>
    </row>
    <row r="42" spans="1:4" x14ac:dyDescent="0.25">
      <c r="A42" s="4" t="s">
        <v>315</v>
      </c>
      <c r="B42" s="4">
        <v>372450</v>
      </c>
      <c r="C42" s="4" t="s">
        <v>2573</v>
      </c>
      <c r="D42" s="9">
        <v>619</v>
      </c>
    </row>
    <row r="43" spans="1:4" x14ac:dyDescent="0.25">
      <c r="A43" s="4" t="s">
        <v>315</v>
      </c>
      <c r="B43" s="4">
        <v>366749</v>
      </c>
      <c r="C43" s="4" t="s">
        <v>2574</v>
      </c>
      <c r="D43" s="9">
        <v>3450</v>
      </c>
    </row>
    <row r="44" spans="1:4" x14ac:dyDescent="0.25">
      <c r="A44" s="4" t="s">
        <v>315</v>
      </c>
      <c r="B44" s="4">
        <v>370961</v>
      </c>
      <c r="C44" s="4" t="s">
        <v>2535</v>
      </c>
      <c r="D44" s="9">
        <v>495</v>
      </c>
    </row>
    <row r="45" spans="1:4" x14ac:dyDescent="0.25">
      <c r="A45" s="4" t="s">
        <v>315</v>
      </c>
      <c r="B45" s="4">
        <v>372367</v>
      </c>
      <c r="C45" s="4" t="s">
        <v>2575</v>
      </c>
      <c r="D45" s="9">
        <v>23885</v>
      </c>
    </row>
    <row r="46" spans="1:4" x14ac:dyDescent="0.25">
      <c r="A46" s="4" t="s">
        <v>315</v>
      </c>
      <c r="B46" s="4">
        <v>372554</v>
      </c>
      <c r="C46" s="4" t="s">
        <v>2576</v>
      </c>
      <c r="D46" s="9">
        <v>799</v>
      </c>
    </row>
    <row r="47" spans="1:4" x14ac:dyDescent="0.25">
      <c r="A47" s="4" t="s">
        <v>315</v>
      </c>
      <c r="B47" s="4">
        <v>337262</v>
      </c>
      <c r="C47" s="4" t="s">
        <v>2536</v>
      </c>
      <c r="D47" s="9">
        <v>885</v>
      </c>
    </row>
    <row r="48" spans="1:4" x14ac:dyDescent="0.25">
      <c r="A48" s="4" t="s">
        <v>832</v>
      </c>
      <c r="B48" s="4">
        <v>366291</v>
      </c>
      <c r="C48" s="4" t="s">
        <v>2577</v>
      </c>
      <c r="D48" s="9">
        <v>1138</v>
      </c>
    </row>
    <row r="49" spans="1:4" x14ac:dyDescent="0.25">
      <c r="A49" s="4" t="s">
        <v>832</v>
      </c>
      <c r="B49" s="4">
        <v>359881</v>
      </c>
      <c r="C49" s="4" t="s">
        <v>2578</v>
      </c>
      <c r="D49" s="9">
        <v>1675</v>
      </c>
    </row>
    <row r="50" spans="1:4" x14ac:dyDescent="0.25">
      <c r="A50" s="4" t="s">
        <v>832</v>
      </c>
      <c r="B50" s="4">
        <v>363569</v>
      </c>
      <c r="C50" s="4" t="s">
        <v>2435</v>
      </c>
      <c r="D50" s="9">
        <v>950</v>
      </c>
    </row>
    <row r="51" spans="1:4" x14ac:dyDescent="0.25">
      <c r="A51" s="4" t="s">
        <v>1535</v>
      </c>
      <c r="B51" s="4">
        <v>364049</v>
      </c>
      <c r="C51" s="4" t="s">
        <v>2527</v>
      </c>
      <c r="D51" s="9">
        <v>195</v>
      </c>
    </row>
    <row r="52" spans="1:4" x14ac:dyDescent="0.25">
      <c r="A52" s="4" t="s">
        <v>995</v>
      </c>
      <c r="B52" s="4">
        <v>370991</v>
      </c>
      <c r="C52" s="4" t="s">
        <v>2579</v>
      </c>
      <c r="D52" s="9">
        <v>570</v>
      </c>
    </row>
    <row r="53" spans="1:4" x14ac:dyDescent="0.25">
      <c r="A53" s="4" t="s">
        <v>995</v>
      </c>
      <c r="B53" s="4">
        <v>360246</v>
      </c>
      <c r="C53" s="4" t="s">
        <v>2580</v>
      </c>
      <c r="D53" s="9">
        <v>1190</v>
      </c>
    </row>
    <row r="54" spans="1:4" x14ac:dyDescent="0.25">
      <c r="A54" s="4" t="s">
        <v>995</v>
      </c>
      <c r="B54" s="4">
        <v>361060</v>
      </c>
      <c r="C54" s="4" t="s">
        <v>2411</v>
      </c>
      <c r="D54" s="9">
        <v>1495</v>
      </c>
    </row>
    <row r="55" spans="1:4" x14ac:dyDescent="0.25">
      <c r="A55" s="4" t="s">
        <v>2581</v>
      </c>
      <c r="B55" s="4">
        <v>372404</v>
      </c>
      <c r="C55" s="4" t="s">
        <v>2582</v>
      </c>
      <c r="D55" s="9">
        <v>3135</v>
      </c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SUM(D2:D23,D25:D55)</f>
        <v>426166</v>
      </c>
    </row>
    <row r="93" spans="1:4" x14ac:dyDescent="0.25">
      <c r="C93" s="31" t="s">
        <v>2501</v>
      </c>
      <c r="D93" s="32">
        <f>SUM(D24)</f>
        <v>1047</v>
      </c>
    </row>
    <row r="94" spans="1:4" x14ac:dyDescent="0.25">
      <c r="C94" s="31" t="s">
        <v>83</v>
      </c>
      <c r="D94" s="32">
        <f>SUM(D92:D93)</f>
        <v>427213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7C2C-A70E-4085-881B-486B588F9F17}">
  <dimension ref="A1:D94"/>
  <sheetViews>
    <sheetView zoomScaleNormal="100" zoomScaleSheetLayoutView="100" workbookViewId="0">
      <selection activeCell="K97" sqref="K97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370957</v>
      </c>
      <c r="C2" s="4" t="s">
        <v>2583</v>
      </c>
      <c r="D2" s="9">
        <v>1395</v>
      </c>
    </row>
    <row r="3" spans="1:4" x14ac:dyDescent="0.25">
      <c r="A3" s="4" t="s">
        <v>500</v>
      </c>
      <c r="B3" s="4">
        <v>374453</v>
      </c>
      <c r="C3" s="4" t="s">
        <v>2584</v>
      </c>
      <c r="D3" s="9">
        <v>1924</v>
      </c>
    </row>
    <row r="4" spans="1:4" x14ac:dyDescent="0.25">
      <c r="A4" s="4" t="s">
        <v>111</v>
      </c>
      <c r="B4" s="4">
        <v>374432</v>
      </c>
      <c r="C4" s="4" t="s">
        <v>2585</v>
      </c>
      <c r="D4" s="9">
        <v>1509</v>
      </c>
    </row>
    <row r="5" spans="1:4" x14ac:dyDescent="0.25">
      <c r="A5" s="4" t="s">
        <v>167</v>
      </c>
      <c r="B5" s="4">
        <v>373878</v>
      </c>
      <c r="C5" s="4" t="s">
        <v>2586</v>
      </c>
      <c r="D5" s="9">
        <v>153</v>
      </c>
    </row>
    <row r="6" spans="1:4" x14ac:dyDescent="0.25">
      <c r="A6" s="4" t="s">
        <v>315</v>
      </c>
      <c r="B6" s="4">
        <v>370961</v>
      </c>
      <c r="C6" s="4" t="s">
        <v>2535</v>
      </c>
      <c r="D6" s="9">
        <v>495</v>
      </c>
    </row>
    <row r="7" spans="1:4" x14ac:dyDescent="0.25">
      <c r="A7" s="4" t="s">
        <v>315</v>
      </c>
      <c r="B7" s="4">
        <v>372367</v>
      </c>
      <c r="C7" s="4" t="s">
        <v>2575</v>
      </c>
      <c r="D7" s="9">
        <v>23885</v>
      </c>
    </row>
    <row r="8" spans="1:4" x14ac:dyDescent="0.25">
      <c r="A8" s="4" t="s">
        <v>832</v>
      </c>
      <c r="B8" s="4">
        <v>359881</v>
      </c>
      <c r="C8" s="4" t="s">
        <v>2578</v>
      </c>
      <c r="D8" s="9">
        <v>1675</v>
      </c>
    </row>
    <row r="9" spans="1:4" x14ac:dyDescent="0.25">
      <c r="A9" s="4" t="s">
        <v>832</v>
      </c>
      <c r="B9" s="4">
        <v>363569</v>
      </c>
      <c r="C9" s="4" t="s">
        <v>2435</v>
      </c>
      <c r="D9" s="9">
        <v>950</v>
      </c>
    </row>
    <row r="10" spans="1:4" x14ac:dyDescent="0.25">
      <c r="A10" s="4" t="s">
        <v>1535</v>
      </c>
      <c r="B10" s="4">
        <v>364049</v>
      </c>
      <c r="C10" s="4" t="s">
        <v>2527</v>
      </c>
      <c r="D10" s="9">
        <v>195</v>
      </c>
    </row>
    <row r="11" spans="1:4" x14ac:dyDescent="0.25">
      <c r="A11" s="4" t="s">
        <v>995</v>
      </c>
      <c r="B11" s="4">
        <v>360246</v>
      </c>
      <c r="C11" s="4" t="s">
        <v>2580</v>
      </c>
      <c r="D11" s="9">
        <v>1190</v>
      </c>
    </row>
    <row r="12" spans="1:4" x14ac:dyDescent="0.25">
      <c r="A12" s="4" t="s">
        <v>995</v>
      </c>
      <c r="B12" s="4">
        <v>361060</v>
      </c>
      <c r="C12" s="4" t="s">
        <v>2411</v>
      </c>
      <c r="D12" s="9">
        <v>1495</v>
      </c>
    </row>
    <row r="13" spans="1:4" hidden="1" x14ac:dyDescent="0.25">
      <c r="A13" s="4"/>
      <c r="B13" s="4"/>
      <c r="C13" s="4"/>
      <c r="D13" s="9"/>
    </row>
    <row r="14" spans="1:4" hidden="1" x14ac:dyDescent="0.25">
      <c r="A14" s="4"/>
      <c r="B14" s="4"/>
      <c r="C14" s="4"/>
      <c r="D14" s="9"/>
    </row>
    <row r="15" spans="1:4" hidden="1" x14ac:dyDescent="0.25">
      <c r="A15" s="4"/>
      <c r="B15" s="4"/>
      <c r="C15" s="4"/>
      <c r="D15" s="9"/>
    </row>
    <row r="16" spans="1:4" hidden="1" x14ac:dyDescent="0.25">
      <c r="A16" s="4"/>
      <c r="B16" s="4"/>
      <c r="C16" s="4"/>
      <c r="D16" s="9"/>
    </row>
    <row r="17" spans="1:4" hidden="1" x14ac:dyDescent="0.25">
      <c r="A17" s="4"/>
      <c r="B17" s="4"/>
      <c r="C17" s="4"/>
      <c r="D17" s="9"/>
    </row>
    <row r="18" spans="1:4" hidden="1" x14ac:dyDescent="0.25">
      <c r="A18" s="4"/>
      <c r="B18" s="4"/>
      <c r="C18" s="4"/>
      <c r="D18" s="9"/>
    </row>
    <row r="19" spans="1:4" hidden="1" x14ac:dyDescent="0.25">
      <c r="A19" s="4"/>
      <c r="B19" s="4"/>
      <c r="C19" s="4"/>
      <c r="D19" s="9"/>
    </row>
    <row r="20" spans="1:4" hidden="1" x14ac:dyDescent="0.25">
      <c r="A20" s="4"/>
      <c r="B20" s="4"/>
      <c r="C20" s="4"/>
      <c r="D20" s="9"/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SUM(D2,D6:D12)</f>
        <v>31280</v>
      </c>
    </row>
    <row r="93" spans="1:4" x14ac:dyDescent="0.25">
      <c r="C93" s="31" t="s">
        <v>2501</v>
      </c>
      <c r="D93" s="32">
        <f>SUM(D3:D5)</f>
        <v>3586</v>
      </c>
    </row>
    <row r="94" spans="1:4" x14ac:dyDescent="0.25">
      <c r="C94" s="31" t="s">
        <v>83</v>
      </c>
      <c r="D94" s="32">
        <f>SUM(D92:D93)</f>
        <v>34866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7AB8-CFBB-4ECA-AC91-061A56A66A75}">
  <dimension ref="A1:D94"/>
  <sheetViews>
    <sheetView zoomScaleNormal="100" zoomScaleSheetLayoutView="100" workbookViewId="0">
      <selection activeCell="F24" sqref="F24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370957</v>
      </c>
      <c r="C2" s="4" t="s">
        <v>2583</v>
      </c>
      <c r="D2" s="9">
        <v>1395</v>
      </c>
    </row>
    <row r="3" spans="1:4" x14ac:dyDescent="0.25">
      <c r="A3" s="4" t="s">
        <v>147</v>
      </c>
      <c r="B3" s="4">
        <v>374382</v>
      </c>
      <c r="C3" s="4" t="s">
        <v>2587</v>
      </c>
      <c r="D3" s="9">
        <v>825</v>
      </c>
    </row>
    <row r="4" spans="1:4" x14ac:dyDescent="0.25">
      <c r="A4" s="4" t="s">
        <v>500</v>
      </c>
      <c r="B4" s="4">
        <v>374732</v>
      </c>
      <c r="C4" s="4" t="s">
        <v>2588</v>
      </c>
      <c r="D4" s="9">
        <v>4230</v>
      </c>
    </row>
    <row r="5" spans="1:4" x14ac:dyDescent="0.25">
      <c r="A5" s="4" t="s">
        <v>111</v>
      </c>
      <c r="B5" s="4">
        <v>374600</v>
      </c>
      <c r="C5" s="4" t="s">
        <v>2589</v>
      </c>
      <c r="D5" s="9">
        <v>3227</v>
      </c>
    </row>
    <row r="6" spans="1:4" x14ac:dyDescent="0.25">
      <c r="A6" s="4" t="s">
        <v>167</v>
      </c>
      <c r="B6" s="4">
        <v>373878</v>
      </c>
      <c r="C6" s="4" t="s">
        <v>2586</v>
      </c>
      <c r="D6" s="9">
        <v>153</v>
      </c>
    </row>
    <row r="7" spans="1:4" x14ac:dyDescent="0.25">
      <c r="A7" s="4" t="s">
        <v>175</v>
      </c>
      <c r="B7" s="4">
        <v>358978</v>
      </c>
      <c r="C7" s="4" t="s">
        <v>2590</v>
      </c>
      <c r="D7" s="9">
        <v>4675</v>
      </c>
    </row>
    <row r="8" spans="1:4" x14ac:dyDescent="0.25">
      <c r="A8" s="4" t="s">
        <v>2591</v>
      </c>
      <c r="B8" s="4">
        <v>369528</v>
      </c>
      <c r="C8" s="4" t="s">
        <v>2592</v>
      </c>
      <c r="D8" s="9">
        <v>3470</v>
      </c>
    </row>
    <row r="9" spans="1:4" x14ac:dyDescent="0.25">
      <c r="A9" s="4" t="s">
        <v>26</v>
      </c>
      <c r="B9" s="4">
        <v>374324</v>
      </c>
      <c r="C9" s="4" t="s">
        <v>2593</v>
      </c>
      <c r="D9" s="9">
        <v>2790</v>
      </c>
    </row>
    <row r="10" spans="1:4" x14ac:dyDescent="0.25">
      <c r="A10" s="4" t="s">
        <v>1180</v>
      </c>
      <c r="B10" s="4">
        <v>370974</v>
      </c>
      <c r="C10" s="4" t="s">
        <v>2594</v>
      </c>
      <c r="D10" s="9">
        <v>23328</v>
      </c>
    </row>
    <row r="11" spans="1:4" x14ac:dyDescent="0.25">
      <c r="A11" s="4" t="s">
        <v>315</v>
      </c>
      <c r="B11" s="4">
        <v>373923</v>
      </c>
      <c r="C11" s="4" t="s">
        <v>2595</v>
      </c>
      <c r="D11" s="9">
        <v>8350</v>
      </c>
    </row>
    <row r="12" spans="1:4" x14ac:dyDescent="0.25">
      <c r="A12" s="4" t="s">
        <v>832</v>
      </c>
      <c r="B12" s="4">
        <v>363669</v>
      </c>
      <c r="C12" s="4" t="s">
        <v>2596</v>
      </c>
      <c r="D12" s="9">
        <v>4174</v>
      </c>
    </row>
    <row r="13" spans="1:4" x14ac:dyDescent="0.25">
      <c r="A13" s="4" t="s">
        <v>832</v>
      </c>
      <c r="B13" s="4">
        <v>374541</v>
      </c>
      <c r="C13" s="4" t="s">
        <v>2597</v>
      </c>
      <c r="D13" s="9">
        <v>1280</v>
      </c>
    </row>
    <row r="14" spans="1:4" x14ac:dyDescent="0.25">
      <c r="A14" s="4" t="s">
        <v>832</v>
      </c>
      <c r="B14" s="4">
        <v>359881</v>
      </c>
      <c r="C14" s="4" t="s">
        <v>2578</v>
      </c>
      <c r="D14" s="9">
        <v>1675</v>
      </c>
    </row>
    <row r="15" spans="1:4" x14ac:dyDescent="0.25">
      <c r="A15" s="4" t="s">
        <v>832</v>
      </c>
      <c r="B15" s="4">
        <v>363569</v>
      </c>
      <c r="C15" s="4" t="s">
        <v>2435</v>
      </c>
      <c r="D15" s="9">
        <v>950</v>
      </c>
    </row>
    <row r="16" spans="1:4" x14ac:dyDescent="0.25">
      <c r="A16" s="4" t="s">
        <v>1387</v>
      </c>
      <c r="B16" s="4">
        <v>372546</v>
      </c>
      <c r="C16" s="4" t="s">
        <v>2598</v>
      </c>
      <c r="D16" s="9">
        <v>5020</v>
      </c>
    </row>
    <row r="17" spans="1:4" x14ac:dyDescent="0.25">
      <c r="A17" s="4" t="s">
        <v>1387</v>
      </c>
      <c r="B17" s="4">
        <v>372545</v>
      </c>
      <c r="C17" s="4" t="s">
        <v>2599</v>
      </c>
      <c r="D17" s="9">
        <v>495</v>
      </c>
    </row>
    <row r="18" spans="1:4" x14ac:dyDescent="0.25">
      <c r="A18" s="4" t="s">
        <v>1387</v>
      </c>
      <c r="B18" s="4">
        <v>372244</v>
      </c>
      <c r="C18" s="4" t="s">
        <v>2600</v>
      </c>
      <c r="D18" s="9">
        <v>2085</v>
      </c>
    </row>
    <row r="19" spans="1:4" x14ac:dyDescent="0.25">
      <c r="A19" s="4" t="s">
        <v>2601</v>
      </c>
      <c r="B19" s="4">
        <v>374583</v>
      </c>
      <c r="C19" s="4" t="s">
        <v>2602</v>
      </c>
      <c r="D19" s="9">
        <v>2070</v>
      </c>
    </row>
    <row r="20" spans="1:4" x14ac:dyDescent="0.25">
      <c r="A20" s="4" t="s">
        <v>2601</v>
      </c>
      <c r="B20" s="4">
        <v>374583</v>
      </c>
      <c r="C20" s="4" t="s">
        <v>2602</v>
      </c>
      <c r="D20" s="9">
        <v>2070</v>
      </c>
    </row>
    <row r="21" spans="1:4" x14ac:dyDescent="0.25">
      <c r="A21" s="4" t="s">
        <v>995</v>
      </c>
      <c r="B21" s="4">
        <v>360246</v>
      </c>
      <c r="C21" s="4" t="s">
        <v>2580</v>
      </c>
      <c r="D21" s="9">
        <v>1190</v>
      </c>
    </row>
    <row r="22" spans="1:4" x14ac:dyDescent="0.25">
      <c r="A22" s="4" t="s">
        <v>995</v>
      </c>
      <c r="B22" s="4">
        <v>361060</v>
      </c>
      <c r="C22" s="4" t="s">
        <v>2411</v>
      </c>
      <c r="D22" s="9">
        <v>1495</v>
      </c>
    </row>
    <row r="23" spans="1:4" x14ac:dyDescent="0.25">
      <c r="A23" s="4" t="s">
        <v>1920</v>
      </c>
      <c r="B23" s="4">
        <v>359407</v>
      </c>
      <c r="C23" s="4" t="s">
        <v>2603</v>
      </c>
      <c r="D23" s="9">
        <v>3300</v>
      </c>
    </row>
    <row r="24" spans="1:4" x14ac:dyDescent="0.25">
      <c r="A24" s="4" t="s">
        <v>151</v>
      </c>
      <c r="B24" s="4">
        <v>374579</v>
      </c>
      <c r="C24" s="4" t="s">
        <v>2604</v>
      </c>
      <c r="D24" s="9">
        <v>4935</v>
      </c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SUM(D2:D3,D7:D24)</f>
        <v>75572</v>
      </c>
    </row>
    <row r="93" spans="1:4" x14ac:dyDescent="0.25">
      <c r="C93" s="31" t="s">
        <v>2501</v>
      </c>
      <c r="D93" s="32">
        <f>SUM(D4:D6)</f>
        <v>7610</v>
      </c>
    </row>
    <row r="94" spans="1:4" x14ac:dyDescent="0.25">
      <c r="C94" s="31" t="s">
        <v>83</v>
      </c>
      <c r="D94" s="32">
        <f>SUM(D92:D93)</f>
        <v>83182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5E80-30AC-40DB-A205-4457E3E708A2}">
  <dimension ref="A1:D94"/>
  <sheetViews>
    <sheetView zoomScaleNormal="100" zoomScaleSheetLayoutView="100" workbookViewId="0">
      <selection activeCell="E93" sqref="E93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370957</v>
      </c>
      <c r="C2" s="4" t="s">
        <v>2583</v>
      </c>
      <c r="D2" s="9">
        <v>1395</v>
      </c>
    </row>
    <row r="3" spans="1:4" x14ac:dyDescent="0.25">
      <c r="A3" s="4" t="s">
        <v>147</v>
      </c>
      <c r="B3" s="4">
        <v>374382</v>
      </c>
      <c r="C3" s="4" t="s">
        <v>2587</v>
      </c>
      <c r="D3" s="9">
        <v>825</v>
      </c>
    </row>
    <row r="4" spans="1:4" x14ac:dyDescent="0.25">
      <c r="A4" s="4" t="s">
        <v>175</v>
      </c>
      <c r="B4" s="4">
        <v>358978</v>
      </c>
      <c r="C4" s="4" t="s">
        <v>2590</v>
      </c>
      <c r="D4" s="9">
        <v>4675</v>
      </c>
    </row>
    <row r="5" spans="1:4" x14ac:dyDescent="0.25">
      <c r="A5" s="4" t="s">
        <v>2591</v>
      </c>
      <c r="B5" s="4">
        <v>369528</v>
      </c>
      <c r="C5" s="4" t="s">
        <v>2592</v>
      </c>
      <c r="D5" s="9">
        <v>3470</v>
      </c>
    </row>
    <row r="6" spans="1:4" x14ac:dyDescent="0.25">
      <c r="A6" s="4" t="s">
        <v>26</v>
      </c>
      <c r="B6" s="4">
        <v>374324</v>
      </c>
      <c r="C6" s="4" t="s">
        <v>2593</v>
      </c>
      <c r="D6" s="9">
        <v>2790</v>
      </c>
    </row>
    <row r="7" spans="1:4" x14ac:dyDescent="0.25">
      <c r="A7" s="4" t="s">
        <v>1419</v>
      </c>
      <c r="B7" s="4">
        <v>374247</v>
      </c>
      <c r="C7" s="4" t="s">
        <v>2605</v>
      </c>
      <c r="D7" s="9">
        <v>3095</v>
      </c>
    </row>
    <row r="8" spans="1:4" x14ac:dyDescent="0.25">
      <c r="A8" s="4" t="s">
        <v>1419</v>
      </c>
      <c r="B8" s="4">
        <v>374250</v>
      </c>
      <c r="C8" s="4" t="s">
        <v>2606</v>
      </c>
      <c r="D8" s="9">
        <v>2190</v>
      </c>
    </row>
    <row r="9" spans="1:4" x14ac:dyDescent="0.25">
      <c r="A9" s="4" t="s">
        <v>1419</v>
      </c>
      <c r="B9" s="4">
        <v>374252</v>
      </c>
      <c r="C9" s="4" t="s">
        <v>2607</v>
      </c>
      <c r="D9" s="9">
        <v>7800</v>
      </c>
    </row>
    <row r="10" spans="1:4" x14ac:dyDescent="0.25">
      <c r="A10" s="4" t="s">
        <v>1419</v>
      </c>
      <c r="B10" s="4">
        <v>374265</v>
      </c>
      <c r="C10" s="4" t="s">
        <v>2608</v>
      </c>
      <c r="D10" s="9">
        <v>750</v>
      </c>
    </row>
    <row r="11" spans="1:4" x14ac:dyDescent="0.25">
      <c r="A11" s="4" t="s">
        <v>1419</v>
      </c>
      <c r="B11" s="4">
        <v>374273</v>
      </c>
      <c r="C11" s="4" t="s">
        <v>2609</v>
      </c>
      <c r="D11" s="9">
        <v>2570</v>
      </c>
    </row>
    <row r="12" spans="1:4" x14ac:dyDescent="0.25">
      <c r="A12" s="4" t="s">
        <v>1419</v>
      </c>
      <c r="B12" s="4">
        <v>374275</v>
      </c>
      <c r="C12" s="4" t="s">
        <v>2610</v>
      </c>
      <c r="D12" s="9">
        <v>390</v>
      </c>
    </row>
    <row r="13" spans="1:4" x14ac:dyDescent="0.25">
      <c r="A13" s="4" t="s">
        <v>1419</v>
      </c>
      <c r="B13" s="4">
        <v>374276</v>
      </c>
      <c r="C13" s="4" t="s">
        <v>2611</v>
      </c>
      <c r="D13" s="9">
        <v>1880</v>
      </c>
    </row>
    <row r="14" spans="1:4" x14ac:dyDescent="0.25">
      <c r="A14" s="4" t="s">
        <v>1419</v>
      </c>
      <c r="B14" s="4">
        <v>374315</v>
      </c>
      <c r="C14" s="4" t="s">
        <v>2612</v>
      </c>
      <c r="D14" s="9">
        <v>1075</v>
      </c>
    </row>
    <row r="15" spans="1:4" x14ac:dyDescent="0.25">
      <c r="A15" s="4" t="s">
        <v>315</v>
      </c>
      <c r="B15" s="4">
        <v>373923</v>
      </c>
      <c r="C15" s="4" t="s">
        <v>2595</v>
      </c>
      <c r="D15" s="9">
        <v>8350</v>
      </c>
    </row>
    <row r="16" spans="1:4" x14ac:dyDescent="0.25">
      <c r="A16" s="4" t="s">
        <v>315</v>
      </c>
      <c r="B16" s="4">
        <v>374812</v>
      </c>
      <c r="C16" s="4" t="s">
        <v>2613</v>
      </c>
      <c r="D16" s="9">
        <v>2100</v>
      </c>
    </row>
    <row r="17" spans="1:4" x14ac:dyDescent="0.25">
      <c r="A17" s="4" t="s">
        <v>832</v>
      </c>
      <c r="B17" s="4">
        <v>359881</v>
      </c>
      <c r="C17" s="4" t="s">
        <v>2578</v>
      </c>
      <c r="D17" s="9">
        <v>1675</v>
      </c>
    </row>
    <row r="18" spans="1:4" x14ac:dyDescent="0.25">
      <c r="A18" s="4" t="s">
        <v>832</v>
      </c>
      <c r="B18" s="4">
        <v>363569</v>
      </c>
      <c r="C18" s="4" t="s">
        <v>2435</v>
      </c>
      <c r="D18" s="9">
        <v>950</v>
      </c>
    </row>
    <row r="19" spans="1:4" x14ac:dyDescent="0.25">
      <c r="A19" s="4" t="s">
        <v>610</v>
      </c>
      <c r="B19" s="4">
        <v>374811</v>
      </c>
      <c r="C19" s="4" t="s">
        <v>2614</v>
      </c>
      <c r="D19" s="9">
        <v>3503</v>
      </c>
    </row>
    <row r="20" spans="1:4" x14ac:dyDescent="0.25">
      <c r="A20" s="4" t="s">
        <v>1387</v>
      </c>
      <c r="B20" s="4">
        <v>372244</v>
      </c>
      <c r="C20" s="4" t="s">
        <v>2600</v>
      </c>
      <c r="D20" s="9">
        <v>2085</v>
      </c>
    </row>
    <row r="21" spans="1:4" x14ac:dyDescent="0.25">
      <c r="A21" s="4" t="s">
        <v>2601</v>
      </c>
      <c r="B21" s="4">
        <v>374583</v>
      </c>
      <c r="C21" s="4" t="s">
        <v>2602</v>
      </c>
      <c r="D21" s="9">
        <v>2070</v>
      </c>
    </row>
    <row r="22" spans="1:4" x14ac:dyDescent="0.25">
      <c r="A22" s="4" t="s">
        <v>995</v>
      </c>
      <c r="B22" s="4">
        <v>374829</v>
      </c>
      <c r="C22" s="4" t="s">
        <v>2615</v>
      </c>
      <c r="D22" s="9">
        <v>250</v>
      </c>
    </row>
    <row r="23" spans="1:4" x14ac:dyDescent="0.25">
      <c r="A23" s="4" t="s">
        <v>995</v>
      </c>
      <c r="B23" s="4">
        <v>360246</v>
      </c>
      <c r="C23" s="4" t="s">
        <v>2580</v>
      </c>
      <c r="D23" s="9">
        <v>1190</v>
      </c>
    </row>
    <row r="24" spans="1:4" x14ac:dyDescent="0.25">
      <c r="A24" s="4" t="s">
        <v>995</v>
      </c>
      <c r="B24" s="4">
        <v>374830</v>
      </c>
      <c r="C24" s="4" t="s">
        <v>2616</v>
      </c>
      <c r="D24" s="9">
        <v>1285</v>
      </c>
    </row>
    <row r="25" spans="1:4" x14ac:dyDescent="0.25">
      <c r="A25" s="4" t="s">
        <v>995</v>
      </c>
      <c r="B25" s="4">
        <v>361060</v>
      </c>
      <c r="C25" s="4" t="s">
        <v>2411</v>
      </c>
      <c r="D25" s="9">
        <v>1495</v>
      </c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SUM(D2:D3,D4:D24)</f>
        <v>56363</v>
      </c>
    </row>
    <row r="93" spans="1:4" x14ac:dyDescent="0.25">
      <c r="C93" s="31" t="s">
        <v>2501</v>
      </c>
      <c r="D93" s="32">
        <v>0</v>
      </c>
    </row>
    <row r="94" spans="1:4" x14ac:dyDescent="0.25">
      <c r="C94" s="31" t="s">
        <v>83</v>
      </c>
      <c r="D94" s="32">
        <f>SUM(D92:D93)</f>
        <v>56363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C93C-D1A5-461F-A62A-1D6EB05975A3}">
  <dimension ref="A1:D94"/>
  <sheetViews>
    <sheetView topLeftCell="A54" zoomScaleNormal="100" zoomScaleSheetLayoutView="100" workbookViewId="0">
      <selection activeCell="C104" sqref="C104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1322</v>
      </c>
      <c r="B2" s="4">
        <v>364224</v>
      </c>
      <c r="C2" s="4" t="s">
        <v>2617</v>
      </c>
      <c r="D2" s="9">
        <v>25477</v>
      </c>
    </row>
    <row r="3" spans="1:4" x14ac:dyDescent="0.25">
      <c r="A3" s="4" t="s">
        <v>256</v>
      </c>
      <c r="B3" s="4">
        <v>375582</v>
      </c>
      <c r="C3" s="4" t="s">
        <v>2618</v>
      </c>
      <c r="D3" s="9">
        <v>809</v>
      </c>
    </row>
    <row r="4" spans="1:4" x14ac:dyDescent="0.25">
      <c r="A4" s="4" t="s">
        <v>256</v>
      </c>
      <c r="B4" s="4">
        <v>374555</v>
      </c>
      <c r="C4" s="4" t="s">
        <v>2619</v>
      </c>
      <c r="D4" s="9">
        <v>395</v>
      </c>
    </row>
    <row r="5" spans="1:4" x14ac:dyDescent="0.25">
      <c r="A5" s="4" t="s">
        <v>24</v>
      </c>
      <c r="B5" s="4">
        <v>375860</v>
      </c>
      <c r="C5" s="4" t="s">
        <v>2620</v>
      </c>
      <c r="D5" s="9">
        <v>1495</v>
      </c>
    </row>
    <row r="6" spans="1:4" x14ac:dyDescent="0.25">
      <c r="A6" s="4" t="s">
        <v>2591</v>
      </c>
      <c r="B6" s="4">
        <v>369528</v>
      </c>
      <c r="C6" s="4" t="s">
        <v>2592</v>
      </c>
      <c r="D6" s="9">
        <v>3470</v>
      </c>
    </row>
    <row r="7" spans="1:4" x14ac:dyDescent="0.25">
      <c r="A7" s="4" t="s">
        <v>26</v>
      </c>
      <c r="B7" s="4">
        <v>374637</v>
      </c>
      <c r="C7" s="4" t="s">
        <v>2621</v>
      </c>
      <c r="D7" s="9">
        <v>895</v>
      </c>
    </row>
    <row r="8" spans="1:4" x14ac:dyDescent="0.25">
      <c r="A8" s="4" t="s">
        <v>26</v>
      </c>
      <c r="B8" s="4">
        <v>374641</v>
      </c>
      <c r="C8" s="4" t="s">
        <v>2622</v>
      </c>
      <c r="D8" s="9">
        <v>650</v>
      </c>
    </row>
    <row r="9" spans="1:4" x14ac:dyDescent="0.25">
      <c r="A9" s="4" t="s">
        <v>26</v>
      </c>
      <c r="B9" s="4">
        <v>371030</v>
      </c>
      <c r="C9" s="4" t="s">
        <v>2623</v>
      </c>
      <c r="D9" s="9">
        <v>23670</v>
      </c>
    </row>
    <row r="10" spans="1:4" x14ac:dyDescent="0.25">
      <c r="A10" s="4" t="s">
        <v>26</v>
      </c>
      <c r="B10" s="4">
        <v>370762</v>
      </c>
      <c r="C10" s="4" t="s">
        <v>2624</v>
      </c>
      <c r="D10" s="9">
        <v>3160</v>
      </c>
    </row>
    <row r="11" spans="1:4" x14ac:dyDescent="0.25">
      <c r="A11" s="4" t="s">
        <v>26</v>
      </c>
      <c r="B11" s="4">
        <v>371030</v>
      </c>
      <c r="C11" s="4" t="s">
        <v>2625</v>
      </c>
      <c r="D11" s="9">
        <v>45116</v>
      </c>
    </row>
    <row r="12" spans="1:4" x14ac:dyDescent="0.25">
      <c r="A12" s="4" t="s">
        <v>26</v>
      </c>
      <c r="B12" s="4">
        <v>370762</v>
      </c>
      <c r="C12" s="4" t="s">
        <v>2626</v>
      </c>
      <c r="D12" s="9">
        <v>7785</v>
      </c>
    </row>
    <row r="13" spans="1:4" x14ac:dyDescent="0.25">
      <c r="A13" s="4" t="s">
        <v>26</v>
      </c>
      <c r="B13" s="4">
        <v>371030</v>
      </c>
      <c r="C13" s="4" t="s">
        <v>2627</v>
      </c>
      <c r="D13" s="9">
        <v>29339</v>
      </c>
    </row>
    <row r="14" spans="1:4" x14ac:dyDescent="0.25">
      <c r="A14" s="4" t="s">
        <v>26</v>
      </c>
      <c r="B14" s="4">
        <v>370762</v>
      </c>
      <c r="C14" s="4" t="s">
        <v>2628</v>
      </c>
      <c r="D14" s="9">
        <v>5037</v>
      </c>
    </row>
    <row r="15" spans="1:4" x14ac:dyDescent="0.25">
      <c r="A15" s="4" t="s">
        <v>26</v>
      </c>
      <c r="B15" s="4">
        <v>371030</v>
      </c>
      <c r="C15" s="4" t="s">
        <v>2629</v>
      </c>
      <c r="D15" s="9">
        <v>29305</v>
      </c>
    </row>
    <row r="16" spans="1:4" x14ac:dyDescent="0.25">
      <c r="A16" s="4" t="s">
        <v>26</v>
      </c>
      <c r="B16" s="4">
        <v>370762</v>
      </c>
      <c r="C16" s="4" t="s">
        <v>2630</v>
      </c>
      <c r="D16" s="9">
        <v>5278</v>
      </c>
    </row>
    <row r="17" spans="1:4" x14ac:dyDescent="0.25">
      <c r="A17" s="4" t="s">
        <v>26</v>
      </c>
      <c r="B17" s="4">
        <v>370762</v>
      </c>
      <c r="C17" s="4" t="s">
        <v>2631</v>
      </c>
      <c r="D17" s="9">
        <v>3540</v>
      </c>
    </row>
    <row r="18" spans="1:4" x14ac:dyDescent="0.25">
      <c r="A18" s="4" t="s">
        <v>26</v>
      </c>
      <c r="B18" s="4">
        <v>370762</v>
      </c>
      <c r="C18" s="4" t="s">
        <v>2632</v>
      </c>
      <c r="D18" s="9">
        <v>4620</v>
      </c>
    </row>
    <row r="19" spans="1:4" x14ac:dyDescent="0.25">
      <c r="A19" s="4" t="s">
        <v>2633</v>
      </c>
      <c r="B19" s="4">
        <v>375746</v>
      </c>
      <c r="C19" s="4" t="s">
        <v>2634</v>
      </c>
      <c r="D19" s="9">
        <v>300</v>
      </c>
    </row>
    <row r="20" spans="1:4" x14ac:dyDescent="0.25">
      <c r="A20" s="4" t="s">
        <v>1419</v>
      </c>
      <c r="B20" s="4">
        <v>374247</v>
      </c>
      <c r="C20" s="4" t="s">
        <v>2605</v>
      </c>
      <c r="D20" s="9">
        <v>3095</v>
      </c>
    </row>
    <row r="21" spans="1:4" x14ac:dyDescent="0.25">
      <c r="A21" s="4" t="s">
        <v>1419</v>
      </c>
      <c r="B21" s="4">
        <v>374250</v>
      </c>
      <c r="C21" s="4" t="s">
        <v>2606</v>
      </c>
      <c r="D21" s="9">
        <v>2190</v>
      </c>
    </row>
    <row r="22" spans="1:4" x14ac:dyDescent="0.25">
      <c r="A22" s="4" t="s">
        <v>1419</v>
      </c>
      <c r="B22" s="4">
        <v>374252</v>
      </c>
      <c r="C22" s="4" t="s">
        <v>2607</v>
      </c>
      <c r="D22" s="9">
        <v>7800</v>
      </c>
    </row>
    <row r="23" spans="1:4" x14ac:dyDescent="0.25">
      <c r="A23" s="4" t="s">
        <v>1419</v>
      </c>
      <c r="B23" s="4">
        <v>374265</v>
      </c>
      <c r="C23" s="4" t="s">
        <v>2608</v>
      </c>
      <c r="D23" s="9">
        <v>750</v>
      </c>
    </row>
    <row r="24" spans="1:4" x14ac:dyDescent="0.25">
      <c r="A24" s="4" t="s">
        <v>1419</v>
      </c>
      <c r="B24" s="4">
        <v>374273</v>
      </c>
      <c r="C24" s="4" t="s">
        <v>2609</v>
      </c>
      <c r="D24" s="9">
        <v>2570</v>
      </c>
    </row>
    <row r="25" spans="1:4" x14ac:dyDescent="0.25">
      <c r="A25" s="4" t="s">
        <v>1419</v>
      </c>
      <c r="B25" s="4">
        <v>374275</v>
      </c>
      <c r="C25" s="4" t="s">
        <v>2610</v>
      </c>
      <c r="D25" s="9">
        <v>390</v>
      </c>
    </row>
    <row r="26" spans="1:4" x14ac:dyDescent="0.25">
      <c r="A26" s="4" t="s">
        <v>1419</v>
      </c>
      <c r="B26" s="4">
        <v>374276</v>
      </c>
      <c r="C26" s="4" t="s">
        <v>2611</v>
      </c>
      <c r="D26" s="9">
        <v>1880</v>
      </c>
    </row>
    <row r="27" spans="1:4" x14ac:dyDescent="0.25">
      <c r="A27" s="4" t="s">
        <v>1419</v>
      </c>
      <c r="B27" s="4">
        <v>374315</v>
      </c>
      <c r="C27" s="4" t="s">
        <v>2612</v>
      </c>
      <c r="D27" s="9">
        <v>1075</v>
      </c>
    </row>
    <row r="28" spans="1:4" x14ac:dyDescent="0.25">
      <c r="A28" s="4" t="s">
        <v>1419</v>
      </c>
      <c r="B28" s="4">
        <v>374237</v>
      </c>
      <c r="C28" s="4" t="s">
        <v>2635</v>
      </c>
      <c r="D28" s="9">
        <v>6990</v>
      </c>
    </row>
    <row r="29" spans="1:4" x14ac:dyDescent="0.25">
      <c r="A29" s="4" t="s">
        <v>1419</v>
      </c>
      <c r="B29" s="4">
        <v>374239</v>
      </c>
      <c r="C29" s="4" t="s">
        <v>2636</v>
      </c>
      <c r="D29" s="9">
        <v>660</v>
      </c>
    </row>
    <row r="30" spans="1:4" x14ac:dyDescent="0.25">
      <c r="A30" s="4" t="s">
        <v>1419</v>
      </c>
      <c r="B30" s="4">
        <v>374242</v>
      </c>
      <c r="C30" s="4" t="s">
        <v>2637</v>
      </c>
      <c r="D30" s="9">
        <v>990</v>
      </c>
    </row>
    <row r="31" spans="1:4" x14ac:dyDescent="0.25">
      <c r="A31" s="4" t="s">
        <v>1419</v>
      </c>
      <c r="B31" s="4">
        <v>374248</v>
      </c>
      <c r="C31" s="4" t="s">
        <v>2638</v>
      </c>
      <c r="D31" s="9">
        <v>1295</v>
      </c>
    </row>
    <row r="32" spans="1:4" x14ac:dyDescent="0.25">
      <c r="A32" s="4" t="s">
        <v>1419</v>
      </c>
      <c r="B32" s="4">
        <v>374251</v>
      </c>
      <c r="C32" s="4" t="s">
        <v>2639</v>
      </c>
      <c r="D32" s="9">
        <v>4480</v>
      </c>
    </row>
    <row r="33" spans="1:4" x14ac:dyDescent="0.25">
      <c r="A33" s="4" t="s">
        <v>1419</v>
      </c>
      <c r="B33" s="4">
        <v>374263</v>
      </c>
      <c r="C33" s="4" t="s">
        <v>2640</v>
      </c>
      <c r="D33" s="9">
        <v>5980</v>
      </c>
    </row>
    <row r="34" spans="1:4" x14ac:dyDescent="0.25">
      <c r="A34" s="4" t="s">
        <v>1419</v>
      </c>
      <c r="B34" s="4">
        <v>374264</v>
      </c>
      <c r="C34" s="4" t="s">
        <v>2641</v>
      </c>
      <c r="D34" s="9">
        <v>13565</v>
      </c>
    </row>
    <row r="35" spans="1:4" x14ac:dyDescent="0.25">
      <c r="A35" s="4" t="s">
        <v>1419</v>
      </c>
      <c r="B35" s="4">
        <v>374266</v>
      </c>
      <c r="C35" s="4" t="s">
        <v>2642</v>
      </c>
      <c r="D35" s="9">
        <v>545</v>
      </c>
    </row>
    <row r="36" spans="1:4" x14ac:dyDescent="0.25">
      <c r="A36" s="4" t="s">
        <v>1419</v>
      </c>
      <c r="B36" s="4">
        <v>374268</v>
      </c>
      <c r="C36" s="4" t="s">
        <v>2643</v>
      </c>
      <c r="D36" s="9">
        <v>985</v>
      </c>
    </row>
    <row r="37" spans="1:4" x14ac:dyDescent="0.25">
      <c r="A37" s="4" t="s">
        <v>1419</v>
      </c>
      <c r="B37" s="4">
        <v>374269</v>
      </c>
      <c r="C37" s="4" t="s">
        <v>2644</v>
      </c>
      <c r="D37" s="9">
        <v>100</v>
      </c>
    </row>
    <row r="38" spans="1:4" x14ac:dyDescent="0.25">
      <c r="A38" s="4" t="s">
        <v>1419</v>
      </c>
      <c r="B38" s="4">
        <v>374270</v>
      </c>
      <c r="C38" s="4" t="s">
        <v>2645</v>
      </c>
      <c r="D38" s="9">
        <v>3080</v>
      </c>
    </row>
    <row r="39" spans="1:4" x14ac:dyDescent="0.25">
      <c r="A39" s="4" t="s">
        <v>1419</v>
      </c>
      <c r="B39" s="4">
        <v>374307</v>
      </c>
      <c r="C39" s="4" t="s">
        <v>2646</v>
      </c>
      <c r="D39" s="9">
        <v>3185</v>
      </c>
    </row>
    <row r="40" spans="1:4" x14ac:dyDescent="0.25">
      <c r="A40" s="4" t="s">
        <v>1419</v>
      </c>
      <c r="B40" s="4">
        <v>374308</v>
      </c>
      <c r="C40" s="4" t="s">
        <v>2647</v>
      </c>
      <c r="D40" s="9">
        <v>2010</v>
      </c>
    </row>
    <row r="41" spans="1:4" x14ac:dyDescent="0.25">
      <c r="A41" s="4" t="s">
        <v>1419</v>
      </c>
      <c r="B41" s="4">
        <v>374311</v>
      </c>
      <c r="C41" s="4" t="s">
        <v>2648</v>
      </c>
      <c r="D41" s="9">
        <v>7190</v>
      </c>
    </row>
    <row r="42" spans="1:4" x14ac:dyDescent="0.25">
      <c r="A42" s="4" t="s">
        <v>1419</v>
      </c>
      <c r="B42" s="4">
        <v>374312</v>
      </c>
      <c r="C42" s="4" t="s">
        <v>2649</v>
      </c>
      <c r="D42" s="9">
        <v>8500</v>
      </c>
    </row>
    <row r="43" spans="1:4" x14ac:dyDescent="0.25">
      <c r="A43" s="4" t="s">
        <v>1419</v>
      </c>
      <c r="B43" s="4">
        <v>374313</v>
      </c>
      <c r="C43" s="4" t="s">
        <v>2650</v>
      </c>
      <c r="D43" s="9">
        <v>2260</v>
      </c>
    </row>
    <row r="44" spans="1:4" x14ac:dyDescent="0.25">
      <c r="A44" s="4" t="s">
        <v>1419</v>
      </c>
      <c r="B44" s="4">
        <v>374314</v>
      </c>
      <c r="C44" s="4" t="s">
        <v>2651</v>
      </c>
      <c r="D44" s="9">
        <v>725</v>
      </c>
    </row>
    <row r="45" spans="1:4" x14ac:dyDescent="0.25">
      <c r="A45" s="4" t="s">
        <v>1419</v>
      </c>
      <c r="B45" s="4">
        <v>374331</v>
      </c>
      <c r="C45" s="4" t="s">
        <v>2652</v>
      </c>
      <c r="D45" s="9">
        <v>875</v>
      </c>
    </row>
    <row r="46" spans="1:4" x14ac:dyDescent="0.25">
      <c r="A46" s="4" t="s">
        <v>1419</v>
      </c>
      <c r="B46" s="4">
        <v>374333</v>
      </c>
      <c r="C46" s="4" t="s">
        <v>2653</v>
      </c>
      <c r="D46" s="9">
        <v>5560</v>
      </c>
    </row>
    <row r="47" spans="1:4" x14ac:dyDescent="0.25">
      <c r="A47" s="4" t="s">
        <v>1419</v>
      </c>
      <c r="B47" s="4">
        <v>374334</v>
      </c>
      <c r="C47" s="4" t="s">
        <v>2654</v>
      </c>
      <c r="D47" s="9">
        <v>1870</v>
      </c>
    </row>
    <row r="48" spans="1:4" x14ac:dyDescent="0.25">
      <c r="A48" s="4" t="s">
        <v>1419</v>
      </c>
      <c r="B48" s="4">
        <v>374335</v>
      </c>
      <c r="C48" s="4" t="s">
        <v>2655</v>
      </c>
      <c r="D48" s="9">
        <v>8140</v>
      </c>
    </row>
    <row r="49" spans="1:4" x14ac:dyDescent="0.25">
      <c r="A49" s="4" t="s">
        <v>315</v>
      </c>
      <c r="B49" s="4">
        <v>375337</v>
      </c>
      <c r="C49" s="4" t="s">
        <v>2656</v>
      </c>
      <c r="D49" s="9">
        <v>2790</v>
      </c>
    </row>
    <row r="50" spans="1:4" x14ac:dyDescent="0.25">
      <c r="A50" s="4" t="s">
        <v>832</v>
      </c>
      <c r="B50" s="4">
        <v>359881</v>
      </c>
      <c r="C50" s="4" t="s">
        <v>2578</v>
      </c>
      <c r="D50" s="9">
        <v>1675</v>
      </c>
    </row>
    <row r="51" spans="1:4" x14ac:dyDescent="0.25">
      <c r="A51" s="4" t="s">
        <v>832</v>
      </c>
      <c r="B51" s="4">
        <v>363569</v>
      </c>
      <c r="C51" s="4" t="s">
        <v>2435</v>
      </c>
      <c r="D51" s="9">
        <v>950</v>
      </c>
    </row>
    <row r="52" spans="1:4" x14ac:dyDescent="0.25">
      <c r="A52" s="4" t="s">
        <v>832</v>
      </c>
      <c r="B52" s="4">
        <v>372274</v>
      </c>
      <c r="C52" s="4" t="s">
        <v>2657</v>
      </c>
      <c r="D52" s="9">
        <v>2585</v>
      </c>
    </row>
    <row r="53" spans="1:4" x14ac:dyDescent="0.25">
      <c r="A53" s="4" t="s">
        <v>832</v>
      </c>
      <c r="B53" s="4">
        <v>372686</v>
      </c>
      <c r="C53" s="4" t="s">
        <v>2658</v>
      </c>
      <c r="D53" s="9">
        <v>4920</v>
      </c>
    </row>
    <row r="54" spans="1:4" x14ac:dyDescent="0.25">
      <c r="A54" s="4" t="s">
        <v>832</v>
      </c>
      <c r="B54" s="4">
        <v>372686</v>
      </c>
      <c r="C54" s="4" t="s">
        <v>2659</v>
      </c>
      <c r="D54" s="9">
        <v>9455</v>
      </c>
    </row>
    <row r="55" spans="1:4" x14ac:dyDescent="0.25">
      <c r="A55" s="4" t="s">
        <v>832</v>
      </c>
      <c r="B55" s="4">
        <v>372686</v>
      </c>
      <c r="C55" s="4" t="s">
        <v>2660</v>
      </c>
      <c r="D55" s="9">
        <v>12820</v>
      </c>
    </row>
    <row r="56" spans="1:4" x14ac:dyDescent="0.25">
      <c r="A56" s="4" t="s">
        <v>832</v>
      </c>
      <c r="B56" s="4">
        <v>372686</v>
      </c>
      <c r="C56" s="4" t="s">
        <v>2661</v>
      </c>
      <c r="D56" s="9">
        <v>1030</v>
      </c>
    </row>
    <row r="57" spans="1:4" x14ac:dyDescent="0.25">
      <c r="A57" s="4" t="s">
        <v>832</v>
      </c>
      <c r="B57" s="4">
        <v>372686</v>
      </c>
      <c r="C57" s="4" t="s">
        <v>2662</v>
      </c>
      <c r="D57" s="9">
        <v>4920</v>
      </c>
    </row>
    <row r="58" spans="1:4" x14ac:dyDescent="0.25">
      <c r="A58" s="4" t="s">
        <v>832</v>
      </c>
      <c r="B58" s="4">
        <v>372686</v>
      </c>
      <c r="C58" s="4" t="s">
        <v>2663</v>
      </c>
      <c r="D58" s="9">
        <v>9455</v>
      </c>
    </row>
    <row r="59" spans="1:4" x14ac:dyDescent="0.25">
      <c r="A59" s="4" t="s">
        <v>832</v>
      </c>
      <c r="B59" s="4">
        <v>368451</v>
      </c>
      <c r="C59" s="4" t="s">
        <v>2664</v>
      </c>
      <c r="D59" s="9">
        <v>600</v>
      </c>
    </row>
    <row r="60" spans="1:4" x14ac:dyDescent="0.25">
      <c r="A60" s="4" t="s">
        <v>832</v>
      </c>
      <c r="B60" s="4">
        <v>372517</v>
      </c>
      <c r="C60" s="4" t="s">
        <v>2665</v>
      </c>
      <c r="D60" s="9">
        <v>1190</v>
      </c>
    </row>
    <row r="61" spans="1:4" x14ac:dyDescent="0.25">
      <c r="A61" s="4" t="s">
        <v>610</v>
      </c>
      <c r="B61" s="4">
        <v>374811</v>
      </c>
      <c r="C61" s="4" t="s">
        <v>2614</v>
      </c>
      <c r="D61" s="9">
        <v>3503</v>
      </c>
    </row>
    <row r="62" spans="1:4" x14ac:dyDescent="0.25">
      <c r="A62" s="4" t="s">
        <v>1891</v>
      </c>
      <c r="B62" s="4">
        <v>375391</v>
      </c>
      <c r="C62" s="4" t="s">
        <v>2666</v>
      </c>
      <c r="D62" s="9">
        <v>125</v>
      </c>
    </row>
    <row r="63" spans="1:4" x14ac:dyDescent="0.25">
      <c r="A63" s="4" t="s">
        <v>995</v>
      </c>
      <c r="B63" s="4">
        <v>374829</v>
      </c>
      <c r="C63" s="4" t="s">
        <v>2615</v>
      </c>
      <c r="D63" s="9">
        <v>250</v>
      </c>
    </row>
    <row r="64" spans="1:4" x14ac:dyDescent="0.25">
      <c r="A64" s="4" t="s">
        <v>995</v>
      </c>
      <c r="B64" s="4">
        <v>374830</v>
      </c>
      <c r="C64" s="4" t="s">
        <v>2616</v>
      </c>
      <c r="D64" s="9">
        <v>1285</v>
      </c>
    </row>
    <row r="65" spans="1:4" x14ac:dyDescent="0.25">
      <c r="A65" s="4" t="s">
        <v>995</v>
      </c>
      <c r="B65" s="4">
        <v>361060</v>
      </c>
      <c r="C65" s="4" t="s">
        <v>2411</v>
      </c>
      <c r="D65" s="9">
        <v>1495</v>
      </c>
    </row>
    <row r="66" spans="1:4" x14ac:dyDescent="0.25">
      <c r="A66" s="4" t="s">
        <v>995</v>
      </c>
      <c r="B66" s="4">
        <v>364091</v>
      </c>
      <c r="C66" s="4" t="s">
        <v>2667</v>
      </c>
      <c r="D66" s="9">
        <v>2090</v>
      </c>
    </row>
    <row r="67" spans="1:4" x14ac:dyDescent="0.25">
      <c r="A67" s="4" t="s">
        <v>52</v>
      </c>
      <c r="B67" s="4">
        <v>375511</v>
      </c>
      <c r="C67" s="4" t="s">
        <v>2668</v>
      </c>
      <c r="D67" s="9">
        <v>115</v>
      </c>
    </row>
    <row r="68" spans="1:4" x14ac:dyDescent="0.25">
      <c r="A68" s="4" t="s">
        <v>1920</v>
      </c>
      <c r="B68" s="4">
        <v>374933</v>
      </c>
      <c r="C68" s="4" t="s">
        <v>2669</v>
      </c>
      <c r="D68" s="9">
        <v>250</v>
      </c>
    </row>
    <row r="69" spans="1:4" x14ac:dyDescent="0.25">
      <c r="A69" s="4" t="s">
        <v>241</v>
      </c>
      <c r="B69" s="4">
        <v>374107</v>
      </c>
      <c r="C69" s="4" t="s">
        <v>2670</v>
      </c>
      <c r="D69" s="9">
        <v>1595</v>
      </c>
    </row>
    <row r="70" spans="1:4" x14ac:dyDescent="0.25">
      <c r="A70" s="4" t="s">
        <v>61</v>
      </c>
      <c r="B70" s="4">
        <v>375849</v>
      </c>
      <c r="C70" s="4" t="s">
        <v>2671</v>
      </c>
      <c r="D70" s="9">
        <v>10207</v>
      </c>
    </row>
    <row r="71" spans="1:4" x14ac:dyDescent="0.25">
      <c r="A71" s="4" t="s">
        <v>61</v>
      </c>
      <c r="B71" s="4">
        <v>375848</v>
      </c>
      <c r="C71" s="4" t="s">
        <v>2672</v>
      </c>
      <c r="D71" s="9">
        <v>14188</v>
      </c>
    </row>
    <row r="72" spans="1:4" x14ac:dyDescent="0.25">
      <c r="A72" s="4" t="s">
        <v>61</v>
      </c>
      <c r="B72" s="4">
        <v>375858</v>
      </c>
      <c r="C72" s="4" t="s">
        <v>2673</v>
      </c>
      <c r="D72" s="9">
        <v>33144</v>
      </c>
    </row>
    <row r="73" spans="1:4" x14ac:dyDescent="0.25">
      <c r="A73" s="4" t="s">
        <v>61</v>
      </c>
      <c r="B73" s="4">
        <v>375764</v>
      </c>
      <c r="C73" s="4" t="s">
        <v>2674</v>
      </c>
      <c r="D73" s="9">
        <v>9980</v>
      </c>
    </row>
    <row r="74" spans="1:4" x14ac:dyDescent="0.25">
      <c r="A74" s="4" t="s">
        <v>61</v>
      </c>
      <c r="B74" s="4">
        <v>375763</v>
      </c>
      <c r="C74" s="4" t="s">
        <v>2675</v>
      </c>
      <c r="D74" s="9">
        <v>27991</v>
      </c>
    </row>
    <row r="75" spans="1:4" x14ac:dyDescent="0.25">
      <c r="A75" s="4" t="s">
        <v>111</v>
      </c>
      <c r="B75" s="4">
        <v>356059</v>
      </c>
      <c r="C75" s="4" t="s">
        <v>2676</v>
      </c>
      <c r="D75" s="9">
        <v>817</v>
      </c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SUM(D2:D4,D6:D69)</f>
        <v>350679</v>
      </c>
    </row>
    <row r="93" spans="1:4" x14ac:dyDescent="0.25">
      <c r="C93" s="31" t="s">
        <v>2501</v>
      </c>
      <c r="D93" s="32">
        <f>SUM(D70:D75,D5)</f>
        <v>97822</v>
      </c>
    </row>
    <row r="94" spans="1:4" x14ac:dyDescent="0.25">
      <c r="C94" s="31" t="s">
        <v>83</v>
      </c>
      <c r="D94" s="32">
        <f>SUM(D92:D93)</f>
        <v>448501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B9FF7-9AE9-48F7-9582-75741E742AF8}">
  <dimension ref="A1:D94"/>
  <sheetViews>
    <sheetView topLeftCell="A74" zoomScaleNormal="100" zoomScaleSheetLayoutView="100" workbookViewId="0">
      <selection activeCell="L96" sqref="L96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1322</v>
      </c>
      <c r="B2" s="4">
        <v>364224</v>
      </c>
      <c r="C2" s="4" t="s">
        <v>2617</v>
      </c>
      <c r="D2" s="9">
        <v>25477</v>
      </c>
    </row>
    <row r="3" spans="1:4" x14ac:dyDescent="0.25">
      <c r="A3" s="4" t="s">
        <v>256</v>
      </c>
      <c r="B3" s="4">
        <v>375582</v>
      </c>
      <c r="C3" s="4" t="s">
        <v>2618</v>
      </c>
      <c r="D3" s="9">
        <v>809</v>
      </c>
    </row>
    <row r="4" spans="1:4" x14ac:dyDescent="0.25">
      <c r="A4" s="4" t="s">
        <v>282</v>
      </c>
      <c r="B4" s="4">
        <v>376974</v>
      </c>
      <c r="C4" s="4" t="s">
        <v>2677</v>
      </c>
      <c r="D4" s="9">
        <v>5820</v>
      </c>
    </row>
    <row r="5" spans="1:4" x14ac:dyDescent="0.25">
      <c r="A5" s="4" t="s">
        <v>147</v>
      </c>
      <c r="B5" s="4">
        <v>376905</v>
      </c>
      <c r="C5" s="4" t="s">
        <v>2678</v>
      </c>
      <c r="D5" s="9">
        <v>400</v>
      </c>
    </row>
    <row r="6" spans="1:4" x14ac:dyDescent="0.25">
      <c r="A6" s="4" t="s">
        <v>175</v>
      </c>
      <c r="B6" s="4">
        <v>374502</v>
      </c>
      <c r="C6" s="4" t="s">
        <v>2679</v>
      </c>
      <c r="D6" s="9">
        <v>3300</v>
      </c>
    </row>
    <row r="7" spans="1:4" x14ac:dyDescent="0.25">
      <c r="A7" s="4" t="s">
        <v>2591</v>
      </c>
      <c r="B7" s="4">
        <v>369528</v>
      </c>
      <c r="C7" s="4" t="s">
        <v>2592</v>
      </c>
      <c r="D7" s="9">
        <v>3470</v>
      </c>
    </row>
    <row r="8" spans="1:4" x14ac:dyDescent="0.25">
      <c r="A8" s="4" t="s">
        <v>177</v>
      </c>
      <c r="B8" s="4">
        <v>375590</v>
      </c>
      <c r="C8" s="4" t="s">
        <v>2680</v>
      </c>
      <c r="D8" s="9">
        <v>11500</v>
      </c>
    </row>
    <row r="9" spans="1:4" x14ac:dyDescent="0.25">
      <c r="A9" s="4" t="s">
        <v>26</v>
      </c>
      <c r="B9" s="4">
        <v>373939</v>
      </c>
      <c r="C9" s="4" t="s">
        <v>2681</v>
      </c>
      <c r="D9" s="9">
        <v>250</v>
      </c>
    </row>
    <row r="10" spans="1:4" x14ac:dyDescent="0.25">
      <c r="A10" s="4" t="s">
        <v>26</v>
      </c>
      <c r="B10" s="4">
        <v>373940</v>
      </c>
      <c r="C10" s="4" t="s">
        <v>2682</v>
      </c>
      <c r="D10" s="9">
        <v>495</v>
      </c>
    </row>
    <row r="11" spans="1:4" x14ac:dyDescent="0.25">
      <c r="A11" s="4" t="s">
        <v>26</v>
      </c>
      <c r="B11" s="4">
        <v>372489</v>
      </c>
      <c r="C11" s="4" t="s">
        <v>2683</v>
      </c>
      <c r="D11" s="9">
        <v>6210</v>
      </c>
    </row>
    <row r="12" spans="1:4" x14ac:dyDescent="0.25">
      <c r="A12" s="4" t="s">
        <v>26</v>
      </c>
      <c r="B12" s="4">
        <v>374637</v>
      </c>
      <c r="C12" s="4" t="s">
        <v>2621</v>
      </c>
      <c r="D12" s="9">
        <v>895</v>
      </c>
    </row>
    <row r="13" spans="1:4" x14ac:dyDescent="0.25">
      <c r="A13" s="4" t="s">
        <v>26</v>
      </c>
      <c r="B13" s="4">
        <v>374641</v>
      </c>
      <c r="C13" s="4" t="s">
        <v>2622</v>
      </c>
      <c r="D13" s="9">
        <v>650</v>
      </c>
    </row>
    <row r="14" spans="1:4" x14ac:dyDescent="0.25">
      <c r="A14" s="4" t="s">
        <v>26</v>
      </c>
      <c r="B14" s="4">
        <v>373938</v>
      </c>
      <c r="C14" s="4" t="s">
        <v>2684</v>
      </c>
      <c r="D14" s="9">
        <v>1375</v>
      </c>
    </row>
    <row r="15" spans="1:4" x14ac:dyDescent="0.25">
      <c r="A15" s="4" t="s">
        <v>26</v>
      </c>
      <c r="B15" s="4">
        <v>371030</v>
      </c>
      <c r="C15" s="4" t="s">
        <v>2623</v>
      </c>
      <c r="D15" s="9">
        <v>23670</v>
      </c>
    </row>
    <row r="16" spans="1:4" x14ac:dyDescent="0.25">
      <c r="A16" s="4" t="s">
        <v>26</v>
      </c>
      <c r="B16" s="4">
        <v>370762</v>
      </c>
      <c r="C16" s="4" t="s">
        <v>2624</v>
      </c>
      <c r="D16" s="9">
        <v>3160</v>
      </c>
    </row>
    <row r="17" spans="1:4" x14ac:dyDescent="0.25">
      <c r="A17" s="4" t="s">
        <v>26</v>
      </c>
      <c r="B17" s="4">
        <v>371030</v>
      </c>
      <c r="C17" s="4" t="s">
        <v>2625</v>
      </c>
      <c r="D17" s="9">
        <v>45116</v>
      </c>
    </row>
    <row r="18" spans="1:4" x14ac:dyDescent="0.25">
      <c r="A18" s="4" t="s">
        <v>26</v>
      </c>
      <c r="B18" s="4">
        <v>370762</v>
      </c>
      <c r="C18" s="4" t="s">
        <v>2626</v>
      </c>
      <c r="D18" s="9">
        <v>7785</v>
      </c>
    </row>
    <row r="19" spans="1:4" x14ac:dyDescent="0.25">
      <c r="A19" s="4" t="s">
        <v>26</v>
      </c>
      <c r="B19" s="4">
        <v>371030</v>
      </c>
      <c r="C19" s="4" t="s">
        <v>2627</v>
      </c>
      <c r="D19" s="9">
        <v>29339</v>
      </c>
    </row>
    <row r="20" spans="1:4" x14ac:dyDescent="0.25">
      <c r="A20" s="4" t="s">
        <v>26</v>
      </c>
      <c r="B20" s="4">
        <v>370762</v>
      </c>
      <c r="C20" s="4" t="s">
        <v>2628</v>
      </c>
      <c r="D20" s="9">
        <v>5037</v>
      </c>
    </row>
    <row r="21" spans="1:4" x14ac:dyDescent="0.25">
      <c r="A21" s="4" t="s">
        <v>26</v>
      </c>
      <c r="B21" s="4">
        <v>371030</v>
      </c>
      <c r="C21" s="4" t="s">
        <v>2629</v>
      </c>
      <c r="D21" s="9">
        <v>29305</v>
      </c>
    </row>
    <row r="22" spans="1:4" x14ac:dyDescent="0.25">
      <c r="A22" s="4" t="s">
        <v>26</v>
      </c>
      <c r="B22" s="4">
        <v>370762</v>
      </c>
      <c r="C22" s="4" t="s">
        <v>2630</v>
      </c>
      <c r="D22" s="9">
        <v>5278</v>
      </c>
    </row>
    <row r="23" spans="1:4" x14ac:dyDescent="0.25">
      <c r="A23" s="4" t="s">
        <v>26</v>
      </c>
      <c r="B23" s="4">
        <v>370762</v>
      </c>
      <c r="C23" s="4" t="s">
        <v>2631</v>
      </c>
      <c r="D23" s="9">
        <v>3540</v>
      </c>
    </row>
    <row r="24" spans="1:4" x14ac:dyDescent="0.25">
      <c r="A24" s="4" t="s">
        <v>26</v>
      </c>
      <c r="B24" s="4">
        <v>370762</v>
      </c>
      <c r="C24" s="4" t="s">
        <v>2632</v>
      </c>
      <c r="D24" s="9">
        <v>4620</v>
      </c>
    </row>
    <row r="25" spans="1:4" x14ac:dyDescent="0.25">
      <c r="A25" s="4" t="s">
        <v>1419</v>
      </c>
      <c r="B25" s="4">
        <v>374247</v>
      </c>
      <c r="C25" s="4" t="s">
        <v>2605</v>
      </c>
      <c r="D25" s="9">
        <v>3095</v>
      </c>
    </row>
    <row r="26" spans="1:4" x14ac:dyDescent="0.25">
      <c r="A26" s="4" t="s">
        <v>1419</v>
      </c>
      <c r="B26" s="4">
        <v>374250</v>
      </c>
      <c r="C26" s="4" t="s">
        <v>2606</v>
      </c>
      <c r="D26" s="9">
        <v>2190</v>
      </c>
    </row>
    <row r="27" spans="1:4" x14ac:dyDescent="0.25">
      <c r="A27" s="4" t="s">
        <v>1419</v>
      </c>
      <c r="B27" s="4">
        <v>374252</v>
      </c>
      <c r="C27" s="4" t="s">
        <v>2607</v>
      </c>
      <c r="D27" s="9">
        <v>7800</v>
      </c>
    </row>
    <row r="28" spans="1:4" x14ac:dyDescent="0.25">
      <c r="A28" s="4" t="s">
        <v>1419</v>
      </c>
      <c r="B28" s="4">
        <v>374265</v>
      </c>
      <c r="C28" s="4" t="s">
        <v>2608</v>
      </c>
      <c r="D28" s="9">
        <v>750</v>
      </c>
    </row>
    <row r="29" spans="1:4" x14ac:dyDescent="0.25">
      <c r="A29" s="4" t="s">
        <v>1419</v>
      </c>
      <c r="B29" s="4">
        <v>374273</v>
      </c>
      <c r="C29" s="4" t="s">
        <v>2609</v>
      </c>
      <c r="D29" s="9">
        <v>2570</v>
      </c>
    </row>
    <row r="30" spans="1:4" x14ac:dyDescent="0.25">
      <c r="A30" s="4" t="s">
        <v>1419</v>
      </c>
      <c r="B30" s="4">
        <v>374275</v>
      </c>
      <c r="C30" s="4" t="s">
        <v>2610</v>
      </c>
      <c r="D30" s="9">
        <v>390</v>
      </c>
    </row>
    <row r="31" spans="1:4" x14ac:dyDescent="0.25">
      <c r="A31" s="4" t="s">
        <v>1419</v>
      </c>
      <c r="B31" s="4">
        <v>374276</v>
      </c>
      <c r="C31" s="4" t="s">
        <v>2611</v>
      </c>
      <c r="D31" s="9">
        <v>1880</v>
      </c>
    </row>
    <row r="32" spans="1:4" x14ac:dyDescent="0.25">
      <c r="A32" s="4" t="s">
        <v>1419</v>
      </c>
      <c r="B32" s="4">
        <v>374315</v>
      </c>
      <c r="C32" s="4" t="s">
        <v>2612</v>
      </c>
      <c r="D32" s="9">
        <v>1075</v>
      </c>
    </row>
    <row r="33" spans="1:4" x14ac:dyDescent="0.25">
      <c r="A33" s="4" t="s">
        <v>1419</v>
      </c>
      <c r="B33" s="4">
        <v>374237</v>
      </c>
      <c r="C33" s="4" t="s">
        <v>2635</v>
      </c>
      <c r="D33" s="9">
        <v>6990</v>
      </c>
    </row>
    <row r="34" spans="1:4" x14ac:dyDescent="0.25">
      <c r="A34" s="4" t="s">
        <v>1419</v>
      </c>
      <c r="B34" s="4">
        <v>374239</v>
      </c>
      <c r="C34" s="4" t="s">
        <v>2636</v>
      </c>
      <c r="D34" s="9">
        <v>660</v>
      </c>
    </row>
    <row r="35" spans="1:4" x14ac:dyDescent="0.25">
      <c r="A35" s="4" t="s">
        <v>1419</v>
      </c>
      <c r="B35" s="4">
        <v>374242</v>
      </c>
      <c r="C35" s="4" t="s">
        <v>2637</v>
      </c>
      <c r="D35" s="9">
        <v>990</v>
      </c>
    </row>
    <row r="36" spans="1:4" x14ac:dyDescent="0.25">
      <c r="A36" s="4" t="s">
        <v>1419</v>
      </c>
      <c r="B36" s="4">
        <v>374248</v>
      </c>
      <c r="C36" s="4" t="s">
        <v>2638</v>
      </c>
      <c r="D36" s="9">
        <v>1295</v>
      </c>
    </row>
    <row r="37" spans="1:4" x14ac:dyDescent="0.25">
      <c r="A37" s="4" t="s">
        <v>1419</v>
      </c>
      <c r="B37" s="4">
        <v>374251</v>
      </c>
      <c r="C37" s="4" t="s">
        <v>2639</v>
      </c>
      <c r="D37" s="9">
        <v>4480</v>
      </c>
    </row>
    <row r="38" spans="1:4" x14ac:dyDescent="0.25">
      <c r="A38" s="4" t="s">
        <v>1419</v>
      </c>
      <c r="B38" s="4">
        <v>374263</v>
      </c>
      <c r="C38" s="4" t="s">
        <v>2640</v>
      </c>
      <c r="D38" s="9">
        <v>5980</v>
      </c>
    </row>
    <row r="39" spans="1:4" x14ac:dyDescent="0.25">
      <c r="A39" s="4" t="s">
        <v>1419</v>
      </c>
      <c r="B39" s="4">
        <v>374264</v>
      </c>
      <c r="C39" s="4" t="s">
        <v>2641</v>
      </c>
      <c r="D39" s="9">
        <v>13565</v>
      </c>
    </row>
    <row r="40" spans="1:4" x14ac:dyDescent="0.25">
      <c r="A40" s="4" t="s">
        <v>1419</v>
      </c>
      <c r="B40" s="4">
        <v>374266</v>
      </c>
      <c r="C40" s="4" t="s">
        <v>2642</v>
      </c>
      <c r="D40" s="9">
        <v>545</v>
      </c>
    </row>
    <row r="41" spans="1:4" x14ac:dyDescent="0.25">
      <c r="A41" s="4" t="s">
        <v>1419</v>
      </c>
      <c r="B41" s="4">
        <v>374268</v>
      </c>
      <c r="C41" s="4" t="s">
        <v>2643</v>
      </c>
      <c r="D41" s="9">
        <v>985</v>
      </c>
    </row>
    <row r="42" spans="1:4" x14ac:dyDescent="0.25">
      <c r="A42" s="4" t="s">
        <v>1419</v>
      </c>
      <c r="B42" s="4">
        <v>374269</v>
      </c>
      <c r="C42" s="4" t="s">
        <v>2644</v>
      </c>
      <c r="D42" s="9">
        <v>100</v>
      </c>
    </row>
    <row r="43" spans="1:4" x14ac:dyDescent="0.25">
      <c r="A43" s="4" t="s">
        <v>1419</v>
      </c>
      <c r="B43" s="4">
        <v>374270</v>
      </c>
      <c r="C43" s="4" t="s">
        <v>2645</v>
      </c>
      <c r="D43" s="9">
        <v>3080</v>
      </c>
    </row>
    <row r="44" spans="1:4" x14ac:dyDescent="0.25">
      <c r="A44" s="4" t="s">
        <v>1419</v>
      </c>
      <c r="B44" s="4">
        <v>374307</v>
      </c>
      <c r="C44" s="4" t="s">
        <v>2646</v>
      </c>
      <c r="D44" s="9">
        <v>3185</v>
      </c>
    </row>
    <row r="45" spans="1:4" x14ac:dyDescent="0.25">
      <c r="A45" s="4" t="s">
        <v>1419</v>
      </c>
      <c r="B45" s="4">
        <v>374308</v>
      </c>
      <c r="C45" s="4" t="s">
        <v>2647</v>
      </c>
      <c r="D45" s="9">
        <v>2010</v>
      </c>
    </row>
    <row r="46" spans="1:4" x14ac:dyDescent="0.25">
      <c r="A46" s="4" t="s">
        <v>1419</v>
      </c>
      <c r="B46" s="4">
        <v>374311</v>
      </c>
      <c r="C46" s="4" t="s">
        <v>2648</v>
      </c>
      <c r="D46" s="9">
        <v>7190</v>
      </c>
    </row>
    <row r="47" spans="1:4" x14ac:dyDescent="0.25">
      <c r="A47" s="4" t="s">
        <v>1419</v>
      </c>
      <c r="B47" s="4">
        <v>374312</v>
      </c>
      <c r="C47" s="4" t="s">
        <v>2649</v>
      </c>
      <c r="D47" s="9">
        <v>8500</v>
      </c>
    </row>
    <row r="48" spans="1:4" x14ac:dyDescent="0.25">
      <c r="A48" s="4" t="s">
        <v>1419</v>
      </c>
      <c r="B48" s="4">
        <v>374313</v>
      </c>
      <c r="C48" s="4" t="s">
        <v>2650</v>
      </c>
      <c r="D48" s="9">
        <v>2260</v>
      </c>
    </row>
    <row r="49" spans="1:4" x14ac:dyDescent="0.25">
      <c r="A49" s="4" t="s">
        <v>1419</v>
      </c>
      <c r="B49" s="4">
        <v>374314</v>
      </c>
      <c r="C49" s="4" t="s">
        <v>2651</v>
      </c>
      <c r="D49" s="9">
        <v>725</v>
      </c>
    </row>
    <row r="50" spans="1:4" x14ac:dyDescent="0.25">
      <c r="A50" s="4" t="s">
        <v>1419</v>
      </c>
      <c r="B50" s="4">
        <v>374331</v>
      </c>
      <c r="C50" s="4" t="s">
        <v>2652</v>
      </c>
      <c r="D50" s="9">
        <v>875</v>
      </c>
    </row>
    <row r="51" spans="1:4" x14ac:dyDescent="0.25">
      <c r="A51" s="4" t="s">
        <v>1419</v>
      </c>
      <c r="B51" s="4">
        <v>374333</v>
      </c>
      <c r="C51" s="4" t="s">
        <v>2653</v>
      </c>
      <c r="D51" s="9">
        <v>5560</v>
      </c>
    </row>
    <row r="52" spans="1:4" x14ac:dyDescent="0.25">
      <c r="A52" s="4" t="s">
        <v>1419</v>
      </c>
      <c r="B52" s="4">
        <v>374334</v>
      </c>
      <c r="C52" s="4" t="s">
        <v>2654</v>
      </c>
      <c r="D52" s="9">
        <v>1870</v>
      </c>
    </row>
    <row r="53" spans="1:4" x14ac:dyDescent="0.25">
      <c r="A53" s="4" t="s">
        <v>1419</v>
      </c>
      <c r="B53" s="4">
        <v>374335</v>
      </c>
      <c r="C53" s="4" t="s">
        <v>2655</v>
      </c>
      <c r="D53" s="9">
        <v>8140</v>
      </c>
    </row>
    <row r="54" spans="1:4" x14ac:dyDescent="0.25">
      <c r="A54" s="4" t="s">
        <v>1101</v>
      </c>
      <c r="B54" s="4">
        <v>363777</v>
      </c>
      <c r="C54" s="4" t="s">
        <v>2685</v>
      </c>
      <c r="D54" s="9">
        <v>7003</v>
      </c>
    </row>
    <row r="55" spans="1:4" x14ac:dyDescent="0.25">
      <c r="A55" s="4" t="s">
        <v>1101</v>
      </c>
      <c r="B55" s="4">
        <v>363777</v>
      </c>
      <c r="C55" s="4" t="s">
        <v>2686</v>
      </c>
      <c r="D55" s="9">
        <v>26637</v>
      </c>
    </row>
    <row r="56" spans="1:4" x14ac:dyDescent="0.25">
      <c r="A56" s="4" t="s">
        <v>315</v>
      </c>
      <c r="B56" s="4">
        <v>364708</v>
      </c>
      <c r="C56" s="4" t="s">
        <v>2687</v>
      </c>
      <c r="D56" s="9">
        <v>495</v>
      </c>
    </row>
    <row r="57" spans="1:4" x14ac:dyDescent="0.25">
      <c r="A57" s="4" t="s">
        <v>315</v>
      </c>
      <c r="B57" s="4">
        <v>375337</v>
      </c>
      <c r="C57" s="4" t="s">
        <v>2656</v>
      </c>
      <c r="D57" s="9">
        <v>2790</v>
      </c>
    </row>
    <row r="58" spans="1:4" x14ac:dyDescent="0.25">
      <c r="A58" s="4" t="s">
        <v>213</v>
      </c>
      <c r="B58" s="4">
        <v>377015</v>
      </c>
      <c r="C58" s="4" t="s">
        <v>2688</v>
      </c>
      <c r="D58" s="9">
        <v>3785</v>
      </c>
    </row>
    <row r="59" spans="1:4" x14ac:dyDescent="0.25">
      <c r="A59" s="4" t="s">
        <v>832</v>
      </c>
      <c r="B59" s="4">
        <v>376917</v>
      </c>
      <c r="C59" s="4" t="s">
        <v>2689</v>
      </c>
      <c r="D59" s="9">
        <v>5100</v>
      </c>
    </row>
    <row r="60" spans="1:4" x14ac:dyDescent="0.25">
      <c r="A60" s="4" t="s">
        <v>832</v>
      </c>
      <c r="B60" s="4">
        <v>375822</v>
      </c>
      <c r="C60" s="4" t="s">
        <v>2690</v>
      </c>
      <c r="D60" s="9">
        <v>375</v>
      </c>
    </row>
    <row r="61" spans="1:4" x14ac:dyDescent="0.25">
      <c r="A61" s="4" t="s">
        <v>832</v>
      </c>
      <c r="B61" s="4">
        <v>359881</v>
      </c>
      <c r="C61" s="4" t="s">
        <v>2578</v>
      </c>
      <c r="D61" s="9">
        <v>1675</v>
      </c>
    </row>
    <row r="62" spans="1:4" x14ac:dyDescent="0.25">
      <c r="A62" s="4" t="s">
        <v>832</v>
      </c>
      <c r="B62" s="4">
        <v>363569</v>
      </c>
      <c r="C62" s="4" t="s">
        <v>2435</v>
      </c>
      <c r="D62" s="9">
        <v>950</v>
      </c>
    </row>
    <row r="63" spans="1:4" x14ac:dyDescent="0.25">
      <c r="A63" s="4" t="s">
        <v>832</v>
      </c>
      <c r="B63" s="4">
        <v>372274</v>
      </c>
      <c r="C63" s="4" t="s">
        <v>2657</v>
      </c>
      <c r="D63" s="9">
        <v>2585</v>
      </c>
    </row>
    <row r="64" spans="1:4" x14ac:dyDescent="0.25">
      <c r="A64" s="4" t="s">
        <v>832</v>
      </c>
      <c r="B64" s="4">
        <v>361880</v>
      </c>
      <c r="C64" s="4" t="s">
        <v>2691</v>
      </c>
      <c r="D64" s="9">
        <v>13160</v>
      </c>
    </row>
    <row r="65" spans="1:4" x14ac:dyDescent="0.25">
      <c r="A65" s="4" t="s">
        <v>832</v>
      </c>
      <c r="B65" s="4">
        <v>372686</v>
      </c>
      <c r="C65" s="4" t="s">
        <v>2658</v>
      </c>
      <c r="D65" s="9">
        <v>4920</v>
      </c>
    </row>
    <row r="66" spans="1:4" x14ac:dyDescent="0.25">
      <c r="A66" s="4" t="s">
        <v>832</v>
      </c>
      <c r="B66" s="4">
        <v>361880</v>
      </c>
      <c r="C66" s="4" t="s">
        <v>2692</v>
      </c>
      <c r="D66" s="9">
        <v>40530</v>
      </c>
    </row>
    <row r="67" spans="1:4" x14ac:dyDescent="0.25">
      <c r="A67" s="4" t="s">
        <v>832</v>
      </c>
      <c r="B67" s="4">
        <v>372686</v>
      </c>
      <c r="C67" s="4" t="s">
        <v>2659</v>
      </c>
      <c r="D67" s="9">
        <v>9455</v>
      </c>
    </row>
    <row r="68" spans="1:4" x14ac:dyDescent="0.25">
      <c r="A68" s="4" t="s">
        <v>832</v>
      </c>
      <c r="B68" s="4">
        <v>361880</v>
      </c>
      <c r="C68" s="4" t="s">
        <v>2693</v>
      </c>
      <c r="D68" s="9">
        <v>13735</v>
      </c>
    </row>
    <row r="69" spans="1:4" x14ac:dyDescent="0.25">
      <c r="A69" s="4" t="s">
        <v>832</v>
      </c>
      <c r="B69" s="4">
        <v>372686</v>
      </c>
      <c r="C69" s="4" t="s">
        <v>2660</v>
      </c>
      <c r="D69" s="9">
        <v>12820</v>
      </c>
    </row>
    <row r="70" spans="1:4" x14ac:dyDescent="0.25">
      <c r="A70" s="4" t="s">
        <v>832</v>
      </c>
      <c r="B70" s="4">
        <v>361880</v>
      </c>
      <c r="C70" s="4" t="s">
        <v>2694</v>
      </c>
      <c r="D70" s="9">
        <v>40375</v>
      </c>
    </row>
    <row r="71" spans="1:4" x14ac:dyDescent="0.25">
      <c r="A71" s="4" t="s">
        <v>832</v>
      </c>
      <c r="B71" s="4">
        <v>372686</v>
      </c>
      <c r="C71" s="4" t="s">
        <v>2661</v>
      </c>
      <c r="D71" s="9">
        <v>1030</v>
      </c>
    </row>
    <row r="72" spans="1:4" x14ac:dyDescent="0.25">
      <c r="A72" s="4" t="s">
        <v>832</v>
      </c>
      <c r="B72" s="4">
        <v>361880</v>
      </c>
      <c r="C72" s="4" t="s">
        <v>2695</v>
      </c>
      <c r="D72" s="9">
        <v>13160</v>
      </c>
    </row>
    <row r="73" spans="1:4" x14ac:dyDescent="0.25">
      <c r="A73" s="4" t="s">
        <v>832</v>
      </c>
      <c r="B73" s="4">
        <v>372686</v>
      </c>
      <c r="C73" s="4" t="s">
        <v>2662</v>
      </c>
      <c r="D73" s="9">
        <v>4920</v>
      </c>
    </row>
    <row r="74" spans="1:4" x14ac:dyDescent="0.25">
      <c r="A74" s="4" t="s">
        <v>832</v>
      </c>
      <c r="B74" s="4">
        <v>361880</v>
      </c>
      <c r="C74" s="4" t="s">
        <v>2696</v>
      </c>
      <c r="D74" s="9">
        <v>45420</v>
      </c>
    </row>
    <row r="75" spans="1:4" x14ac:dyDescent="0.25">
      <c r="A75" s="4" t="s">
        <v>832</v>
      </c>
      <c r="B75" s="4">
        <v>372686</v>
      </c>
      <c r="C75" s="4" t="s">
        <v>2663</v>
      </c>
      <c r="D75" s="9">
        <v>9455</v>
      </c>
    </row>
    <row r="76" spans="1:4" x14ac:dyDescent="0.25">
      <c r="A76" s="4" t="s">
        <v>832</v>
      </c>
      <c r="B76" s="4">
        <v>375726</v>
      </c>
      <c r="C76" s="4" t="s">
        <v>2697</v>
      </c>
      <c r="D76" s="9">
        <v>895</v>
      </c>
    </row>
    <row r="77" spans="1:4" x14ac:dyDescent="0.25">
      <c r="A77" s="4" t="s">
        <v>610</v>
      </c>
      <c r="B77" s="4">
        <v>374811</v>
      </c>
      <c r="C77" s="4" t="s">
        <v>2614</v>
      </c>
      <c r="D77" s="9">
        <v>3503</v>
      </c>
    </row>
    <row r="78" spans="1:4" x14ac:dyDescent="0.25">
      <c r="A78" s="4" t="s">
        <v>1891</v>
      </c>
      <c r="B78" s="4">
        <v>375391</v>
      </c>
      <c r="C78" s="4" t="s">
        <v>2666</v>
      </c>
      <c r="D78" s="9">
        <v>125</v>
      </c>
    </row>
    <row r="79" spans="1:4" x14ac:dyDescent="0.25">
      <c r="A79" s="4" t="s">
        <v>995</v>
      </c>
      <c r="B79" s="4">
        <v>374829</v>
      </c>
      <c r="C79" s="4" t="s">
        <v>2615</v>
      </c>
      <c r="D79" s="9">
        <v>250</v>
      </c>
    </row>
    <row r="80" spans="1:4" x14ac:dyDescent="0.25">
      <c r="A80" s="4" t="s">
        <v>995</v>
      </c>
      <c r="B80" s="4">
        <v>374830</v>
      </c>
      <c r="C80" s="4" t="s">
        <v>2616</v>
      </c>
      <c r="D80" s="9">
        <v>1285</v>
      </c>
    </row>
    <row r="81" spans="1:4" x14ac:dyDescent="0.25">
      <c r="A81" s="4" t="s">
        <v>995</v>
      </c>
      <c r="B81" s="4">
        <v>361060</v>
      </c>
      <c r="C81" s="4" t="s">
        <v>2411</v>
      </c>
      <c r="D81" s="9">
        <v>1495</v>
      </c>
    </row>
    <row r="82" spans="1:4" x14ac:dyDescent="0.25">
      <c r="A82" s="4" t="s">
        <v>443</v>
      </c>
      <c r="B82" s="4">
        <v>376916</v>
      </c>
      <c r="C82" s="4" t="s">
        <v>2698</v>
      </c>
      <c r="D82" s="9">
        <v>2100</v>
      </c>
    </row>
    <row r="83" spans="1:4" x14ac:dyDescent="0.25">
      <c r="A83" s="4" t="s">
        <v>52</v>
      </c>
      <c r="B83" s="4">
        <v>366424</v>
      </c>
      <c r="C83" s="4" t="s">
        <v>2699</v>
      </c>
      <c r="D83" s="9">
        <v>2381</v>
      </c>
    </row>
    <row r="84" spans="1:4" x14ac:dyDescent="0.25">
      <c r="A84" s="4" t="s">
        <v>52</v>
      </c>
      <c r="B84" s="4">
        <v>375511</v>
      </c>
      <c r="C84" s="4" t="s">
        <v>2668</v>
      </c>
      <c r="D84" s="9">
        <v>115</v>
      </c>
    </row>
    <row r="85" spans="1:4" x14ac:dyDescent="0.25">
      <c r="A85" s="4" t="s">
        <v>52</v>
      </c>
      <c r="B85" s="4">
        <v>375729</v>
      </c>
      <c r="C85" s="4" t="s">
        <v>2700</v>
      </c>
      <c r="D85" s="9">
        <v>475</v>
      </c>
    </row>
    <row r="86" spans="1:4" x14ac:dyDescent="0.25">
      <c r="A86" s="4" t="s">
        <v>1920</v>
      </c>
      <c r="B86" s="4">
        <v>374933</v>
      </c>
      <c r="C86" s="4" t="s">
        <v>2669</v>
      </c>
      <c r="D86" s="9">
        <v>250</v>
      </c>
    </row>
    <row r="87" spans="1:4" x14ac:dyDescent="0.25">
      <c r="A87" s="4" t="s">
        <v>241</v>
      </c>
      <c r="B87" s="4">
        <v>374107</v>
      </c>
      <c r="C87" s="4" t="s">
        <v>2670</v>
      </c>
      <c r="D87" s="9">
        <v>1595</v>
      </c>
    </row>
    <row r="88" spans="1:4" x14ac:dyDescent="0.25">
      <c r="A88" s="4" t="s">
        <v>111</v>
      </c>
      <c r="B88" s="4">
        <v>356059</v>
      </c>
      <c r="C88" s="4" t="s">
        <v>2676</v>
      </c>
      <c r="D88" s="9">
        <v>817</v>
      </c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SUM(D2:D87)</f>
        <v>591080</v>
      </c>
    </row>
    <row r="93" spans="1:4" x14ac:dyDescent="0.25">
      <c r="C93" s="31" t="s">
        <v>2501</v>
      </c>
      <c r="D93" s="32">
        <f>SUM(D88)</f>
        <v>817</v>
      </c>
    </row>
    <row r="94" spans="1:4" x14ac:dyDescent="0.25">
      <c r="C94" s="31" t="s">
        <v>83</v>
      </c>
      <c r="D94" s="32">
        <f>SUM(D92:D93)</f>
        <v>591897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1B5D-2D09-45B6-8935-4BC49EC8CF10}">
  <dimension ref="A1:D94"/>
  <sheetViews>
    <sheetView topLeftCell="A24" zoomScaleNormal="100" zoomScaleSheetLayoutView="100" workbookViewId="0">
      <selection activeCell="H45" sqref="H45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377034</v>
      </c>
      <c r="C2" s="4" t="s">
        <v>2701</v>
      </c>
      <c r="D2" s="9">
        <v>130</v>
      </c>
    </row>
    <row r="3" spans="1:4" x14ac:dyDescent="0.25">
      <c r="A3" s="4" t="s">
        <v>256</v>
      </c>
      <c r="B3" s="4">
        <v>377366</v>
      </c>
      <c r="C3" s="4" t="s">
        <v>2702</v>
      </c>
      <c r="D3" s="9">
        <v>60</v>
      </c>
    </row>
    <row r="4" spans="1:4" x14ac:dyDescent="0.25">
      <c r="A4" s="4" t="s">
        <v>282</v>
      </c>
      <c r="B4" s="4">
        <v>377339</v>
      </c>
      <c r="C4" s="4" t="s">
        <v>2703</v>
      </c>
      <c r="D4" s="9">
        <v>5995</v>
      </c>
    </row>
    <row r="5" spans="1:4" x14ac:dyDescent="0.25">
      <c r="A5" s="4" t="s">
        <v>111</v>
      </c>
      <c r="B5" s="4">
        <v>377674</v>
      </c>
      <c r="C5" s="4" t="s">
        <v>2704</v>
      </c>
      <c r="D5" s="9">
        <v>81</v>
      </c>
    </row>
    <row r="6" spans="1:4" x14ac:dyDescent="0.25">
      <c r="A6" s="4" t="s">
        <v>111</v>
      </c>
      <c r="B6" s="4">
        <v>377670</v>
      </c>
      <c r="C6" s="4" t="s">
        <v>2705</v>
      </c>
      <c r="D6" s="9">
        <v>251</v>
      </c>
    </row>
    <row r="7" spans="1:4" x14ac:dyDescent="0.25">
      <c r="A7" s="4" t="s">
        <v>167</v>
      </c>
      <c r="B7" s="4">
        <v>377507</v>
      </c>
      <c r="C7" s="4" t="s">
        <v>2706</v>
      </c>
      <c r="D7" s="9">
        <v>286</v>
      </c>
    </row>
    <row r="8" spans="1:4" x14ac:dyDescent="0.25">
      <c r="A8" s="4" t="s">
        <v>167</v>
      </c>
      <c r="B8" s="4">
        <v>379440</v>
      </c>
      <c r="C8" s="4" t="s">
        <v>2707</v>
      </c>
      <c r="D8" s="9">
        <v>306</v>
      </c>
    </row>
    <row r="9" spans="1:4" x14ac:dyDescent="0.25">
      <c r="A9" s="4" t="s">
        <v>2591</v>
      </c>
      <c r="B9" s="4">
        <v>369528</v>
      </c>
      <c r="C9" s="4" t="s">
        <v>2592</v>
      </c>
      <c r="D9" s="9">
        <v>3470</v>
      </c>
    </row>
    <row r="10" spans="1:4" x14ac:dyDescent="0.25">
      <c r="A10" s="4" t="s">
        <v>177</v>
      </c>
      <c r="B10" s="4">
        <v>377522</v>
      </c>
      <c r="C10" s="4" t="s">
        <v>2708</v>
      </c>
      <c r="D10" s="9">
        <v>3235</v>
      </c>
    </row>
    <row r="11" spans="1:4" x14ac:dyDescent="0.25">
      <c r="A11" s="4" t="s">
        <v>1419</v>
      </c>
      <c r="B11" s="4">
        <v>377785</v>
      </c>
      <c r="C11" s="4" t="s">
        <v>2709</v>
      </c>
      <c r="D11" s="9">
        <v>1570</v>
      </c>
    </row>
    <row r="12" spans="1:4" x14ac:dyDescent="0.25">
      <c r="A12" s="4" t="s">
        <v>1419</v>
      </c>
      <c r="B12" s="4">
        <v>377788</v>
      </c>
      <c r="C12" s="4" t="s">
        <v>2710</v>
      </c>
      <c r="D12" s="9">
        <v>2520</v>
      </c>
    </row>
    <row r="13" spans="1:4" x14ac:dyDescent="0.25">
      <c r="A13" s="4" t="s">
        <v>1419</v>
      </c>
      <c r="B13" s="4">
        <v>377799</v>
      </c>
      <c r="C13" s="4" t="s">
        <v>2711</v>
      </c>
      <c r="D13" s="9">
        <v>840</v>
      </c>
    </row>
    <row r="14" spans="1:4" x14ac:dyDescent="0.25">
      <c r="A14" s="4" t="s">
        <v>1419</v>
      </c>
      <c r="B14" s="4">
        <v>377800</v>
      </c>
      <c r="C14" s="4" t="s">
        <v>2712</v>
      </c>
      <c r="D14" s="9">
        <v>2520</v>
      </c>
    </row>
    <row r="15" spans="1:4" x14ac:dyDescent="0.25">
      <c r="A15" s="4" t="s">
        <v>1419</v>
      </c>
      <c r="B15" s="4">
        <v>377796</v>
      </c>
      <c r="C15" s="4" t="s">
        <v>2713</v>
      </c>
      <c r="D15" s="9">
        <v>2220</v>
      </c>
    </row>
    <row r="16" spans="1:4" x14ac:dyDescent="0.25">
      <c r="A16" s="4" t="s">
        <v>1419</v>
      </c>
      <c r="B16" s="4">
        <v>377771</v>
      </c>
      <c r="C16" s="4" t="s">
        <v>2714</v>
      </c>
      <c r="D16" s="9">
        <v>990</v>
      </c>
    </row>
    <row r="17" spans="1:4" x14ac:dyDescent="0.25">
      <c r="A17" s="4" t="s">
        <v>1419</v>
      </c>
      <c r="B17" s="4">
        <v>374250</v>
      </c>
      <c r="C17" s="4" t="s">
        <v>2715</v>
      </c>
      <c r="D17" s="9">
        <v>2190</v>
      </c>
    </row>
    <row r="18" spans="1:4" x14ac:dyDescent="0.25">
      <c r="A18" s="4" t="s">
        <v>1419</v>
      </c>
      <c r="B18" s="4">
        <v>374265</v>
      </c>
      <c r="C18" s="4" t="s">
        <v>2716</v>
      </c>
      <c r="D18" s="9">
        <v>750</v>
      </c>
    </row>
    <row r="19" spans="1:4" x14ac:dyDescent="0.25">
      <c r="A19" s="4" t="s">
        <v>1419</v>
      </c>
      <c r="B19" s="4">
        <v>374273</v>
      </c>
      <c r="C19" s="4" t="s">
        <v>2717</v>
      </c>
      <c r="D19" s="9">
        <v>2570</v>
      </c>
    </row>
    <row r="20" spans="1:4" x14ac:dyDescent="0.25">
      <c r="A20" s="4" t="s">
        <v>1419</v>
      </c>
      <c r="B20" s="4">
        <v>374275</v>
      </c>
      <c r="C20" s="4" t="s">
        <v>2718</v>
      </c>
      <c r="D20" s="9">
        <v>390</v>
      </c>
    </row>
    <row r="21" spans="1:4" x14ac:dyDescent="0.25">
      <c r="A21" s="4" t="s">
        <v>1419</v>
      </c>
      <c r="B21" s="4">
        <v>374276</v>
      </c>
      <c r="C21" s="4" t="s">
        <v>2719</v>
      </c>
      <c r="D21" s="9">
        <v>1880</v>
      </c>
    </row>
    <row r="22" spans="1:4" x14ac:dyDescent="0.25">
      <c r="A22" s="4" t="s">
        <v>1419</v>
      </c>
      <c r="B22" s="4">
        <v>374239</v>
      </c>
      <c r="C22" s="4" t="s">
        <v>2636</v>
      </c>
      <c r="D22" s="9">
        <v>660</v>
      </c>
    </row>
    <row r="23" spans="1:4" x14ac:dyDescent="0.25">
      <c r="A23" s="4" t="s">
        <v>1419</v>
      </c>
      <c r="B23" s="4">
        <v>374242</v>
      </c>
      <c r="C23" s="4" t="s">
        <v>2637</v>
      </c>
      <c r="D23" s="9">
        <v>990</v>
      </c>
    </row>
    <row r="24" spans="1:4" x14ac:dyDescent="0.25">
      <c r="A24" s="4" t="s">
        <v>1419</v>
      </c>
      <c r="B24" s="4">
        <v>374268</v>
      </c>
      <c r="C24" s="4" t="s">
        <v>2643</v>
      </c>
      <c r="D24" s="9">
        <v>985</v>
      </c>
    </row>
    <row r="25" spans="1:4" x14ac:dyDescent="0.25">
      <c r="A25" s="4" t="s">
        <v>1419</v>
      </c>
      <c r="B25" s="4">
        <v>374308</v>
      </c>
      <c r="C25" s="4" t="s">
        <v>2647</v>
      </c>
      <c r="D25" s="9">
        <v>2010</v>
      </c>
    </row>
    <row r="26" spans="1:4" x14ac:dyDescent="0.25">
      <c r="A26" s="4" t="s">
        <v>1419</v>
      </c>
      <c r="B26" s="4">
        <v>374314</v>
      </c>
      <c r="C26" s="4" t="s">
        <v>2651</v>
      </c>
      <c r="D26" s="9">
        <v>725</v>
      </c>
    </row>
    <row r="27" spans="1:4" x14ac:dyDescent="0.25">
      <c r="A27" s="4" t="s">
        <v>1419</v>
      </c>
      <c r="B27" s="4">
        <v>374331</v>
      </c>
      <c r="C27" s="4" t="s">
        <v>2652</v>
      </c>
      <c r="D27" s="9">
        <v>875</v>
      </c>
    </row>
    <row r="28" spans="1:4" x14ac:dyDescent="0.25">
      <c r="A28" s="4" t="s">
        <v>2720</v>
      </c>
      <c r="B28" s="4">
        <v>374298</v>
      </c>
      <c r="C28" s="4" t="s">
        <v>2721</v>
      </c>
      <c r="D28" s="9">
        <v>600</v>
      </c>
    </row>
    <row r="29" spans="1:4" x14ac:dyDescent="0.25">
      <c r="A29" s="4" t="s">
        <v>315</v>
      </c>
      <c r="B29" s="4">
        <v>368192</v>
      </c>
      <c r="C29" s="4" t="s">
        <v>2722</v>
      </c>
      <c r="D29" s="9">
        <v>1495</v>
      </c>
    </row>
    <row r="30" spans="1:4" x14ac:dyDescent="0.25">
      <c r="A30" s="4" t="s">
        <v>832</v>
      </c>
      <c r="B30" s="4">
        <v>361880</v>
      </c>
      <c r="C30" s="4" t="s">
        <v>2691</v>
      </c>
      <c r="D30" s="9">
        <v>13160</v>
      </c>
    </row>
    <row r="31" spans="1:4" x14ac:dyDescent="0.25">
      <c r="A31" s="4" t="s">
        <v>1387</v>
      </c>
      <c r="B31" s="4">
        <v>377550</v>
      </c>
      <c r="C31" s="4" t="s">
        <v>2723</v>
      </c>
      <c r="D31" s="9">
        <v>3075</v>
      </c>
    </row>
    <row r="32" spans="1:4" x14ac:dyDescent="0.25">
      <c r="A32" s="4" t="s">
        <v>1535</v>
      </c>
      <c r="B32" s="4">
        <v>372363</v>
      </c>
      <c r="C32" s="4" t="s">
        <v>2724</v>
      </c>
      <c r="D32" s="9">
        <v>16491</v>
      </c>
    </row>
    <row r="33" spans="1:4" x14ac:dyDescent="0.25">
      <c r="A33" s="4" t="s">
        <v>1535</v>
      </c>
      <c r="B33" s="4">
        <v>372363</v>
      </c>
      <c r="C33" s="4" t="s">
        <v>2725</v>
      </c>
      <c r="D33" s="9">
        <v>40</v>
      </c>
    </row>
    <row r="34" spans="1:4" x14ac:dyDescent="0.25">
      <c r="A34" s="4" t="s">
        <v>1535</v>
      </c>
      <c r="B34" s="4">
        <v>372363</v>
      </c>
      <c r="C34" s="4" t="s">
        <v>2726</v>
      </c>
      <c r="D34" s="9">
        <v>10502</v>
      </c>
    </row>
    <row r="35" spans="1:4" x14ac:dyDescent="0.25">
      <c r="A35" s="4" t="s">
        <v>1535</v>
      </c>
      <c r="B35" s="4">
        <v>372363</v>
      </c>
      <c r="C35" s="4" t="s">
        <v>2727</v>
      </c>
      <c r="D35" s="9">
        <v>3595</v>
      </c>
    </row>
    <row r="36" spans="1:4" x14ac:dyDescent="0.25">
      <c r="A36" s="4" t="s">
        <v>1891</v>
      </c>
      <c r="B36" s="4">
        <v>375391</v>
      </c>
      <c r="C36" s="4" t="s">
        <v>2666</v>
      </c>
      <c r="D36" s="9">
        <v>125</v>
      </c>
    </row>
    <row r="37" spans="1:4" x14ac:dyDescent="0.25">
      <c r="A37" s="4" t="s">
        <v>995</v>
      </c>
      <c r="B37" s="4">
        <v>361060</v>
      </c>
      <c r="C37" s="4" t="s">
        <v>2411</v>
      </c>
      <c r="D37" s="9">
        <v>1495</v>
      </c>
    </row>
    <row r="38" spans="1:4" x14ac:dyDescent="0.25">
      <c r="A38" s="4" t="s">
        <v>52</v>
      </c>
      <c r="B38" s="4">
        <v>375511</v>
      </c>
      <c r="C38" s="4" t="s">
        <v>2668</v>
      </c>
      <c r="D38" s="9">
        <v>115</v>
      </c>
    </row>
    <row r="39" spans="1:4" x14ac:dyDescent="0.25">
      <c r="A39" s="4" t="s">
        <v>52</v>
      </c>
      <c r="B39" s="4">
        <v>375729</v>
      </c>
      <c r="C39" s="4" t="s">
        <v>2700</v>
      </c>
      <c r="D39" s="9">
        <v>475</v>
      </c>
    </row>
    <row r="40" spans="1:4" x14ac:dyDescent="0.25">
      <c r="A40" s="4" t="s">
        <v>52</v>
      </c>
      <c r="B40" s="4">
        <v>377490</v>
      </c>
      <c r="C40" s="4" t="s">
        <v>2728</v>
      </c>
      <c r="D40" s="9">
        <v>11856</v>
      </c>
    </row>
    <row r="41" spans="1:4" x14ac:dyDescent="0.25">
      <c r="A41" s="4" t="s">
        <v>52</v>
      </c>
      <c r="B41" s="4">
        <v>377490</v>
      </c>
      <c r="C41" s="4" t="s">
        <v>2729</v>
      </c>
      <c r="D41" s="9">
        <v>11951</v>
      </c>
    </row>
    <row r="42" spans="1:4" x14ac:dyDescent="0.25">
      <c r="A42" s="4" t="s">
        <v>52</v>
      </c>
      <c r="B42" s="4">
        <v>377490</v>
      </c>
      <c r="C42" s="4" t="s">
        <v>2730</v>
      </c>
      <c r="D42" s="9">
        <v>21653</v>
      </c>
    </row>
    <row r="43" spans="1:4" x14ac:dyDescent="0.25">
      <c r="A43" s="4" t="s">
        <v>52</v>
      </c>
      <c r="B43" s="4">
        <v>377490</v>
      </c>
      <c r="C43" s="4" t="s">
        <v>2731</v>
      </c>
      <c r="D43" s="9">
        <v>21653</v>
      </c>
    </row>
    <row r="44" spans="1:4" x14ac:dyDescent="0.25">
      <c r="A44" s="4" t="s">
        <v>52</v>
      </c>
      <c r="B44" s="4">
        <v>377490</v>
      </c>
      <c r="C44" s="4" t="s">
        <v>2732</v>
      </c>
      <c r="D44" s="9">
        <v>20344</v>
      </c>
    </row>
    <row r="45" spans="1:4" x14ac:dyDescent="0.25">
      <c r="A45" s="4" t="s">
        <v>52</v>
      </c>
      <c r="B45" s="4">
        <v>377490</v>
      </c>
      <c r="C45" s="4" t="s">
        <v>2733</v>
      </c>
      <c r="D45" s="9">
        <v>11980</v>
      </c>
    </row>
    <row r="46" spans="1:4" x14ac:dyDescent="0.25">
      <c r="A46" s="4" t="s">
        <v>32</v>
      </c>
      <c r="B46" s="4">
        <v>375707</v>
      </c>
      <c r="C46" s="4" t="s">
        <v>2734</v>
      </c>
      <c r="D46" s="9">
        <v>9295</v>
      </c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SUM(D2:D4,D9:D46)</f>
        <v>197475</v>
      </c>
    </row>
    <row r="93" spans="1:4" x14ac:dyDescent="0.25">
      <c r="C93" s="31" t="s">
        <v>2501</v>
      </c>
      <c r="D93" s="32">
        <f>SUM(D5:D8)</f>
        <v>924</v>
      </c>
    </row>
    <row r="94" spans="1:4" x14ac:dyDescent="0.25">
      <c r="C94" s="31" t="s">
        <v>83</v>
      </c>
      <c r="D94" s="32">
        <f>SUM(D92:D93)</f>
        <v>198399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D74F-BEE7-45F8-9261-12E82A4AEAE1}">
  <dimension ref="A1:D94"/>
  <sheetViews>
    <sheetView zoomScaleNormal="100" zoomScaleSheetLayoutView="100" workbookViewId="0">
      <selection activeCell="H32" sqref="H32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377034</v>
      </c>
      <c r="C2" s="4" t="s">
        <v>2701</v>
      </c>
      <c r="D2" s="9">
        <v>130</v>
      </c>
    </row>
    <row r="3" spans="1:4" x14ac:dyDescent="0.25">
      <c r="A3" s="4" t="s">
        <v>256</v>
      </c>
      <c r="B3" s="4">
        <v>377366</v>
      </c>
      <c r="C3" s="4" t="s">
        <v>2702</v>
      </c>
      <c r="D3" s="9">
        <v>60</v>
      </c>
    </row>
    <row r="4" spans="1:4" x14ac:dyDescent="0.25">
      <c r="A4" s="4" t="s">
        <v>282</v>
      </c>
      <c r="B4" s="4">
        <v>377339</v>
      </c>
      <c r="C4" s="4" t="s">
        <v>2703</v>
      </c>
      <c r="D4" s="9">
        <v>5995</v>
      </c>
    </row>
    <row r="5" spans="1:4" x14ac:dyDescent="0.25">
      <c r="A5" s="4" t="s">
        <v>500</v>
      </c>
      <c r="B5" s="4">
        <v>366409</v>
      </c>
      <c r="C5" s="4" t="s">
        <v>2480</v>
      </c>
      <c r="D5" s="9">
        <v>5032</v>
      </c>
    </row>
    <row r="6" spans="1:4" x14ac:dyDescent="0.25">
      <c r="A6" s="4" t="s">
        <v>111</v>
      </c>
      <c r="B6" s="4">
        <v>377674</v>
      </c>
      <c r="C6" s="4" t="s">
        <v>2704</v>
      </c>
      <c r="D6" s="9">
        <v>81</v>
      </c>
    </row>
    <row r="7" spans="1:4" x14ac:dyDescent="0.25">
      <c r="A7" s="4" t="s">
        <v>111</v>
      </c>
      <c r="B7" s="4">
        <v>377670</v>
      </c>
      <c r="C7" s="4" t="s">
        <v>2705</v>
      </c>
      <c r="D7" s="9">
        <v>251</v>
      </c>
    </row>
    <row r="8" spans="1:4" x14ac:dyDescent="0.25">
      <c r="A8" s="4" t="s">
        <v>175</v>
      </c>
      <c r="B8" s="4">
        <v>379508</v>
      </c>
      <c r="C8" s="4" t="s">
        <v>2735</v>
      </c>
      <c r="D8" s="9">
        <v>101435</v>
      </c>
    </row>
    <row r="9" spans="1:4" x14ac:dyDescent="0.25">
      <c r="A9" s="4" t="s">
        <v>175</v>
      </c>
      <c r="B9" s="4">
        <v>379508</v>
      </c>
      <c r="C9" s="4" t="s">
        <v>2736</v>
      </c>
      <c r="D9" s="9">
        <v>21719</v>
      </c>
    </row>
    <row r="10" spans="1:4" x14ac:dyDescent="0.25">
      <c r="A10" s="4" t="s">
        <v>175</v>
      </c>
      <c r="B10" s="4">
        <v>379508</v>
      </c>
      <c r="C10" s="4" t="s">
        <v>2737</v>
      </c>
      <c r="D10" s="9">
        <v>4142</v>
      </c>
    </row>
    <row r="11" spans="1:4" x14ac:dyDescent="0.25">
      <c r="A11" s="4" t="s">
        <v>175</v>
      </c>
      <c r="B11" s="4">
        <v>380079</v>
      </c>
      <c r="C11" s="4" t="s">
        <v>2738</v>
      </c>
      <c r="D11" s="9">
        <v>2250</v>
      </c>
    </row>
    <row r="12" spans="1:4" x14ac:dyDescent="0.25">
      <c r="A12" s="4" t="s">
        <v>2591</v>
      </c>
      <c r="B12" s="4">
        <v>369528</v>
      </c>
      <c r="C12" s="4" t="s">
        <v>2592</v>
      </c>
      <c r="D12" s="9">
        <v>3470</v>
      </c>
    </row>
    <row r="13" spans="1:4" x14ac:dyDescent="0.25">
      <c r="A13" s="4" t="s">
        <v>330</v>
      </c>
      <c r="B13" s="4">
        <v>379297</v>
      </c>
      <c r="C13" s="4" t="s">
        <v>2739</v>
      </c>
      <c r="D13" s="9">
        <v>1035</v>
      </c>
    </row>
    <row r="14" spans="1:4" x14ac:dyDescent="0.25">
      <c r="A14" s="4" t="s">
        <v>1419</v>
      </c>
      <c r="B14" s="4">
        <v>377800</v>
      </c>
      <c r="C14" s="4" t="s">
        <v>2712</v>
      </c>
      <c r="D14" s="9">
        <v>2520</v>
      </c>
    </row>
    <row r="15" spans="1:4" x14ac:dyDescent="0.25">
      <c r="A15" s="4" t="s">
        <v>180</v>
      </c>
      <c r="B15" s="4">
        <v>377343</v>
      </c>
      <c r="C15" s="4" t="s">
        <v>2740</v>
      </c>
      <c r="D15" s="9">
        <v>695</v>
      </c>
    </row>
    <row r="16" spans="1:4" x14ac:dyDescent="0.25">
      <c r="A16" s="4" t="s">
        <v>315</v>
      </c>
      <c r="B16" s="4">
        <v>363775</v>
      </c>
      <c r="C16" s="4" t="s">
        <v>2741</v>
      </c>
      <c r="D16" s="9">
        <v>18020</v>
      </c>
    </row>
    <row r="17" spans="1:4" x14ac:dyDescent="0.25">
      <c r="A17" s="4" t="s">
        <v>315</v>
      </c>
      <c r="B17" s="4">
        <v>363775</v>
      </c>
      <c r="C17" s="4" t="s">
        <v>2742</v>
      </c>
      <c r="D17" s="9">
        <v>15755</v>
      </c>
    </row>
    <row r="18" spans="1:4" x14ac:dyDescent="0.25">
      <c r="A18" s="4" t="s">
        <v>315</v>
      </c>
      <c r="B18" s="4">
        <v>363774</v>
      </c>
      <c r="C18" s="4" t="s">
        <v>2743</v>
      </c>
      <c r="D18" s="9">
        <v>18860</v>
      </c>
    </row>
    <row r="19" spans="1:4" x14ac:dyDescent="0.25">
      <c r="A19" s="4" t="s">
        <v>832</v>
      </c>
      <c r="B19" s="4">
        <v>374496</v>
      </c>
      <c r="C19" s="4" t="s">
        <v>2744</v>
      </c>
      <c r="D19" s="9">
        <v>4175</v>
      </c>
    </row>
    <row r="20" spans="1:4" x14ac:dyDescent="0.25">
      <c r="A20" s="4" t="s">
        <v>832</v>
      </c>
      <c r="B20" s="4">
        <v>375515</v>
      </c>
      <c r="C20" s="4" t="s">
        <v>2745</v>
      </c>
      <c r="D20" s="9">
        <v>26947</v>
      </c>
    </row>
    <row r="21" spans="1:4" x14ac:dyDescent="0.25">
      <c r="A21" s="4" t="s">
        <v>832</v>
      </c>
      <c r="B21" s="4">
        <v>374492</v>
      </c>
      <c r="C21" s="4" t="s">
        <v>2746</v>
      </c>
      <c r="D21" s="9">
        <v>15415</v>
      </c>
    </row>
    <row r="22" spans="1:4" x14ac:dyDescent="0.25">
      <c r="A22" s="4" t="s">
        <v>832</v>
      </c>
      <c r="B22" s="4">
        <v>375172</v>
      </c>
      <c r="C22" s="4" t="s">
        <v>2747</v>
      </c>
      <c r="D22" s="9">
        <v>7770</v>
      </c>
    </row>
    <row r="23" spans="1:4" x14ac:dyDescent="0.25">
      <c r="A23" s="4" t="s">
        <v>832</v>
      </c>
      <c r="B23" s="4">
        <v>375515</v>
      </c>
      <c r="C23" s="4" t="s">
        <v>2748</v>
      </c>
      <c r="D23" s="9">
        <v>41625</v>
      </c>
    </row>
    <row r="24" spans="1:4" x14ac:dyDescent="0.25">
      <c r="A24" s="4" t="s">
        <v>832</v>
      </c>
      <c r="B24" s="4">
        <v>369656</v>
      </c>
      <c r="C24" s="4" t="s">
        <v>2749</v>
      </c>
      <c r="D24" s="9">
        <v>3500</v>
      </c>
    </row>
    <row r="25" spans="1:4" x14ac:dyDescent="0.25">
      <c r="A25" s="4" t="s">
        <v>832</v>
      </c>
      <c r="B25" s="4">
        <v>372643</v>
      </c>
      <c r="C25" s="4" t="s">
        <v>2750</v>
      </c>
      <c r="D25" s="9">
        <v>5500</v>
      </c>
    </row>
    <row r="26" spans="1:4" x14ac:dyDescent="0.25">
      <c r="A26" s="4" t="s">
        <v>832</v>
      </c>
      <c r="B26" s="4">
        <v>369655</v>
      </c>
      <c r="C26" s="4" t="s">
        <v>2751</v>
      </c>
      <c r="D26" s="9">
        <v>1600</v>
      </c>
    </row>
    <row r="27" spans="1:4" x14ac:dyDescent="0.25">
      <c r="A27" s="4" t="s">
        <v>832</v>
      </c>
      <c r="B27" s="4">
        <v>375515</v>
      </c>
      <c r="C27" s="4" t="s">
        <v>2752</v>
      </c>
      <c r="D27" s="9">
        <v>25387</v>
      </c>
    </row>
    <row r="28" spans="1:4" x14ac:dyDescent="0.25">
      <c r="A28" s="4" t="s">
        <v>832</v>
      </c>
      <c r="B28" s="4">
        <v>375515</v>
      </c>
      <c r="C28" s="4" t="s">
        <v>2753</v>
      </c>
      <c r="D28" s="9">
        <v>8865</v>
      </c>
    </row>
    <row r="29" spans="1:4" x14ac:dyDescent="0.25">
      <c r="A29" s="4" t="s">
        <v>832</v>
      </c>
      <c r="B29" s="4">
        <v>375515</v>
      </c>
      <c r="C29" s="4" t="s">
        <v>2754</v>
      </c>
      <c r="D29" s="9">
        <v>12355</v>
      </c>
    </row>
    <row r="30" spans="1:4" x14ac:dyDescent="0.25">
      <c r="A30" s="4" t="s">
        <v>832</v>
      </c>
      <c r="B30" s="4">
        <v>374492</v>
      </c>
      <c r="C30" s="4" t="s">
        <v>2755</v>
      </c>
      <c r="D30" s="9">
        <v>28275</v>
      </c>
    </row>
    <row r="31" spans="1:4" x14ac:dyDescent="0.25">
      <c r="A31" s="4" t="s">
        <v>832</v>
      </c>
      <c r="B31" s="4">
        <v>374492</v>
      </c>
      <c r="C31" s="4" t="s">
        <v>2756</v>
      </c>
      <c r="D31" s="9">
        <v>15490</v>
      </c>
    </row>
    <row r="32" spans="1:4" x14ac:dyDescent="0.25">
      <c r="A32" s="4" t="s">
        <v>832</v>
      </c>
      <c r="B32" s="4">
        <v>374492</v>
      </c>
      <c r="C32" s="4" t="s">
        <v>2757</v>
      </c>
      <c r="D32" s="9">
        <v>10050</v>
      </c>
    </row>
    <row r="33" spans="1:4" x14ac:dyDescent="0.25">
      <c r="A33" s="4" t="s">
        <v>832</v>
      </c>
      <c r="B33" s="4">
        <v>361880</v>
      </c>
      <c r="C33" s="4" t="s">
        <v>2691</v>
      </c>
      <c r="D33" s="9">
        <v>13160</v>
      </c>
    </row>
    <row r="34" spans="1:4" x14ac:dyDescent="0.25">
      <c r="A34" s="4" t="s">
        <v>1387</v>
      </c>
      <c r="B34" s="4">
        <v>377711</v>
      </c>
      <c r="C34" s="4" t="s">
        <v>2758</v>
      </c>
      <c r="D34" s="9">
        <v>14119</v>
      </c>
    </row>
    <row r="35" spans="1:4" x14ac:dyDescent="0.25">
      <c r="A35" s="4" t="s">
        <v>1387</v>
      </c>
      <c r="B35" s="4">
        <v>377711</v>
      </c>
      <c r="C35" s="4" t="s">
        <v>2759</v>
      </c>
      <c r="D35" s="9">
        <v>18583</v>
      </c>
    </row>
    <row r="36" spans="1:4" x14ac:dyDescent="0.25">
      <c r="A36" s="4" t="s">
        <v>1535</v>
      </c>
      <c r="B36" s="4">
        <v>372363</v>
      </c>
      <c r="C36" s="4" t="s">
        <v>2724</v>
      </c>
      <c r="D36" s="9">
        <v>16491</v>
      </c>
    </row>
    <row r="37" spans="1:4" x14ac:dyDescent="0.25">
      <c r="A37" s="4" t="s">
        <v>1535</v>
      </c>
      <c r="B37" s="4">
        <v>372363</v>
      </c>
      <c r="C37" s="4" t="s">
        <v>2725</v>
      </c>
      <c r="D37" s="9">
        <v>40</v>
      </c>
    </row>
    <row r="38" spans="1:4" x14ac:dyDescent="0.25">
      <c r="A38" s="4" t="s">
        <v>1535</v>
      </c>
      <c r="B38" s="4">
        <v>372363</v>
      </c>
      <c r="C38" s="4" t="s">
        <v>2727</v>
      </c>
      <c r="D38" s="9">
        <v>3595</v>
      </c>
    </row>
    <row r="39" spans="1:4" x14ac:dyDescent="0.25">
      <c r="A39" s="4" t="s">
        <v>1891</v>
      </c>
      <c r="B39" s="4">
        <v>368307</v>
      </c>
      <c r="C39" s="4" t="s">
        <v>2760</v>
      </c>
      <c r="D39" s="9">
        <v>6970</v>
      </c>
    </row>
    <row r="40" spans="1:4" x14ac:dyDescent="0.25">
      <c r="A40" s="4" t="s">
        <v>1891</v>
      </c>
      <c r="B40" s="4">
        <v>375391</v>
      </c>
      <c r="C40" s="4" t="s">
        <v>2666</v>
      </c>
      <c r="D40" s="9">
        <v>125</v>
      </c>
    </row>
    <row r="41" spans="1:4" x14ac:dyDescent="0.25">
      <c r="A41" s="4" t="s">
        <v>995</v>
      </c>
      <c r="B41" s="4">
        <v>361060</v>
      </c>
      <c r="C41" s="4" t="s">
        <v>2411</v>
      </c>
      <c r="D41" s="9">
        <v>1495</v>
      </c>
    </row>
    <row r="42" spans="1:4" x14ac:dyDescent="0.25">
      <c r="A42" s="4" t="s">
        <v>995</v>
      </c>
      <c r="B42" s="4">
        <v>377096</v>
      </c>
      <c r="C42" s="4" t="s">
        <v>2761</v>
      </c>
      <c r="D42" s="9">
        <v>11378</v>
      </c>
    </row>
    <row r="43" spans="1:4" x14ac:dyDescent="0.25">
      <c r="A43" s="4" t="s">
        <v>2762</v>
      </c>
      <c r="B43" s="4">
        <v>379104</v>
      </c>
      <c r="C43" s="4" t="s">
        <v>2763</v>
      </c>
      <c r="D43" s="9">
        <v>2275</v>
      </c>
    </row>
    <row r="44" spans="1:4" x14ac:dyDescent="0.25">
      <c r="A44" s="4" t="s">
        <v>52</v>
      </c>
      <c r="B44" s="4">
        <v>374175</v>
      </c>
      <c r="C44" s="4" t="s">
        <v>2764</v>
      </c>
      <c r="D44" s="9">
        <v>12272</v>
      </c>
    </row>
    <row r="45" spans="1:4" x14ac:dyDescent="0.25">
      <c r="A45" s="4" t="s">
        <v>52</v>
      </c>
      <c r="B45" s="4">
        <v>374175</v>
      </c>
      <c r="C45" s="4" t="s">
        <v>2765</v>
      </c>
      <c r="D45" s="9">
        <v>18131</v>
      </c>
    </row>
    <row r="46" spans="1:4" x14ac:dyDescent="0.25">
      <c r="A46" s="4" t="s">
        <v>52</v>
      </c>
      <c r="B46" s="4">
        <v>375729</v>
      </c>
      <c r="C46" s="4" t="s">
        <v>2700</v>
      </c>
      <c r="D46" s="9">
        <v>475</v>
      </c>
    </row>
    <row r="47" spans="1:4" x14ac:dyDescent="0.25">
      <c r="A47" s="4" t="s">
        <v>52</v>
      </c>
      <c r="B47" s="4">
        <v>379601</v>
      </c>
      <c r="C47" s="4" t="s">
        <v>2766</v>
      </c>
      <c r="D47" s="9">
        <v>21653</v>
      </c>
    </row>
    <row r="48" spans="1:4" x14ac:dyDescent="0.25">
      <c r="A48" s="4" t="s">
        <v>52</v>
      </c>
      <c r="B48" s="4">
        <v>377490</v>
      </c>
      <c r="C48" s="4" t="s">
        <v>2729</v>
      </c>
      <c r="D48" s="9">
        <v>11951</v>
      </c>
    </row>
    <row r="49" spans="1:4" x14ac:dyDescent="0.25">
      <c r="A49" s="4" t="s">
        <v>52</v>
      </c>
      <c r="B49" s="4">
        <v>377490</v>
      </c>
      <c r="C49" s="4" t="s">
        <v>2731</v>
      </c>
      <c r="D49" s="9">
        <v>21653</v>
      </c>
    </row>
    <row r="50" spans="1:4" x14ac:dyDescent="0.25">
      <c r="A50" s="4" t="s">
        <v>52</v>
      </c>
      <c r="B50" s="4">
        <v>377490</v>
      </c>
      <c r="C50" s="4" t="s">
        <v>2732</v>
      </c>
      <c r="D50" s="9">
        <v>20344</v>
      </c>
    </row>
    <row r="51" spans="1:4" x14ac:dyDescent="0.25">
      <c r="A51" s="4" t="s">
        <v>52</v>
      </c>
      <c r="B51" s="4">
        <v>377490</v>
      </c>
      <c r="C51" s="4" t="s">
        <v>2733</v>
      </c>
      <c r="D51" s="9">
        <v>11980</v>
      </c>
    </row>
    <row r="52" spans="1:4" x14ac:dyDescent="0.25">
      <c r="A52" s="4" t="s">
        <v>241</v>
      </c>
      <c r="B52" s="4">
        <v>375350</v>
      </c>
      <c r="C52" s="4" t="s">
        <v>2767</v>
      </c>
      <c r="D52" s="9">
        <v>13790</v>
      </c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SUM(D2:D4,D8:D52)</f>
        <v>623520</v>
      </c>
    </row>
    <row r="93" spans="1:4" x14ac:dyDescent="0.25">
      <c r="C93" s="31" t="s">
        <v>2501</v>
      </c>
      <c r="D93" s="32">
        <f>SUM(D5:D7)</f>
        <v>5364</v>
      </c>
    </row>
    <row r="94" spans="1:4" x14ac:dyDescent="0.25">
      <c r="C94" s="31" t="s">
        <v>83</v>
      </c>
      <c r="D94" s="32">
        <f>SUM(D92:D93)</f>
        <v>628884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FAEE-D5A6-4975-96D3-C1F054A9020D}">
  <dimension ref="A1:D94"/>
  <sheetViews>
    <sheetView topLeftCell="A25" zoomScaleNormal="100" zoomScaleSheetLayoutView="100" workbookViewId="0">
      <selection activeCell="I20" sqref="I20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2768</v>
      </c>
      <c r="B2" s="4">
        <v>380553</v>
      </c>
      <c r="C2" s="4" t="s">
        <v>2769</v>
      </c>
      <c r="D2" s="9">
        <v>3392</v>
      </c>
    </row>
    <row r="3" spans="1:4" x14ac:dyDescent="0.25">
      <c r="A3" s="4" t="s">
        <v>256</v>
      </c>
      <c r="B3" s="4">
        <v>377034</v>
      </c>
      <c r="C3" s="4" t="s">
        <v>2701</v>
      </c>
      <c r="D3" s="9">
        <v>130</v>
      </c>
    </row>
    <row r="4" spans="1:4" x14ac:dyDescent="0.25">
      <c r="A4" s="4" t="s">
        <v>256</v>
      </c>
      <c r="B4" s="4">
        <v>377366</v>
      </c>
      <c r="C4" s="4" t="s">
        <v>2702</v>
      </c>
      <c r="D4" s="9">
        <v>60</v>
      </c>
    </row>
    <row r="5" spans="1:4" x14ac:dyDescent="0.25">
      <c r="A5" s="4" t="s">
        <v>500</v>
      </c>
      <c r="B5" s="4">
        <v>366409</v>
      </c>
      <c r="C5" s="4" t="s">
        <v>2480</v>
      </c>
      <c r="D5" s="9">
        <v>5032</v>
      </c>
    </row>
    <row r="6" spans="1:4" x14ac:dyDescent="0.25">
      <c r="A6" s="4" t="s">
        <v>111</v>
      </c>
      <c r="B6" s="4">
        <v>377674</v>
      </c>
      <c r="C6" s="4" t="s">
        <v>2704</v>
      </c>
      <c r="D6" s="9">
        <v>81</v>
      </c>
    </row>
    <row r="7" spans="1:4" x14ac:dyDescent="0.25">
      <c r="A7" s="4" t="s">
        <v>111</v>
      </c>
      <c r="B7" s="4">
        <v>377670</v>
      </c>
      <c r="C7" s="4" t="s">
        <v>2705</v>
      </c>
      <c r="D7" s="9">
        <v>251</v>
      </c>
    </row>
    <row r="8" spans="1:4" x14ac:dyDescent="0.25">
      <c r="A8" s="4" t="s">
        <v>167</v>
      </c>
      <c r="B8" s="4">
        <v>380543</v>
      </c>
      <c r="C8" s="4" t="s">
        <v>2770</v>
      </c>
      <c r="D8" s="9">
        <v>552</v>
      </c>
    </row>
    <row r="9" spans="1:4" x14ac:dyDescent="0.25">
      <c r="A9" s="4" t="s">
        <v>167</v>
      </c>
      <c r="B9" s="4">
        <v>380538</v>
      </c>
      <c r="C9" s="4" t="s">
        <v>2771</v>
      </c>
      <c r="D9" s="9">
        <v>3714</v>
      </c>
    </row>
    <row r="10" spans="1:4" x14ac:dyDescent="0.25">
      <c r="A10" s="4" t="s">
        <v>2591</v>
      </c>
      <c r="B10" s="4">
        <v>369528</v>
      </c>
      <c r="C10" s="4" t="s">
        <v>2592</v>
      </c>
      <c r="D10" s="9">
        <v>3470</v>
      </c>
    </row>
    <row r="11" spans="1:4" x14ac:dyDescent="0.25">
      <c r="A11" s="4" t="s">
        <v>330</v>
      </c>
      <c r="B11" s="4">
        <v>379297</v>
      </c>
      <c r="C11" s="4" t="s">
        <v>2739</v>
      </c>
      <c r="D11" s="9">
        <v>1035</v>
      </c>
    </row>
    <row r="12" spans="1:4" x14ac:dyDescent="0.25">
      <c r="A12" s="4" t="s">
        <v>1419</v>
      </c>
      <c r="B12" s="4">
        <v>377800</v>
      </c>
      <c r="C12" s="4" t="s">
        <v>2712</v>
      </c>
      <c r="D12" s="9">
        <v>2520</v>
      </c>
    </row>
    <row r="13" spans="1:4" x14ac:dyDescent="0.25">
      <c r="A13" s="4" t="s">
        <v>1419</v>
      </c>
      <c r="B13" s="4">
        <v>377765</v>
      </c>
      <c r="C13" s="4" t="s">
        <v>2772</v>
      </c>
      <c r="D13" s="9">
        <v>1100</v>
      </c>
    </row>
    <row r="14" spans="1:4" x14ac:dyDescent="0.25">
      <c r="A14" s="4" t="s">
        <v>180</v>
      </c>
      <c r="B14" s="4">
        <v>377343</v>
      </c>
      <c r="C14" s="4" t="s">
        <v>2740</v>
      </c>
      <c r="D14" s="9">
        <v>695</v>
      </c>
    </row>
    <row r="15" spans="1:4" x14ac:dyDescent="0.25">
      <c r="A15" s="4" t="s">
        <v>315</v>
      </c>
      <c r="B15" s="4">
        <v>363775</v>
      </c>
      <c r="C15" s="4" t="s">
        <v>2741</v>
      </c>
      <c r="D15" s="9">
        <v>18020</v>
      </c>
    </row>
    <row r="16" spans="1:4" x14ac:dyDescent="0.25">
      <c r="A16" s="4" t="s">
        <v>315</v>
      </c>
      <c r="B16" s="4">
        <v>363775</v>
      </c>
      <c r="C16" s="4" t="s">
        <v>2742</v>
      </c>
      <c r="D16" s="9">
        <v>15755</v>
      </c>
    </row>
    <row r="17" spans="1:4" x14ac:dyDescent="0.25">
      <c r="A17" s="4" t="s">
        <v>315</v>
      </c>
      <c r="B17" s="4">
        <v>363774</v>
      </c>
      <c r="C17" s="4" t="s">
        <v>2743</v>
      </c>
      <c r="D17" s="9">
        <v>18860</v>
      </c>
    </row>
    <row r="18" spans="1:4" x14ac:dyDescent="0.25">
      <c r="A18" s="4" t="s">
        <v>832</v>
      </c>
      <c r="B18" s="4">
        <v>369656</v>
      </c>
      <c r="C18" s="4" t="s">
        <v>2749</v>
      </c>
      <c r="D18" s="9">
        <v>3500</v>
      </c>
    </row>
    <row r="19" spans="1:4" x14ac:dyDescent="0.25">
      <c r="A19" s="4" t="s">
        <v>832</v>
      </c>
      <c r="B19" s="4">
        <v>372642</v>
      </c>
      <c r="C19" s="4" t="s">
        <v>2773</v>
      </c>
      <c r="D19" s="9">
        <v>3500</v>
      </c>
    </row>
    <row r="20" spans="1:4" x14ac:dyDescent="0.25">
      <c r="A20" s="4" t="s">
        <v>832</v>
      </c>
      <c r="B20" s="4">
        <v>372643</v>
      </c>
      <c r="C20" s="4" t="s">
        <v>2750</v>
      </c>
      <c r="D20" s="9">
        <v>5500</v>
      </c>
    </row>
    <row r="21" spans="1:4" x14ac:dyDescent="0.25">
      <c r="A21" s="4" t="s">
        <v>832</v>
      </c>
      <c r="B21" s="4">
        <v>369655</v>
      </c>
      <c r="C21" s="4" t="s">
        <v>2751</v>
      </c>
      <c r="D21" s="9">
        <v>1600</v>
      </c>
    </row>
    <row r="22" spans="1:4" x14ac:dyDescent="0.25">
      <c r="A22" s="4" t="s">
        <v>832</v>
      </c>
      <c r="B22" s="4">
        <v>361880</v>
      </c>
      <c r="C22" s="4" t="s">
        <v>2691</v>
      </c>
      <c r="D22" s="9">
        <v>13160</v>
      </c>
    </row>
    <row r="23" spans="1:4" x14ac:dyDescent="0.25">
      <c r="A23" s="4" t="s">
        <v>1535</v>
      </c>
      <c r="B23" s="4">
        <v>372363</v>
      </c>
      <c r="C23" s="4" t="s">
        <v>2725</v>
      </c>
      <c r="D23" s="9">
        <v>40</v>
      </c>
    </row>
    <row r="24" spans="1:4" x14ac:dyDescent="0.25">
      <c r="A24" s="4" t="s">
        <v>1535</v>
      </c>
      <c r="B24" s="4">
        <v>372363</v>
      </c>
      <c r="C24" s="4" t="s">
        <v>2727</v>
      </c>
      <c r="D24" s="9">
        <v>3595</v>
      </c>
    </row>
    <row r="25" spans="1:4" x14ac:dyDescent="0.25">
      <c r="A25" s="4" t="s">
        <v>1891</v>
      </c>
      <c r="B25" s="4">
        <v>368307</v>
      </c>
      <c r="C25" s="4" t="s">
        <v>2760</v>
      </c>
      <c r="D25" s="9">
        <v>6970</v>
      </c>
    </row>
    <row r="26" spans="1:4" x14ac:dyDescent="0.25">
      <c r="A26" s="4" t="s">
        <v>1891</v>
      </c>
      <c r="B26" s="4">
        <v>375391</v>
      </c>
      <c r="C26" s="4" t="s">
        <v>2666</v>
      </c>
      <c r="D26" s="9">
        <v>125</v>
      </c>
    </row>
    <row r="27" spans="1:4" x14ac:dyDescent="0.25">
      <c r="A27" s="4" t="s">
        <v>52</v>
      </c>
      <c r="B27" s="4">
        <v>379599</v>
      </c>
      <c r="C27" s="4" t="s">
        <v>2774</v>
      </c>
      <c r="D27" s="9">
        <v>1140</v>
      </c>
    </row>
    <row r="28" spans="1:4" x14ac:dyDescent="0.25">
      <c r="A28" s="4" t="s">
        <v>52</v>
      </c>
      <c r="B28" s="4">
        <v>374175</v>
      </c>
      <c r="C28" s="4" t="s">
        <v>2765</v>
      </c>
      <c r="D28" s="9">
        <v>18131</v>
      </c>
    </row>
    <row r="29" spans="1:4" x14ac:dyDescent="0.25">
      <c r="A29" s="4" t="s">
        <v>52</v>
      </c>
      <c r="B29" s="4">
        <v>375729</v>
      </c>
      <c r="C29" s="4" t="s">
        <v>2700</v>
      </c>
      <c r="D29" s="9">
        <v>475</v>
      </c>
    </row>
    <row r="30" spans="1:4" x14ac:dyDescent="0.25">
      <c r="A30" s="4" t="s">
        <v>52</v>
      </c>
      <c r="B30" s="4">
        <v>379601</v>
      </c>
      <c r="C30" s="4" t="s">
        <v>2766</v>
      </c>
      <c r="D30" s="9">
        <v>21653</v>
      </c>
    </row>
    <row r="31" spans="1:4" x14ac:dyDescent="0.25">
      <c r="A31" s="4" t="s">
        <v>52</v>
      </c>
      <c r="B31" s="4">
        <v>377490</v>
      </c>
      <c r="C31" s="4" t="s">
        <v>2729</v>
      </c>
      <c r="D31" s="9">
        <v>11951</v>
      </c>
    </row>
    <row r="32" spans="1:4" x14ac:dyDescent="0.25">
      <c r="A32" s="4" t="s">
        <v>52</v>
      </c>
      <c r="B32" s="4">
        <v>377490</v>
      </c>
      <c r="C32" s="4" t="s">
        <v>2775</v>
      </c>
      <c r="D32" s="9">
        <v>20344</v>
      </c>
    </row>
    <row r="33" spans="1:4" x14ac:dyDescent="0.25">
      <c r="A33" s="4" t="s">
        <v>52</v>
      </c>
      <c r="B33" s="4">
        <v>377490</v>
      </c>
      <c r="C33" s="4" t="s">
        <v>2731</v>
      </c>
      <c r="D33" s="9">
        <v>21653</v>
      </c>
    </row>
    <row r="34" spans="1:4" x14ac:dyDescent="0.25">
      <c r="A34" s="4" t="s">
        <v>52</v>
      </c>
      <c r="B34" s="4">
        <v>377490</v>
      </c>
      <c r="C34" s="4" t="s">
        <v>2733</v>
      </c>
      <c r="D34" s="9">
        <v>11980</v>
      </c>
    </row>
    <row r="35" spans="1:4" x14ac:dyDescent="0.25">
      <c r="A35" s="4" t="s">
        <v>61</v>
      </c>
      <c r="B35" s="4">
        <v>379763</v>
      </c>
      <c r="C35" s="4" t="s">
        <v>2776</v>
      </c>
      <c r="D35" s="9">
        <v>1564</v>
      </c>
    </row>
    <row r="36" spans="1:4" x14ac:dyDescent="0.25">
      <c r="A36" s="4" t="s">
        <v>61</v>
      </c>
      <c r="B36" s="4">
        <v>379795</v>
      </c>
      <c r="C36" s="4" t="s">
        <v>2777</v>
      </c>
      <c r="D36" s="9">
        <v>12456</v>
      </c>
    </row>
    <row r="37" spans="1:4" x14ac:dyDescent="0.25">
      <c r="A37" s="4" t="s">
        <v>61</v>
      </c>
      <c r="B37" s="4">
        <v>379753</v>
      </c>
      <c r="C37" s="4" t="s">
        <v>2778</v>
      </c>
      <c r="D37" s="9">
        <v>18945</v>
      </c>
    </row>
    <row r="38" spans="1:4" x14ac:dyDescent="0.25">
      <c r="A38" s="4" t="s">
        <v>61</v>
      </c>
      <c r="B38" s="4">
        <v>379691</v>
      </c>
      <c r="C38" s="4" t="s">
        <v>2779</v>
      </c>
      <c r="D38" s="9">
        <v>17568</v>
      </c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SUM(D10:D34)</f>
        <v>206772</v>
      </c>
    </row>
    <row r="93" spans="1:4" x14ac:dyDescent="0.25">
      <c r="C93" s="31" t="s">
        <v>2501</v>
      </c>
      <c r="D93" s="32">
        <f>SUM(D35:D38,D5:D9)</f>
        <v>60163</v>
      </c>
    </row>
    <row r="94" spans="1:4" x14ac:dyDescent="0.25">
      <c r="C94" s="31" t="s">
        <v>83</v>
      </c>
      <c r="D94" s="32">
        <f>SUM(D92:D93)</f>
        <v>266935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406D-7FAC-449C-B915-146235F45C24}">
  <dimension ref="A1:D94"/>
  <sheetViews>
    <sheetView topLeftCell="A14" zoomScaleNormal="100" zoomScaleSheetLayoutView="100" workbookViewId="0">
      <selection activeCell="G21" sqref="G21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377034</v>
      </c>
      <c r="C2" s="4" t="s">
        <v>2701</v>
      </c>
      <c r="D2" s="9">
        <v>130</v>
      </c>
    </row>
    <row r="3" spans="1:4" x14ac:dyDescent="0.25">
      <c r="A3" s="4" t="s">
        <v>256</v>
      </c>
      <c r="B3" s="4">
        <v>377366</v>
      </c>
      <c r="C3" s="4" t="s">
        <v>2702</v>
      </c>
      <c r="D3" s="9">
        <v>60</v>
      </c>
    </row>
    <row r="4" spans="1:4" x14ac:dyDescent="0.25">
      <c r="A4" s="4" t="s">
        <v>143</v>
      </c>
      <c r="B4" s="4">
        <v>379884</v>
      </c>
      <c r="C4" s="4" t="s">
        <v>2792</v>
      </c>
      <c r="D4" s="9">
        <v>5495</v>
      </c>
    </row>
    <row r="5" spans="1:4" x14ac:dyDescent="0.25">
      <c r="A5" s="4" t="s">
        <v>143</v>
      </c>
      <c r="B5" s="4">
        <v>379907</v>
      </c>
      <c r="C5" s="4" t="s">
        <v>2793</v>
      </c>
      <c r="D5" s="9">
        <v>4315</v>
      </c>
    </row>
    <row r="6" spans="1:4" x14ac:dyDescent="0.25">
      <c r="A6" s="4" t="s">
        <v>500</v>
      </c>
      <c r="B6" s="4">
        <v>366409</v>
      </c>
      <c r="C6" s="4" t="s">
        <v>2480</v>
      </c>
      <c r="D6" s="9">
        <v>5032</v>
      </c>
    </row>
    <row r="7" spans="1:4" x14ac:dyDescent="0.25">
      <c r="A7" s="4" t="s">
        <v>111</v>
      </c>
      <c r="B7" s="4">
        <v>377674</v>
      </c>
      <c r="C7" s="4" t="s">
        <v>2704</v>
      </c>
      <c r="D7" s="9">
        <v>81</v>
      </c>
    </row>
    <row r="8" spans="1:4" x14ac:dyDescent="0.25">
      <c r="A8" s="4" t="s">
        <v>167</v>
      </c>
      <c r="B8" s="4">
        <v>380543</v>
      </c>
      <c r="C8" s="4" t="s">
        <v>2770</v>
      </c>
      <c r="D8" s="9">
        <v>552</v>
      </c>
    </row>
    <row r="9" spans="1:4" x14ac:dyDescent="0.25">
      <c r="A9" s="4" t="s">
        <v>167</v>
      </c>
      <c r="B9" s="4">
        <v>380538</v>
      </c>
      <c r="C9" s="4" t="s">
        <v>2771</v>
      </c>
      <c r="D9" s="9">
        <v>3714</v>
      </c>
    </row>
    <row r="10" spans="1:4" x14ac:dyDescent="0.25">
      <c r="A10" s="4" t="s">
        <v>330</v>
      </c>
      <c r="B10" s="4">
        <v>379297</v>
      </c>
      <c r="C10" s="4" t="s">
        <v>2739</v>
      </c>
      <c r="D10" s="9">
        <v>1035</v>
      </c>
    </row>
    <row r="11" spans="1:4" x14ac:dyDescent="0.25">
      <c r="A11" s="4" t="s">
        <v>1419</v>
      </c>
      <c r="B11" s="4">
        <v>377800</v>
      </c>
      <c r="C11" s="4" t="s">
        <v>2712</v>
      </c>
      <c r="D11" s="9">
        <v>2520</v>
      </c>
    </row>
    <row r="12" spans="1:4" x14ac:dyDescent="0.25">
      <c r="A12" s="4" t="s">
        <v>1419</v>
      </c>
      <c r="B12" s="4">
        <v>377765</v>
      </c>
      <c r="C12" s="4" t="s">
        <v>2772</v>
      </c>
      <c r="D12" s="9">
        <v>1100</v>
      </c>
    </row>
    <row r="13" spans="1:4" x14ac:dyDescent="0.25">
      <c r="A13" s="4" t="s">
        <v>180</v>
      </c>
      <c r="B13" s="4">
        <v>377343</v>
      </c>
      <c r="C13" s="4" t="s">
        <v>2740</v>
      </c>
      <c r="D13" s="9">
        <v>695</v>
      </c>
    </row>
    <row r="14" spans="1:4" x14ac:dyDescent="0.25">
      <c r="A14" s="4" t="s">
        <v>315</v>
      </c>
      <c r="B14" s="4">
        <v>363775</v>
      </c>
      <c r="C14" s="4" t="s">
        <v>2741</v>
      </c>
      <c r="D14" s="9">
        <v>18020</v>
      </c>
    </row>
    <row r="15" spans="1:4" x14ac:dyDescent="0.25">
      <c r="A15" s="4" t="s">
        <v>315</v>
      </c>
      <c r="B15" s="4">
        <v>363775</v>
      </c>
      <c r="C15" s="4" t="s">
        <v>2742</v>
      </c>
      <c r="D15" s="9">
        <v>15755</v>
      </c>
    </row>
    <row r="16" spans="1:4" x14ac:dyDescent="0.25">
      <c r="A16" s="4" t="s">
        <v>315</v>
      </c>
      <c r="B16" s="4">
        <v>379708</v>
      </c>
      <c r="C16" s="4" t="s">
        <v>2780</v>
      </c>
      <c r="D16" s="9">
        <v>2200</v>
      </c>
    </row>
    <row r="17" spans="1:4" x14ac:dyDescent="0.25">
      <c r="A17" s="4" t="s">
        <v>315</v>
      </c>
      <c r="B17" s="4">
        <v>382081</v>
      </c>
      <c r="C17" s="4" t="s">
        <v>2781</v>
      </c>
      <c r="D17" s="9">
        <v>6285</v>
      </c>
    </row>
    <row r="18" spans="1:4" x14ac:dyDescent="0.25">
      <c r="A18" s="4" t="s">
        <v>832</v>
      </c>
      <c r="B18" s="4">
        <v>369656</v>
      </c>
      <c r="C18" s="4" t="s">
        <v>2749</v>
      </c>
      <c r="D18" s="9">
        <v>3500</v>
      </c>
    </row>
    <row r="19" spans="1:4" x14ac:dyDescent="0.25">
      <c r="A19" s="4" t="s">
        <v>832</v>
      </c>
      <c r="B19" s="4">
        <v>372642</v>
      </c>
      <c r="C19" s="4" t="s">
        <v>2773</v>
      </c>
      <c r="D19" s="9">
        <v>3500</v>
      </c>
    </row>
    <row r="20" spans="1:4" x14ac:dyDescent="0.25">
      <c r="A20" s="4" t="s">
        <v>832</v>
      </c>
      <c r="B20" s="4">
        <v>379335</v>
      </c>
      <c r="C20" s="4" t="s">
        <v>2782</v>
      </c>
      <c r="D20" s="9">
        <v>750</v>
      </c>
    </row>
    <row r="21" spans="1:4" x14ac:dyDescent="0.25">
      <c r="A21" s="4" t="s">
        <v>832</v>
      </c>
      <c r="B21" s="4">
        <v>372643</v>
      </c>
      <c r="C21" s="4" t="s">
        <v>2750</v>
      </c>
      <c r="D21" s="9">
        <v>5500</v>
      </c>
    </row>
    <row r="22" spans="1:4" x14ac:dyDescent="0.25">
      <c r="A22" s="4" t="s">
        <v>832</v>
      </c>
      <c r="B22" s="4">
        <v>369655</v>
      </c>
      <c r="C22" s="4" t="s">
        <v>2751</v>
      </c>
      <c r="D22" s="9">
        <v>1600</v>
      </c>
    </row>
    <row r="23" spans="1:4" x14ac:dyDescent="0.25">
      <c r="A23" s="4" t="s">
        <v>832</v>
      </c>
      <c r="B23" s="4">
        <v>361880</v>
      </c>
      <c r="C23" s="4" t="s">
        <v>2783</v>
      </c>
      <c r="D23" s="9">
        <v>13160</v>
      </c>
    </row>
    <row r="24" spans="1:4" x14ac:dyDescent="0.25">
      <c r="A24" s="4" t="s">
        <v>1535</v>
      </c>
      <c r="B24" s="4">
        <v>372363</v>
      </c>
      <c r="C24" s="4" t="s">
        <v>2725</v>
      </c>
      <c r="D24" s="9">
        <v>40</v>
      </c>
    </row>
    <row r="25" spans="1:4" x14ac:dyDescent="0.25">
      <c r="A25" s="4" t="s">
        <v>1535</v>
      </c>
      <c r="B25" s="4">
        <v>372363</v>
      </c>
      <c r="C25" s="4" t="s">
        <v>2727</v>
      </c>
      <c r="D25" s="9">
        <v>3595</v>
      </c>
    </row>
    <row r="26" spans="1:4" x14ac:dyDescent="0.25">
      <c r="A26" s="4" t="s">
        <v>1891</v>
      </c>
      <c r="B26" s="4">
        <v>375391</v>
      </c>
      <c r="C26" s="4" t="s">
        <v>2666</v>
      </c>
      <c r="D26" s="9">
        <v>125</v>
      </c>
    </row>
    <row r="27" spans="1:4" x14ac:dyDescent="0.25">
      <c r="A27" s="4" t="s">
        <v>1891</v>
      </c>
      <c r="B27" s="4">
        <v>377315</v>
      </c>
      <c r="C27" s="4" t="s">
        <v>2784</v>
      </c>
      <c r="D27" s="9">
        <v>5550</v>
      </c>
    </row>
    <row r="28" spans="1:4" x14ac:dyDescent="0.25">
      <c r="A28" s="4" t="s">
        <v>1891</v>
      </c>
      <c r="B28" s="4">
        <v>377316</v>
      </c>
      <c r="C28" s="4" t="s">
        <v>2785</v>
      </c>
      <c r="D28" s="9">
        <v>7770</v>
      </c>
    </row>
    <row r="29" spans="1:4" x14ac:dyDescent="0.25">
      <c r="A29" s="4" t="s">
        <v>1891</v>
      </c>
      <c r="B29" s="4">
        <v>372578</v>
      </c>
      <c r="C29" s="4" t="s">
        <v>2786</v>
      </c>
      <c r="D29" s="9">
        <v>18965</v>
      </c>
    </row>
    <row r="30" spans="1:4" x14ac:dyDescent="0.25">
      <c r="A30" s="4" t="s">
        <v>1891</v>
      </c>
      <c r="B30" s="4">
        <v>380066</v>
      </c>
      <c r="C30" s="4" t="s">
        <v>2787</v>
      </c>
      <c r="D30" s="9">
        <v>4430</v>
      </c>
    </row>
    <row r="31" spans="1:4" x14ac:dyDescent="0.25">
      <c r="A31" s="4" t="s">
        <v>1891</v>
      </c>
      <c r="B31" s="4">
        <v>368307</v>
      </c>
      <c r="C31" s="4" t="s">
        <v>2788</v>
      </c>
      <c r="D31" s="9">
        <v>6970</v>
      </c>
    </row>
    <row r="32" spans="1:4" x14ac:dyDescent="0.25">
      <c r="A32" s="4" t="s">
        <v>1891</v>
      </c>
      <c r="B32" s="4">
        <v>369545</v>
      </c>
      <c r="C32" s="4" t="s">
        <v>2789</v>
      </c>
      <c r="D32" s="9">
        <v>2021</v>
      </c>
    </row>
    <row r="33" spans="1:4" x14ac:dyDescent="0.25">
      <c r="A33" s="4" t="s">
        <v>1891</v>
      </c>
      <c r="B33" s="4">
        <v>369545</v>
      </c>
      <c r="C33" s="4" t="s">
        <v>2790</v>
      </c>
      <c r="D33" s="9">
        <v>5052</v>
      </c>
    </row>
    <row r="34" spans="1:4" x14ac:dyDescent="0.25">
      <c r="A34" s="4" t="s">
        <v>52</v>
      </c>
      <c r="B34" s="4">
        <v>379599</v>
      </c>
      <c r="C34" s="4" t="s">
        <v>2774</v>
      </c>
      <c r="D34" s="9">
        <v>1140</v>
      </c>
    </row>
    <row r="35" spans="1:4" x14ac:dyDescent="0.25">
      <c r="A35" s="4" t="s">
        <v>52</v>
      </c>
      <c r="B35" s="4">
        <v>374175</v>
      </c>
      <c r="C35" s="4" t="s">
        <v>2765</v>
      </c>
      <c r="D35" s="9">
        <v>18131</v>
      </c>
    </row>
    <row r="36" spans="1:4" x14ac:dyDescent="0.25">
      <c r="A36" s="4" t="s">
        <v>52</v>
      </c>
      <c r="B36" s="4">
        <v>375729</v>
      </c>
      <c r="C36" s="4" t="s">
        <v>2700</v>
      </c>
      <c r="D36" s="9">
        <v>475</v>
      </c>
    </row>
    <row r="37" spans="1:4" x14ac:dyDescent="0.25">
      <c r="A37" s="4" t="s">
        <v>52</v>
      </c>
      <c r="B37" s="4">
        <v>379601</v>
      </c>
      <c r="C37" s="4" t="s">
        <v>2766</v>
      </c>
      <c r="D37" s="9">
        <v>21653</v>
      </c>
    </row>
    <row r="38" spans="1:4" x14ac:dyDescent="0.25">
      <c r="A38" s="4" t="s">
        <v>52</v>
      </c>
      <c r="B38" s="4">
        <v>377490</v>
      </c>
      <c r="C38" s="4" t="s">
        <v>2729</v>
      </c>
      <c r="D38" s="9">
        <v>11951</v>
      </c>
    </row>
    <row r="39" spans="1:4" x14ac:dyDescent="0.25">
      <c r="A39" s="4" t="s">
        <v>52</v>
      </c>
      <c r="B39" s="4">
        <v>377490</v>
      </c>
      <c r="C39" s="4" t="s">
        <v>2775</v>
      </c>
      <c r="D39" s="9">
        <v>20344</v>
      </c>
    </row>
    <row r="40" spans="1:4" x14ac:dyDescent="0.25">
      <c r="A40" s="4" t="s">
        <v>52</v>
      </c>
      <c r="B40" s="4">
        <v>377490</v>
      </c>
      <c r="C40" s="4" t="s">
        <v>2731</v>
      </c>
      <c r="D40" s="9">
        <v>21653</v>
      </c>
    </row>
    <row r="41" spans="1:4" x14ac:dyDescent="0.25">
      <c r="A41" s="4" t="s">
        <v>52</v>
      </c>
      <c r="B41" s="4">
        <v>377490</v>
      </c>
      <c r="C41" s="4" t="s">
        <v>2733</v>
      </c>
      <c r="D41" s="9">
        <v>11980</v>
      </c>
    </row>
    <row r="42" spans="1:4" x14ac:dyDescent="0.25">
      <c r="A42" s="4" t="s">
        <v>241</v>
      </c>
      <c r="B42" s="4">
        <v>380645</v>
      </c>
      <c r="C42" s="4" t="s">
        <v>2791</v>
      </c>
      <c r="D42" s="9">
        <v>295</v>
      </c>
    </row>
    <row r="43" spans="1:4" x14ac:dyDescent="0.25">
      <c r="A43" s="4" t="s">
        <v>61</v>
      </c>
      <c r="B43" s="4">
        <v>379763</v>
      </c>
      <c r="C43" s="4" t="s">
        <v>2776</v>
      </c>
      <c r="D43" s="9">
        <v>1564</v>
      </c>
    </row>
    <row r="44" spans="1:4" x14ac:dyDescent="0.25">
      <c r="A44" s="4" t="s">
        <v>61</v>
      </c>
      <c r="B44" s="4">
        <v>379795</v>
      </c>
      <c r="C44" s="4" t="s">
        <v>2777</v>
      </c>
      <c r="D44" s="9">
        <v>12456</v>
      </c>
    </row>
    <row r="45" spans="1:4" x14ac:dyDescent="0.25">
      <c r="A45" s="4" t="s">
        <v>61</v>
      </c>
      <c r="B45" s="4">
        <v>379753</v>
      </c>
      <c r="C45" s="4" t="s">
        <v>2778</v>
      </c>
      <c r="D45" s="9">
        <v>18945</v>
      </c>
    </row>
    <row r="46" spans="1:4" x14ac:dyDescent="0.25">
      <c r="A46" s="4" t="s">
        <v>61</v>
      </c>
      <c r="B46" s="4">
        <v>379691</v>
      </c>
      <c r="C46" s="4" t="s">
        <v>2779</v>
      </c>
      <c r="D46" s="9">
        <v>17568</v>
      </c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SUM(D10:D34)</f>
        <v>131278</v>
      </c>
    </row>
    <row r="93" spans="1:4" x14ac:dyDescent="0.25">
      <c r="C93" s="31" t="s">
        <v>2501</v>
      </c>
      <c r="D93" s="32">
        <f>SUM(D35:D38,D5:D9)</f>
        <v>65904</v>
      </c>
    </row>
    <row r="94" spans="1:4" x14ac:dyDescent="0.25">
      <c r="C94" s="31" t="s">
        <v>83</v>
      </c>
      <c r="D94" s="32">
        <f>SUM(D92:D93)</f>
        <v>197182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999A3-5252-4B7D-9BBD-87A335C204E3}">
  <dimension ref="A1:D94"/>
  <sheetViews>
    <sheetView zoomScaleNormal="100" zoomScaleSheetLayoutView="100" workbookViewId="0">
      <selection activeCell="M94" sqref="M94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377034</v>
      </c>
      <c r="C2" s="4" t="s">
        <v>2701</v>
      </c>
      <c r="D2" s="9">
        <v>130</v>
      </c>
    </row>
    <row r="3" spans="1:4" x14ac:dyDescent="0.25">
      <c r="A3" s="4" t="s">
        <v>256</v>
      </c>
      <c r="B3" s="4">
        <v>377366</v>
      </c>
      <c r="C3" s="4" t="s">
        <v>2702</v>
      </c>
      <c r="D3" s="9">
        <v>60</v>
      </c>
    </row>
    <row r="4" spans="1:4" x14ac:dyDescent="0.25">
      <c r="A4" s="4" t="s">
        <v>256</v>
      </c>
      <c r="B4" s="4">
        <v>381809</v>
      </c>
      <c r="C4" s="4" t="s">
        <v>2794</v>
      </c>
      <c r="D4" s="9">
        <v>2475</v>
      </c>
    </row>
    <row r="5" spans="1:4" x14ac:dyDescent="0.25">
      <c r="A5" s="4" t="s">
        <v>167</v>
      </c>
      <c r="B5" s="4">
        <v>375818</v>
      </c>
      <c r="C5" s="4" t="s">
        <v>2795</v>
      </c>
      <c r="D5" s="9">
        <v>3105</v>
      </c>
    </row>
    <row r="6" spans="1:4" x14ac:dyDescent="0.25">
      <c r="A6" s="4" t="s">
        <v>167</v>
      </c>
      <c r="B6" s="4">
        <v>383389</v>
      </c>
      <c r="C6" s="4" t="s">
        <v>2796</v>
      </c>
      <c r="D6" s="9">
        <v>5192</v>
      </c>
    </row>
    <row r="7" spans="1:4" x14ac:dyDescent="0.25">
      <c r="A7" s="4" t="s">
        <v>167</v>
      </c>
      <c r="B7" s="4">
        <v>380543</v>
      </c>
      <c r="C7" s="4" t="s">
        <v>2770</v>
      </c>
      <c r="D7" s="9">
        <v>552</v>
      </c>
    </row>
    <row r="8" spans="1:4" x14ac:dyDescent="0.25">
      <c r="A8" s="4" t="s">
        <v>167</v>
      </c>
      <c r="B8" s="4">
        <v>380538</v>
      </c>
      <c r="C8" s="4" t="s">
        <v>2771</v>
      </c>
      <c r="D8" s="9">
        <v>3714</v>
      </c>
    </row>
    <row r="9" spans="1:4" x14ac:dyDescent="0.25">
      <c r="A9" s="4" t="s">
        <v>330</v>
      </c>
      <c r="B9" s="4">
        <v>379297</v>
      </c>
      <c r="C9" s="4" t="s">
        <v>2797</v>
      </c>
      <c r="D9" s="9">
        <v>1035</v>
      </c>
    </row>
    <row r="10" spans="1:4" x14ac:dyDescent="0.25">
      <c r="A10" s="4" t="s">
        <v>315</v>
      </c>
      <c r="B10" s="4">
        <v>372598</v>
      </c>
      <c r="C10" s="4" t="s">
        <v>2798</v>
      </c>
      <c r="D10" s="9">
        <v>1670</v>
      </c>
    </row>
    <row r="11" spans="1:4" x14ac:dyDescent="0.25">
      <c r="A11" s="4" t="s">
        <v>832</v>
      </c>
      <c r="B11" s="4">
        <v>379335</v>
      </c>
      <c r="C11" s="4" t="s">
        <v>2799</v>
      </c>
      <c r="D11" s="9">
        <v>750</v>
      </c>
    </row>
    <row r="12" spans="1:4" x14ac:dyDescent="0.25">
      <c r="A12" s="4" t="s">
        <v>1891</v>
      </c>
      <c r="B12" s="4">
        <v>368307</v>
      </c>
      <c r="C12" s="4" t="s">
        <v>2788</v>
      </c>
      <c r="D12" s="9">
        <v>6970</v>
      </c>
    </row>
    <row r="13" spans="1:4" x14ac:dyDescent="0.25">
      <c r="A13" s="4" t="s">
        <v>1891</v>
      </c>
      <c r="B13" s="4">
        <v>372578</v>
      </c>
      <c r="C13" s="4" t="s">
        <v>2800</v>
      </c>
      <c r="D13" s="9">
        <v>18965</v>
      </c>
    </row>
    <row r="14" spans="1:4" x14ac:dyDescent="0.25">
      <c r="A14" s="4" t="s">
        <v>1891</v>
      </c>
      <c r="B14" s="4">
        <v>380066</v>
      </c>
      <c r="C14" s="4" t="s">
        <v>2801</v>
      </c>
      <c r="D14" s="9">
        <v>4430</v>
      </c>
    </row>
    <row r="15" spans="1:4" x14ac:dyDescent="0.25">
      <c r="A15" s="4" t="s">
        <v>52</v>
      </c>
      <c r="B15" s="4">
        <v>379599</v>
      </c>
      <c r="C15" s="4" t="s">
        <v>2774</v>
      </c>
      <c r="D15" s="9">
        <v>1140</v>
      </c>
    </row>
    <row r="16" spans="1:4" x14ac:dyDescent="0.25">
      <c r="A16" s="4" t="s">
        <v>241</v>
      </c>
      <c r="B16" s="4">
        <v>380645</v>
      </c>
      <c r="C16" s="4" t="s">
        <v>2802</v>
      </c>
      <c r="D16" s="9">
        <v>295</v>
      </c>
    </row>
    <row r="17" spans="1:4" x14ac:dyDescent="0.25">
      <c r="A17" s="4" t="s">
        <v>61</v>
      </c>
      <c r="B17" s="4">
        <v>379763</v>
      </c>
      <c r="C17" s="4" t="s">
        <v>2776</v>
      </c>
      <c r="D17" s="9">
        <v>1564</v>
      </c>
    </row>
    <row r="18" spans="1:4" x14ac:dyDescent="0.25">
      <c r="A18" s="4" t="s">
        <v>61</v>
      </c>
      <c r="B18" s="4">
        <v>379795</v>
      </c>
      <c r="C18" s="4" t="s">
        <v>2777</v>
      </c>
      <c r="D18" s="9">
        <v>12456</v>
      </c>
    </row>
    <row r="19" spans="1:4" x14ac:dyDescent="0.25">
      <c r="A19" s="4" t="s">
        <v>61</v>
      </c>
      <c r="B19" s="4">
        <v>379753</v>
      </c>
      <c r="C19" s="4" t="s">
        <v>2778</v>
      </c>
      <c r="D19" s="9">
        <v>18945</v>
      </c>
    </row>
    <row r="20" spans="1:4" x14ac:dyDescent="0.25">
      <c r="A20" s="4" t="s">
        <v>61</v>
      </c>
      <c r="B20" s="4">
        <v>379691</v>
      </c>
      <c r="C20" s="4" t="s">
        <v>2779</v>
      </c>
      <c r="D20" s="9">
        <v>17568</v>
      </c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SUM(D9:D16,D2:D4)</f>
        <v>37920</v>
      </c>
    </row>
    <row r="93" spans="1:4" x14ac:dyDescent="0.25">
      <c r="C93" s="31" t="s">
        <v>2501</v>
      </c>
      <c r="D93" s="32">
        <f>SUM(D17:D20,D5:D8)</f>
        <v>63096</v>
      </c>
    </row>
    <row r="94" spans="1:4" x14ac:dyDescent="0.25">
      <c r="C94" s="31" t="s">
        <v>83</v>
      </c>
      <c r="D94" s="32">
        <f>SUM(D92:D93)</f>
        <v>101016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DC07-CA20-48B2-975D-6CFD43C88246}">
  <dimension ref="A1:D94"/>
  <sheetViews>
    <sheetView zoomScaleNormal="100" zoomScaleSheetLayoutView="100" workbookViewId="0">
      <selection activeCell="J98" sqref="J98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377034</v>
      </c>
      <c r="C2" s="4" t="s">
        <v>2701</v>
      </c>
      <c r="D2" s="9">
        <v>130</v>
      </c>
    </row>
    <row r="3" spans="1:4" x14ac:dyDescent="0.25">
      <c r="A3" s="4" t="s">
        <v>256</v>
      </c>
      <c r="B3" s="4">
        <v>377366</v>
      </c>
      <c r="C3" s="4" t="s">
        <v>2702</v>
      </c>
      <c r="D3" s="9">
        <v>60</v>
      </c>
    </row>
    <row r="4" spans="1:4" x14ac:dyDescent="0.25">
      <c r="A4" s="4" t="s">
        <v>147</v>
      </c>
      <c r="B4" s="4">
        <v>383867</v>
      </c>
      <c r="C4" s="4" t="s">
        <v>2803</v>
      </c>
      <c r="D4" s="9">
        <v>1048</v>
      </c>
    </row>
    <row r="5" spans="1:4" x14ac:dyDescent="0.25">
      <c r="A5" s="4" t="s">
        <v>192</v>
      </c>
      <c r="B5" s="4">
        <v>384285</v>
      </c>
      <c r="C5" s="4" t="s">
        <v>2804</v>
      </c>
      <c r="D5" s="9">
        <v>3295</v>
      </c>
    </row>
    <row r="6" spans="1:4" x14ac:dyDescent="0.25">
      <c r="A6" s="4" t="s">
        <v>680</v>
      </c>
      <c r="B6" s="4">
        <v>383820</v>
      </c>
      <c r="C6" s="4" t="s">
        <v>2805</v>
      </c>
      <c r="D6" s="9">
        <v>5519</v>
      </c>
    </row>
    <row r="7" spans="1:4" x14ac:dyDescent="0.25">
      <c r="A7" s="4" t="s">
        <v>167</v>
      </c>
      <c r="B7" s="4">
        <v>383389</v>
      </c>
      <c r="C7" s="4" t="s">
        <v>2796</v>
      </c>
      <c r="D7" s="9">
        <v>5192</v>
      </c>
    </row>
    <row r="8" spans="1:4" x14ac:dyDescent="0.25">
      <c r="A8" s="4" t="s">
        <v>567</v>
      </c>
      <c r="B8" s="4">
        <v>380342</v>
      </c>
      <c r="C8" s="4" t="s">
        <v>2806</v>
      </c>
      <c r="D8" s="9">
        <v>21215</v>
      </c>
    </row>
    <row r="9" spans="1:4" x14ac:dyDescent="0.25">
      <c r="A9" s="4" t="s">
        <v>567</v>
      </c>
      <c r="B9" s="4">
        <v>380342</v>
      </c>
      <c r="C9" s="4" t="s">
        <v>2807</v>
      </c>
      <c r="D9" s="9">
        <v>20935</v>
      </c>
    </row>
    <row r="10" spans="1:4" x14ac:dyDescent="0.25">
      <c r="A10" s="4" t="s">
        <v>330</v>
      </c>
      <c r="B10" s="4">
        <v>379297</v>
      </c>
      <c r="C10" s="4" t="s">
        <v>2797</v>
      </c>
      <c r="D10" s="9">
        <v>1035</v>
      </c>
    </row>
    <row r="11" spans="1:4" x14ac:dyDescent="0.25">
      <c r="A11" s="4" t="s">
        <v>715</v>
      </c>
      <c r="B11" s="4">
        <v>379335</v>
      </c>
      <c r="C11" s="4" t="s">
        <v>2782</v>
      </c>
      <c r="D11" s="9">
        <v>750</v>
      </c>
    </row>
    <row r="12" spans="1:4" x14ac:dyDescent="0.25">
      <c r="A12" s="4" t="s">
        <v>315</v>
      </c>
      <c r="B12" s="4">
        <v>377037</v>
      </c>
      <c r="C12" s="4" t="s">
        <v>2808</v>
      </c>
      <c r="D12" s="9">
        <v>2050</v>
      </c>
    </row>
    <row r="13" spans="1:4" x14ac:dyDescent="0.25">
      <c r="A13" s="4" t="s">
        <v>52</v>
      </c>
      <c r="B13" s="4">
        <v>379599</v>
      </c>
      <c r="C13" s="4" t="s">
        <v>2774</v>
      </c>
      <c r="D13" s="9">
        <v>1140</v>
      </c>
    </row>
    <row r="14" spans="1:4" x14ac:dyDescent="0.25">
      <c r="A14" s="4" t="s">
        <v>241</v>
      </c>
      <c r="B14" s="4">
        <v>380645</v>
      </c>
      <c r="C14" s="4" t="s">
        <v>2802</v>
      </c>
      <c r="D14" s="9">
        <v>295</v>
      </c>
    </row>
    <row r="15" spans="1:4" x14ac:dyDescent="0.25">
      <c r="A15" s="4" t="s">
        <v>61</v>
      </c>
      <c r="B15" s="4">
        <v>379763</v>
      </c>
      <c r="C15" s="4" t="s">
        <v>2776</v>
      </c>
      <c r="D15" s="9">
        <v>1564</v>
      </c>
    </row>
    <row r="16" spans="1:4" x14ac:dyDescent="0.25">
      <c r="A16" s="4" t="s">
        <v>61</v>
      </c>
      <c r="B16" s="4">
        <v>379795</v>
      </c>
      <c r="C16" s="4" t="s">
        <v>2777</v>
      </c>
      <c r="D16" s="9">
        <v>12456</v>
      </c>
    </row>
    <row r="17" spans="1:4" x14ac:dyDescent="0.25">
      <c r="A17" s="4" t="s">
        <v>61</v>
      </c>
      <c r="B17" s="4">
        <v>379753</v>
      </c>
      <c r="C17" s="4" t="s">
        <v>2778</v>
      </c>
      <c r="D17" s="9">
        <v>18945</v>
      </c>
    </row>
    <row r="18" spans="1:4" x14ac:dyDescent="0.25">
      <c r="A18" s="4" t="s">
        <v>61</v>
      </c>
      <c r="B18" s="4">
        <v>379691</v>
      </c>
      <c r="C18" s="4" t="s">
        <v>2779</v>
      </c>
      <c r="D18" s="9">
        <v>17568</v>
      </c>
    </row>
    <row r="19" spans="1:4" x14ac:dyDescent="0.25">
      <c r="A19" s="4" t="s">
        <v>61</v>
      </c>
      <c r="B19" s="4">
        <v>383841</v>
      </c>
      <c r="C19" s="4" t="s">
        <v>2809</v>
      </c>
      <c r="D19" s="9">
        <v>4925</v>
      </c>
    </row>
    <row r="20" spans="1:4" x14ac:dyDescent="0.25">
      <c r="A20" s="4" t="s">
        <v>61</v>
      </c>
      <c r="B20" s="4">
        <v>383843</v>
      </c>
      <c r="C20" s="4" t="s">
        <v>2810</v>
      </c>
      <c r="D20" s="9">
        <v>10007</v>
      </c>
    </row>
    <row r="21" spans="1:4" x14ac:dyDescent="0.25">
      <c r="A21" s="4" t="s">
        <v>61</v>
      </c>
      <c r="B21" s="4">
        <v>383842</v>
      </c>
      <c r="C21" s="4" t="s">
        <v>2811</v>
      </c>
      <c r="D21" s="9">
        <v>25628</v>
      </c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SUM(D2:D5,D8:D14)</f>
        <v>51953</v>
      </c>
    </row>
    <row r="93" spans="1:4" x14ac:dyDescent="0.25">
      <c r="C93" s="31" t="s">
        <v>2501</v>
      </c>
      <c r="D93" s="32">
        <f>SUM(D6:D7,D15:D21)</f>
        <v>101804</v>
      </c>
    </row>
    <row r="94" spans="1:4" x14ac:dyDescent="0.25">
      <c r="C94" s="31" t="s">
        <v>83</v>
      </c>
      <c r="D94" s="32">
        <f>SUM(D92:D93)</f>
        <v>153757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1CB9-6663-4B8A-B84A-4AC969710079}">
  <dimension ref="A1:D94"/>
  <sheetViews>
    <sheetView zoomScaleNormal="100" zoomScaleSheetLayoutView="100" workbookViewId="0">
      <selection activeCell="C111" sqref="C111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377034</v>
      </c>
      <c r="C2" s="4" t="s">
        <v>2701</v>
      </c>
      <c r="D2" s="9">
        <v>130</v>
      </c>
    </row>
    <row r="3" spans="1:4" x14ac:dyDescent="0.25">
      <c r="A3" s="4" t="s">
        <v>256</v>
      </c>
      <c r="B3" s="4">
        <v>377366</v>
      </c>
      <c r="C3" s="4" t="s">
        <v>2702</v>
      </c>
      <c r="D3" s="9">
        <v>60</v>
      </c>
    </row>
    <row r="4" spans="1:4" x14ac:dyDescent="0.25">
      <c r="A4" s="4" t="s">
        <v>147</v>
      </c>
      <c r="B4" s="4">
        <v>383867</v>
      </c>
      <c r="C4" s="4" t="s">
        <v>2803</v>
      </c>
      <c r="D4" s="9">
        <v>1048</v>
      </c>
    </row>
    <row r="5" spans="1:4" x14ac:dyDescent="0.25">
      <c r="A5" s="4" t="s">
        <v>192</v>
      </c>
      <c r="B5" s="4">
        <v>384285</v>
      </c>
      <c r="C5" s="4" t="s">
        <v>2804</v>
      </c>
      <c r="D5" s="9">
        <v>3295</v>
      </c>
    </row>
    <row r="6" spans="1:4" x14ac:dyDescent="0.25">
      <c r="A6" s="4" t="s">
        <v>111</v>
      </c>
      <c r="B6" s="4">
        <v>384810</v>
      </c>
      <c r="C6" s="4" t="s">
        <v>2812</v>
      </c>
      <c r="D6" s="9">
        <v>294566</v>
      </c>
    </row>
    <row r="7" spans="1:4" x14ac:dyDescent="0.25">
      <c r="A7" s="4" t="s">
        <v>167</v>
      </c>
      <c r="B7" s="4">
        <v>383389</v>
      </c>
      <c r="C7" s="4" t="s">
        <v>2796</v>
      </c>
      <c r="D7" s="9">
        <v>5192</v>
      </c>
    </row>
    <row r="8" spans="1:4" x14ac:dyDescent="0.25">
      <c r="A8" s="4" t="s">
        <v>330</v>
      </c>
      <c r="B8" s="4">
        <v>379297</v>
      </c>
      <c r="C8" s="4" t="s">
        <v>2797</v>
      </c>
      <c r="D8" s="9">
        <v>1035</v>
      </c>
    </row>
    <row r="9" spans="1:4" x14ac:dyDescent="0.25">
      <c r="A9" s="4" t="s">
        <v>52</v>
      </c>
      <c r="B9" s="4">
        <v>379599</v>
      </c>
      <c r="C9" s="4" t="s">
        <v>2774</v>
      </c>
      <c r="D9" s="9">
        <v>1140</v>
      </c>
    </row>
    <row r="10" spans="1:4" hidden="1" x14ac:dyDescent="0.25">
      <c r="A10" s="4"/>
      <c r="B10" s="4"/>
      <c r="C10" s="4"/>
      <c r="D10" s="9"/>
    </row>
    <row r="11" spans="1:4" hidden="1" x14ac:dyDescent="0.25">
      <c r="A11" s="4"/>
      <c r="B11" s="4"/>
      <c r="C11" s="4"/>
      <c r="D11" s="9"/>
    </row>
    <row r="12" spans="1:4" hidden="1" x14ac:dyDescent="0.25">
      <c r="A12" s="4"/>
      <c r="B12" s="4"/>
      <c r="C12" s="4"/>
      <c r="D12" s="9"/>
    </row>
    <row r="13" spans="1:4" hidden="1" x14ac:dyDescent="0.25">
      <c r="A13" s="4"/>
      <c r="B13" s="4"/>
      <c r="C13" s="4"/>
      <c r="D13" s="9"/>
    </row>
    <row r="14" spans="1:4" hidden="1" x14ac:dyDescent="0.25">
      <c r="A14" s="4"/>
      <c r="B14" s="4"/>
      <c r="C14" s="4"/>
      <c r="D14" s="9"/>
    </row>
    <row r="15" spans="1:4" hidden="1" x14ac:dyDescent="0.25">
      <c r="A15" s="4"/>
      <c r="B15" s="4"/>
      <c r="C15" s="4"/>
      <c r="D15" s="9"/>
    </row>
    <row r="16" spans="1:4" hidden="1" x14ac:dyDescent="0.25">
      <c r="A16" s="4"/>
      <c r="B16" s="4"/>
      <c r="C16" s="4"/>
      <c r="D16" s="9"/>
    </row>
    <row r="17" spans="1:4" hidden="1" x14ac:dyDescent="0.25">
      <c r="A17" s="4"/>
      <c r="B17" s="4"/>
      <c r="C17" s="4"/>
      <c r="D17" s="9"/>
    </row>
    <row r="18" spans="1:4" hidden="1" x14ac:dyDescent="0.25">
      <c r="A18" s="4"/>
      <c r="B18" s="4"/>
      <c r="C18" s="4"/>
      <c r="D18" s="9"/>
    </row>
    <row r="19" spans="1:4" hidden="1" x14ac:dyDescent="0.25">
      <c r="A19" s="4"/>
      <c r="B19" s="4"/>
      <c r="C19" s="4"/>
      <c r="D19" s="9"/>
    </row>
    <row r="20" spans="1:4" hidden="1" x14ac:dyDescent="0.25">
      <c r="A20" s="4"/>
      <c r="B20" s="4"/>
      <c r="C20" s="4"/>
      <c r="D20" s="9"/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SUM(D2:D5,D8:D9)</f>
        <v>6708</v>
      </c>
    </row>
    <row r="93" spans="1:4" x14ac:dyDescent="0.25">
      <c r="C93" s="31" t="s">
        <v>2501</v>
      </c>
      <c r="D93" s="32">
        <f>SUM(D6:D7)</f>
        <v>299758</v>
      </c>
    </row>
    <row r="94" spans="1:4" x14ac:dyDescent="0.25">
      <c r="C94" s="31" t="s">
        <v>83</v>
      </c>
      <c r="D94" s="32">
        <f>SUM(D92:D93)</f>
        <v>306466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762B4-46B6-4F27-A766-0138046DE551}">
  <dimension ref="A1:D94"/>
  <sheetViews>
    <sheetView view="pageBreakPreview" zoomScaleNormal="100" zoomScaleSheetLayoutView="100" workbookViewId="0">
      <selection activeCell="C101" sqref="C101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370890</v>
      </c>
      <c r="C2" s="4" t="s">
        <v>2813</v>
      </c>
      <c r="D2" s="9">
        <v>14435</v>
      </c>
    </row>
    <row r="3" spans="1:4" x14ac:dyDescent="0.25">
      <c r="A3" s="4" t="s">
        <v>5</v>
      </c>
      <c r="B3" s="4">
        <v>370890</v>
      </c>
      <c r="C3" s="4" t="s">
        <v>2814</v>
      </c>
      <c r="D3" s="9">
        <v>2880</v>
      </c>
    </row>
    <row r="4" spans="1:4" x14ac:dyDescent="0.25">
      <c r="A4" s="4" t="s">
        <v>1967</v>
      </c>
      <c r="B4" s="4">
        <v>377880</v>
      </c>
      <c r="C4" s="4" t="s">
        <v>2815</v>
      </c>
      <c r="D4" s="9">
        <v>4390</v>
      </c>
    </row>
    <row r="5" spans="1:4" x14ac:dyDescent="0.25">
      <c r="A5" s="4" t="s">
        <v>98</v>
      </c>
      <c r="B5" s="4">
        <v>384345</v>
      </c>
      <c r="C5" s="4" t="s">
        <v>2816</v>
      </c>
      <c r="D5" s="9">
        <v>3590</v>
      </c>
    </row>
    <row r="6" spans="1:4" x14ac:dyDescent="0.25">
      <c r="A6" s="4" t="s">
        <v>256</v>
      </c>
      <c r="B6" s="4">
        <v>377034</v>
      </c>
      <c r="C6" s="4" t="s">
        <v>2701</v>
      </c>
      <c r="D6" s="9">
        <v>130</v>
      </c>
    </row>
    <row r="7" spans="1:4" x14ac:dyDescent="0.25">
      <c r="A7" s="4" t="s">
        <v>256</v>
      </c>
      <c r="B7" s="4">
        <v>377366</v>
      </c>
      <c r="C7" s="4" t="s">
        <v>2702</v>
      </c>
      <c r="D7" s="9">
        <v>60</v>
      </c>
    </row>
    <row r="8" spans="1:4" x14ac:dyDescent="0.25">
      <c r="A8" s="4" t="s">
        <v>147</v>
      </c>
      <c r="B8" s="4">
        <v>383867</v>
      </c>
      <c r="C8" s="4" t="s">
        <v>2803</v>
      </c>
      <c r="D8" s="9">
        <v>1048</v>
      </c>
    </row>
    <row r="9" spans="1:4" x14ac:dyDescent="0.25">
      <c r="A9" s="4" t="s">
        <v>192</v>
      </c>
      <c r="B9" s="4">
        <v>384285</v>
      </c>
      <c r="C9" s="4" t="s">
        <v>2804</v>
      </c>
      <c r="D9" s="9">
        <v>3295</v>
      </c>
    </row>
    <row r="10" spans="1:4" x14ac:dyDescent="0.25">
      <c r="A10" s="4" t="s">
        <v>167</v>
      </c>
      <c r="B10" s="4">
        <v>383389</v>
      </c>
      <c r="C10" s="4" t="s">
        <v>2796</v>
      </c>
      <c r="D10" s="9">
        <v>5192</v>
      </c>
    </row>
    <row r="11" spans="1:4" x14ac:dyDescent="0.25">
      <c r="A11" s="4" t="s">
        <v>200</v>
      </c>
      <c r="B11" s="4">
        <v>384360</v>
      </c>
      <c r="C11" s="4" t="s">
        <v>2817</v>
      </c>
      <c r="D11" s="9">
        <v>2250</v>
      </c>
    </row>
    <row r="12" spans="1:4" x14ac:dyDescent="0.25">
      <c r="A12" s="4" t="s">
        <v>330</v>
      </c>
      <c r="B12" s="4">
        <v>379297</v>
      </c>
      <c r="C12" s="4" t="s">
        <v>2797</v>
      </c>
      <c r="D12" s="9">
        <v>1035</v>
      </c>
    </row>
    <row r="13" spans="1:4" x14ac:dyDescent="0.25">
      <c r="A13" s="4" t="s">
        <v>832</v>
      </c>
      <c r="B13" s="4">
        <v>381777</v>
      </c>
      <c r="C13" s="4" t="s">
        <v>2818</v>
      </c>
      <c r="D13" s="9">
        <v>325</v>
      </c>
    </row>
    <row r="14" spans="1:4" x14ac:dyDescent="0.25">
      <c r="A14" s="4" t="s">
        <v>832</v>
      </c>
      <c r="B14" s="4">
        <v>379249</v>
      </c>
      <c r="C14" s="4" t="s">
        <v>2819</v>
      </c>
      <c r="D14" s="9">
        <v>995</v>
      </c>
    </row>
    <row r="15" spans="1:4" x14ac:dyDescent="0.25">
      <c r="A15" s="4" t="s">
        <v>1535</v>
      </c>
      <c r="B15" s="4">
        <v>384861</v>
      </c>
      <c r="C15" s="4" t="s">
        <v>2820</v>
      </c>
      <c r="D15" s="9">
        <v>460</v>
      </c>
    </row>
    <row r="16" spans="1:4" x14ac:dyDescent="0.25">
      <c r="A16" s="4" t="s">
        <v>1501</v>
      </c>
      <c r="B16" s="4">
        <v>377499</v>
      </c>
      <c r="C16" s="4" t="s">
        <v>2821</v>
      </c>
      <c r="D16" s="9">
        <v>14447</v>
      </c>
    </row>
    <row r="17" spans="1:4" x14ac:dyDescent="0.25">
      <c r="A17" s="4" t="s">
        <v>52</v>
      </c>
      <c r="B17" s="4">
        <v>379599</v>
      </c>
      <c r="C17" s="4" t="s">
        <v>2774</v>
      </c>
      <c r="D17" s="9">
        <v>1140</v>
      </c>
    </row>
    <row r="18" spans="1:4" x14ac:dyDescent="0.25">
      <c r="A18" s="4" t="s">
        <v>332</v>
      </c>
      <c r="B18" s="4">
        <v>384728</v>
      </c>
      <c r="C18" s="4" t="s">
        <v>2822</v>
      </c>
      <c r="D18" s="9">
        <v>575</v>
      </c>
    </row>
    <row r="19" spans="1:4" x14ac:dyDescent="0.25">
      <c r="A19" s="4" t="s">
        <v>206</v>
      </c>
      <c r="B19" s="4">
        <v>384455</v>
      </c>
      <c r="C19" s="4" t="s">
        <v>2823</v>
      </c>
      <c r="D19" s="9">
        <v>4395</v>
      </c>
    </row>
    <row r="20" spans="1:4" hidden="1" x14ac:dyDescent="0.25">
      <c r="A20" s="4"/>
      <c r="B20" s="4"/>
      <c r="C20" s="4"/>
      <c r="D20" s="9"/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SUM(D2:D9,D11:D19)</f>
        <v>55450</v>
      </c>
    </row>
    <row r="93" spans="1:4" x14ac:dyDescent="0.25">
      <c r="C93" s="31" t="s">
        <v>2501</v>
      </c>
      <c r="D93" s="32">
        <f>SUM(D10)</f>
        <v>5192</v>
      </c>
    </row>
    <row r="94" spans="1:4" x14ac:dyDescent="0.25">
      <c r="C94" s="31" t="s">
        <v>83</v>
      </c>
      <c r="D94" s="32">
        <f>SUM(D92:D93)</f>
        <v>60642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EA1A-089F-441B-86D6-412904FF1709}">
  <dimension ref="A1:D94"/>
  <sheetViews>
    <sheetView view="pageBreakPreview" zoomScaleNormal="100" zoomScaleSheetLayoutView="100" workbookViewId="0">
      <selection activeCell="C12" sqref="C12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377034</v>
      </c>
      <c r="C2" s="4" t="s">
        <v>2701</v>
      </c>
      <c r="D2" s="9">
        <v>130</v>
      </c>
    </row>
    <row r="3" spans="1:4" x14ac:dyDescent="0.25">
      <c r="A3" s="4" t="s">
        <v>256</v>
      </c>
      <c r="B3" s="4">
        <v>377366</v>
      </c>
      <c r="C3" s="4" t="s">
        <v>2702</v>
      </c>
      <c r="D3" s="9">
        <v>60</v>
      </c>
    </row>
    <row r="4" spans="1:4" x14ac:dyDescent="0.25">
      <c r="A4" s="4" t="s">
        <v>256</v>
      </c>
      <c r="B4" s="4">
        <v>385024</v>
      </c>
      <c r="C4" s="4" t="s">
        <v>2824</v>
      </c>
      <c r="D4" s="9">
        <v>495</v>
      </c>
    </row>
    <row r="5" spans="1:4" x14ac:dyDescent="0.25">
      <c r="A5" s="4" t="s">
        <v>256</v>
      </c>
      <c r="B5" s="4">
        <v>385085</v>
      </c>
      <c r="C5" s="4" t="s">
        <v>2825</v>
      </c>
      <c r="D5" s="9">
        <v>195</v>
      </c>
    </row>
    <row r="6" spans="1:4" x14ac:dyDescent="0.25">
      <c r="A6" s="4" t="s">
        <v>256</v>
      </c>
      <c r="B6" s="4">
        <v>385622</v>
      </c>
      <c r="C6" s="4" t="s">
        <v>2826</v>
      </c>
      <c r="D6" s="9">
        <v>4130</v>
      </c>
    </row>
    <row r="7" spans="1:4" x14ac:dyDescent="0.25">
      <c r="A7" s="4" t="s">
        <v>192</v>
      </c>
      <c r="B7" s="4">
        <v>384285</v>
      </c>
      <c r="C7" s="4" t="s">
        <v>2804</v>
      </c>
      <c r="D7" s="9">
        <v>3295</v>
      </c>
    </row>
    <row r="8" spans="1:4" x14ac:dyDescent="0.25">
      <c r="A8" s="4" t="s">
        <v>167</v>
      </c>
      <c r="B8" s="4">
        <v>383389</v>
      </c>
      <c r="C8" s="4" t="s">
        <v>2796</v>
      </c>
      <c r="D8" s="9">
        <v>5192</v>
      </c>
    </row>
    <row r="9" spans="1:4" x14ac:dyDescent="0.25">
      <c r="A9" s="4" t="s">
        <v>175</v>
      </c>
      <c r="B9" s="4">
        <v>381785</v>
      </c>
      <c r="C9" s="4" t="s">
        <v>2827</v>
      </c>
      <c r="D9" s="9">
        <v>128955</v>
      </c>
    </row>
    <row r="10" spans="1:4" x14ac:dyDescent="0.25">
      <c r="A10" s="4" t="s">
        <v>200</v>
      </c>
      <c r="B10" s="4">
        <v>384360</v>
      </c>
      <c r="C10" s="4" t="s">
        <v>2817</v>
      </c>
      <c r="D10" s="9">
        <v>2250</v>
      </c>
    </row>
    <row r="11" spans="1:4" x14ac:dyDescent="0.25">
      <c r="A11" s="4" t="s">
        <v>330</v>
      </c>
      <c r="B11" s="4">
        <v>379297</v>
      </c>
      <c r="C11" s="4" t="s">
        <v>2797</v>
      </c>
      <c r="D11" s="9">
        <v>1035</v>
      </c>
    </row>
    <row r="12" spans="1:4" x14ac:dyDescent="0.25">
      <c r="A12" s="4" t="s">
        <v>315</v>
      </c>
      <c r="B12" s="4">
        <v>385243</v>
      </c>
      <c r="C12" s="4" t="s">
        <v>2828</v>
      </c>
      <c r="D12" s="9">
        <v>2425</v>
      </c>
    </row>
    <row r="13" spans="1:4" x14ac:dyDescent="0.25">
      <c r="A13" s="4" t="s">
        <v>1535</v>
      </c>
      <c r="B13" s="4">
        <v>384353</v>
      </c>
      <c r="C13" s="4" t="s">
        <v>2829</v>
      </c>
      <c r="D13" s="9">
        <v>200</v>
      </c>
    </row>
    <row r="14" spans="1:4" x14ac:dyDescent="0.25">
      <c r="A14" s="4" t="s">
        <v>1535</v>
      </c>
      <c r="B14" s="4">
        <v>384861</v>
      </c>
      <c r="C14" s="4" t="s">
        <v>2820</v>
      </c>
      <c r="D14" s="9">
        <v>460</v>
      </c>
    </row>
    <row r="15" spans="1:4" x14ac:dyDescent="0.25">
      <c r="A15" s="4" t="s">
        <v>52</v>
      </c>
      <c r="B15" s="4">
        <v>379599</v>
      </c>
      <c r="C15" s="4" t="s">
        <v>2774</v>
      </c>
      <c r="D15" s="9">
        <v>1140</v>
      </c>
    </row>
    <row r="16" spans="1:4" x14ac:dyDescent="0.25">
      <c r="A16" s="4" t="s">
        <v>175</v>
      </c>
      <c r="B16" s="4">
        <v>383832</v>
      </c>
      <c r="C16" s="4" t="s">
        <v>2830</v>
      </c>
      <c r="D16" s="9">
        <v>695</v>
      </c>
    </row>
    <row r="17" spans="1:4" hidden="1" x14ac:dyDescent="0.25">
      <c r="A17" s="4"/>
      <c r="B17" s="4"/>
      <c r="C17" s="4"/>
      <c r="D17" s="9"/>
    </row>
    <row r="18" spans="1:4" hidden="1" x14ac:dyDescent="0.25">
      <c r="A18" s="4"/>
      <c r="B18" s="4"/>
      <c r="C18" s="4"/>
      <c r="D18" s="9"/>
    </row>
    <row r="19" spans="1:4" hidden="1" x14ac:dyDescent="0.25">
      <c r="A19" s="4"/>
      <c r="B19" s="4"/>
      <c r="C19" s="4"/>
      <c r="D19" s="9"/>
    </row>
    <row r="20" spans="1:4" hidden="1" x14ac:dyDescent="0.25">
      <c r="A20" s="4"/>
      <c r="B20" s="4"/>
      <c r="C20" s="4"/>
      <c r="D20" s="9"/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SUM(D2:D7,D9:D16)</f>
        <v>145465</v>
      </c>
    </row>
    <row r="93" spans="1:4" x14ac:dyDescent="0.25">
      <c r="C93" s="31" t="s">
        <v>2501</v>
      </c>
      <c r="D93" s="32">
        <f>SUM(D8)</f>
        <v>5192</v>
      </c>
    </row>
    <row r="94" spans="1:4" x14ac:dyDescent="0.25">
      <c r="C94" s="31" t="s">
        <v>83</v>
      </c>
      <c r="D94" s="32">
        <f>SUM(D92:D93)</f>
        <v>150657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A74A-7F0D-4869-B788-4741CE46E4F1}">
  <dimension ref="A1:D94"/>
  <sheetViews>
    <sheetView view="pageBreakPreview" zoomScaleNormal="100" zoomScaleSheetLayoutView="100" workbookViewId="0">
      <selection activeCell="L11" sqref="L11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377034</v>
      </c>
      <c r="C2" s="4" t="s">
        <v>2701</v>
      </c>
      <c r="D2" s="9">
        <v>130</v>
      </c>
    </row>
    <row r="3" spans="1:4" x14ac:dyDescent="0.25">
      <c r="A3" s="4" t="s">
        <v>256</v>
      </c>
      <c r="B3" s="4">
        <v>377366</v>
      </c>
      <c r="C3" s="4" t="s">
        <v>2702</v>
      </c>
      <c r="D3" s="9">
        <v>60</v>
      </c>
    </row>
    <row r="4" spans="1:4" x14ac:dyDescent="0.25">
      <c r="A4" s="4" t="s">
        <v>256</v>
      </c>
      <c r="B4" s="4">
        <v>385024</v>
      </c>
      <c r="C4" s="4" t="s">
        <v>2824</v>
      </c>
      <c r="D4" s="9">
        <v>495</v>
      </c>
    </row>
    <row r="5" spans="1:4" x14ac:dyDescent="0.25">
      <c r="A5" s="4" t="s">
        <v>256</v>
      </c>
      <c r="B5" s="4">
        <v>385085</v>
      </c>
      <c r="C5" s="4" t="s">
        <v>2825</v>
      </c>
      <c r="D5" s="9">
        <v>195</v>
      </c>
    </row>
    <row r="6" spans="1:4" x14ac:dyDescent="0.25">
      <c r="A6" s="4" t="s">
        <v>192</v>
      </c>
      <c r="B6" s="4">
        <v>384285</v>
      </c>
      <c r="C6" s="4" t="s">
        <v>2804</v>
      </c>
      <c r="D6" s="9">
        <v>3295</v>
      </c>
    </row>
    <row r="7" spans="1:4" x14ac:dyDescent="0.25">
      <c r="A7" s="4" t="s">
        <v>2831</v>
      </c>
      <c r="B7" s="4">
        <v>385832</v>
      </c>
      <c r="C7" s="4" t="s">
        <v>2832</v>
      </c>
      <c r="D7" s="9">
        <v>18635</v>
      </c>
    </row>
    <row r="8" spans="1:4" x14ac:dyDescent="0.25">
      <c r="A8" s="4" t="s">
        <v>175</v>
      </c>
      <c r="B8" s="4">
        <v>381785</v>
      </c>
      <c r="C8" s="4" t="s">
        <v>2833</v>
      </c>
      <c r="D8" s="9">
        <v>128955</v>
      </c>
    </row>
    <row r="9" spans="1:4" x14ac:dyDescent="0.25">
      <c r="A9" s="4" t="s">
        <v>200</v>
      </c>
      <c r="B9" s="4">
        <v>384360</v>
      </c>
      <c r="C9" s="4" t="s">
        <v>2817</v>
      </c>
      <c r="D9" s="9">
        <v>2250</v>
      </c>
    </row>
    <row r="10" spans="1:4" x14ac:dyDescent="0.25">
      <c r="A10" s="4" t="s">
        <v>2834</v>
      </c>
      <c r="B10" s="4">
        <v>385881</v>
      </c>
      <c r="C10" s="4" t="s">
        <v>2835</v>
      </c>
      <c r="D10" s="9">
        <v>3410</v>
      </c>
    </row>
    <row r="11" spans="1:4" x14ac:dyDescent="0.25">
      <c r="A11" s="4" t="s">
        <v>330</v>
      </c>
      <c r="B11" s="4">
        <v>379297</v>
      </c>
      <c r="C11" s="4" t="s">
        <v>2797</v>
      </c>
      <c r="D11" s="9">
        <v>1035</v>
      </c>
    </row>
    <row r="12" spans="1:4" x14ac:dyDescent="0.25">
      <c r="A12" s="4" t="s">
        <v>315</v>
      </c>
      <c r="B12" s="4">
        <v>385243</v>
      </c>
      <c r="C12" s="4" t="s">
        <v>2828</v>
      </c>
      <c r="D12" s="9">
        <v>2425</v>
      </c>
    </row>
    <row r="13" spans="1:4" x14ac:dyDescent="0.25">
      <c r="A13" s="4" t="s">
        <v>1535</v>
      </c>
      <c r="B13" s="4">
        <v>384353</v>
      </c>
      <c r="C13" s="4" t="s">
        <v>2829</v>
      </c>
      <c r="D13" s="9">
        <v>200</v>
      </c>
    </row>
    <row r="14" spans="1:4" x14ac:dyDescent="0.25">
      <c r="A14" s="4" t="s">
        <v>1535</v>
      </c>
      <c r="B14" s="4">
        <v>384861</v>
      </c>
      <c r="C14" s="4" t="s">
        <v>2820</v>
      </c>
      <c r="D14" s="9">
        <v>460</v>
      </c>
    </row>
    <row r="15" spans="1:4" x14ac:dyDescent="0.25">
      <c r="A15" s="4" t="s">
        <v>995</v>
      </c>
      <c r="B15" s="4">
        <v>383798</v>
      </c>
      <c r="C15" s="4" t="s">
        <v>2836</v>
      </c>
      <c r="D15" s="9">
        <v>72425</v>
      </c>
    </row>
    <row r="16" spans="1:4" x14ac:dyDescent="0.25">
      <c r="A16" s="4" t="s">
        <v>52</v>
      </c>
      <c r="B16" s="4">
        <v>379599</v>
      </c>
      <c r="C16" s="4" t="s">
        <v>2774</v>
      </c>
      <c r="D16" s="9">
        <v>1140</v>
      </c>
    </row>
    <row r="17" spans="1:4" x14ac:dyDescent="0.25">
      <c r="A17" s="4" t="s">
        <v>175</v>
      </c>
      <c r="B17" s="4">
        <v>383832</v>
      </c>
      <c r="C17" s="4" t="s">
        <v>2830</v>
      </c>
      <c r="D17" s="9">
        <v>695</v>
      </c>
    </row>
    <row r="18" spans="1:4" hidden="1" x14ac:dyDescent="0.25">
      <c r="A18" s="4"/>
      <c r="B18" s="4"/>
      <c r="C18" s="4"/>
      <c r="D18" s="9"/>
    </row>
    <row r="19" spans="1:4" hidden="1" x14ac:dyDescent="0.25">
      <c r="A19" s="4"/>
      <c r="B19" s="4"/>
      <c r="C19" s="4"/>
      <c r="D19" s="9"/>
    </row>
    <row r="20" spans="1:4" hidden="1" x14ac:dyDescent="0.25">
      <c r="A20" s="4"/>
      <c r="B20" s="4"/>
      <c r="C20" s="4"/>
      <c r="D20" s="9"/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SUM(D2:D6,D8:D17)</f>
        <v>217170</v>
      </c>
    </row>
    <row r="93" spans="1:4" x14ac:dyDescent="0.25">
      <c r="C93" s="31" t="s">
        <v>2501</v>
      </c>
      <c r="D93" s="32">
        <f>SUM(D7)</f>
        <v>18635</v>
      </c>
    </row>
    <row r="94" spans="1:4" x14ac:dyDescent="0.25">
      <c r="C94" s="31" t="s">
        <v>83</v>
      </c>
      <c r="D94" s="32">
        <f>SUM(D92:D93)</f>
        <v>235805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71870-46F7-40B5-82A6-60AF64279D25}">
  <dimension ref="A1:D94"/>
  <sheetViews>
    <sheetView view="pageBreakPreview" zoomScaleNormal="100" zoomScaleSheetLayoutView="100" workbookViewId="0">
      <selection activeCell="C15" sqref="C15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377034</v>
      </c>
      <c r="C2" s="4" t="s">
        <v>2701</v>
      </c>
      <c r="D2" s="9">
        <v>130</v>
      </c>
    </row>
    <row r="3" spans="1:4" x14ac:dyDescent="0.25">
      <c r="A3" s="4" t="s">
        <v>256</v>
      </c>
      <c r="B3" s="4">
        <v>377366</v>
      </c>
      <c r="C3" s="4" t="s">
        <v>2702</v>
      </c>
      <c r="D3" s="9">
        <v>60</v>
      </c>
    </row>
    <row r="4" spans="1:4" x14ac:dyDescent="0.25">
      <c r="A4" s="4" t="s">
        <v>192</v>
      </c>
      <c r="B4" s="4">
        <v>384285</v>
      </c>
      <c r="C4" s="4" t="s">
        <v>2804</v>
      </c>
      <c r="D4" s="9">
        <v>3295</v>
      </c>
    </row>
    <row r="5" spans="1:4" x14ac:dyDescent="0.25">
      <c r="A5" s="4" t="s">
        <v>2831</v>
      </c>
      <c r="B5" s="4">
        <v>385832</v>
      </c>
      <c r="C5" s="4" t="s">
        <v>2832</v>
      </c>
      <c r="D5" s="9">
        <v>18635</v>
      </c>
    </row>
    <row r="6" spans="1:4" x14ac:dyDescent="0.25">
      <c r="A6" s="4" t="s">
        <v>175</v>
      </c>
      <c r="B6" s="4">
        <v>381785</v>
      </c>
      <c r="C6" s="4" t="s">
        <v>2833</v>
      </c>
      <c r="D6" s="9">
        <v>128955</v>
      </c>
    </row>
    <row r="7" spans="1:4" x14ac:dyDescent="0.25">
      <c r="A7" s="4" t="s">
        <v>2834</v>
      </c>
      <c r="B7" s="4">
        <v>385881</v>
      </c>
      <c r="C7" s="4" t="s">
        <v>2835</v>
      </c>
      <c r="D7" s="9">
        <v>3410</v>
      </c>
    </row>
    <row r="8" spans="1:4" x14ac:dyDescent="0.25">
      <c r="A8" s="4" t="s">
        <v>330</v>
      </c>
      <c r="B8" s="4">
        <v>379297</v>
      </c>
      <c r="C8" s="4" t="s">
        <v>2797</v>
      </c>
      <c r="D8" s="9">
        <v>1035</v>
      </c>
    </row>
    <row r="9" spans="1:4" x14ac:dyDescent="0.25">
      <c r="A9" s="4" t="s">
        <v>1419</v>
      </c>
      <c r="B9" s="4">
        <v>386379</v>
      </c>
      <c r="C9" s="4" t="s">
        <v>2837</v>
      </c>
      <c r="D9" s="9">
        <v>14400</v>
      </c>
    </row>
    <row r="10" spans="1:4" x14ac:dyDescent="0.25">
      <c r="A10" s="4" t="s">
        <v>1419</v>
      </c>
      <c r="B10" s="4">
        <v>385412</v>
      </c>
      <c r="C10" s="4" t="s">
        <v>2838</v>
      </c>
      <c r="D10" s="9">
        <v>11850</v>
      </c>
    </row>
    <row r="11" spans="1:4" x14ac:dyDescent="0.25">
      <c r="A11" s="4" t="s">
        <v>1419</v>
      </c>
      <c r="B11" s="4">
        <v>385416</v>
      </c>
      <c r="C11" s="4" t="s">
        <v>2839</v>
      </c>
      <c r="D11" s="9">
        <v>960</v>
      </c>
    </row>
    <row r="12" spans="1:4" x14ac:dyDescent="0.25">
      <c r="A12" s="4" t="s">
        <v>1419</v>
      </c>
      <c r="B12" s="4">
        <v>385501</v>
      </c>
      <c r="C12" s="4" t="s">
        <v>2840</v>
      </c>
      <c r="D12" s="9">
        <v>600</v>
      </c>
    </row>
    <row r="13" spans="1:4" x14ac:dyDescent="0.25">
      <c r="A13" s="4" t="s">
        <v>1419</v>
      </c>
      <c r="B13" s="4">
        <v>385503</v>
      </c>
      <c r="C13" s="4" t="s">
        <v>2841</v>
      </c>
      <c r="D13" s="9">
        <v>1890</v>
      </c>
    </row>
    <row r="14" spans="1:4" x14ac:dyDescent="0.25">
      <c r="A14" s="4" t="s">
        <v>1419</v>
      </c>
      <c r="B14" s="4">
        <v>385504</v>
      </c>
      <c r="C14" s="4" t="s">
        <v>2842</v>
      </c>
      <c r="D14" s="9">
        <v>6460</v>
      </c>
    </row>
    <row r="15" spans="1:4" x14ac:dyDescent="0.25">
      <c r="A15" s="4" t="s">
        <v>1419</v>
      </c>
      <c r="B15" s="4">
        <v>385505</v>
      </c>
      <c r="C15" s="4" t="s">
        <v>2843</v>
      </c>
      <c r="D15" s="9">
        <v>3485</v>
      </c>
    </row>
    <row r="16" spans="1:4" x14ac:dyDescent="0.25">
      <c r="A16" s="4" t="s">
        <v>1419</v>
      </c>
      <c r="B16" s="4">
        <v>385448</v>
      </c>
      <c r="C16" s="4" t="s">
        <v>2844</v>
      </c>
      <c r="D16" s="9">
        <v>10640</v>
      </c>
    </row>
    <row r="17" spans="1:4" x14ac:dyDescent="0.25">
      <c r="A17" s="4" t="s">
        <v>1419</v>
      </c>
      <c r="B17" s="4">
        <v>385506</v>
      </c>
      <c r="C17" s="4" t="s">
        <v>2845</v>
      </c>
      <c r="D17" s="9">
        <v>4760</v>
      </c>
    </row>
    <row r="18" spans="1:4" x14ac:dyDescent="0.25">
      <c r="A18" s="4" t="s">
        <v>1419</v>
      </c>
      <c r="B18" s="4">
        <v>385507</v>
      </c>
      <c r="C18" s="4" t="s">
        <v>2846</v>
      </c>
      <c r="D18" s="9">
        <v>195</v>
      </c>
    </row>
    <row r="19" spans="1:4" x14ac:dyDescent="0.25">
      <c r="A19" s="4" t="s">
        <v>1419</v>
      </c>
      <c r="B19" s="4">
        <v>385510</v>
      </c>
      <c r="C19" s="4" t="s">
        <v>2847</v>
      </c>
      <c r="D19" s="9">
        <v>1255</v>
      </c>
    </row>
    <row r="20" spans="1:4" x14ac:dyDescent="0.25">
      <c r="A20" s="4" t="s">
        <v>1419</v>
      </c>
      <c r="B20" s="4">
        <v>385420</v>
      </c>
      <c r="C20" s="4" t="s">
        <v>2848</v>
      </c>
      <c r="D20" s="9">
        <v>2520</v>
      </c>
    </row>
    <row r="21" spans="1:4" x14ac:dyDescent="0.25">
      <c r="A21" s="4" t="s">
        <v>1419</v>
      </c>
      <c r="B21" s="4">
        <v>385513</v>
      </c>
      <c r="C21" s="4" t="s">
        <v>2849</v>
      </c>
      <c r="D21" s="9">
        <v>3000</v>
      </c>
    </row>
    <row r="22" spans="1:4" x14ac:dyDescent="0.25">
      <c r="A22" s="4" t="s">
        <v>1419</v>
      </c>
      <c r="B22" s="4">
        <v>385424</v>
      </c>
      <c r="C22" s="4" t="s">
        <v>2850</v>
      </c>
      <c r="D22" s="9">
        <v>1850</v>
      </c>
    </row>
    <row r="23" spans="1:4" x14ac:dyDescent="0.25">
      <c r="A23" s="4" t="s">
        <v>1419</v>
      </c>
      <c r="B23" s="4">
        <v>385515</v>
      </c>
      <c r="C23" s="4" t="s">
        <v>2851</v>
      </c>
      <c r="D23" s="9">
        <v>3120</v>
      </c>
    </row>
    <row r="24" spans="1:4" x14ac:dyDescent="0.25">
      <c r="A24" s="4" t="s">
        <v>1419</v>
      </c>
      <c r="B24" s="4">
        <v>385516</v>
      </c>
      <c r="C24" s="4" t="s">
        <v>2852</v>
      </c>
      <c r="D24" s="9">
        <v>6330</v>
      </c>
    </row>
    <row r="25" spans="1:4" x14ac:dyDescent="0.25">
      <c r="A25" s="4" t="s">
        <v>1419</v>
      </c>
      <c r="B25" s="4">
        <v>385519</v>
      </c>
      <c r="C25" s="4" t="s">
        <v>2853</v>
      </c>
      <c r="D25" s="9">
        <v>630</v>
      </c>
    </row>
    <row r="26" spans="1:4" x14ac:dyDescent="0.25">
      <c r="A26" s="4" t="s">
        <v>1419</v>
      </c>
      <c r="B26" s="4">
        <v>385520</v>
      </c>
      <c r="C26" s="4" t="s">
        <v>2854</v>
      </c>
      <c r="D26" s="9">
        <v>1170</v>
      </c>
    </row>
    <row r="27" spans="1:4" x14ac:dyDescent="0.25">
      <c r="A27" s="4" t="s">
        <v>1419</v>
      </c>
      <c r="B27" s="4">
        <v>385521</v>
      </c>
      <c r="C27" s="4" t="s">
        <v>2855</v>
      </c>
      <c r="D27" s="9">
        <v>3160</v>
      </c>
    </row>
    <row r="28" spans="1:4" x14ac:dyDescent="0.25">
      <c r="A28" s="4" t="s">
        <v>1419</v>
      </c>
      <c r="B28" s="4">
        <v>385522</v>
      </c>
      <c r="C28" s="4" t="s">
        <v>2856</v>
      </c>
      <c r="D28" s="9">
        <v>2025</v>
      </c>
    </row>
    <row r="29" spans="1:4" x14ac:dyDescent="0.25">
      <c r="A29" s="4" t="s">
        <v>1419</v>
      </c>
      <c r="B29" s="4">
        <v>385427</v>
      </c>
      <c r="C29" s="4" t="s">
        <v>2857</v>
      </c>
      <c r="D29" s="9">
        <v>1140</v>
      </c>
    </row>
    <row r="30" spans="1:4" x14ac:dyDescent="0.25">
      <c r="A30" s="4" t="s">
        <v>1419</v>
      </c>
      <c r="B30" s="4">
        <v>385432</v>
      </c>
      <c r="C30" s="4" t="s">
        <v>2858</v>
      </c>
      <c r="D30" s="9">
        <v>2265</v>
      </c>
    </row>
    <row r="31" spans="1:4" x14ac:dyDescent="0.25">
      <c r="A31" s="4" t="s">
        <v>1419</v>
      </c>
      <c r="B31" s="4">
        <v>385523</v>
      </c>
      <c r="C31" s="4" t="s">
        <v>2859</v>
      </c>
      <c r="D31" s="9">
        <v>2540</v>
      </c>
    </row>
    <row r="32" spans="1:4" x14ac:dyDescent="0.25">
      <c r="A32" s="4" t="s">
        <v>1419</v>
      </c>
      <c r="B32" s="4">
        <v>385499</v>
      </c>
      <c r="C32" s="4" t="s">
        <v>2860</v>
      </c>
      <c r="D32" s="9">
        <v>2275</v>
      </c>
    </row>
    <row r="33" spans="1:4" x14ac:dyDescent="0.25">
      <c r="A33" s="4" t="s">
        <v>1419</v>
      </c>
      <c r="B33" s="4">
        <v>385435</v>
      </c>
      <c r="C33" s="4" t="s">
        <v>2861</v>
      </c>
      <c r="D33" s="9">
        <v>3395</v>
      </c>
    </row>
    <row r="34" spans="1:4" x14ac:dyDescent="0.25">
      <c r="A34" s="4" t="s">
        <v>1419</v>
      </c>
      <c r="B34" s="4">
        <v>385438</v>
      </c>
      <c r="C34" s="4" t="s">
        <v>2862</v>
      </c>
      <c r="D34" s="9">
        <v>4220</v>
      </c>
    </row>
    <row r="35" spans="1:4" x14ac:dyDescent="0.25">
      <c r="A35" s="4" t="s">
        <v>1419</v>
      </c>
      <c r="B35" s="4">
        <v>385524</v>
      </c>
      <c r="C35" s="4" t="s">
        <v>2863</v>
      </c>
      <c r="D35" s="9">
        <v>1020</v>
      </c>
    </row>
    <row r="36" spans="1:4" x14ac:dyDescent="0.25">
      <c r="A36" s="4" t="s">
        <v>1419</v>
      </c>
      <c r="B36" s="4">
        <v>385443</v>
      </c>
      <c r="C36" s="4" t="s">
        <v>2864</v>
      </c>
      <c r="D36" s="9">
        <v>1575</v>
      </c>
    </row>
    <row r="37" spans="1:4" x14ac:dyDescent="0.25">
      <c r="A37" s="4" t="s">
        <v>1419</v>
      </c>
      <c r="B37" s="4">
        <v>385525</v>
      </c>
      <c r="C37" s="4" t="s">
        <v>2865</v>
      </c>
      <c r="D37" s="9">
        <v>8355</v>
      </c>
    </row>
    <row r="38" spans="1:4" x14ac:dyDescent="0.25">
      <c r="A38" s="4" t="s">
        <v>1419</v>
      </c>
      <c r="B38" s="4">
        <v>386351</v>
      </c>
      <c r="C38" s="4" t="s">
        <v>2866</v>
      </c>
      <c r="D38" s="9">
        <v>270</v>
      </c>
    </row>
    <row r="39" spans="1:4" x14ac:dyDescent="0.25">
      <c r="A39" s="4" t="s">
        <v>1419</v>
      </c>
      <c r="B39" s="4">
        <v>386359</v>
      </c>
      <c r="C39" s="4" t="s">
        <v>2867</v>
      </c>
      <c r="D39" s="9">
        <v>540</v>
      </c>
    </row>
    <row r="40" spans="1:4" x14ac:dyDescent="0.25">
      <c r="A40" s="4" t="s">
        <v>1419</v>
      </c>
      <c r="B40" s="4">
        <v>386359</v>
      </c>
      <c r="C40" s="4" t="s">
        <v>2867</v>
      </c>
      <c r="D40" s="9">
        <v>540</v>
      </c>
    </row>
    <row r="41" spans="1:4" x14ac:dyDescent="0.25">
      <c r="A41" s="4" t="s">
        <v>1419</v>
      </c>
      <c r="B41" s="4">
        <v>386362</v>
      </c>
      <c r="C41" s="4" t="s">
        <v>2868</v>
      </c>
      <c r="D41" s="9">
        <v>1080</v>
      </c>
    </row>
    <row r="42" spans="1:4" x14ac:dyDescent="0.25">
      <c r="A42" s="4" t="s">
        <v>1419</v>
      </c>
      <c r="B42" s="4">
        <v>386363</v>
      </c>
      <c r="C42" s="4" t="s">
        <v>2869</v>
      </c>
      <c r="D42" s="9">
        <v>19440</v>
      </c>
    </row>
    <row r="43" spans="1:4" x14ac:dyDescent="0.25">
      <c r="A43" s="4" t="s">
        <v>1419</v>
      </c>
      <c r="B43" s="4">
        <v>386365</v>
      </c>
      <c r="C43" s="4" t="s">
        <v>2870</v>
      </c>
      <c r="D43" s="9">
        <v>25740</v>
      </c>
    </row>
    <row r="44" spans="1:4" x14ac:dyDescent="0.25">
      <c r="A44" s="4" t="s">
        <v>1419</v>
      </c>
      <c r="B44" s="4">
        <v>386366</v>
      </c>
      <c r="C44" s="4" t="s">
        <v>2871</v>
      </c>
      <c r="D44" s="9">
        <v>360</v>
      </c>
    </row>
    <row r="45" spans="1:4" x14ac:dyDescent="0.25">
      <c r="A45" s="4" t="s">
        <v>1419</v>
      </c>
      <c r="B45" s="4">
        <v>386368</v>
      </c>
      <c r="C45" s="4" t="s">
        <v>2872</v>
      </c>
      <c r="D45" s="9">
        <v>180</v>
      </c>
    </row>
    <row r="46" spans="1:4" x14ac:dyDescent="0.25">
      <c r="A46" s="4" t="s">
        <v>1419</v>
      </c>
      <c r="B46" s="4">
        <v>386370</v>
      </c>
      <c r="C46" s="4" t="s">
        <v>2873</v>
      </c>
      <c r="D46" s="9">
        <v>1350</v>
      </c>
    </row>
    <row r="47" spans="1:4" x14ac:dyDescent="0.25">
      <c r="A47" s="4" t="s">
        <v>1419</v>
      </c>
      <c r="B47" s="4">
        <v>386371</v>
      </c>
      <c r="C47" s="4" t="s">
        <v>2874</v>
      </c>
      <c r="D47" s="9">
        <v>3150</v>
      </c>
    </row>
    <row r="48" spans="1:4" x14ac:dyDescent="0.25">
      <c r="A48" s="4" t="s">
        <v>1419</v>
      </c>
      <c r="B48" s="4">
        <v>386372</v>
      </c>
      <c r="C48" s="4" t="s">
        <v>2875</v>
      </c>
      <c r="D48" s="9">
        <v>540</v>
      </c>
    </row>
    <row r="49" spans="1:4" x14ac:dyDescent="0.25">
      <c r="A49" s="4" t="s">
        <v>1419</v>
      </c>
      <c r="B49" s="4">
        <v>386373</v>
      </c>
      <c r="C49" s="4" t="s">
        <v>2876</v>
      </c>
      <c r="D49" s="9">
        <v>630</v>
      </c>
    </row>
    <row r="50" spans="1:4" x14ac:dyDescent="0.25">
      <c r="A50" s="4" t="s">
        <v>1419</v>
      </c>
      <c r="B50" s="4">
        <v>386380</v>
      </c>
      <c r="C50" s="4" t="s">
        <v>2877</v>
      </c>
      <c r="D50" s="9">
        <v>6750</v>
      </c>
    </row>
    <row r="51" spans="1:4" x14ac:dyDescent="0.25">
      <c r="A51" s="4" t="s">
        <v>1419</v>
      </c>
      <c r="B51" s="4">
        <v>386382</v>
      </c>
      <c r="C51" s="4" t="s">
        <v>2878</v>
      </c>
      <c r="D51" s="9">
        <v>180</v>
      </c>
    </row>
    <row r="52" spans="1:4" x14ac:dyDescent="0.25">
      <c r="A52" s="4" t="s">
        <v>1419</v>
      </c>
      <c r="B52" s="4">
        <v>386383</v>
      </c>
      <c r="C52" s="4" t="s">
        <v>2879</v>
      </c>
      <c r="D52" s="9">
        <v>15030</v>
      </c>
    </row>
    <row r="53" spans="1:4" x14ac:dyDescent="0.25">
      <c r="A53" s="4" t="s">
        <v>1419</v>
      </c>
      <c r="B53" s="4">
        <v>386386</v>
      </c>
      <c r="C53" s="4" t="s">
        <v>2880</v>
      </c>
      <c r="D53" s="9">
        <v>90</v>
      </c>
    </row>
    <row r="54" spans="1:4" x14ac:dyDescent="0.25">
      <c r="A54" s="4" t="s">
        <v>1419</v>
      </c>
      <c r="B54" s="4">
        <v>386355</v>
      </c>
      <c r="C54" s="4" t="s">
        <v>2881</v>
      </c>
      <c r="D54" s="9">
        <v>14670</v>
      </c>
    </row>
    <row r="55" spans="1:4" x14ac:dyDescent="0.25">
      <c r="A55" s="4" t="s">
        <v>1419</v>
      </c>
      <c r="B55" s="4">
        <v>386387</v>
      </c>
      <c r="C55" s="4" t="s">
        <v>2882</v>
      </c>
      <c r="D55" s="9">
        <v>90</v>
      </c>
    </row>
    <row r="56" spans="1:4" x14ac:dyDescent="0.25">
      <c r="A56" s="4" t="s">
        <v>1419</v>
      </c>
      <c r="B56" s="4">
        <v>386389</v>
      </c>
      <c r="C56" s="4" t="s">
        <v>2883</v>
      </c>
      <c r="D56" s="9">
        <v>5220</v>
      </c>
    </row>
    <row r="57" spans="1:4" x14ac:dyDescent="0.25">
      <c r="A57" s="4" t="s">
        <v>1419</v>
      </c>
      <c r="B57" s="4">
        <v>386393</v>
      </c>
      <c r="C57" s="4" t="s">
        <v>2884</v>
      </c>
      <c r="D57" s="9">
        <v>2700</v>
      </c>
    </row>
    <row r="58" spans="1:4" x14ac:dyDescent="0.25">
      <c r="A58" s="4" t="s">
        <v>1419</v>
      </c>
      <c r="B58" s="4">
        <v>386394</v>
      </c>
      <c r="C58" s="4" t="s">
        <v>2885</v>
      </c>
      <c r="D58" s="9">
        <v>900</v>
      </c>
    </row>
    <row r="59" spans="1:4" x14ac:dyDescent="0.25">
      <c r="A59" s="4" t="s">
        <v>1419</v>
      </c>
      <c r="B59" s="4">
        <v>386398</v>
      </c>
      <c r="C59" s="4" t="s">
        <v>2886</v>
      </c>
      <c r="D59" s="9">
        <v>27360</v>
      </c>
    </row>
    <row r="60" spans="1:4" x14ac:dyDescent="0.25">
      <c r="A60" s="4" t="s">
        <v>32</v>
      </c>
      <c r="B60" s="4">
        <v>385988</v>
      </c>
      <c r="C60" s="4" t="s">
        <v>2887</v>
      </c>
      <c r="D60" s="9">
        <v>1330</v>
      </c>
    </row>
    <row r="61" spans="1:4" x14ac:dyDescent="0.25">
      <c r="A61" s="4" t="s">
        <v>995</v>
      </c>
      <c r="B61" s="4">
        <v>383798</v>
      </c>
      <c r="C61" s="4" t="s">
        <v>2836</v>
      </c>
      <c r="D61" s="9">
        <v>72425</v>
      </c>
    </row>
    <row r="62" spans="1:4" x14ac:dyDescent="0.25">
      <c r="A62" s="4" t="s">
        <v>52</v>
      </c>
      <c r="B62" s="4">
        <v>379599</v>
      </c>
      <c r="C62" s="4" t="s">
        <v>2774</v>
      </c>
      <c r="D62" s="9">
        <v>1140</v>
      </c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SUM(D2:D4,D6:D62)</f>
        <v>445675</v>
      </c>
    </row>
    <row r="93" spans="1:4" x14ac:dyDescent="0.25">
      <c r="C93" s="31" t="s">
        <v>2501</v>
      </c>
      <c r="D93" s="32">
        <f>SUM(D5)</f>
        <v>18635</v>
      </c>
    </row>
    <row r="94" spans="1:4" x14ac:dyDescent="0.25">
      <c r="C94" s="31" t="s">
        <v>83</v>
      </c>
      <c r="D94" s="32">
        <f>SUM(D92:D93)</f>
        <v>464310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C01A-5473-4C6B-B7B7-CF64709CB3AA}">
  <dimension ref="A1:D94"/>
  <sheetViews>
    <sheetView view="pageBreakPreview" zoomScaleNormal="100" zoomScaleSheetLayoutView="100" workbookViewId="0">
      <selection activeCell="C6" sqref="C6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377034</v>
      </c>
      <c r="C2" s="4" t="s">
        <v>2701</v>
      </c>
      <c r="D2" s="9">
        <v>130</v>
      </c>
    </row>
    <row r="3" spans="1:4" x14ac:dyDescent="0.25">
      <c r="A3" s="4" t="s">
        <v>256</v>
      </c>
      <c r="B3" s="4">
        <v>377366</v>
      </c>
      <c r="C3" s="4" t="s">
        <v>2702</v>
      </c>
      <c r="D3" s="9">
        <v>60</v>
      </c>
    </row>
    <row r="4" spans="1:4" x14ac:dyDescent="0.25">
      <c r="A4" s="4" t="s">
        <v>2888</v>
      </c>
      <c r="B4" s="4">
        <v>386508</v>
      </c>
      <c r="C4" s="4" t="s">
        <v>2889</v>
      </c>
      <c r="D4" s="9">
        <v>2250</v>
      </c>
    </row>
    <row r="5" spans="1:4" x14ac:dyDescent="0.25">
      <c r="A5" s="4" t="s">
        <v>192</v>
      </c>
      <c r="B5" s="4">
        <v>384285</v>
      </c>
      <c r="C5" s="4" t="s">
        <v>2804</v>
      </c>
      <c r="D5" s="9">
        <v>3295</v>
      </c>
    </row>
    <row r="6" spans="1:4" x14ac:dyDescent="0.25">
      <c r="A6" s="4" t="s">
        <v>2831</v>
      </c>
      <c r="B6" s="4">
        <v>385832</v>
      </c>
      <c r="C6" s="4" t="s">
        <v>2832</v>
      </c>
      <c r="D6" s="9">
        <v>18635</v>
      </c>
    </row>
    <row r="7" spans="1:4" x14ac:dyDescent="0.25">
      <c r="A7" s="4" t="s">
        <v>175</v>
      </c>
      <c r="B7" s="4">
        <v>385509</v>
      </c>
      <c r="C7" s="4" t="s">
        <v>2890</v>
      </c>
      <c r="D7" s="9">
        <v>68670</v>
      </c>
    </row>
    <row r="8" spans="1:4" x14ac:dyDescent="0.25">
      <c r="A8" s="4" t="s">
        <v>175</v>
      </c>
      <c r="B8" s="4">
        <v>385514</v>
      </c>
      <c r="C8" s="4" t="s">
        <v>2891</v>
      </c>
      <c r="D8" s="9">
        <v>1450</v>
      </c>
    </row>
    <row r="9" spans="1:4" x14ac:dyDescent="0.25">
      <c r="A9" s="4" t="s">
        <v>175</v>
      </c>
      <c r="B9" s="4">
        <v>381785</v>
      </c>
      <c r="C9" s="4" t="s">
        <v>2833</v>
      </c>
      <c r="D9" s="9">
        <v>128955</v>
      </c>
    </row>
    <row r="10" spans="1:4" x14ac:dyDescent="0.25">
      <c r="A10" s="4" t="s">
        <v>2834</v>
      </c>
      <c r="B10" s="4">
        <v>385881</v>
      </c>
      <c r="C10" s="4" t="s">
        <v>2835</v>
      </c>
      <c r="D10" s="9">
        <v>3410</v>
      </c>
    </row>
    <row r="11" spans="1:4" x14ac:dyDescent="0.25">
      <c r="A11" s="4" t="s">
        <v>330</v>
      </c>
      <c r="B11" s="4">
        <v>379297</v>
      </c>
      <c r="C11" s="4" t="s">
        <v>2797</v>
      </c>
      <c r="D11" s="9">
        <v>1035</v>
      </c>
    </row>
    <row r="12" spans="1:4" x14ac:dyDescent="0.25">
      <c r="A12" s="4" t="s">
        <v>1419</v>
      </c>
      <c r="B12" s="4">
        <v>386379</v>
      </c>
      <c r="C12" s="4" t="s">
        <v>2837</v>
      </c>
      <c r="D12" s="9">
        <v>14400</v>
      </c>
    </row>
    <row r="13" spans="1:4" x14ac:dyDescent="0.25">
      <c r="A13" s="4" t="s">
        <v>1419</v>
      </c>
      <c r="B13" s="4">
        <v>385412</v>
      </c>
      <c r="C13" s="4" t="s">
        <v>2838</v>
      </c>
      <c r="D13" s="9">
        <v>11850</v>
      </c>
    </row>
    <row r="14" spans="1:4" x14ac:dyDescent="0.25">
      <c r="A14" s="4" t="s">
        <v>1419</v>
      </c>
      <c r="B14" s="4">
        <v>385416</v>
      </c>
      <c r="C14" s="4" t="s">
        <v>2839</v>
      </c>
      <c r="D14" s="9">
        <v>960</v>
      </c>
    </row>
    <row r="15" spans="1:4" x14ac:dyDescent="0.25">
      <c r="A15" s="4" t="s">
        <v>1419</v>
      </c>
      <c r="B15" s="4">
        <v>385501</v>
      </c>
      <c r="C15" s="4" t="s">
        <v>2840</v>
      </c>
      <c r="D15" s="9">
        <v>600</v>
      </c>
    </row>
    <row r="16" spans="1:4" x14ac:dyDescent="0.25">
      <c r="A16" s="4" t="s">
        <v>1419</v>
      </c>
      <c r="B16" s="4">
        <v>385503</v>
      </c>
      <c r="C16" s="4" t="s">
        <v>2841</v>
      </c>
      <c r="D16" s="9">
        <v>1890</v>
      </c>
    </row>
    <row r="17" spans="1:4" x14ac:dyDescent="0.25">
      <c r="A17" s="4" t="s">
        <v>1419</v>
      </c>
      <c r="B17" s="4">
        <v>385504</v>
      </c>
      <c r="C17" s="4" t="s">
        <v>2842</v>
      </c>
      <c r="D17" s="9">
        <v>6460</v>
      </c>
    </row>
    <row r="18" spans="1:4" x14ac:dyDescent="0.25">
      <c r="A18" s="4" t="s">
        <v>1419</v>
      </c>
      <c r="B18" s="4">
        <v>385505</v>
      </c>
      <c r="C18" s="4" t="s">
        <v>2843</v>
      </c>
      <c r="D18" s="9">
        <v>3485</v>
      </c>
    </row>
    <row r="19" spans="1:4" x14ac:dyDescent="0.25">
      <c r="A19" s="4" t="s">
        <v>1419</v>
      </c>
      <c r="B19" s="4">
        <v>385448</v>
      </c>
      <c r="C19" s="4" t="s">
        <v>2844</v>
      </c>
      <c r="D19" s="9">
        <v>10640</v>
      </c>
    </row>
    <row r="20" spans="1:4" x14ac:dyDescent="0.25">
      <c r="A20" s="4" t="s">
        <v>1419</v>
      </c>
      <c r="B20" s="4">
        <v>385506</v>
      </c>
      <c r="C20" s="4" t="s">
        <v>2845</v>
      </c>
      <c r="D20" s="9">
        <v>4760</v>
      </c>
    </row>
    <row r="21" spans="1:4" x14ac:dyDescent="0.25">
      <c r="A21" s="4" t="s">
        <v>1419</v>
      </c>
      <c r="B21" s="4">
        <v>385507</v>
      </c>
      <c r="C21" s="4" t="s">
        <v>2846</v>
      </c>
      <c r="D21" s="9">
        <v>195</v>
      </c>
    </row>
    <row r="22" spans="1:4" x14ac:dyDescent="0.25">
      <c r="A22" s="4" t="s">
        <v>1419</v>
      </c>
      <c r="B22" s="4">
        <v>385510</v>
      </c>
      <c r="C22" s="4" t="s">
        <v>2847</v>
      </c>
      <c r="D22" s="9">
        <v>1255</v>
      </c>
    </row>
    <row r="23" spans="1:4" x14ac:dyDescent="0.25">
      <c r="A23" s="4" t="s">
        <v>1419</v>
      </c>
      <c r="B23" s="4">
        <v>385420</v>
      </c>
      <c r="C23" s="4" t="s">
        <v>2848</v>
      </c>
      <c r="D23" s="9">
        <v>2520</v>
      </c>
    </row>
    <row r="24" spans="1:4" x14ac:dyDescent="0.25">
      <c r="A24" s="4" t="s">
        <v>1419</v>
      </c>
      <c r="B24" s="4">
        <v>385513</v>
      </c>
      <c r="C24" s="4" t="s">
        <v>2849</v>
      </c>
      <c r="D24" s="9">
        <v>3000</v>
      </c>
    </row>
    <row r="25" spans="1:4" x14ac:dyDescent="0.25">
      <c r="A25" s="4" t="s">
        <v>1419</v>
      </c>
      <c r="B25" s="4">
        <v>385424</v>
      </c>
      <c r="C25" s="4" t="s">
        <v>2850</v>
      </c>
      <c r="D25" s="9">
        <v>1850</v>
      </c>
    </row>
    <row r="26" spans="1:4" x14ac:dyDescent="0.25">
      <c r="A26" s="4" t="s">
        <v>1419</v>
      </c>
      <c r="B26" s="4">
        <v>385515</v>
      </c>
      <c r="C26" s="4" t="s">
        <v>2851</v>
      </c>
      <c r="D26" s="9">
        <v>3120</v>
      </c>
    </row>
    <row r="27" spans="1:4" x14ac:dyDescent="0.25">
      <c r="A27" s="4" t="s">
        <v>1419</v>
      </c>
      <c r="B27" s="4">
        <v>385516</v>
      </c>
      <c r="C27" s="4" t="s">
        <v>2852</v>
      </c>
      <c r="D27" s="9">
        <v>6330</v>
      </c>
    </row>
    <row r="28" spans="1:4" x14ac:dyDescent="0.25">
      <c r="A28" s="4" t="s">
        <v>1419</v>
      </c>
      <c r="B28" s="4">
        <v>385519</v>
      </c>
      <c r="C28" s="4" t="s">
        <v>2853</v>
      </c>
      <c r="D28" s="9">
        <v>630</v>
      </c>
    </row>
    <row r="29" spans="1:4" x14ac:dyDescent="0.25">
      <c r="A29" s="4" t="s">
        <v>1419</v>
      </c>
      <c r="B29" s="4">
        <v>385520</v>
      </c>
      <c r="C29" s="4" t="s">
        <v>2854</v>
      </c>
      <c r="D29" s="9">
        <v>1170</v>
      </c>
    </row>
    <row r="30" spans="1:4" x14ac:dyDescent="0.25">
      <c r="A30" s="4" t="s">
        <v>1419</v>
      </c>
      <c r="B30" s="4">
        <v>385521</v>
      </c>
      <c r="C30" s="4" t="s">
        <v>2855</v>
      </c>
      <c r="D30" s="9">
        <v>3160</v>
      </c>
    </row>
    <row r="31" spans="1:4" x14ac:dyDescent="0.25">
      <c r="A31" s="4" t="s">
        <v>1419</v>
      </c>
      <c r="B31" s="4">
        <v>385522</v>
      </c>
      <c r="C31" s="4" t="s">
        <v>2856</v>
      </c>
      <c r="D31" s="9">
        <v>2025</v>
      </c>
    </row>
    <row r="32" spans="1:4" x14ac:dyDescent="0.25">
      <c r="A32" s="4" t="s">
        <v>1419</v>
      </c>
      <c r="B32" s="4">
        <v>385427</v>
      </c>
      <c r="C32" s="4" t="s">
        <v>2857</v>
      </c>
      <c r="D32" s="9">
        <v>1140</v>
      </c>
    </row>
    <row r="33" spans="1:4" x14ac:dyDescent="0.25">
      <c r="A33" s="4" t="s">
        <v>1419</v>
      </c>
      <c r="B33" s="4">
        <v>385432</v>
      </c>
      <c r="C33" s="4" t="s">
        <v>2858</v>
      </c>
      <c r="D33" s="9">
        <v>2265</v>
      </c>
    </row>
    <row r="34" spans="1:4" x14ac:dyDescent="0.25">
      <c r="A34" s="4" t="s">
        <v>1419</v>
      </c>
      <c r="B34" s="4">
        <v>385523</v>
      </c>
      <c r="C34" s="4" t="s">
        <v>2859</v>
      </c>
      <c r="D34" s="9">
        <v>2540</v>
      </c>
    </row>
    <row r="35" spans="1:4" x14ac:dyDescent="0.25">
      <c r="A35" s="4" t="s">
        <v>1419</v>
      </c>
      <c r="B35" s="4">
        <v>385499</v>
      </c>
      <c r="C35" s="4" t="s">
        <v>2860</v>
      </c>
      <c r="D35" s="9">
        <v>2275</v>
      </c>
    </row>
    <row r="36" spans="1:4" x14ac:dyDescent="0.25">
      <c r="A36" s="4" t="s">
        <v>1419</v>
      </c>
      <c r="B36" s="4">
        <v>385435</v>
      </c>
      <c r="C36" s="4" t="s">
        <v>2861</v>
      </c>
      <c r="D36" s="9">
        <v>3395</v>
      </c>
    </row>
    <row r="37" spans="1:4" x14ac:dyDescent="0.25">
      <c r="A37" s="4" t="s">
        <v>1419</v>
      </c>
      <c r="B37" s="4">
        <v>385438</v>
      </c>
      <c r="C37" s="4" t="s">
        <v>2862</v>
      </c>
      <c r="D37" s="9">
        <v>4220</v>
      </c>
    </row>
    <row r="38" spans="1:4" x14ac:dyDescent="0.25">
      <c r="A38" s="4" t="s">
        <v>1419</v>
      </c>
      <c r="B38" s="4">
        <v>385524</v>
      </c>
      <c r="C38" s="4" t="s">
        <v>2863</v>
      </c>
      <c r="D38" s="9">
        <v>1020</v>
      </c>
    </row>
    <row r="39" spans="1:4" x14ac:dyDescent="0.25">
      <c r="A39" s="4" t="s">
        <v>1419</v>
      </c>
      <c r="B39" s="4">
        <v>385443</v>
      </c>
      <c r="C39" s="4" t="s">
        <v>2864</v>
      </c>
      <c r="D39" s="9">
        <v>1575</v>
      </c>
    </row>
    <row r="40" spans="1:4" x14ac:dyDescent="0.25">
      <c r="A40" s="4" t="s">
        <v>1419</v>
      </c>
      <c r="B40" s="4">
        <v>385525</v>
      </c>
      <c r="C40" s="4" t="s">
        <v>2865</v>
      </c>
      <c r="D40" s="9">
        <v>8355</v>
      </c>
    </row>
    <row r="41" spans="1:4" x14ac:dyDescent="0.25">
      <c r="A41" s="4" t="s">
        <v>1419</v>
      </c>
      <c r="B41" s="4">
        <v>386351</v>
      </c>
      <c r="C41" s="4" t="s">
        <v>2866</v>
      </c>
      <c r="D41" s="9">
        <v>270</v>
      </c>
    </row>
    <row r="42" spans="1:4" x14ac:dyDescent="0.25">
      <c r="A42" s="4" t="s">
        <v>1419</v>
      </c>
      <c r="B42" s="4">
        <v>386359</v>
      </c>
      <c r="C42" s="4" t="s">
        <v>2867</v>
      </c>
      <c r="D42" s="9">
        <v>540</v>
      </c>
    </row>
    <row r="43" spans="1:4" x14ac:dyDescent="0.25">
      <c r="A43" s="4" t="s">
        <v>1419</v>
      </c>
      <c r="B43" s="4">
        <v>386359</v>
      </c>
      <c r="C43" s="4" t="s">
        <v>2867</v>
      </c>
      <c r="D43" s="9">
        <v>540</v>
      </c>
    </row>
    <row r="44" spans="1:4" x14ac:dyDescent="0.25">
      <c r="A44" s="4" t="s">
        <v>1419</v>
      </c>
      <c r="B44" s="4">
        <v>386362</v>
      </c>
      <c r="C44" s="4" t="s">
        <v>2868</v>
      </c>
      <c r="D44" s="9">
        <v>1080</v>
      </c>
    </row>
    <row r="45" spans="1:4" x14ac:dyDescent="0.25">
      <c r="A45" s="4" t="s">
        <v>1419</v>
      </c>
      <c r="B45" s="4">
        <v>386363</v>
      </c>
      <c r="C45" s="4" t="s">
        <v>2869</v>
      </c>
      <c r="D45" s="9">
        <v>19440</v>
      </c>
    </row>
    <row r="46" spans="1:4" x14ac:dyDescent="0.25">
      <c r="A46" s="4" t="s">
        <v>1419</v>
      </c>
      <c r="B46" s="4">
        <v>386365</v>
      </c>
      <c r="C46" s="4" t="s">
        <v>2870</v>
      </c>
      <c r="D46" s="9">
        <v>25740</v>
      </c>
    </row>
    <row r="47" spans="1:4" x14ac:dyDescent="0.25">
      <c r="A47" s="4" t="s">
        <v>1419</v>
      </c>
      <c r="B47" s="4">
        <v>386366</v>
      </c>
      <c r="C47" s="4" t="s">
        <v>2871</v>
      </c>
      <c r="D47" s="9">
        <v>360</v>
      </c>
    </row>
    <row r="48" spans="1:4" x14ac:dyDescent="0.25">
      <c r="A48" s="4" t="s">
        <v>1419</v>
      </c>
      <c r="B48" s="4">
        <v>386368</v>
      </c>
      <c r="C48" s="4" t="s">
        <v>2872</v>
      </c>
      <c r="D48" s="9">
        <v>180</v>
      </c>
    </row>
    <row r="49" spans="1:4" x14ac:dyDescent="0.25">
      <c r="A49" s="4" t="s">
        <v>1419</v>
      </c>
      <c r="B49" s="4">
        <v>386370</v>
      </c>
      <c r="C49" s="4" t="s">
        <v>2873</v>
      </c>
      <c r="D49" s="9">
        <v>1350</v>
      </c>
    </row>
    <row r="50" spans="1:4" x14ac:dyDescent="0.25">
      <c r="A50" s="4" t="s">
        <v>1419</v>
      </c>
      <c r="B50" s="4">
        <v>386371</v>
      </c>
      <c r="C50" s="4" t="s">
        <v>2874</v>
      </c>
      <c r="D50" s="9">
        <v>3150</v>
      </c>
    </row>
    <row r="51" spans="1:4" x14ac:dyDescent="0.25">
      <c r="A51" s="4" t="s">
        <v>1419</v>
      </c>
      <c r="B51" s="4">
        <v>386372</v>
      </c>
      <c r="C51" s="4" t="s">
        <v>2875</v>
      </c>
      <c r="D51" s="9">
        <v>540</v>
      </c>
    </row>
    <row r="52" spans="1:4" x14ac:dyDescent="0.25">
      <c r="A52" s="4" t="s">
        <v>1419</v>
      </c>
      <c r="B52" s="4">
        <v>386373</v>
      </c>
      <c r="C52" s="4" t="s">
        <v>2876</v>
      </c>
      <c r="D52" s="9">
        <v>630</v>
      </c>
    </row>
    <row r="53" spans="1:4" x14ac:dyDescent="0.25">
      <c r="A53" s="4" t="s">
        <v>1419</v>
      </c>
      <c r="B53" s="4">
        <v>386380</v>
      </c>
      <c r="C53" s="4" t="s">
        <v>2877</v>
      </c>
      <c r="D53" s="9">
        <v>6750</v>
      </c>
    </row>
    <row r="54" spans="1:4" x14ac:dyDescent="0.25">
      <c r="A54" s="4" t="s">
        <v>1419</v>
      </c>
      <c r="B54" s="4">
        <v>386382</v>
      </c>
      <c r="C54" s="4" t="s">
        <v>2878</v>
      </c>
      <c r="D54" s="9">
        <v>180</v>
      </c>
    </row>
    <row r="55" spans="1:4" x14ac:dyDescent="0.25">
      <c r="A55" s="4" t="s">
        <v>1419</v>
      </c>
      <c r="B55" s="4">
        <v>386383</v>
      </c>
      <c r="C55" s="4" t="s">
        <v>2879</v>
      </c>
      <c r="D55" s="9">
        <v>15030</v>
      </c>
    </row>
    <row r="56" spans="1:4" x14ac:dyDescent="0.25">
      <c r="A56" s="4" t="s">
        <v>1419</v>
      </c>
      <c r="B56" s="4">
        <v>386386</v>
      </c>
      <c r="C56" s="4" t="s">
        <v>2880</v>
      </c>
      <c r="D56" s="9">
        <v>90</v>
      </c>
    </row>
    <row r="57" spans="1:4" x14ac:dyDescent="0.25">
      <c r="A57" s="4" t="s">
        <v>1419</v>
      </c>
      <c r="B57" s="4">
        <v>386355</v>
      </c>
      <c r="C57" s="4" t="s">
        <v>2881</v>
      </c>
      <c r="D57" s="9">
        <v>14670</v>
      </c>
    </row>
    <row r="58" spans="1:4" x14ac:dyDescent="0.25">
      <c r="A58" s="4" t="s">
        <v>1419</v>
      </c>
      <c r="B58" s="4">
        <v>386387</v>
      </c>
      <c r="C58" s="4" t="s">
        <v>2882</v>
      </c>
      <c r="D58" s="9">
        <v>90</v>
      </c>
    </row>
    <row r="59" spans="1:4" x14ac:dyDescent="0.25">
      <c r="A59" s="4" t="s">
        <v>1419</v>
      </c>
      <c r="B59" s="4">
        <v>386389</v>
      </c>
      <c r="C59" s="4" t="s">
        <v>2883</v>
      </c>
      <c r="D59" s="9">
        <v>5220</v>
      </c>
    </row>
    <row r="60" spans="1:4" x14ac:dyDescent="0.25">
      <c r="A60" s="4" t="s">
        <v>1419</v>
      </c>
      <c r="B60" s="4">
        <v>386393</v>
      </c>
      <c r="C60" s="4" t="s">
        <v>2884</v>
      </c>
      <c r="D60" s="9">
        <v>2700</v>
      </c>
    </row>
    <row r="61" spans="1:4" x14ac:dyDescent="0.25">
      <c r="A61" s="4" t="s">
        <v>1419</v>
      </c>
      <c r="B61" s="4">
        <v>386394</v>
      </c>
      <c r="C61" s="4" t="s">
        <v>2885</v>
      </c>
      <c r="D61" s="9">
        <v>900</v>
      </c>
    </row>
    <row r="62" spans="1:4" x14ac:dyDescent="0.25">
      <c r="A62" s="4" t="s">
        <v>1419</v>
      </c>
      <c r="B62" s="4">
        <v>386398</v>
      </c>
      <c r="C62" s="4" t="s">
        <v>2886</v>
      </c>
      <c r="D62" s="9">
        <v>27360</v>
      </c>
    </row>
    <row r="63" spans="1:4" x14ac:dyDescent="0.25">
      <c r="A63" s="4" t="s">
        <v>180</v>
      </c>
      <c r="B63" s="4">
        <v>386288</v>
      </c>
      <c r="C63" s="4" t="s">
        <v>2892</v>
      </c>
      <c r="D63" s="9">
        <v>7800</v>
      </c>
    </row>
    <row r="64" spans="1:4" x14ac:dyDescent="0.25">
      <c r="A64" s="4" t="s">
        <v>1948</v>
      </c>
      <c r="B64" s="4">
        <v>385229</v>
      </c>
      <c r="C64" s="4" t="s">
        <v>2893</v>
      </c>
      <c r="D64" s="9">
        <v>10750</v>
      </c>
    </row>
    <row r="65" spans="1:4" x14ac:dyDescent="0.25">
      <c r="A65" s="4" t="s">
        <v>832</v>
      </c>
      <c r="B65" s="4">
        <v>385540</v>
      </c>
      <c r="C65" s="4" t="s">
        <v>2894</v>
      </c>
      <c r="D65" s="9">
        <v>250</v>
      </c>
    </row>
    <row r="66" spans="1:4" x14ac:dyDescent="0.25">
      <c r="A66" s="4" t="s">
        <v>832</v>
      </c>
      <c r="B66" s="4">
        <v>385538</v>
      </c>
      <c r="C66" s="4" t="s">
        <v>2895</v>
      </c>
      <c r="D66" s="9">
        <v>200</v>
      </c>
    </row>
    <row r="67" spans="1:4" x14ac:dyDescent="0.25">
      <c r="A67" s="4" t="s">
        <v>832</v>
      </c>
      <c r="B67" s="4">
        <v>385539</v>
      </c>
      <c r="C67" s="4" t="s">
        <v>2896</v>
      </c>
      <c r="D67" s="9">
        <v>750</v>
      </c>
    </row>
    <row r="68" spans="1:4" x14ac:dyDescent="0.25">
      <c r="A68" s="4" t="s">
        <v>832</v>
      </c>
      <c r="B68" s="4">
        <v>385537</v>
      </c>
      <c r="C68" s="4" t="s">
        <v>2897</v>
      </c>
      <c r="D68" s="9">
        <v>700</v>
      </c>
    </row>
    <row r="69" spans="1:4" x14ac:dyDescent="0.25">
      <c r="A69" s="4" t="s">
        <v>995</v>
      </c>
      <c r="B69" s="4">
        <v>383798</v>
      </c>
      <c r="C69" s="4" t="s">
        <v>2836</v>
      </c>
      <c r="D69" s="9">
        <v>72425</v>
      </c>
    </row>
    <row r="70" spans="1:4" x14ac:dyDescent="0.25">
      <c r="A70" s="4" t="s">
        <v>2762</v>
      </c>
      <c r="B70" s="4">
        <v>381726</v>
      </c>
      <c r="C70" s="4" t="s">
        <v>2898</v>
      </c>
      <c r="D70" s="9">
        <v>5425</v>
      </c>
    </row>
    <row r="71" spans="1:4" x14ac:dyDescent="0.25">
      <c r="A71" s="4" t="s">
        <v>2762</v>
      </c>
      <c r="B71" s="4">
        <v>381728</v>
      </c>
      <c r="C71" s="4" t="s">
        <v>2899</v>
      </c>
      <c r="D71" s="9">
        <v>1550</v>
      </c>
    </row>
    <row r="72" spans="1:4" x14ac:dyDescent="0.25">
      <c r="A72" s="4" t="s">
        <v>52</v>
      </c>
      <c r="B72" s="4">
        <v>379599</v>
      </c>
      <c r="C72" s="4" t="s">
        <v>2774</v>
      </c>
      <c r="D72" s="9">
        <v>1140</v>
      </c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SUM(D2:D5,D7:D72)</f>
        <v>544140</v>
      </c>
    </row>
    <row r="93" spans="1:4" x14ac:dyDescent="0.25">
      <c r="C93" s="31" t="s">
        <v>2501</v>
      </c>
      <c r="D93" s="32">
        <f>SUM(D6)</f>
        <v>18635</v>
      </c>
    </row>
    <row r="94" spans="1:4" x14ac:dyDescent="0.25">
      <c r="C94" s="31" t="s">
        <v>83</v>
      </c>
      <c r="D94" s="32">
        <f>SUM(D92:D93)</f>
        <v>562775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7F65-75E6-42A1-87E2-9081A82664B9}">
  <dimension ref="A1:D94"/>
  <sheetViews>
    <sheetView view="pageBreakPreview" zoomScaleNormal="100" zoomScaleSheetLayoutView="100" workbookViewId="0">
      <selection activeCell="C98" sqref="C98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388066</v>
      </c>
      <c r="C2" s="4" t="s">
        <v>2900</v>
      </c>
      <c r="D2" s="9">
        <v>1395</v>
      </c>
    </row>
    <row r="3" spans="1:4" x14ac:dyDescent="0.25">
      <c r="A3" s="4" t="s">
        <v>7</v>
      </c>
      <c r="B3" s="4">
        <v>388021</v>
      </c>
      <c r="C3" s="4" t="s">
        <v>2901</v>
      </c>
      <c r="D3" s="9">
        <v>2163</v>
      </c>
    </row>
    <row r="4" spans="1:4" x14ac:dyDescent="0.25">
      <c r="A4" s="4" t="s">
        <v>256</v>
      </c>
      <c r="B4" s="4">
        <v>377034</v>
      </c>
      <c r="C4" s="4" t="s">
        <v>2701</v>
      </c>
      <c r="D4" s="9">
        <v>130</v>
      </c>
    </row>
    <row r="5" spans="1:4" x14ac:dyDescent="0.25">
      <c r="A5" s="4" t="s">
        <v>256</v>
      </c>
      <c r="B5" s="4">
        <v>366660</v>
      </c>
      <c r="C5" s="4" t="s">
        <v>2902</v>
      </c>
      <c r="D5" s="9">
        <v>35555</v>
      </c>
    </row>
    <row r="6" spans="1:4" x14ac:dyDescent="0.25">
      <c r="A6" s="4" t="s">
        <v>256</v>
      </c>
      <c r="B6" s="4">
        <v>366660</v>
      </c>
      <c r="C6" s="4" t="s">
        <v>2903</v>
      </c>
      <c r="D6" s="9">
        <v>13905</v>
      </c>
    </row>
    <row r="7" spans="1:4" x14ac:dyDescent="0.25">
      <c r="A7" s="4" t="s">
        <v>256</v>
      </c>
      <c r="B7" s="4">
        <v>366660</v>
      </c>
      <c r="C7" s="4" t="s">
        <v>2904</v>
      </c>
      <c r="D7" s="9">
        <v>36130</v>
      </c>
    </row>
    <row r="8" spans="1:4" x14ac:dyDescent="0.25">
      <c r="A8" s="4" t="s">
        <v>256</v>
      </c>
      <c r="B8" s="4">
        <v>366660</v>
      </c>
      <c r="C8" s="4" t="s">
        <v>2905</v>
      </c>
      <c r="D8" s="9">
        <v>35555</v>
      </c>
    </row>
    <row r="9" spans="1:4" x14ac:dyDescent="0.25">
      <c r="A9" s="4" t="s">
        <v>192</v>
      </c>
      <c r="B9" s="4">
        <v>384285</v>
      </c>
      <c r="C9" s="4" t="s">
        <v>2804</v>
      </c>
      <c r="D9" s="9">
        <v>3295</v>
      </c>
    </row>
    <row r="10" spans="1:4" x14ac:dyDescent="0.25">
      <c r="A10" s="4" t="s">
        <v>143</v>
      </c>
      <c r="B10" s="4">
        <v>388005</v>
      </c>
      <c r="C10" s="4" t="s">
        <v>2906</v>
      </c>
      <c r="D10" s="9">
        <v>950</v>
      </c>
    </row>
    <row r="11" spans="1:4" x14ac:dyDescent="0.25">
      <c r="A11" s="4" t="s">
        <v>2831</v>
      </c>
      <c r="B11" s="4">
        <v>385832</v>
      </c>
      <c r="C11" s="4" t="s">
        <v>2832</v>
      </c>
      <c r="D11" s="9">
        <v>18635</v>
      </c>
    </row>
    <row r="12" spans="1:4" x14ac:dyDescent="0.25">
      <c r="A12" s="4" t="s">
        <v>175</v>
      </c>
      <c r="B12" s="4">
        <v>381785</v>
      </c>
      <c r="C12" s="4" t="s">
        <v>2833</v>
      </c>
      <c r="D12" s="9">
        <v>128955</v>
      </c>
    </row>
    <row r="13" spans="1:4" x14ac:dyDescent="0.25">
      <c r="A13" s="4" t="s">
        <v>26</v>
      </c>
      <c r="B13" s="4">
        <v>378962</v>
      </c>
      <c r="C13" s="4" t="s">
        <v>2907</v>
      </c>
      <c r="D13" s="9">
        <v>250</v>
      </c>
    </row>
    <row r="14" spans="1:4" x14ac:dyDescent="0.25">
      <c r="A14" s="4" t="s">
        <v>26</v>
      </c>
      <c r="B14" s="4">
        <v>378961</v>
      </c>
      <c r="C14" s="4" t="s">
        <v>2908</v>
      </c>
      <c r="D14" s="9">
        <v>175</v>
      </c>
    </row>
    <row r="15" spans="1:4" x14ac:dyDescent="0.25">
      <c r="A15" s="4" t="s">
        <v>26</v>
      </c>
      <c r="B15" s="4">
        <v>378960</v>
      </c>
      <c r="C15" s="4" t="s">
        <v>2909</v>
      </c>
      <c r="D15" s="9">
        <v>95</v>
      </c>
    </row>
    <row r="16" spans="1:4" x14ac:dyDescent="0.25">
      <c r="A16" s="4" t="s">
        <v>26</v>
      </c>
      <c r="B16" s="4">
        <v>386432</v>
      </c>
      <c r="C16" s="4" t="s">
        <v>2910</v>
      </c>
      <c r="D16" s="9">
        <v>750</v>
      </c>
    </row>
    <row r="17" spans="1:4" x14ac:dyDescent="0.25">
      <c r="A17" s="4" t="s">
        <v>26</v>
      </c>
      <c r="B17" s="4">
        <v>386169</v>
      </c>
      <c r="C17" s="4" t="s">
        <v>2911</v>
      </c>
      <c r="D17" s="9">
        <v>1390</v>
      </c>
    </row>
    <row r="18" spans="1:4" x14ac:dyDescent="0.25">
      <c r="A18" s="4" t="s">
        <v>330</v>
      </c>
      <c r="B18" s="4">
        <v>385919</v>
      </c>
      <c r="C18" s="4" t="s">
        <v>2912</v>
      </c>
      <c r="D18" s="9">
        <v>805</v>
      </c>
    </row>
    <row r="19" spans="1:4" x14ac:dyDescent="0.25">
      <c r="A19" s="4" t="s">
        <v>330</v>
      </c>
      <c r="B19" s="4">
        <v>379297</v>
      </c>
      <c r="C19" s="4" t="s">
        <v>2797</v>
      </c>
      <c r="D19" s="9">
        <v>1035</v>
      </c>
    </row>
    <row r="20" spans="1:4" x14ac:dyDescent="0.25">
      <c r="A20" s="4" t="s">
        <v>1419</v>
      </c>
      <c r="B20" s="4">
        <v>386379</v>
      </c>
      <c r="C20" s="4" t="s">
        <v>2837</v>
      </c>
      <c r="D20" s="9">
        <v>14400</v>
      </c>
    </row>
    <row r="21" spans="1:4" x14ac:dyDescent="0.25">
      <c r="A21" s="4" t="s">
        <v>1419</v>
      </c>
      <c r="B21" s="4">
        <v>385412</v>
      </c>
      <c r="C21" s="4" t="s">
        <v>2838</v>
      </c>
      <c r="D21" s="9">
        <v>11850</v>
      </c>
    </row>
    <row r="22" spans="1:4" x14ac:dyDescent="0.25">
      <c r="A22" s="4" t="s">
        <v>1419</v>
      </c>
      <c r="B22" s="4">
        <v>385416</v>
      </c>
      <c r="C22" s="4" t="s">
        <v>2839</v>
      </c>
      <c r="D22" s="9">
        <v>960</v>
      </c>
    </row>
    <row r="23" spans="1:4" x14ac:dyDescent="0.25">
      <c r="A23" s="4" t="s">
        <v>1419</v>
      </c>
      <c r="B23" s="4">
        <v>385501</v>
      </c>
      <c r="C23" s="4" t="s">
        <v>2840</v>
      </c>
      <c r="D23" s="9">
        <v>600</v>
      </c>
    </row>
    <row r="24" spans="1:4" x14ac:dyDescent="0.25">
      <c r="A24" s="4" t="s">
        <v>1419</v>
      </c>
      <c r="B24" s="4">
        <v>385503</v>
      </c>
      <c r="C24" s="4" t="s">
        <v>2841</v>
      </c>
      <c r="D24" s="9">
        <v>1890</v>
      </c>
    </row>
    <row r="25" spans="1:4" x14ac:dyDescent="0.25">
      <c r="A25" s="4" t="s">
        <v>1419</v>
      </c>
      <c r="B25" s="4">
        <v>385504</v>
      </c>
      <c r="C25" s="4" t="s">
        <v>2842</v>
      </c>
      <c r="D25" s="9">
        <v>6460</v>
      </c>
    </row>
    <row r="26" spans="1:4" x14ac:dyDescent="0.25">
      <c r="A26" s="4" t="s">
        <v>1419</v>
      </c>
      <c r="B26" s="4">
        <v>385505</v>
      </c>
      <c r="C26" s="4" t="s">
        <v>2843</v>
      </c>
      <c r="D26" s="9">
        <v>3485</v>
      </c>
    </row>
    <row r="27" spans="1:4" x14ac:dyDescent="0.25">
      <c r="A27" s="4" t="s">
        <v>1419</v>
      </c>
      <c r="B27" s="4">
        <v>385448</v>
      </c>
      <c r="C27" s="4" t="s">
        <v>2844</v>
      </c>
      <c r="D27" s="9">
        <v>10640</v>
      </c>
    </row>
    <row r="28" spans="1:4" x14ac:dyDescent="0.25">
      <c r="A28" s="4" t="s">
        <v>1419</v>
      </c>
      <c r="B28" s="4">
        <v>385506</v>
      </c>
      <c r="C28" s="4" t="s">
        <v>2845</v>
      </c>
      <c r="D28" s="9">
        <v>4760</v>
      </c>
    </row>
    <row r="29" spans="1:4" x14ac:dyDescent="0.25">
      <c r="A29" s="4" t="s">
        <v>1419</v>
      </c>
      <c r="B29" s="4">
        <v>385507</v>
      </c>
      <c r="C29" s="4" t="s">
        <v>2846</v>
      </c>
      <c r="D29" s="9">
        <v>195</v>
      </c>
    </row>
    <row r="30" spans="1:4" x14ac:dyDescent="0.25">
      <c r="A30" s="4" t="s">
        <v>1419</v>
      </c>
      <c r="B30" s="4">
        <v>385510</v>
      </c>
      <c r="C30" s="4" t="s">
        <v>2847</v>
      </c>
      <c r="D30" s="9">
        <v>1255</v>
      </c>
    </row>
    <row r="31" spans="1:4" x14ac:dyDescent="0.25">
      <c r="A31" s="4" t="s">
        <v>1419</v>
      </c>
      <c r="B31" s="4">
        <v>385420</v>
      </c>
      <c r="C31" s="4" t="s">
        <v>2848</v>
      </c>
      <c r="D31" s="9">
        <v>2520</v>
      </c>
    </row>
    <row r="32" spans="1:4" x14ac:dyDescent="0.25">
      <c r="A32" s="4" t="s">
        <v>1419</v>
      </c>
      <c r="B32" s="4">
        <v>385513</v>
      </c>
      <c r="C32" s="4" t="s">
        <v>2849</v>
      </c>
      <c r="D32" s="9">
        <v>3000</v>
      </c>
    </row>
    <row r="33" spans="1:4" x14ac:dyDescent="0.25">
      <c r="A33" s="4" t="s">
        <v>1419</v>
      </c>
      <c r="B33" s="4">
        <v>385424</v>
      </c>
      <c r="C33" s="4" t="s">
        <v>2850</v>
      </c>
      <c r="D33" s="9">
        <v>1850</v>
      </c>
    </row>
    <row r="34" spans="1:4" x14ac:dyDescent="0.25">
      <c r="A34" s="4" t="s">
        <v>1419</v>
      </c>
      <c r="B34" s="4">
        <v>385515</v>
      </c>
      <c r="C34" s="4" t="s">
        <v>2851</v>
      </c>
      <c r="D34" s="9">
        <v>3120</v>
      </c>
    </row>
    <row r="35" spans="1:4" x14ac:dyDescent="0.25">
      <c r="A35" s="4" t="s">
        <v>1419</v>
      </c>
      <c r="B35" s="4">
        <v>385516</v>
      </c>
      <c r="C35" s="4" t="s">
        <v>2852</v>
      </c>
      <c r="D35" s="9">
        <v>6330</v>
      </c>
    </row>
    <row r="36" spans="1:4" x14ac:dyDescent="0.25">
      <c r="A36" s="4" t="s">
        <v>1419</v>
      </c>
      <c r="B36" s="4">
        <v>385519</v>
      </c>
      <c r="C36" s="4" t="s">
        <v>2853</v>
      </c>
      <c r="D36" s="9">
        <v>630</v>
      </c>
    </row>
    <row r="37" spans="1:4" x14ac:dyDescent="0.25">
      <c r="A37" s="4" t="s">
        <v>1419</v>
      </c>
      <c r="B37" s="4">
        <v>385520</v>
      </c>
      <c r="C37" s="4" t="s">
        <v>2854</v>
      </c>
      <c r="D37" s="9">
        <v>1170</v>
      </c>
    </row>
    <row r="38" spans="1:4" x14ac:dyDescent="0.25">
      <c r="A38" s="4" t="s">
        <v>1419</v>
      </c>
      <c r="B38" s="4">
        <v>385521</v>
      </c>
      <c r="C38" s="4" t="s">
        <v>2855</v>
      </c>
      <c r="D38" s="9">
        <v>3160</v>
      </c>
    </row>
    <row r="39" spans="1:4" x14ac:dyDescent="0.25">
      <c r="A39" s="4" t="s">
        <v>1419</v>
      </c>
      <c r="B39" s="4">
        <v>385522</v>
      </c>
      <c r="C39" s="4" t="s">
        <v>2856</v>
      </c>
      <c r="D39" s="9">
        <v>2025</v>
      </c>
    </row>
    <row r="40" spans="1:4" x14ac:dyDescent="0.25">
      <c r="A40" s="4" t="s">
        <v>1419</v>
      </c>
      <c r="B40" s="4">
        <v>385427</v>
      </c>
      <c r="C40" s="4" t="s">
        <v>2857</v>
      </c>
      <c r="D40" s="9">
        <v>1140</v>
      </c>
    </row>
    <row r="41" spans="1:4" x14ac:dyDescent="0.25">
      <c r="A41" s="4" t="s">
        <v>1419</v>
      </c>
      <c r="B41" s="4">
        <v>385432</v>
      </c>
      <c r="C41" s="4" t="s">
        <v>2858</v>
      </c>
      <c r="D41" s="9">
        <v>2265</v>
      </c>
    </row>
    <row r="42" spans="1:4" x14ac:dyDescent="0.25">
      <c r="A42" s="4" t="s">
        <v>1419</v>
      </c>
      <c r="B42" s="4">
        <v>385523</v>
      </c>
      <c r="C42" s="4" t="s">
        <v>2859</v>
      </c>
      <c r="D42" s="9">
        <v>2540</v>
      </c>
    </row>
    <row r="43" spans="1:4" x14ac:dyDescent="0.25">
      <c r="A43" s="4" t="s">
        <v>1419</v>
      </c>
      <c r="B43" s="4">
        <v>385499</v>
      </c>
      <c r="C43" s="4" t="s">
        <v>2860</v>
      </c>
      <c r="D43" s="9">
        <v>2275</v>
      </c>
    </row>
    <row r="44" spans="1:4" x14ac:dyDescent="0.25">
      <c r="A44" s="4" t="s">
        <v>1419</v>
      </c>
      <c r="B44" s="4">
        <v>385435</v>
      </c>
      <c r="C44" s="4" t="s">
        <v>2861</v>
      </c>
      <c r="D44" s="9">
        <v>3395</v>
      </c>
    </row>
    <row r="45" spans="1:4" x14ac:dyDescent="0.25">
      <c r="A45" s="4" t="s">
        <v>1419</v>
      </c>
      <c r="B45" s="4">
        <v>385438</v>
      </c>
      <c r="C45" s="4" t="s">
        <v>2862</v>
      </c>
      <c r="D45" s="9">
        <v>4220</v>
      </c>
    </row>
    <row r="46" spans="1:4" x14ac:dyDescent="0.25">
      <c r="A46" s="4" t="s">
        <v>1419</v>
      </c>
      <c r="B46" s="4">
        <v>385524</v>
      </c>
      <c r="C46" s="4" t="s">
        <v>2863</v>
      </c>
      <c r="D46" s="9">
        <v>1020</v>
      </c>
    </row>
    <row r="47" spans="1:4" x14ac:dyDescent="0.25">
      <c r="A47" s="4" t="s">
        <v>1419</v>
      </c>
      <c r="B47" s="4">
        <v>385443</v>
      </c>
      <c r="C47" s="4" t="s">
        <v>2864</v>
      </c>
      <c r="D47" s="9">
        <v>1575</v>
      </c>
    </row>
    <row r="48" spans="1:4" x14ac:dyDescent="0.25">
      <c r="A48" s="4" t="s">
        <v>1419</v>
      </c>
      <c r="B48" s="4">
        <v>385525</v>
      </c>
      <c r="C48" s="4" t="s">
        <v>2865</v>
      </c>
      <c r="D48" s="9">
        <v>8355</v>
      </c>
    </row>
    <row r="49" spans="1:4" x14ac:dyDescent="0.25">
      <c r="A49" s="4" t="s">
        <v>1419</v>
      </c>
      <c r="B49" s="4">
        <v>386351</v>
      </c>
      <c r="C49" s="4" t="s">
        <v>2866</v>
      </c>
      <c r="D49" s="9">
        <v>270</v>
      </c>
    </row>
    <row r="50" spans="1:4" x14ac:dyDescent="0.25">
      <c r="A50" s="4" t="s">
        <v>1419</v>
      </c>
      <c r="B50" s="4">
        <v>386359</v>
      </c>
      <c r="C50" s="4" t="s">
        <v>2867</v>
      </c>
      <c r="D50" s="9">
        <v>540</v>
      </c>
    </row>
    <row r="51" spans="1:4" x14ac:dyDescent="0.25">
      <c r="A51" s="4" t="s">
        <v>1419</v>
      </c>
      <c r="B51" s="4">
        <v>386359</v>
      </c>
      <c r="C51" s="4" t="s">
        <v>2867</v>
      </c>
      <c r="D51" s="9">
        <v>540</v>
      </c>
    </row>
    <row r="52" spans="1:4" x14ac:dyDescent="0.25">
      <c r="A52" s="4" t="s">
        <v>1419</v>
      </c>
      <c r="B52" s="4">
        <v>386362</v>
      </c>
      <c r="C52" s="4" t="s">
        <v>2868</v>
      </c>
      <c r="D52" s="9">
        <v>1080</v>
      </c>
    </row>
    <row r="53" spans="1:4" x14ac:dyDescent="0.25">
      <c r="A53" s="4" t="s">
        <v>1419</v>
      </c>
      <c r="B53" s="4">
        <v>386363</v>
      </c>
      <c r="C53" s="4" t="s">
        <v>2869</v>
      </c>
      <c r="D53" s="9">
        <v>19440</v>
      </c>
    </row>
    <row r="54" spans="1:4" x14ac:dyDescent="0.25">
      <c r="A54" s="4" t="s">
        <v>1419</v>
      </c>
      <c r="B54" s="4">
        <v>386365</v>
      </c>
      <c r="C54" s="4" t="s">
        <v>2870</v>
      </c>
      <c r="D54" s="9">
        <v>25740</v>
      </c>
    </row>
    <row r="55" spans="1:4" x14ac:dyDescent="0.25">
      <c r="A55" s="4" t="s">
        <v>1419</v>
      </c>
      <c r="B55" s="4">
        <v>386366</v>
      </c>
      <c r="C55" s="4" t="s">
        <v>2871</v>
      </c>
      <c r="D55" s="9">
        <v>360</v>
      </c>
    </row>
    <row r="56" spans="1:4" x14ac:dyDescent="0.25">
      <c r="A56" s="4" t="s">
        <v>1419</v>
      </c>
      <c r="B56" s="4">
        <v>386368</v>
      </c>
      <c r="C56" s="4" t="s">
        <v>2872</v>
      </c>
      <c r="D56" s="9">
        <v>180</v>
      </c>
    </row>
    <row r="57" spans="1:4" x14ac:dyDescent="0.25">
      <c r="A57" s="4" t="s">
        <v>1419</v>
      </c>
      <c r="B57" s="4">
        <v>386370</v>
      </c>
      <c r="C57" s="4" t="s">
        <v>2873</v>
      </c>
      <c r="D57" s="9">
        <v>1350</v>
      </c>
    </row>
    <row r="58" spans="1:4" x14ac:dyDescent="0.25">
      <c r="A58" s="4" t="s">
        <v>1419</v>
      </c>
      <c r="B58" s="4">
        <v>386371</v>
      </c>
      <c r="C58" s="4" t="s">
        <v>2874</v>
      </c>
      <c r="D58" s="9">
        <v>3150</v>
      </c>
    </row>
    <row r="59" spans="1:4" x14ac:dyDescent="0.25">
      <c r="A59" s="4" t="s">
        <v>1419</v>
      </c>
      <c r="B59" s="4">
        <v>386372</v>
      </c>
      <c r="C59" s="4" t="s">
        <v>2875</v>
      </c>
      <c r="D59" s="9">
        <v>540</v>
      </c>
    </row>
    <row r="60" spans="1:4" x14ac:dyDescent="0.25">
      <c r="A60" s="4" t="s">
        <v>1419</v>
      </c>
      <c r="B60" s="4">
        <v>386373</v>
      </c>
      <c r="C60" s="4" t="s">
        <v>2876</v>
      </c>
      <c r="D60" s="9">
        <v>630</v>
      </c>
    </row>
    <row r="61" spans="1:4" x14ac:dyDescent="0.25">
      <c r="A61" s="4" t="s">
        <v>1419</v>
      </c>
      <c r="B61" s="4">
        <v>386380</v>
      </c>
      <c r="C61" s="4" t="s">
        <v>2877</v>
      </c>
      <c r="D61" s="9">
        <v>6750</v>
      </c>
    </row>
    <row r="62" spans="1:4" x14ac:dyDescent="0.25">
      <c r="A62" s="4" t="s">
        <v>1419</v>
      </c>
      <c r="B62" s="4">
        <v>386382</v>
      </c>
      <c r="C62" s="4" t="s">
        <v>2878</v>
      </c>
      <c r="D62" s="9">
        <v>180</v>
      </c>
    </row>
    <row r="63" spans="1:4" x14ac:dyDescent="0.25">
      <c r="A63" s="4" t="s">
        <v>1419</v>
      </c>
      <c r="B63" s="4">
        <v>386383</v>
      </c>
      <c r="C63" s="4" t="s">
        <v>2879</v>
      </c>
      <c r="D63" s="9">
        <v>15030</v>
      </c>
    </row>
    <row r="64" spans="1:4" x14ac:dyDescent="0.25">
      <c r="A64" s="4" t="s">
        <v>1419</v>
      </c>
      <c r="B64" s="4">
        <v>386386</v>
      </c>
      <c r="C64" s="4" t="s">
        <v>2880</v>
      </c>
      <c r="D64" s="9">
        <v>90</v>
      </c>
    </row>
    <row r="65" spans="1:4" x14ac:dyDescent="0.25">
      <c r="A65" s="4" t="s">
        <v>1419</v>
      </c>
      <c r="B65" s="4">
        <v>386355</v>
      </c>
      <c r="C65" s="4" t="s">
        <v>2881</v>
      </c>
      <c r="D65" s="9">
        <v>14670</v>
      </c>
    </row>
    <row r="66" spans="1:4" x14ac:dyDescent="0.25">
      <c r="A66" s="4" t="s">
        <v>1419</v>
      </c>
      <c r="B66" s="4">
        <v>386387</v>
      </c>
      <c r="C66" s="4" t="s">
        <v>2882</v>
      </c>
      <c r="D66" s="9">
        <v>90</v>
      </c>
    </row>
    <row r="67" spans="1:4" x14ac:dyDescent="0.25">
      <c r="A67" s="4" t="s">
        <v>1419</v>
      </c>
      <c r="B67" s="4">
        <v>386389</v>
      </c>
      <c r="C67" s="4" t="s">
        <v>2883</v>
      </c>
      <c r="D67" s="9">
        <v>5220</v>
      </c>
    </row>
    <row r="68" spans="1:4" x14ac:dyDescent="0.25">
      <c r="A68" s="4" t="s">
        <v>1419</v>
      </c>
      <c r="B68" s="4">
        <v>386393</v>
      </c>
      <c r="C68" s="4" t="s">
        <v>2884</v>
      </c>
      <c r="D68" s="9">
        <v>2700</v>
      </c>
    </row>
    <row r="69" spans="1:4" x14ac:dyDescent="0.25">
      <c r="A69" s="4" t="s">
        <v>1419</v>
      </c>
      <c r="B69" s="4">
        <v>386394</v>
      </c>
      <c r="C69" s="4" t="s">
        <v>2885</v>
      </c>
      <c r="D69" s="9">
        <v>900</v>
      </c>
    </row>
    <row r="70" spans="1:4" x14ac:dyDescent="0.25">
      <c r="A70" s="4" t="s">
        <v>1419</v>
      </c>
      <c r="B70" s="4">
        <v>386398</v>
      </c>
      <c r="C70" s="4" t="s">
        <v>2886</v>
      </c>
      <c r="D70" s="9">
        <v>27360</v>
      </c>
    </row>
    <row r="71" spans="1:4" x14ac:dyDescent="0.25">
      <c r="A71" s="4" t="s">
        <v>180</v>
      </c>
      <c r="B71" s="4">
        <v>383295</v>
      </c>
      <c r="C71" s="4" t="s">
        <v>2913</v>
      </c>
      <c r="D71" s="9">
        <v>1690</v>
      </c>
    </row>
    <row r="72" spans="1:4" x14ac:dyDescent="0.25">
      <c r="A72" s="4" t="s">
        <v>180</v>
      </c>
      <c r="B72" s="4">
        <v>386288</v>
      </c>
      <c r="C72" s="4" t="s">
        <v>2892</v>
      </c>
      <c r="D72" s="9">
        <v>7800</v>
      </c>
    </row>
    <row r="73" spans="1:4" x14ac:dyDescent="0.25">
      <c r="A73" s="4" t="s">
        <v>715</v>
      </c>
      <c r="B73" s="4">
        <v>386643</v>
      </c>
      <c r="C73" s="4" t="s">
        <v>2914</v>
      </c>
      <c r="D73" s="9">
        <v>1395</v>
      </c>
    </row>
    <row r="74" spans="1:4" x14ac:dyDescent="0.25">
      <c r="A74" s="4" t="s">
        <v>1948</v>
      </c>
      <c r="B74" s="4">
        <v>385229</v>
      </c>
      <c r="C74" s="4" t="s">
        <v>2893</v>
      </c>
      <c r="D74" s="9">
        <v>10750</v>
      </c>
    </row>
    <row r="75" spans="1:4" x14ac:dyDescent="0.25">
      <c r="A75" s="4" t="s">
        <v>315</v>
      </c>
      <c r="B75" s="4">
        <v>387948</v>
      </c>
      <c r="C75" s="4" t="s">
        <v>2915</v>
      </c>
      <c r="D75" s="9">
        <v>8480</v>
      </c>
    </row>
    <row r="76" spans="1:4" x14ac:dyDescent="0.25">
      <c r="A76" s="4" t="s">
        <v>315</v>
      </c>
      <c r="B76" s="4">
        <v>387948</v>
      </c>
      <c r="C76" s="4" t="s">
        <v>2916</v>
      </c>
      <c r="D76" s="9">
        <v>58640</v>
      </c>
    </row>
    <row r="77" spans="1:4" x14ac:dyDescent="0.25">
      <c r="A77" s="4" t="s">
        <v>315</v>
      </c>
      <c r="B77" s="4">
        <v>379326</v>
      </c>
      <c r="C77" s="4" t="s">
        <v>2917</v>
      </c>
      <c r="D77" s="9">
        <v>1980</v>
      </c>
    </row>
    <row r="78" spans="1:4" x14ac:dyDescent="0.25">
      <c r="A78" s="4" t="s">
        <v>995</v>
      </c>
      <c r="B78" s="4">
        <v>383798</v>
      </c>
      <c r="C78" s="4" t="s">
        <v>2836</v>
      </c>
      <c r="D78" s="9">
        <v>72425</v>
      </c>
    </row>
    <row r="79" spans="1:4" x14ac:dyDescent="0.25">
      <c r="A79" s="4" t="s">
        <v>995</v>
      </c>
      <c r="B79" s="4">
        <v>381734</v>
      </c>
      <c r="C79" s="4" t="s">
        <v>2918</v>
      </c>
      <c r="D79" s="9">
        <v>25685</v>
      </c>
    </row>
    <row r="80" spans="1:4" x14ac:dyDescent="0.25">
      <c r="A80" s="4" t="s">
        <v>995</v>
      </c>
      <c r="B80" s="4">
        <v>381734</v>
      </c>
      <c r="C80" s="4" t="s">
        <v>2919</v>
      </c>
      <c r="D80" s="9">
        <v>19791</v>
      </c>
    </row>
    <row r="81" spans="1:4" x14ac:dyDescent="0.25">
      <c r="A81" s="4" t="s">
        <v>52</v>
      </c>
      <c r="B81" s="4">
        <v>379599</v>
      </c>
      <c r="C81" s="4" t="s">
        <v>2774</v>
      </c>
      <c r="D81" s="9">
        <v>1140</v>
      </c>
    </row>
    <row r="82" spans="1:4" x14ac:dyDescent="0.25">
      <c r="A82" s="4" t="s">
        <v>241</v>
      </c>
      <c r="B82" s="4">
        <v>382027</v>
      </c>
      <c r="C82" s="4" t="s">
        <v>2920</v>
      </c>
      <c r="D82" s="9">
        <v>17544</v>
      </c>
    </row>
    <row r="83" spans="1:4" x14ac:dyDescent="0.25">
      <c r="A83" s="4" t="s">
        <v>241</v>
      </c>
      <c r="B83" s="4">
        <v>382034</v>
      </c>
      <c r="C83" s="4" t="s">
        <v>2921</v>
      </c>
      <c r="D83" s="9">
        <v>795</v>
      </c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SUM(D2:D10,D12:D83)</f>
        <v>724543</v>
      </c>
    </row>
    <row r="93" spans="1:4" x14ac:dyDescent="0.25">
      <c r="C93" s="31" t="s">
        <v>2501</v>
      </c>
      <c r="D93" s="32">
        <f>SUM(D11)</f>
        <v>18635</v>
      </c>
    </row>
    <row r="94" spans="1:4" x14ac:dyDescent="0.25">
      <c r="C94" s="31" t="s">
        <v>83</v>
      </c>
      <c r="D94" s="32">
        <f>SUM(D92:D93)</f>
        <v>743178</v>
      </c>
    </row>
  </sheetData>
  <printOptions horizontalCentered="1"/>
  <pageMargins left="0.7" right="0.7" top="1.25" bottom="0.75" header="0.3" footer="0.3"/>
  <pageSetup paperSize="17" scale="11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A594-DC7E-4433-8367-F0E2909C77D7}">
  <dimension ref="A1:D94"/>
  <sheetViews>
    <sheetView view="pageBreakPreview" zoomScaleNormal="100" zoomScaleSheetLayoutView="100" workbookViewId="0">
      <selection activeCell="I9" sqref="I9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388066</v>
      </c>
      <c r="C2" s="4" t="s">
        <v>2900</v>
      </c>
      <c r="D2" s="9">
        <v>1395</v>
      </c>
    </row>
    <row r="3" spans="1:4" x14ac:dyDescent="0.25">
      <c r="A3" s="4" t="s">
        <v>7</v>
      </c>
      <c r="B3" s="4">
        <v>388021</v>
      </c>
      <c r="C3" s="4" t="s">
        <v>2901</v>
      </c>
      <c r="D3" s="9">
        <v>2163</v>
      </c>
    </row>
    <row r="4" spans="1:4" x14ac:dyDescent="0.25">
      <c r="A4" s="4" t="s">
        <v>256</v>
      </c>
      <c r="B4" s="4">
        <v>377034</v>
      </c>
      <c r="C4" s="4" t="s">
        <v>2701</v>
      </c>
      <c r="D4" s="9">
        <v>130</v>
      </c>
    </row>
    <row r="5" spans="1:4" x14ac:dyDescent="0.25">
      <c r="A5" s="4" t="s">
        <v>192</v>
      </c>
      <c r="B5" s="4">
        <v>384285</v>
      </c>
      <c r="C5" s="4" t="s">
        <v>2804</v>
      </c>
      <c r="D5" s="9">
        <v>3295</v>
      </c>
    </row>
    <row r="6" spans="1:4" x14ac:dyDescent="0.25">
      <c r="A6" s="4" t="s">
        <v>2831</v>
      </c>
      <c r="B6" s="4">
        <v>385832</v>
      </c>
      <c r="C6" s="4" t="s">
        <v>2832</v>
      </c>
      <c r="D6" s="9">
        <v>18546</v>
      </c>
    </row>
    <row r="7" spans="1:4" x14ac:dyDescent="0.25">
      <c r="A7" s="4" t="s">
        <v>2831</v>
      </c>
      <c r="B7" s="4">
        <v>388284</v>
      </c>
      <c r="C7" s="4" t="s">
        <v>2922</v>
      </c>
      <c r="D7" s="9">
        <v>13819</v>
      </c>
    </row>
    <row r="8" spans="1:4" x14ac:dyDescent="0.25">
      <c r="A8" s="4" t="s">
        <v>2831</v>
      </c>
      <c r="B8" s="4">
        <v>388533</v>
      </c>
      <c r="C8" s="4" t="s">
        <v>2923</v>
      </c>
      <c r="D8" s="9">
        <v>2365</v>
      </c>
    </row>
    <row r="9" spans="1:4" x14ac:dyDescent="0.25">
      <c r="A9" s="4" t="s">
        <v>2831</v>
      </c>
      <c r="B9" s="4">
        <v>388536</v>
      </c>
      <c r="C9" s="4" t="s">
        <v>2924</v>
      </c>
      <c r="D9" s="9">
        <v>1106</v>
      </c>
    </row>
    <row r="10" spans="1:4" x14ac:dyDescent="0.25">
      <c r="A10" s="4" t="s">
        <v>175</v>
      </c>
      <c r="B10" s="4">
        <v>381785</v>
      </c>
      <c r="C10" s="4" t="s">
        <v>2833</v>
      </c>
      <c r="D10" s="9">
        <v>128955</v>
      </c>
    </row>
    <row r="11" spans="1:4" x14ac:dyDescent="0.25">
      <c r="A11" s="4" t="s">
        <v>26</v>
      </c>
      <c r="B11" s="4">
        <v>378962</v>
      </c>
      <c r="C11" s="4" t="s">
        <v>2907</v>
      </c>
      <c r="D11" s="9">
        <v>250</v>
      </c>
    </row>
    <row r="12" spans="1:4" x14ac:dyDescent="0.25">
      <c r="A12" s="4" t="s">
        <v>26</v>
      </c>
      <c r="B12" s="4">
        <v>378961</v>
      </c>
      <c r="C12" s="4" t="s">
        <v>2908</v>
      </c>
      <c r="D12" s="9">
        <v>175</v>
      </c>
    </row>
    <row r="13" spans="1:4" x14ac:dyDescent="0.25">
      <c r="A13" s="4" t="s">
        <v>26</v>
      </c>
      <c r="B13" s="4">
        <v>378960</v>
      </c>
      <c r="C13" s="4" t="s">
        <v>2909</v>
      </c>
      <c r="D13" s="9">
        <v>95</v>
      </c>
    </row>
    <row r="14" spans="1:4" x14ac:dyDescent="0.25">
      <c r="A14" s="4" t="s">
        <v>26</v>
      </c>
      <c r="B14" s="4">
        <v>386432</v>
      </c>
      <c r="C14" s="4" t="s">
        <v>2910</v>
      </c>
      <c r="D14" s="9">
        <v>750</v>
      </c>
    </row>
    <row r="15" spans="1:4" x14ac:dyDescent="0.25">
      <c r="A15" s="4" t="s">
        <v>26</v>
      </c>
      <c r="B15" s="4">
        <v>386169</v>
      </c>
      <c r="C15" s="4" t="s">
        <v>2911</v>
      </c>
      <c r="D15" s="9">
        <v>1390</v>
      </c>
    </row>
    <row r="16" spans="1:4" x14ac:dyDescent="0.25">
      <c r="A16" s="4" t="s">
        <v>330</v>
      </c>
      <c r="B16" s="4">
        <v>379297</v>
      </c>
      <c r="C16" s="4" t="s">
        <v>2797</v>
      </c>
      <c r="D16" s="9">
        <v>1035</v>
      </c>
    </row>
    <row r="17" spans="1:4" x14ac:dyDescent="0.25">
      <c r="A17" s="4" t="s">
        <v>1419</v>
      </c>
      <c r="B17" s="4">
        <v>386379</v>
      </c>
      <c r="C17" s="4" t="s">
        <v>2837</v>
      </c>
      <c r="D17" s="9">
        <v>14400</v>
      </c>
    </row>
    <row r="18" spans="1:4" x14ac:dyDescent="0.25">
      <c r="A18" s="4" t="s">
        <v>1419</v>
      </c>
      <c r="B18" s="4">
        <v>385412</v>
      </c>
      <c r="C18" s="4" t="s">
        <v>2838</v>
      </c>
      <c r="D18" s="9">
        <v>11850</v>
      </c>
    </row>
    <row r="19" spans="1:4" x14ac:dyDescent="0.25">
      <c r="A19" s="4" t="s">
        <v>1419</v>
      </c>
      <c r="B19" s="4">
        <v>385416</v>
      </c>
      <c r="C19" s="4" t="s">
        <v>2839</v>
      </c>
      <c r="D19" s="9">
        <v>960</v>
      </c>
    </row>
    <row r="20" spans="1:4" x14ac:dyDescent="0.25">
      <c r="A20" s="4" t="s">
        <v>1419</v>
      </c>
      <c r="B20" s="4">
        <v>385501</v>
      </c>
      <c r="C20" s="4" t="s">
        <v>2840</v>
      </c>
      <c r="D20" s="9">
        <v>600</v>
      </c>
    </row>
    <row r="21" spans="1:4" x14ac:dyDescent="0.25">
      <c r="A21" s="4" t="s">
        <v>1419</v>
      </c>
      <c r="B21" s="4">
        <v>385503</v>
      </c>
      <c r="C21" s="4" t="s">
        <v>2841</v>
      </c>
      <c r="D21" s="9">
        <v>1890</v>
      </c>
    </row>
    <row r="22" spans="1:4" x14ac:dyDescent="0.25">
      <c r="A22" s="4" t="s">
        <v>1419</v>
      </c>
      <c r="B22" s="4">
        <v>385504</v>
      </c>
      <c r="C22" s="4" t="s">
        <v>2842</v>
      </c>
      <c r="D22" s="9">
        <v>6460</v>
      </c>
    </row>
    <row r="23" spans="1:4" x14ac:dyDescent="0.25">
      <c r="A23" s="4" t="s">
        <v>1419</v>
      </c>
      <c r="B23" s="4">
        <v>385505</v>
      </c>
      <c r="C23" s="4" t="s">
        <v>2843</v>
      </c>
      <c r="D23" s="9">
        <v>3485</v>
      </c>
    </row>
    <row r="24" spans="1:4" x14ac:dyDescent="0.25">
      <c r="A24" s="4" t="s">
        <v>1419</v>
      </c>
      <c r="B24" s="4">
        <v>385448</v>
      </c>
      <c r="C24" s="4" t="s">
        <v>2844</v>
      </c>
      <c r="D24" s="9">
        <v>10640</v>
      </c>
    </row>
    <row r="25" spans="1:4" x14ac:dyDescent="0.25">
      <c r="A25" s="4" t="s">
        <v>1419</v>
      </c>
      <c r="B25" s="4">
        <v>385506</v>
      </c>
      <c r="C25" s="4" t="s">
        <v>2845</v>
      </c>
      <c r="D25" s="9">
        <v>4760</v>
      </c>
    </row>
    <row r="26" spans="1:4" x14ac:dyDescent="0.25">
      <c r="A26" s="4" t="s">
        <v>1419</v>
      </c>
      <c r="B26" s="4">
        <v>385507</v>
      </c>
      <c r="C26" s="4" t="s">
        <v>2846</v>
      </c>
      <c r="D26" s="9">
        <v>195</v>
      </c>
    </row>
    <row r="27" spans="1:4" x14ac:dyDescent="0.25">
      <c r="A27" s="4" t="s">
        <v>1419</v>
      </c>
      <c r="B27" s="4">
        <v>385510</v>
      </c>
      <c r="C27" s="4" t="s">
        <v>2847</v>
      </c>
      <c r="D27" s="9">
        <v>1255</v>
      </c>
    </row>
    <row r="28" spans="1:4" x14ac:dyDescent="0.25">
      <c r="A28" s="4" t="s">
        <v>1419</v>
      </c>
      <c r="B28" s="4">
        <v>385420</v>
      </c>
      <c r="C28" s="4" t="s">
        <v>2848</v>
      </c>
      <c r="D28" s="9">
        <v>2520</v>
      </c>
    </row>
    <row r="29" spans="1:4" x14ac:dyDescent="0.25">
      <c r="A29" s="4" t="s">
        <v>1419</v>
      </c>
      <c r="B29" s="4">
        <v>385513</v>
      </c>
      <c r="C29" s="4" t="s">
        <v>2849</v>
      </c>
      <c r="D29" s="9">
        <v>3000</v>
      </c>
    </row>
    <row r="30" spans="1:4" x14ac:dyDescent="0.25">
      <c r="A30" s="4" t="s">
        <v>1419</v>
      </c>
      <c r="B30" s="4">
        <v>385424</v>
      </c>
      <c r="C30" s="4" t="s">
        <v>2850</v>
      </c>
      <c r="D30" s="9">
        <v>1850</v>
      </c>
    </row>
    <row r="31" spans="1:4" x14ac:dyDescent="0.25">
      <c r="A31" s="4" t="s">
        <v>1419</v>
      </c>
      <c r="B31" s="4">
        <v>385515</v>
      </c>
      <c r="C31" s="4" t="s">
        <v>2851</v>
      </c>
      <c r="D31" s="9">
        <v>3120</v>
      </c>
    </row>
    <row r="32" spans="1:4" x14ac:dyDescent="0.25">
      <c r="A32" s="4" t="s">
        <v>1419</v>
      </c>
      <c r="B32" s="4">
        <v>385516</v>
      </c>
      <c r="C32" s="4" t="s">
        <v>2852</v>
      </c>
      <c r="D32" s="9">
        <v>6330</v>
      </c>
    </row>
    <row r="33" spans="1:4" x14ac:dyDescent="0.25">
      <c r="A33" s="4" t="s">
        <v>1419</v>
      </c>
      <c r="B33" s="4">
        <v>385519</v>
      </c>
      <c r="C33" s="4" t="s">
        <v>2853</v>
      </c>
      <c r="D33" s="9">
        <v>630</v>
      </c>
    </row>
    <row r="34" spans="1:4" x14ac:dyDescent="0.25">
      <c r="A34" s="4" t="s">
        <v>1419</v>
      </c>
      <c r="B34" s="4">
        <v>385520</v>
      </c>
      <c r="C34" s="4" t="s">
        <v>2854</v>
      </c>
      <c r="D34" s="9">
        <v>1170</v>
      </c>
    </row>
    <row r="35" spans="1:4" x14ac:dyDescent="0.25">
      <c r="A35" s="4" t="s">
        <v>1419</v>
      </c>
      <c r="B35" s="4">
        <v>385521</v>
      </c>
      <c r="C35" s="4" t="s">
        <v>2855</v>
      </c>
      <c r="D35" s="9">
        <v>3160</v>
      </c>
    </row>
    <row r="36" spans="1:4" x14ac:dyDescent="0.25">
      <c r="A36" s="4" t="s">
        <v>1419</v>
      </c>
      <c r="B36" s="4">
        <v>385522</v>
      </c>
      <c r="C36" s="4" t="s">
        <v>2856</v>
      </c>
      <c r="D36" s="9">
        <v>2025</v>
      </c>
    </row>
    <row r="37" spans="1:4" x14ac:dyDescent="0.25">
      <c r="A37" s="4" t="s">
        <v>1419</v>
      </c>
      <c r="B37" s="4">
        <v>385427</v>
      </c>
      <c r="C37" s="4" t="s">
        <v>2857</v>
      </c>
      <c r="D37" s="9">
        <v>1140</v>
      </c>
    </row>
    <row r="38" spans="1:4" x14ac:dyDescent="0.25">
      <c r="A38" s="4" t="s">
        <v>1419</v>
      </c>
      <c r="B38" s="4">
        <v>385432</v>
      </c>
      <c r="C38" s="4" t="s">
        <v>2858</v>
      </c>
      <c r="D38" s="9">
        <v>2265</v>
      </c>
    </row>
    <row r="39" spans="1:4" x14ac:dyDescent="0.25">
      <c r="A39" s="4" t="s">
        <v>1419</v>
      </c>
      <c r="B39" s="4">
        <v>385523</v>
      </c>
      <c r="C39" s="4" t="s">
        <v>2859</v>
      </c>
      <c r="D39" s="9">
        <v>2540</v>
      </c>
    </row>
    <row r="40" spans="1:4" x14ac:dyDescent="0.25">
      <c r="A40" s="4" t="s">
        <v>1419</v>
      </c>
      <c r="B40" s="4">
        <v>385499</v>
      </c>
      <c r="C40" s="4" t="s">
        <v>2860</v>
      </c>
      <c r="D40" s="9">
        <v>2275</v>
      </c>
    </row>
    <row r="41" spans="1:4" x14ac:dyDescent="0.25">
      <c r="A41" s="4" t="s">
        <v>1419</v>
      </c>
      <c r="B41" s="4">
        <v>385435</v>
      </c>
      <c r="C41" s="4" t="s">
        <v>2861</v>
      </c>
      <c r="D41" s="9">
        <v>3395</v>
      </c>
    </row>
    <row r="42" spans="1:4" x14ac:dyDescent="0.25">
      <c r="A42" s="4" t="s">
        <v>1419</v>
      </c>
      <c r="B42" s="4">
        <v>385438</v>
      </c>
      <c r="C42" s="4" t="s">
        <v>2862</v>
      </c>
      <c r="D42" s="9">
        <v>4220</v>
      </c>
    </row>
    <row r="43" spans="1:4" x14ac:dyDescent="0.25">
      <c r="A43" s="4" t="s">
        <v>1419</v>
      </c>
      <c r="B43" s="4">
        <v>385524</v>
      </c>
      <c r="C43" s="4" t="s">
        <v>2863</v>
      </c>
      <c r="D43" s="9">
        <v>1020</v>
      </c>
    </row>
    <row r="44" spans="1:4" x14ac:dyDescent="0.25">
      <c r="A44" s="4" t="s">
        <v>1419</v>
      </c>
      <c r="B44" s="4">
        <v>385443</v>
      </c>
      <c r="C44" s="4" t="s">
        <v>2864</v>
      </c>
      <c r="D44" s="9">
        <v>1575</v>
      </c>
    </row>
    <row r="45" spans="1:4" x14ac:dyDescent="0.25">
      <c r="A45" s="4" t="s">
        <v>1419</v>
      </c>
      <c r="B45" s="4">
        <v>385525</v>
      </c>
      <c r="C45" s="4" t="s">
        <v>2865</v>
      </c>
      <c r="D45" s="9">
        <v>8355</v>
      </c>
    </row>
    <row r="46" spans="1:4" x14ac:dyDescent="0.25">
      <c r="A46" s="4" t="s">
        <v>1419</v>
      </c>
      <c r="B46" s="4">
        <v>386351</v>
      </c>
      <c r="C46" s="4" t="s">
        <v>2866</v>
      </c>
      <c r="D46" s="9">
        <v>270</v>
      </c>
    </row>
    <row r="47" spans="1:4" x14ac:dyDescent="0.25">
      <c r="A47" s="4" t="s">
        <v>1419</v>
      </c>
      <c r="B47" s="4">
        <v>386359</v>
      </c>
      <c r="C47" s="4" t="s">
        <v>2867</v>
      </c>
      <c r="D47" s="9">
        <v>540</v>
      </c>
    </row>
    <row r="48" spans="1:4" x14ac:dyDescent="0.25">
      <c r="A48" s="4" t="s">
        <v>1419</v>
      </c>
      <c r="B48" s="4">
        <v>386359</v>
      </c>
      <c r="C48" s="4" t="s">
        <v>2867</v>
      </c>
      <c r="D48" s="9">
        <v>540</v>
      </c>
    </row>
    <row r="49" spans="1:4" x14ac:dyDescent="0.25">
      <c r="A49" s="4" t="s">
        <v>1419</v>
      </c>
      <c r="B49" s="4">
        <v>386362</v>
      </c>
      <c r="C49" s="4" t="s">
        <v>2868</v>
      </c>
      <c r="D49" s="9">
        <v>1080</v>
      </c>
    </row>
    <row r="50" spans="1:4" x14ac:dyDescent="0.25">
      <c r="A50" s="4" t="s">
        <v>1419</v>
      </c>
      <c r="B50" s="4">
        <v>388543</v>
      </c>
      <c r="C50" s="4" t="s">
        <v>2925</v>
      </c>
      <c r="D50" s="9">
        <v>19260</v>
      </c>
    </row>
    <row r="51" spans="1:4" x14ac:dyDescent="0.25">
      <c r="A51" s="4" t="s">
        <v>1419</v>
      </c>
      <c r="B51" s="4">
        <v>386365</v>
      </c>
      <c r="C51" s="4" t="s">
        <v>2870</v>
      </c>
      <c r="D51" s="9">
        <v>25740</v>
      </c>
    </row>
    <row r="52" spans="1:4" x14ac:dyDescent="0.25">
      <c r="A52" s="4" t="s">
        <v>1419</v>
      </c>
      <c r="B52" s="4">
        <v>386366</v>
      </c>
      <c r="C52" s="4" t="s">
        <v>2871</v>
      </c>
      <c r="D52" s="9">
        <v>360</v>
      </c>
    </row>
    <row r="53" spans="1:4" x14ac:dyDescent="0.25">
      <c r="A53" s="4" t="s">
        <v>1419</v>
      </c>
      <c r="B53" s="4">
        <v>386368</v>
      </c>
      <c r="C53" s="4" t="s">
        <v>2872</v>
      </c>
      <c r="D53" s="9">
        <v>180</v>
      </c>
    </row>
    <row r="54" spans="1:4" x14ac:dyDescent="0.25">
      <c r="A54" s="4" t="s">
        <v>1419</v>
      </c>
      <c r="B54" s="4">
        <v>386370</v>
      </c>
      <c r="C54" s="4" t="s">
        <v>2873</v>
      </c>
      <c r="D54" s="9">
        <v>1350</v>
      </c>
    </row>
    <row r="55" spans="1:4" x14ac:dyDescent="0.25">
      <c r="A55" s="4" t="s">
        <v>1419</v>
      </c>
      <c r="B55" s="4">
        <v>386371</v>
      </c>
      <c r="C55" s="4" t="s">
        <v>2874</v>
      </c>
      <c r="D55" s="9">
        <v>3150</v>
      </c>
    </row>
    <row r="56" spans="1:4" x14ac:dyDescent="0.25">
      <c r="A56" s="4" t="s">
        <v>1419</v>
      </c>
      <c r="B56" s="4">
        <v>386372</v>
      </c>
      <c r="C56" s="4" t="s">
        <v>2875</v>
      </c>
      <c r="D56" s="9">
        <v>540</v>
      </c>
    </row>
    <row r="57" spans="1:4" x14ac:dyDescent="0.25">
      <c r="A57" s="4" t="s">
        <v>1419</v>
      </c>
      <c r="B57" s="4">
        <v>386373</v>
      </c>
      <c r="C57" s="4" t="s">
        <v>2876</v>
      </c>
      <c r="D57" s="9">
        <v>630</v>
      </c>
    </row>
    <row r="58" spans="1:4" x14ac:dyDescent="0.25">
      <c r="A58" s="4" t="s">
        <v>1419</v>
      </c>
      <c r="B58" s="4">
        <v>386380</v>
      </c>
      <c r="C58" s="4" t="s">
        <v>2877</v>
      </c>
      <c r="D58" s="9">
        <v>6750</v>
      </c>
    </row>
    <row r="59" spans="1:4" x14ac:dyDescent="0.25">
      <c r="A59" s="4" t="s">
        <v>1419</v>
      </c>
      <c r="B59" s="4">
        <v>386382</v>
      </c>
      <c r="C59" s="4" t="s">
        <v>2878</v>
      </c>
      <c r="D59" s="9">
        <v>180</v>
      </c>
    </row>
    <row r="60" spans="1:4" x14ac:dyDescent="0.25">
      <c r="A60" s="4" t="s">
        <v>1419</v>
      </c>
      <c r="B60" s="4">
        <v>386383</v>
      </c>
      <c r="C60" s="4" t="s">
        <v>2879</v>
      </c>
      <c r="D60" s="9">
        <v>15030</v>
      </c>
    </row>
    <row r="61" spans="1:4" x14ac:dyDescent="0.25">
      <c r="A61" s="4" t="s">
        <v>1419</v>
      </c>
      <c r="B61" s="4">
        <v>386386</v>
      </c>
      <c r="C61" s="4" t="s">
        <v>2880</v>
      </c>
      <c r="D61" s="9">
        <v>90</v>
      </c>
    </row>
    <row r="62" spans="1:4" x14ac:dyDescent="0.25">
      <c r="A62" s="4" t="s">
        <v>1419</v>
      </c>
      <c r="B62" s="4">
        <v>386355</v>
      </c>
      <c r="C62" s="4" t="s">
        <v>2881</v>
      </c>
      <c r="D62" s="9">
        <v>14670</v>
      </c>
    </row>
    <row r="63" spans="1:4" x14ac:dyDescent="0.25">
      <c r="A63" s="4" t="s">
        <v>1419</v>
      </c>
      <c r="B63" s="4">
        <v>386387</v>
      </c>
      <c r="C63" s="4" t="s">
        <v>2882</v>
      </c>
      <c r="D63" s="9">
        <v>90</v>
      </c>
    </row>
    <row r="64" spans="1:4" x14ac:dyDescent="0.25">
      <c r="A64" s="4" t="s">
        <v>1419</v>
      </c>
      <c r="B64" s="4">
        <v>386389</v>
      </c>
      <c r="C64" s="4" t="s">
        <v>2883</v>
      </c>
      <c r="D64" s="9">
        <v>5220</v>
      </c>
    </row>
    <row r="65" spans="1:4" x14ac:dyDescent="0.25">
      <c r="A65" s="4" t="s">
        <v>1419</v>
      </c>
      <c r="B65" s="4">
        <v>386393</v>
      </c>
      <c r="C65" s="4" t="s">
        <v>2884</v>
      </c>
      <c r="D65" s="9">
        <v>2700</v>
      </c>
    </row>
    <row r="66" spans="1:4" x14ac:dyDescent="0.25">
      <c r="A66" s="4" t="s">
        <v>1419</v>
      </c>
      <c r="B66" s="4">
        <v>386394</v>
      </c>
      <c r="C66" s="4" t="s">
        <v>2885</v>
      </c>
      <c r="D66" s="9">
        <v>900</v>
      </c>
    </row>
    <row r="67" spans="1:4" x14ac:dyDescent="0.25">
      <c r="A67" s="4" t="s">
        <v>1419</v>
      </c>
      <c r="B67" s="4">
        <v>386398</v>
      </c>
      <c r="C67" s="4" t="s">
        <v>2886</v>
      </c>
      <c r="D67" s="9">
        <v>27360</v>
      </c>
    </row>
    <row r="68" spans="1:4" x14ac:dyDescent="0.25">
      <c r="A68" s="4" t="s">
        <v>180</v>
      </c>
      <c r="B68" s="4">
        <v>383295</v>
      </c>
      <c r="C68" s="4" t="s">
        <v>2913</v>
      </c>
      <c r="D68" s="9">
        <v>1690</v>
      </c>
    </row>
    <row r="69" spans="1:4" x14ac:dyDescent="0.25">
      <c r="A69" s="4" t="s">
        <v>180</v>
      </c>
      <c r="B69" s="4">
        <v>386288</v>
      </c>
      <c r="C69" s="4" t="s">
        <v>2892</v>
      </c>
      <c r="D69" s="9">
        <v>7800</v>
      </c>
    </row>
    <row r="70" spans="1:4" x14ac:dyDescent="0.25">
      <c r="A70" s="4" t="s">
        <v>715</v>
      </c>
      <c r="B70" s="4">
        <v>386643</v>
      </c>
      <c r="C70" s="4" t="s">
        <v>2914</v>
      </c>
      <c r="D70" s="9">
        <v>1395</v>
      </c>
    </row>
    <row r="71" spans="1:4" x14ac:dyDescent="0.25">
      <c r="A71" s="4" t="s">
        <v>315</v>
      </c>
      <c r="B71" s="4">
        <v>379326</v>
      </c>
      <c r="C71" s="4" t="s">
        <v>2917</v>
      </c>
      <c r="D71" s="9">
        <v>1980</v>
      </c>
    </row>
    <row r="72" spans="1:4" x14ac:dyDescent="0.25">
      <c r="A72" s="4" t="s">
        <v>995</v>
      </c>
      <c r="B72" s="4">
        <v>383798</v>
      </c>
      <c r="C72" s="4" t="s">
        <v>2836</v>
      </c>
      <c r="D72" s="9">
        <v>72425</v>
      </c>
    </row>
    <row r="73" spans="1:4" x14ac:dyDescent="0.25">
      <c r="A73" s="4" t="s">
        <v>995</v>
      </c>
      <c r="B73" s="4">
        <v>381734</v>
      </c>
      <c r="C73" s="4" t="s">
        <v>2918</v>
      </c>
      <c r="D73" s="9">
        <v>25685</v>
      </c>
    </row>
    <row r="74" spans="1:4" x14ac:dyDescent="0.25">
      <c r="A74" s="4" t="s">
        <v>995</v>
      </c>
      <c r="B74" s="4">
        <v>381734</v>
      </c>
      <c r="C74" s="4" t="s">
        <v>2919</v>
      </c>
      <c r="D74" s="9">
        <v>19791</v>
      </c>
    </row>
    <row r="75" spans="1:4" x14ac:dyDescent="0.25">
      <c r="A75" s="4" t="s">
        <v>52</v>
      </c>
      <c r="B75" s="4">
        <v>379599</v>
      </c>
      <c r="C75" s="4" t="s">
        <v>2774</v>
      </c>
      <c r="D75" s="9">
        <v>1140</v>
      </c>
    </row>
    <row r="76" spans="1:4" x14ac:dyDescent="0.25">
      <c r="A76" s="4" t="s">
        <v>2831</v>
      </c>
      <c r="B76" s="4">
        <v>388283</v>
      </c>
      <c r="C76" s="4" t="s">
        <v>2926</v>
      </c>
      <c r="D76" s="9">
        <v>3864</v>
      </c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SUM(D2:D5,D10:D75)</f>
        <v>505254</v>
      </c>
    </row>
    <row r="93" spans="1:4" x14ac:dyDescent="0.25">
      <c r="C93" s="31" t="s">
        <v>2501</v>
      </c>
      <c r="D93" s="32">
        <f>SUM(D6:D9,D76)</f>
        <v>39700</v>
      </c>
    </row>
    <row r="94" spans="1:4" x14ac:dyDescent="0.25">
      <c r="C94" s="31" t="s">
        <v>83</v>
      </c>
      <c r="D94" s="32">
        <f>SUM(D92:D93)</f>
        <v>544954</v>
      </c>
    </row>
  </sheetData>
  <printOptions horizontalCentered="1"/>
  <pageMargins left="0.7" right="0.7" top="1.25" bottom="0.75" header="0.3" footer="0.3"/>
  <pageSetup paperSize="17" scale="108" orientation="landscape" r:id="rId1"/>
  <headerFooter>
    <oddHeader>&amp;C&amp;"Arial Black,Regular"&amp;14SALES REPORT
&amp;10APPROVED WORK AWAITING SCHEDULE</oddHeader>
    <oddFooter>&amp;L&amp;8&amp;Z&amp;F&amp;R&amp;8&amp;D</oddFooter>
  </headerFooter>
  <rowBreaks count="1" manualBreakCount="1">
    <brk id="39" max="3" man="1"/>
  </rowBreaks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0ABE-A6B4-41A3-B433-BD8D30E75326}">
  <dimension ref="A1:D94"/>
  <sheetViews>
    <sheetView view="pageBreakPreview" topLeftCell="A57" zoomScaleNormal="100" zoomScaleSheetLayoutView="100" workbookViewId="0">
      <selection activeCell="C96" sqref="C96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388066</v>
      </c>
      <c r="C2" s="4" t="s">
        <v>2927</v>
      </c>
      <c r="D2" s="9">
        <v>1395</v>
      </c>
    </row>
    <row r="3" spans="1:4" x14ac:dyDescent="0.25">
      <c r="A3" s="4" t="s">
        <v>7</v>
      </c>
      <c r="B3" s="4">
        <v>388021</v>
      </c>
      <c r="C3" s="4" t="s">
        <v>2928</v>
      </c>
      <c r="D3" s="9">
        <v>2163</v>
      </c>
    </row>
    <row r="4" spans="1:4" x14ac:dyDescent="0.25">
      <c r="A4" s="4" t="s">
        <v>256</v>
      </c>
      <c r="B4" s="4">
        <v>377034</v>
      </c>
      <c r="C4" s="4" t="s">
        <v>2929</v>
      </c>
      <c r="D4" s="9">
        <v>130</v>
      </c>
    </row>
    <row r="5" spans="1:4" x14ac:dyDescent="0.25">
      <c r="A5" s="4" t="s">
        <v>192</v>
      </c>
      <c r="B5" s="4">
        <v>384285</v>
      </c>
      <c r="C5" s="4" t="s">
        <v>2804</v>
      </c>
      <c r="D5" s="9">
        <v>3295</v>
      </c>
    </row>
    <row r="6" spans="1:4" x14ac:dyDescent="0.25">
      <c r="A6" s="4" t="s">
        <v>143</v>
      </c>
      <c r="B6" s="4">
        <v>389013</v>
      </c>
      <c r="C6" s="4" t="s">
        <v>2930</v>
      </c>
      <c r="D6" s="9">
        <v>85</v>
      </c>
    </row>
    <row r="7" spans="1:4" x14ac:dyDescent="0.25">
      <c r="A7" s="4" t="s">
        <v>2831</v>
      </c>
      <c r="B7" s="4">
        <v>388536</v>
      </c>
      <c r="C7" s="4" t="s">
        <v>2924</v>
      </c>
      <c r="D7" s="9">
        <v>1106</v>
      </c>
    </row>
    <row r="8" spans="1:4" x14ac:dyDescent="0.25">
      <c r="A8" s="4" t="s">
        <v>26</v>
      </c>
      <c r="B8" s="4">
        <v>388566</v>
      </c>
      <c r="C8" s="4" t="s">
        <v>2931</v>
      </c>
      <c r="D8" s="9">
        <v>89</v>
      </c>
    </row>
    <row r="9" spans="1:4" x14ac:dyDescent="0.25">
      <c r="A9" s="4" t="s">
        <v>26</v>
      </c>
      <c r="B9" s="4">
        <v>386169</v>
      </c>
      <c r="C9" s="4" t="s">
        <v>2932</v>
      </c>
      <c r="D9" s="9">
        <v>1390</v>
      </c>
    </row>
    <row r="10" spans="1:4" x14ac:dyDescent="0.25">
      <c r="A10" s="4" t="s">
        <v>330</v>
      </c>
      <c r="B10" s="4">
        <v>379297</v>
      </c>
      <c r="C10" s="4" t="s">
        <v>2797</v>
      </c>
      <c r="D10" s="9">
        <v>1035</v>
      </c>
    </row>
    <row r="11" spans="1:4" x14ac:dyDescent="0.25">
      <c r="A11" s="4" t="s">
        <v>1419</v>
      </c>
      <c r="B11" s="4">
        <v>386379</v>
      </c>
      <c r="C11" s="4" t="s">
        <v>2837</v>
      </c>
      <c r="D11" s="9">
        <v>14400</v>
      </c>
    </row>
    <row r="12" spans="1:4" x14ac:dyDescent="0.25">
      <c r="A12" s="4" t="s">
        <v>1419</v>
      </c>
      <c r="B12" s="4">
        <v>386607</v>
      </c>
      <c r="C12" s="4" t="s">
        <v>2933</v>
      </c>
      <c r="D12" s="9">
        <v>17300</v>
      </c>
    </row>
    <row r="13" spans="1:4" x14ac:dyDescent="0.25">
      <c r="A13" s="4" t="s">
        <v>1419</v>
      </c>
      <c r="B13" s="4">
        <v>385412</v>
      </c>
      <c r="C13" s="4" t="s">
        <v>2838</v>
      </c>
      <c r="D13" s="9">
        <v>11850</v>
      </c>
    </row>
    <row r="14" spans="1:4" x14ac:dyDescent="0.25">
      <c r="A14" s="4" t="s">
        <v>1419</v>
      </c>
      <c r="B14" s="4">
        <v>385416</v>
      </c>
      <c r="C14" s="4" t="s">
        <v>2839</v>
      </c>
      <c r="D14" s="9">
        <v>960</v>
      </c>
    </row>
    <row r="15" spans="1:4" x14ac:dyDescent="0.25">
      <c r="A15" s="4" t="s">
        <v>1419</v>
      </c>
      <c r="B15" s="4">
        <v>385501</v>
      </c>
      <c r="C15" s="4" t="s">
        <v>2840</v>
      </c>
      <c r="D15" s="9">
        <v>600</v>
      </c>
    </row>
    <row r="16" spans="1:4" x14ac:dyDescent="0.25">
      <c r="A16" s="4" t="s">
        <v>1419</v>
      </c>
      <c r="B16" s="4">
        <v>385503</v>
      </c>
      <c r="C16" s="4" t="s">
        <v>2841</v>
      </c>
      <c r="D16" s="9">
        <v>1890</v>
      </c>
    </row>
    <row r="17" spans="1:4" x14ac:dyDescent="0.25">
      <c r="A17" s="4" t="s">
        <v>1419</v>
      </c>
      <c r="B17" s="4">
        <v>385504</v>
      </c>
      <c r="C17" s="4" t="s">
        <v>2842</v>
      </c>
      <c r="D17" s="9">
        <v>6460</v>
      </c>
    </row>
    <row r="18" spans="1:4" x14ac:dyDescent="0.25">
      <c r="A18" s="4" t="s">
        <v>1419</v>
      </c>
      <c r="B18" s="4">
        <v>385505</v>
      </c>
      <c r="C18" s="4" t="s">
        <v>2843</v>
      </c>
      <c r="D18" s="9">
        <v>3485</v>
      </c>
    </row>
    <row r="19" spans="1:4" x14ac:dyDescent="0.25">
      <c r="A19" s="4" t="s">
        <v>1419</v>
      </c>
      <c r="B19" s="4">
        <v>385448</v>
      </c>
      <c r="C19" s="4" t="s">
        <v>2844</v>
      </c>
      <c r="D19" s="9">
        <v>10640</v>
      </c>
    </row>
    <row r="20" spans="1:4" x14ac:dyDescent="0.25">
      <c r="A20" s="4" t="s">
        <v>1419</v>
      </c>
      <c r="B20" s="4">
        <v>385506</v>
      </c>
      <c r="C20" s="4" t="s">
        <v>2845</v>
      </c>
      <c r="D20" s="9">
        <v>4760</v>
      </c>
    </row>
    <row r="21" spans="1:4" x14ac:dyDescent="0.25">
      <c r="A21" s="4" t="s">
        <v>1419</v>
      </c>
      <c r="B21" s="4">
        <v>385507</v>
      </c>
      <c r="C21" s="4" t="s">
        <v>2846</v>
      </c>
      <c r="D21" s="9">
        <v>195</v>
      </c>
    </row>
    <row r="22" spans="1:4" x14ac:dyDescent="0.25">
      <c r="A22" s="4" t="s">
        <v>1419</v>
      </c>
      <c r="B22" s="4">
        <v>385510</v>
      </c>
      <c r="C22" s="4" t="s">
        <v>2847</v>
      </c>
      <c r="D22" s="9">
        <v>1255</v>
      </c>
    </row>
    <row r="23" spans="1:4" x14ac:dyDescent="0.25">
      <c r="A23" s="4" t="s">
        <v>1419</v>
      </c>
      <c r="B23" s="4">
        <v>385420</v>
      </c>
      <c r="C23" s="4" t="s">
        <v>2848</v>
      </c>
      <c r="D23" s="9">
        <v>2520</v>
      </c>
    </row>
    <row r="24" spans="1:4" x14ac:dyDescent="0.25">
      <c r="A24" s="4" t="s">
        <v>1419</v>
      </c>
      <c r="B24" s="4">
        <v>385513</v>
      </c>
      <c r="C24" s="4" t="s">
        <v>2849</v>
      </c>
      <c r="D24" s="9">
        <v>3000</v>
      </c>
    </row>
    <row r="25" spans="1:4" x14ac:dyDescent="0.25">
      <c r="A25" s="4" t="s">
        <v>1419</v>
      </c>
      <c r="B25" s="4">
        <v>385424</v>
      </c>
      <c r="C25" s="4" t="s">
        <v>2850</v>
      </c>
      <c r="D25" s="9">
        <v>1850</v>
      </c>
    </row>
    <row r="26" spans="1:4" x14ac:dyDescent="0.25">
      <c r="A26" s="4" t="s">
        <v>1419</v>
      </c>
      <c r="B26" s="4">
        <v>385515</v>
      </c>
      <c r="C26" s="4" t="s">
        <v>2851</v>
      </c>
      <c r="D26" s="9">
        <v>3120</v>
      </c>
    </row>
    <row r="27" spans="1:4" x14ac:dyDescent="0.25">
      <c r="A27" s="4" t="s">
        <v>1419</v>
      </c>
      <c r="B27" s="4">
        <v>385516</v>
      </c>
      <c r="C27" s="4" t="s">
        <v>2852</v>
      </c>
      <c r="D27" s="9">
        <v>6330</v>
      </c>
    </row>
    <row r="28" spans="1:4" x14ac:dyDescent="0.25">
      <c r="A28" s="4" t="s">
        <v>1419</v>
      </c>
      <c r="B28" s="4">
        <v>385519</v>
      </c>
      <c r="C28" s="4" t="s">
        <v>2853</v>
      </c>
      <c r="D28" s="9">
        <v>630</v>
      </c>
    </row>
    <row r="29" spans="1:4" x14ac:dyDescent="0.25">
      <c r="A29" s="4" t="s">
        <v>1419</v>
      </c>
      <c r="B29" s="4">
        <v>385520</v>
      </c>
      <c r="C29" s="4" t="s">
        <v>2854</v>
      </c>
      <c r="D29" s="9">
        <v>1170</v>
      </c>
    </row>
    <row r="30" spans="1:4" x14ac:dyDescent="0.25">
      <c r="A30" s="4" t="s">
        <v>1419</v>
      </c>
      <c r="B30" s="4">
        <v>385521</v>
      </c>
      <c r="C30" s="4" t="s">
        <v>2855</v>
      </c>
      <c r="D30" s="9">
        <v>3160</v>
      </c>
    </row>
    <row r="31" spans="1:4" x14ac:dyDescent="0.25">
      <c r="A31" s="4" t="s">
        <v>1419</v>
      </c>
      <c r="B31" s="4">
        <v>385522</v>
      </c>
      <c r="C31" s="4" t="s">
        <v>2856</v>
      </c>
      <c r="D31" s="9">
        <v>2025</v>
      </c>
    </row>
    <row r="32" spans="1:4" x14ac:dyDescent="0.25">
      <c r="A32" s="4" t="s">
        <v>1419</v>
      </c>
      <c r="B32" s="4">
        <v>385427</v>
      </c>
      <c r="C32" s="4" t="s">
        <v>2857</v>
      </c>
      <c r="D32" s="9">
        <v>1140</v>
      </c>
    </row>
    <row r="33" spans="1:4" x14ac:dyDescent="0.25">
      <c r="A33" s="4" t="s">
        <v>1419</v>
      </c>
      <c r="B33" s="4">
        <v>385432</v>
      </c>
      <c r="C33" s="4" t="s">
        <v>2858</v>
      </c>
      <c r="D33" s="9">
        <v>2265</v>
      </c>
    </row>
    <row r="34" spans="1:4" x14ac:dyDescent="0.25">
      <c r="A34" s="4" t="s">
        <v>1419</v>
      </c>
      <c r="B34" s="4">
        <v>385523</v>
      </c>
      <c r="C34" s="4" t="s">
        <v>2859</v>
      </c>
      <c r="D34" s="9">
        <v>2540</v>
      </c>
    </row>
    <row r="35" spans="1:4" x14ac:dyDescent="0.25">
      <c r="A35" s="4" t="s">
        <v>1419</v>
      </c>
      <c r="B35" s="4">
        <v>385499</v>
      </c>
      <c r="C35" s="4" t="s">
        <v>2860</v>
      </c>
      <c r="D35" s="9">
        <v>2275</v>
      </c>
    </row>
    <row r="36" spans="1:4" x14ac:dyDescent="0.25">
      <c r="A36" s="4" t="s">
        <v>1419</v>
      </c>
      <c r="B36" s="4">
        <v>385435</v>
      </c>
      <c r="C36" s="4" t="s">
        <v>2861</v>
      </c>
      <c r="D36" s="9">
        <v>3395</v>
      </c>
    </row>
    <row r="37" spans="1:4" x14ac:dyDescent="0.25">
      <c r="A37" s="4" t="s">
        <v>1419</v>
      </c>
      <c r="B37" s="4">
        <v>385438</v>
      </c>
      <c r="C37" s="4" t="s">
        <v>2862</v>
      </c>
      <c r="D37" s="9">
        <v>4220</v>
      </c>
    </row>
    <row r="38" spans="1:4" x14ac:dyDescent="0.25">
      <c r="A38" s="4" t="s">
        <v>1419</v>
      </c>
      <c r="B38" s="4">
        <v>385524</v>
      </c>
      <c r="C38" s="4" t="s">
        <v>2863</v>
      </c>
      <c r="D38" s="9">
        <v>1020</v>
      </c>
    </row>
    <row r="39" spans="1:4" x14ac:dyDescent="0.25">
      <c r="A39" s="4" t="s">
        <v>1419</v>
      </c>
      <c r="B39" s="4">
        <v>385443</v>
      </c>
      <c r="C39" s="4" t="s">
        <v>2864</v>
      </c>
      <c r="D39" s="9">
        <v>1575</v>
      </c>
    </row>
    <row r="40" spans="1:4" x14ac:dyDescent="0.25">
      <c r="A40" s="4" t="s">
        <v>1419</v>
      </c>
      <c r="B40" s="4">
        <v>385525</v>
      </c>
      <c r="C40" s="4" t="s">
        <v>2865</v>
      </c>
      <c r="D40" s="9">
        <v>8355</v>
      </c>
    </row>
    <row r="41" spans="1:4" x14ac:dyDescent="0.25">
      <c r="A41" s="4" t="s">
        <v>1419</v>
      </c>
      <c r="B41" s="4">
        <v>386351</v>
      </c>
      <c r="C41" s="4" t="s">
        <v>2866</v>
      </c>
      <c r="D41" s="9">
        <v>270</v>
      </c>
    </row>
    <row r="42" spans="1:4" x14ac:dyDescent="0.25">
      <c r="A42" s="4" t="s">
        <v>1419</v>
      </c>
      <c r="B42" s="4">
        <v>386359</v>
      </c>
      <c r="C42" s="4" t="s">
        <v>2867</v>
      </c>
      <c r="D42" s="9">
        <v>540</v>
      </c>
    </row>
    <row r="43" spans="1:4" x14ac:dyDescent="0.25">
      <c r="A43" s="4" t="s">
        <v>1419</v>
      </c>
      <c r="B43" s="4">
        <v>386359</v>
      </c>
      <c r="C43" s="4" t="s">
        <v>2867</v>
      </c>
      <c r="D43" s="9">
        <v>540</v>
      </c>
    </row>
    <row r="44" spans="1:4" x14ac:dyDescent="0.25">
      <c r="A44" s="4" t="s">
        <v>1419</v>
      </c>
      <c r="B44" s="4">
        <v>386362</v>
      </c>
      <c r="C44" s="4" t="s">
        <v>2868</v>
      </c>
      <c r="D44" s="9">
        <v>1080</v>
      </c>
    </row>
    <row r="45" spans="1:4" x14ac:dyDescent="0.25">
      <c r="A45" s="4" t="s">
        <v>1419</v>
      </c>
      <c r="B45" s="4">
        <v>388543</v>
      </c>
      <c r="C45" s="4" t="s">
        <v>2925</v>
      </c>
      <c r="D45" s="9">
        <v>19260</v>
      </c>
    </row>
    <row r="46" spans="1:4" x14ac:dyDescent="0.25">
      <c r="A46" s="4" t="s">
        <v>1419</v>
      </c>
      <c r="B46" s="4">
        <v>386365</v>
      </c>
      <c r="C46" s="4" t="s">
        <v>2870</v>
      </c>
      <c r="D46" s="9">
        <v>25740</v>
      </c>
    </row>
    <row r="47" spans="1:4" x14ac:dyDescent="0.25">
      <c r="A47" s="4" t="s">
        <v>1419</v>
      </c>
      <c r="B47" s="4">
        <v>386366</v>
      </c>
      <c r="C47" s="4" t="s">
        <v>2871</v>
      </c>
      <c r="D47" s="9">
        <v>360</v>
      </c>
    </row>
    <row r="48" spans="1:4" x14ac:dyDescent="0.25">
      <c r="A48" s="4" t="s">
        <v>1419</v>
      </c>
      <c r="B48" s="4">
        <v>386368</v>
      </c>
      <c r="C48" s="4" t="s">
        <v>2872</v>
      </c>
      <c r="D48" s="9">
        <v>180</v>
      </c>
    </row>
    <row r="49" spans="1:4" x14ac:dyDescent="0.25">
      <c r="A49" s="4" t="s">
        <v>1419</v>
      </c>
      <c r="B49" s="4">
        <v>386370</v>
      </c>
      <c r="C49" s="4" t="s">
        <v>2873</v>
      </c>
      <c r="D49" s="9">
        <v>1350</v>
      </c>
    </row>
    <row r="50" spans="1:4" x14ac:dyDescent="0.25">
      <c r="A50" s="4" t="s">
        <v>1419</v>
      </c>
      <c r="B50" s="4">
        <v>386371</v>
      </c>
      <c r="C50" s="4" t="s">
        <v>2874</v>
      </c>
      <c r="D50" s="9">
        <v>3150</v>
      </c>
    </row>
    <row r="51" spans="1:4" x14ac:dyDescent="0.25">
      <c r="A51" s="4" t="s">
        <v>1419</v>
      </c>
      <c r="B51" s="4">
        <v>386372</v>
      </c>
      <c r="C51" s="4" t="s">
        <v>2875</v>
      </c>
      <c r="D51" s="9">
        <v>540</v>
      </c>
    </row>
    <row r="52" spans="1:4" x14ac:dyDescent="0.25">
      <c r="A52" s="4" t="s">
        <v>1419</v>
      </c>
      <c r="B52" s="4">
        <v>386373</v>
      </c>
      <c r="C52" s="4" t="s">
        <v>2876</v>
      </c>
      <c r="D52" s="9">
        <v>630</v>
      </c>
    </row>
    <row r="53" spans="1:4" x14ac:dyDescent="0.25">
      <c r="A53" s="4" t="s">
        <v>1419</v>
      </c>
      <c r="B53" s="4">
        <v>386380</v>
      </c>
      <c r="C53" s="4" t="s">
        <v>2877</v>
      </c>
      <c r="D53" s="9">
        <v>6750</v>
      </c>
    </row>
    <row r="54" spans="1:4" x14ac:dyDescent="0.25">
      <c r="A54" s="4" t="s">
        <v>1419</v>
      </c>
      <c r="B54" s="4">
        <v>386382</v>
      </c>
      <c r="C54" s="4" t="s">
        <v>2878</v>
      </c>
      <c r="D54" s="9">
        <v>180</v>
      </c>
    </row>
    <row r="55" spans="1:4" x14ac:dyDescent="0.25">
      <c r="A55" s="4" t="s">
        <v>1419</v>
      </c>
      <c r="B55" s="4">
        <v>386383</v>
      </c>
      <c r="C55" s="4" t="s">
        <v>2879</v>
      </c>
      <c r="D55" s="9">
        <v>15030</v>
      </c>
    </row>
    <row r="56" spans="1:4" x14ac:dyDescent="0.25">
      <c r="A56" s="4" t="s">
        <v>1419</v>
      </c>
      <c r="B56" s="4">
        <v>386386</v>
      </c>
      <c r="C56" s="4" t="s">
        <v>2880</v>
      </c>
      <c r="D56" s="9">
        <v>90</v>
      </c>
    </row>
    <row r="57" spans="1:4" x14ac:dyDescent="0.25">
      <c r="A57" s="4" t="s">
        <v>1419</v>
      </c>
      <c r="B57" s="4">
        <v>386355</v>
      </c>
      <c r="C57" s="4" t="s">
        <v>2881</v>
      </c>
      <c r="D57" s="9">
        <v>14670</v>
      </c>
    </row>
    <row r="58" spans="1:4" x14ac:dyDescent="0.25">
      <c r="A58" s="4" t="s">
        <v>1419</v>
      </c>
      <c r="B58" s="4">
        <v>386387</v>
      </c>
      <c r="C58" s="4" t="s">
        <v>2882</v>
      </c>
      <c r="D58" s="9">
        <v>90</v>
      </c>
    </row>
    <row r="59" spans="1:4" x14ac:dyDescent="0.25">
      <c r="A59" s="4" t="s">
        <v>1419</v>
      </c>
      <c r="B59" s="4">
        <v>386389</v>
      </c>
      <c r="C59" s="4" t="s">
        <v>2883</v>
      </c>
      <c r="D59" s="9">
        <v>5220</v>
      </c>
    </row>
    <row r="60" spans="1:4" x14ac:dyDescent="0.25">
      <c r="A60" s="4" t="s">
        <v>1419</v>
      </c>
      <c r="B60" s="4">
        <v>386393</v>
      </c>
      <c r="C60" s="4" t="s">
        <v>2884</v>
      </c>
      <c r="D60" s="9">
        <v>2700</v>
      </c>
    </row>
    <row r="61" spans="1:4" x14ac:dyDescent="0.25">
      <c r="A61" s="4" t="s">
        <v>1419</v>
      </c>
      <c r="B61" s="4">
        <v>386394</v>
      </c>
      <c r="C61" s="4" t="s">
        <v>2885</v>
      </c>
      <c r="D61" s="9">
        <v>900</v>
      </c>
    </row>
    <row r="62" spans="1:4" x14ac:dyDescent="0.25">
      <c r="A62" s="4" t="s">
        <v>1419</v>
      </c>
      <c r="B62" s="4">
        <v>386398</v>
      </c>
      <c r="C62" s="4" t="s">
        <v>2886</v>
      </c>
      <c r="D62" s="9">
        <v>27360</v>
      </c>
    </row>
    <row r="63" spans="1:4" x14ac:dyDescent="0.25">
      <c r="A63" s="4" t="s">
        <v>1419</v>
      </c>
      <c r="B63" s="4">
        <v>388532</v>
      </c>
      <c r="C63" s="4" t="s">
        <v>2934</v>
      </c>
      <c r="D63" s="9">
        <v>315</v>
      </c>
    </row>
    <row r="64" spans="1:4" x14ac:dyDescent="0.25">
      <c r="A64" s="4" t="s">
        <v>1252</v>
      </c>
      <c r="B64" s="4">
        <v>388510</v>
      </c>
      <c r="C64" s="4" t="s">
        <v>2935</v>
      </c>
      <c r="D64" s="9">
        <v>66</v>
      </c>
    </row>
    <row r="65" spans="1:4" x14ac:dyDescent="0.25">
      <c r="A65" s="4" t="s">
        <v>180</v>
      </c>
      <c r="B65" s="4">
        <v>383295</v>
      </c>
      <c r="C65" s="4" t="s">
        <v>2936</v>
      </c>
      <c r="D65" s="9">
        <v>1690</v>
      </c>
    </row>
    <row r="66" spans="1:4" x14ac:dyDescent="0.25">
      <c r="A66" s="4" t="s">
        <v>180</v>
      </c>
      <c r="B66" s="4">
        <v>386288</v>
      </c>
      <c r="C66" s="4" t="s">
        <v>2937</v>
      </c>
      <c r="D66" s="9">
        <v>7800</v>
      </c>
    </row>
    <row r="67" spans="1:4" x14ac:dyDescent="0.25">
      <c r="A67" s="4" t="s">
        <v>32</v>
      </c>
      <c r="B67" s="4">
        <v>385294</v>
      </c>
      <c r="C67" s="4" t="s">
        <v>2938</v>
      </c>
      <c r="D67" s="9">
        <v>10130</v>
      </c>
    </row>
    <row r="68" spans="1:4" x14ac:dyDescent="0.25">
      <c r="A68" s="4" t="s">
        <v>34</v>
      </c>
      <c r="B68" s="4">
        <v>385558</v>
      </c>
      <c r="C68" s="4" t="s">
        <v>2939</v>
      </c>
      <c r="D68" s="9">
        <v>1983</v>
      </c>
    </row>
    <row r="69" spans="1:4" x14ac:dyDescent="0.25">
      <c r="A69" s="4" t="s">
        <v>315</v>
      </c>
      <c r="B69" s="4">
        <v>387937</v>
      </c>
      <c r="C69" s="4" t="s">
        <v>2940</v>
      </c>
      <c r="D69" s="9">
        <v>845</v>
      </c>
    </row>
    <row r="70" spans="1:4" x14ac:dyDescent="0.25">
      <c r="A70" s="4" t="s">
        <v>315</v>
      </c>
      <c r="B70" s="4">
        <v>379210</v>
      </c>
      <c r="C70" s="4" t="s">
        <v>2941</v>
      </c>
      <c r="D70" s="9">
        <v>1035</v>
      </c>
    </row>
    <row r="71" spans="1:4" x14ac:dyDescent="0.25">
      <c r="A71" s="4" t="s">
        <v>832</v>
      </c>
      <c r="B71" s="4">
        <v>388606</v>
      </c>
      <c r="C71" s="4" t="s">
        <v>2942</v>
      </c>
      <c r="D71" s="9">
        <v>257</v>
      </c>
    </row>
    <row r="72" spans="1:4" x14ac:dyDescent="0.25">
      <c r="A72" s="4" t="s">
        <v>832</v>
      </c>
      <c r="B72" s="4">
        <v>384799</v>
      </c>
      <c r="C72" s="4" t="s">
        <v>2943</v>
      </c>
      <c r="D72" s="9">
        <v>15120</v>
      </c>
    </row>
    <row r="73" spans="1:4" x14ac:dyDescent="0.25">
      <c r="A73" s="4" t="s">
        <v>832</v>
      </c>
      <c r="B73" s="4">
        <v>388297</v>
      </c>
      <c r="C73" s="4" t="s">
        <v>2944</v>
      </c>
      <c r="D73" s="9">
        <v>250</v>
      </c>
    </row>
    <row r="74" spans="1:4" x14ac:dyDescent="0.25">
      <c r="A74" s="4" t="s">
        <v>832</v>
      </c>
      <c r="B74" s="4">
        <v>384778</v>
      </c>
      <c r="C74" s="4" t="s">
        <v>2945</v>
      </c>
      <c r="D74" s="9">
        <v>395</v>
      </c>
    </row>
    <row r="75" spans="1:4" x14ac:dyDescent="0.25">
      <c r="A75" s="4" t="s">
        <v>832</v>
      </c>
      <c r="B75" s="4">
        <v>384808</v>
      </c>
      <c r="C75" s="4" t="s">
        <v>2946</v>
      </c>
      <c r="D75" s="9">
        <v>18370</v>
      </c>
    </row>
    <row r="76" spans="1:4" x14ac:dyDescent="0.25">
      <c r="A76" s="4" t="s">
        <v>832</v>
      </c>
      <c r="B76" s="4">
        <v>388595</v>
      </c>
      <c r="C76" s="4" t="s">
        <v>2947</v>
      </c>
      <c r="D76" s="9">
        <v>1190</v>
      </c>
    </row>
    <row r="77" spans="1:4" x14ac:dyDescent="0.25">
      <c r="A77" s="4" t="s">
        <v>832</v>
      </c>
      <c r="B77" s="4">
        <v>384799</v>
      </c>
      <c r="C77" s="4" t="s">
        <v>2948</v>
      </c>
      <c r="D77" s="9">
        <v>13940</v>
      </c>
    </row>
    <row r="78" spans="1:4" x14ac:dyDescent="0.25">
      <c r="A78" s="4" t="s">
        <v>832</v>
      </c>
      <c r="B78" s="4">
        <v>384799</v>
      </c>
      <c r="C78" s="4" t="s">
        <v>2949</v>
      </c>
      <c r="D78" s="9">
        <v>17995</v>
      </c>
    </row>
    <row r="79" spans="1:4" x14ac:dyDescent="0.25">
      <c r="A79" s="4" t="s">
        <v>1891</v>
      </c>
      <c r="B79" s="4">
        <v>379313</v>
      </c>
      <c r="C79" s="4" t="s">
        <v>2950</v>
      </c>
      <c r="D79" s="9">
        <v>2500</v>
      </c>
    </row>
    <row r="80" spans="1:4" x14ac:dyDescent="0.25">
      <c r="A80" s="4" t="s">
        <v>995</v>
      </c>
      <c r="B80" s="4">
        <v>383798</v>
      </c>
      <c r="C80" s="4" t="s">
        <v>2951</v>
      </c>
      <c r="D80" s="9">
        <v>72425</v>
      </c>
    </row>
    <row r="81" spans="1:4" x14ac:dyDescent="0.25">
      <c r="A81" s="4" t="s">
        <v>995</v>
      </c>
      <c r="B81" s="4">
        <v>381734</v>
      </c>
      <c r="C81" s="4" t="s">
        <v>2952</v>
      </c>
      <c r="D81" s="9">
        <v>25685</v>
      </c>
    </row>
    <row r="82" spans="1:4" x14ac:dyDescent="0.25">
      <c r="A82" s="4" t="s">
        <v>995</v>
      </c>
      <c r="B82" s="4">
        <v>381734</v>
      </c>
      <c r="C82" s="4" t="s">
        <v>2953</v>
      </c>
      <c r="D82" s="9">
        <v>19791</v>
      </c>
    </row>
    <row r="83" spans="1:4" x14ac:dyDescent="0.25">
      <c r="A83" s="4" t="s">
        <v>52</v>
      </c>
      <c r="B83" s="4">
        <v>379599</v>
      </c>
      <c r="C83" s="4" t="s">
        <v>2954</v>
      </c>
      <c r="D83" s="9">
        <v>1140</v>
      </c>
    </row>
    <row r="84" spans="1:4" x14ac:dyDescent="0.25">
      <c r="A84" s="4" t="s">
        <v>2831</v>
      </c>
      <c r="B84" s="4">
        <v>389167</v>
      </c>
      <c r="C84" s="4" t="s">
        <v>2955</v>
      </c>
      <c r="D84" s="9">
        <v>7450</v>
      </c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SUM(D2:D6,D8:D83)</f>
        <v>473519</v>
      </c>
    </row>
    <row r="93" spans="1:4" x14ac:dyDescent="0.25">
      <c r="C93" s="31" t="s">
        <v>2501</v>
      </c>
      <c r="D93" s="32">
        <f>SUM(D7,D84)</f>
        <v>8556</v>
      </c>
    </row>
    <row r="94" spans="1:4" x14ac:dyDescent="0.25">
      <c r="C94" s="31" t="s">
        <v>83</v>
      </c>
      <c r="D94" s="32">
        <f>SUM(D92:D93)</f>
        <v>482075</v>
      </c>
    </row>
  </sheetData>
  <printOptions horizontalCentered="1"/>
  <pageMargins left="0.7" right="0.7" top="1.25" bottom="0.75" header="0.3" footer="0.3"/>
  <pageSetup paperSize="17" scale="119" orientation="landscape" r:id="rId1"/>
  <headerFooter>
    <oddHeader>&amp;C&amp;"Arial Black,Regular"&amp;14SALES REPORT
&amp;10APPROVED WORK AWAITING SCHEDULE</oddHeader>
    <oddFooter>&amp;L&amp;8&amp;Z&amp;F&amp;R&amp;8&amp;D</oddFooter>
  </headerFooter>
  <rowBreaks count="1" manualBreakCount="1">
    <brk id="37" max="3" man="1"/>
  </rowBreaks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2B34-0AA6-4123-BF88-F24DE4B66ECD}">
  <dimension ref="A1:D94"/>
  <sheetViews>
    <sheetView view="pageBreakPreview" topLeftCell="A56" zoomScaleNormal="100" zoomScaleSheetLayoutView="100" workbookViewId="0">
      <selection activeCell="H93" sqref="H93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388066</v>
      </c>
      <c r="C2" s="4" t="s">
        <v>2927</v>
      </c>
      <c r="D2" s="9">
        <v>1395</v>
      </c>
    </row>
    <row r="3" spans="1:4" x14ac:dyDescent="0.25">
      <c r="A3" s="4" t="s">
        <v>7</v>
      </c>
      <c r="B3" s="4">
        <v>388021</v>
      </c>
      <c r="C3" s="4" t="s">
        <v>2928</v>
      </c>
      <c r="D3" s="9">
        <v>2163</v>
      </c>
    </row>
    <row r="4" spans="1:4" x14ac:dyDescent="0.25">
      <c r="A4" s="4" t="s">
        <v>256</v>
      </c>
      <c r="B4" s="4">
        <v>377034</v>
      </c>
      <c r="C4" s="4" t="s">
        <v>2929</v>
      </c>
      <c r="D4" s="9">
        <v>130</v>
      </c>
    </row>
    <row r="5" spans="1:4" x14ac:dyDescent="0.25">
      <c r="A5" s="4" t="s">
        <v>143</v>
      </c>
      <c r="B5" s="4">
        <v>389013</v>
      </c>
      <c r="C5" s="4" t="s">
        <v>2930</v>
      </c>
      <c r="D5" s="9">
        <v>85</v>
      </c>
    </row>
    <row r="6" spans="1:4" x14ac:dyDescent="0.25">
      <c r="A6" s="4" t="s">
        <v>13</v>
      </c>
      <c r="B6" s="4">
        <v>389173</v>
      </c>
      <c r="C6" s="4" t="s">
        <v>2956</v>
      </c>
      <c r="D6" s="9">
        <v>36630</v>
      </c>
    </row>
    <row r="7" spans="1:4" x14ac:dyDescent="0.25">
      <c r="A7" s="4" t="s">
        <v>26</v>
      </c>
      <c r="B7" s="4">
        <v>388566</v>
      </c>
      <c r="C7" s="4" t="s">
        <v>2931</v>
      </c>
      <c r="D7" s="9">
        <v>89</v>
      </c>
    </row>
    <row r="8" spans="1:4" x14ac:dyDescent="0.25">
      <c r="A8" s="4" t="s">
        <v>26</v>
      </c>
      <c r="B8" s="4">
        <v>386169</v>
      </c>
      <c r="C8" s="4" t="s">
        <v>2932</v>
      </c>
      <c r="D8" s="9">
        <v>1390</v>
      </c>
    </row>
    <row r="9" spans="1:4" x14ac:dyDescent="0.25">
      <c r="A9" s="4" t="s">
        <v>330</v>
      </c>
      <c r="B9" s="4">
        <v>379297</v>
      </c>
      <c r="C9" s="4" t="s">
        <v>2797</v>
      </c>
      <c r="D9" s="9">
        <v>1035</v>
      </c>
    </row>
    <row r="10" spans="1:4" x14ac:dyDescent="0.25">
      <c r="A10" s="4" t="s">
        <v>1419</v>
      </c>
      <c r="B10" s="4">
        <v>386379</v>
      </c>
      <c r="C10" s="4" t="s">
        <v>2837</v>
      </c>
      <c r="D10" s="9">
        <v>14400</v>
      </c>
    </row>
    <row r="11" spans="1:4" x14ac:dyDescent="0.25">
      <c r="A11" s="4" t="s">
        <v>1419</v>
      </c>
      <c r="B11" s="4">
        <v>386607</v>
      </c>
      <c r="C11" s="4" t="s">
        <v>2933</v>
      </c>
      <c r="D11" s="9">
        <v>17300</v>
      </c>
    </row>
    <row r="12" spans="1:4" x14ac:dyDescent="0.25">
      <c r="A12" s="4" t="s">
        <v>1419</v>
      </c>
      <c r="B12" s="4">
        <v>385412</v>
      </c>
      <c r="C12" s="4" t="s">
        <v>2838</v>
      </c>
      <c r="D12" s="9">
        <v>11850</v>
      </c>
    </row>
    <row r="13" spans="1:4" x14ac:dyDescent="0.25">
      <c r="A13" s="4" t="s">
        <v>1419</v>
      </c>
      <c r="B13" s="4">
        <v>385416</v>
      </c>
      <c r="C13" s="4" t="s">
        <v>2839</v>
      </c>
      <c r="D13" s="9">
        <v>960</v>
      </c>
    </row>
    <row r="14" spans="1:4" x14ac:dyDescent="0.25">
      <c r="A14" s="4" t="s">
        <v>1419</v>
      </c>
      <c r="B14" s="4">
        <v>385501</v>
      </c>
      <c r="C14" s="4" t="s">
        <v>2840</v>
      </c>
      <c r="D14" s="9">
        <v>600</v>
      </c>
    </row>
    <row r="15" spans="1:4" x14ac:dyDescent="0.25">
      <c r="A15" s="4" t="s">
        <v>1419</v>
      </c>
      <c r="B15" s="4">
        <v>385503</v>
      </c>
      <c r="C15" s="4" t="s">
        <v>2841</v>
      </c>
      <c r="D15" s="9">
        <v>1890</v>
      </c>
    </row>
    <row r="16" spans="1:4" x14ac:dyDescent="0.25">
      <c r="A16" s="4" t="s">
        <v>1419</v>
      </c>
      <c r="B16" s="4">
        <v>385504</v>
      </c>
      <c r="C16" s="4" t="s">
        <v>2842</v>
      </c>
      <c r="D16" s="9">
        <v>6460</v>
      </c>
    </row>
    <row r="17" spans="1:4" x14ac:dyDescent="0.25">
      <c r="A17" s="4" t="s">
        <v>1419</v>
      </c>
      <c r="B17" s="4">
        <v>385505</v>
      </c>
      <c r="C17" s="4" t="s">
        <v>2843</v>
      </c>
      <c r="D17" s="9">
        <v>3485</v>
      </c>
    </row>
    <row r="18" spans="1:4" x14ac:dyDescent="0.25">
      <c r="A18" s="4" t="s">
        <v>1419</v>
      </c>
      <c r="B18" s="4">
        <v>385448</v>
      </c>
      <c r="C18" s="4" t="s">
        <v>2844</v>
      </c>
      <c r="D18" s="9">
        <v>10640</v>
      </c>
    </row>
    <row r="19" spans="1:4" x14ac:dyDescent="0.25">
      <c r="A19" s="4" t="s">
        <v>1419</v>
      </c>
      <c r="B19" s="4">
        <v>385506</v>
      </c>
      <c r="C19" s="4" t="s">
        <v>2845</v>
      </c>
      <c r="D19" s="9">
        <v>4760</v>
      </c>
    </row>
    <row r="20" spans="1:4" x14ac:dyDescent="0.25">
      <c r="A20" s="4" t="s">
        <v>1419</v>
      </c>
      <c r="B20" s="4">
        <v>385507</v>
      </c>
      <c r="C20" s="4" t="s">
        <v>2846</v>
      </c>
      <c r="D20" s="9">
        <v>195</v>
      </c>
    </row>
    <row r="21" spans="1:4" x14ac:dyDescent="0.25">
      <c r="A21" s="4" t="s">
        <v>1419</v>
      </c>
      <c r="B21" s="4">
        <v>385510</v>
      </c>
      <c r="C21" s="4" t="s">
        <v>2847</v>
      </c>
      <c r="D21" s="9">
        <v>1255</v>
      </c>
    </row>
    <row r="22" spans="1:4" x14ac:dyDescent="0.25">
      <c r="A22" s="4" t="s">
        <v>1419</v>
      </c>
      <c r="B22" s="4">
        <v>385420</v>
      </c>
      <c r="C22" s="4" t="s">
        <v>2848</v>
      </c>
      <c r="D22" s="9">
        <v>2520</v>
      </c>
    </row>
    <row r="23" spans="1:4" x14ac:dyDescent="0.25">
      <c r="A23" s="4" t="s">
        <v>1419</v>
      </c>
      <c r="B23" s="4">
        <v>385513</v>
      </c>
      <c r="C23" s="4" t="s">
        <v>2849</v>
      </c>
      <c r="D23" s="9">
        <v>3000</v>
      </c>
    </row>
    <row r="24" spans="1:4" x14ac:dyDescent="0.25">
      <c r="A24" s="4" t="s">
        <v>1419</v>
      </c>
      <c r="B24" s="4">
        <v>385424</v>
      </c>
      <c r="C24" s="4" t="s">
        <v>2850</v>
      </c>
      <c r="D24" s="9">
        <v>1850</v>
      </c>
    </row>
    <row r="25" spans="1:4" x14ac:dyDescent="0.25">
      <c r="A25" s="4" t="s">
        <v>1419</v>
      </c>
      <c r="B25" s="4">
        <v>385515</v>
      </c>
      <c r="C25" s="4" t="s">
        <v>2851</v>
      </c>
      <c r="D25" s="9">
        <v>3120</v>
      </c>
    </row>
    <row r="26" spans="1:4" x14ac:dyDescent="0.25">
      <c r="A26" s="4" t="s">
        <v>1419</v>
      </c>
      <c r="B26" s="4">
        <v>385516</v>
      </c>
      <c r="C26" s="4" t="s">
        <v>2852</v>
      </c>
      <c r="D26" s="9">
        <v>6330</v>
      </c>
    </row>
    <row r="27" spans="1:4" x14ac:dyDescent="0.25">
      <c r="A27" s="4" t="s">
        <v>1419</v>
      </c>
      <c r="B27" s="4">
        <v>385519</v>
      </c>
      <c r="C27" s="4" t="s">
        <v>2853</v>
      </c>
      <c r="D27" s="9">
        <v>630</v>
      </c>
    </row>
    <row r="28" spans="1:4" x14ac:dyDescent="0.25">
      <c r="A28" s="4" t="s">
        <v>1419</v>
      </c>
      <c r="B28" s="4">
        <v>385520</v>
      </c>
      <c r="C28" s="4" t="s">
        <v>2854</v>
      </c>
      <c r="D28" s="9">
        <v>1170</v>
      </c>
    </row>
    <row r="29" spans="1:4" x14ac:dyDescent="0.25">
      <c r="A29" s="4" t="s">
        <v>1419</v>
      </c>
      <c r="B29" s="4">
        <v>385521</v>
      </c>
      <c r="C29" s="4" t="s">
        <v>2855</v>
      </c>
      <c r="D29" s="9">
        <v>3160</v>
      </c>
    </row>
    <row r="30" spans="1:4" x14ac:dyDescent="0.25">
      <c r="A30" s="4" t="s">
        <v>1419</v>
      </c>
      <c r="B30" s="4">
        <v>385522</v>
      </c>
      <c r="C30" s="4" t="s">
        <v>2856</v>
      </c>
      <c r="D30" s="9">
        <v>2025</v>
      </c>
    </row>
    <row r="31" spans="1:4" x14ac:dyDescent="0.25">
      <c r="A31" s="4" t="s">
        <v>1419</v>
      </c>
      <c r="B31" s="4">
        <v>385427</v>
      </c>
      <c r="C31" s="4" t="s">
        <v>2857</v>
      </c>
      <c r="D31" s="9">
        <v>1140</v>
      </c>
    </row>
    <row r="32" spans="1:4" x14ac:dyDescent="0.25">
      <c r="A32" s="4" t="s">
        <v>1419</v>
      </c>
      <c r="B32" s="4">
        <v>385432</v>
      </c>
      <c r="C32" s="4" t="s">
        <v>2858</v>
      </c>
      <c r="D32" s="9">
        <v>2265</v>
      </c>
    </row>
    <row r="33" spans="1:4" x14ac:dyDescent="0.25">
      <c r="A33" s="4" t="s">
        <v>1419</v>
      </c>
      <c r="B33" s="4">
        <v>385523</v>
      </c>
      <c r="C33" s="4" t="s">
        <v>2859</v>
      </c>
      <c r="D33" s="9">
        <v>2540</v>
      </c>
    </row>
    <row r="34" spans="1:4" x14ac:dyDescent="0.25">
      <c r="A34" s="4" t="s">
        <v>1419</v>
      </c>
      <c r="B34" s="4">
        <v>385499</v>
      </c>
      <c r="C34" s="4" t="s">
        <v>2860</v>
      </c>
      <c r="D34" s="9">
        <v>2275</v>
      </c>
    </row>
    <row r="35" spans="1:4" x14ac:dyDescent="0.25">
      <c r="A35" s="4" t="s">
        <v>1419</v>
      </c>
      <c r="B35" s="4">
        <v>385435</v>
      </c>
      <c r="C35" s="4" t="s">
        <v>2861</v>
      </c>
      <c r="D35" s="9">
        <v>3395</v>
      </c>
    </row>
    <row r="36" spans="1:4" x14ac:dyDescent="0.25">
      <c r="A36" s="4" t="s">
        <v>1419</v>
      </c>
      <c r="B36" s="4">
        <v>385438</v>
      </c>
      <c r="C36" s="4" t="s">
        <v>2862</v>
      </c>
      <c r="D36" s="9">
        <v>4220</v>
      </c>
    </row>
    <row r="37" spans="1:4" x14ac:dyDescent="0.25">
      <c r="A37" s="4" t="s">
        <v>1419</v>
      </c>
      <c r="B37" s="4">
        <v>385524</v>
      </c>
      <c r="C37" s="4" t="s">
        <v>2863</v>
      </c>
      <c r="D37" s="9">
        <v>1020</v>
      </c>
    </row>
    <row r="38" spans="1:4" x14ac:dyDescent="0.25">
      <c r="A38" s="4" t="s">
        <v>1419</v>
      </c>
      <c r="B38" s="4">
        <v>385443</v>
      </c>
      <c r="C38" s="4" t="s">
        <v>2864</v>
      </c>
      <c r="D38" s="9">
        <v>1575</v>
      </c>
    </row>
    <row r="39" spans="1:4" x14ac:dyDescent="0.25">
      <c r="A39" s="4" t="s">
        <v>1419</v>
      </c>
      <c r="B39" s="4">
        <v>385525</v>
      </c>
      <c r="C39" s="4" t="s">
        <v>2865</v>
      </c>
      <c r="D39" s="9">
        <v>8355</v>
      </c>
    </row>
    <row r="40" spans="1:4" x14ac:dyDescent="0.25">
      <c r="A40" s="4" t="s">
        <v>1419</v>
      </c>
      <c r="B40" s="4">
        <v>386351</v>
      </c>
      <c r="C40" s="4" t="s">
        <v>2866</v>
      </c>
      <c r="D40" s="9">
        <v>270</v>
      </c>
    </row>
    <row r="41" spans="1:4" x14ac:dyDescent="0.25">
      <c r="A41" s="4" t="s">
        <v>1419</v>
      </c>
      <c r="B41" s="4">
        <v>386359</v>
      </c>
      <c r="C41" s="4" t="s">
        <v>2867</v>
      </c>
      <c r="D41" s="9">
        <v>540</v>
      </c>
    </row>
    <row r="42" spans="1:4" x14ac:dyDescent="0.25">
      <c r="A42" s="4" t="s">
        <v>1419</v>
      </c>
      <c r="B42" s="4">
        <v>386359</v>
      </c>
      <c r="C42" s="4" t="s">
        <v>2867</v>
      </c>
      <c r="D42" s="9">
        <v>540</v>
      </c>
    </row>
    <row r="43" spans="1:4" x14ac:dyDescent="0.25">
      <c r="A43" s="4" t="s">
        <v>1419</v>
      </c>
      <c r="B43" s="4">
        <v>386362</v>
      </c>
      <c r="C43" s="4" t="s">
        <v>2868</v>
      </c>
      <c r="D43" s="9">
        <v>1080</v>
      </c>
    </row>
    <row r="44" spans="1:4" x14ac:dyDescent="0.25">
      <c r="A44" s="4" t="s">
        <v>1419</v>
      </c>
      <c r="B44" s="4">
        <v>388543</v>
      </c>
      <c r="C44" s="4" t="s">
        <v>2925</v>
      </c>
      <c r="D44" s="9">
        <v>19260</v>
      </c>
    </row>
    <row r="45" spans="1:4" x14ac:dyDescent="0.25">
      <c r="A45" s="4" t="s">
        <v>1419</v>
      </c>
      <c r="B45" s="4">
        <v>386365</v>
      </c>
      <c r="C45" s="4" t="s">
        <v>2870</v>
      </c>
      <c r="D45" s="9">
        <v>25740</v>
      </c>
    </row>
    <row r="46" spans="1:4" x14ac:dyDescent="0.25">
      <c r="A46" s="4" t="s">
        <v>1419</v>
      </c>
      <c r="B46" s="4">
        <v>386366</v>
      </c>
      <c r="C46" s="4" t="s">
        <v>2871</v>
      </c>
      <c r="D46" s="9">
        <v>360</v>
      </c>
    </row>
    <row r="47" spans="1:4" x14ac:dyDescent="0.25">
      <c r="A47" s="4" t="s">
        <v>1419</v>
      </c>
      <c r="B47" s="4">
        <v>386368</v>
      </c>
      <c r="C47" s="4" t="s">
        <v>2872</v>
      </c>
      <c r="D47" s="9">
        <v>180</v>
      </c>
    </row>
    <row r="48" spans="1:4" x14ac:dyDescent="0.25">
      <c r="A48" s="4" t="s">
        <v>1419</v>
      </c>
      <c r="B48" s="4">
        <v>386370</v>
      </c>
      <c r="C48" s="4" t="s">
        <v>2873</v>
      </c>
      <c r="D48" s="9">
        <v>1350</v>
      </c>
    </row>
    <row r="49" spans="1:4" x14ac:dyDescent="0.25">
      <c r="A49" s="4" t="s">
        <v>1419</v>
      </c>
      <c r="B49" s="4">
        <v>386371</v>
      </c>
      <c r="C49" s="4" t="s">
        <v>2874</v>
      </c>
      <c r="D49" s="9">
        <v>3150</v>
      </c>
    </row>
    <row r="50" spans="1:4" x14ac:dyDescent="0.25">
      <c r="A50" s="4" t="s">
        <v>1419</v>
      </c>
      <c r="B50" s="4">
        <v>386372</v>
      </c>
      <c r="C50" s="4" t="s">
        <v>2875</v>
      </c>
      <c r="D50" s="9">
        <v>540</v>
      </c>
    </row>
    <row r="51" spans="1:4" x14ac:dyDescent="0.25">
      <c r="A51" s="4" t="s">
        <v>1419</v>
      </c>
      <c r="B51" s="4">
        <v>386373</v>
      </c>
      <c r="C51" s="4" t="s">
        <v>2876</v>
      </c>
      <c r="D51" s="9">
        <v>630</v>
      </c>
    </row>
    <row r="52" spans="1:4" x14ac:dyDescent="0.25">
      <c r="A52" s="4" t="s">
        <v>1419</v>
      </c>
      <c r="B52" s="4">
        <v>386380</v>
      </c>
      <c r="C52" s="4" t="s">
        <v>2877</v>
      </c>
      <c r="D52" s="9">
        <v>6750</v>
      </c>
    </row>
    <row r="53" spans="1:4" x14ac:dyDescent="0.25">
      <c r="A53" s="4" t="s">
        <v>1419</v>
      </c>
      <c r="B53" s="4">
        <v>386382</v>
      </c>
      <c r="C53" s="4" t="s">
        <v>2878</v>
      </c>
      <c r="D53" s="9">
        <v>180</v>
      </c>
    </row>
    <row r="54" spans="1:4" x14ac:dyDescent="0.25">
      <c r="A54" s="4" t="s">
        <v>1419</v>
      </c>
      <c r="B54" s="4">
        <v>386383</v>
      </c>
      <c r="C54" s="4" t="s">
        <v>2879</v>
      </c>
      <c r="D54" s="9">
        <v>15030</v>
      </c>
    </row>
    <row r="55" spans="1:4" x14ac:dyDescent="0.25">
      <c r="A55" s="4" t="s">
        <v>1419</v>
      </c>
      <c r="B55" s="4">
        <v>386386</v>
      </c>
      <c r="C55" s="4" t="s">
        <v>2880</v>
      </c>
      <c r="D55" s="9">
        <v>90</v>
      </c>
    </row>
    <row r="56" spans="1:4" x14ac:dyDescent="0.25">
      <c r="A56" s="4" t="s">
        <v>1419</v>
      </c>
      <c r="B56" s="4">
        <v>386355</v>
      </c>
      <c r="C56" s="4" t="s">
        <v>2881</v>
      </c>
      <c r="D56" s="9">
        <v>14670</v>
      </c>
    </row>
    <row r="57" spans="1:4" x14ac:dyDescent="0.25">
      <c r="A57" s="4" t="s">
        <v>1419</v>
      </c>
      <c r="B57" s="4">
        <v>386387</v>
      </c>
      <c r="C57" s="4" t="s">
        <v>2882</v>
      </c>
      <c r="D57" s="9">
        <v>90</v>
      </c>
    </row>
    <row r="58" spans="1:4" x14ac:dyDescent="0.25">
      <c r="A58" s="4" t="s">
        <v>1419</v>
      </c>
      <c r="B58" s="4">
        <v>386389</v>
      </c>
      <c r="C58" s="4" t="s">
        <v>2883</v>
      </c>
      <c r="D58" s="9">
        <v>5220</v>
      </c>
    </row>
    <row r="59" spans="1:4" x14ac:dyDescent="0.25">
      <c r="A59" s="4" t="s">
        <v>1419</v>
      </c>
      <c r="B59" s="4">
        <v>386393</v>
      </c>
      <c r="C59" s="4" t="s">
        <v>2884</v>
      </c>
      <c r="D59" s="9">
        <v>2700</v>
      </c>
    </row>
    <row r="60" spans="1:4" x14ac:dyDescent="0.25">
      <c r="A60" s="4" t="s">
        <v>1419</v>
      </c>
      <c r="B60" s="4">
        <v>386394</v>
      </c>
      <c r="C60" s="4" t="s">
        <v>2885</v>
      </c>
      <c r="D60" s="9">
        <v>900</v>
      </c>
    </row>
    <row r="61" spans="1:4" x14ac:dyDescent="0.25">
      <c r="A61" s="4" t="s">
        <v>1419</v>
      </c>
      <c r="B61" s="4">
        <v>386398</v>
      </c>
      <c r="C61" s="4" t="s">
        <v>2886</v>
      </c>
      <c r="D61" s="9">
        <v>27360</v>
      </c>
    </row>
    <row r="62" spans="1:4" x14ac:dyDescent="0.25">
      <c r="A62" s="4" t="s">
        <v>1419</v>
      </c>
      <c r="B62" s="4">
        <v>388532</v>
      </c>
      <c r="C62" s="4" t="s">
        <v>2934</v>
      </c>
      <c r="D62" s="9">
        <v>315</v>
      </c>
    </row>
    <row r="63" spans="1:4" x14ac:dyDescent="0.25">
      <c r="A63" s="4" t="s">
        <v>1419</v>
      </c>
      <c r="B63" s="4">
        <v>388545</v>
      </c>
      <c r="C63" s="4" t="s">
        <v>2957</v>
      </c>
      <c r="D63" s="9">
        <v>2395</v>
      </c>
    </row>
    <row r="64" spans="1:4" x14ac:dyDescent="0.25">
      <c r="A64" s="4" t="s">
        <v>1252</v>
      </c>
      <c r="B64" s="4">
        <v>388510</v>
      </c>
      <c r="C64" s="4" t="s">
        <v>2935</v>
      </c>
      <c r="D64" s="9">
        <v>66</v>
      </c>
    </row>
    <row r="65" spans="1:4" x14ac:dyDescent="0.25">
      <c r="A65" s="4" t="s">
        <v>180</v>
      </c>
      <c r="B65" s="4">
        <v>383295</v>
      </c>
      <c r="C65" s="4" t="s">
        <v>2936</v>
      </c>
      <c r="D65" s="9">
        <v>1690</v>
      </c>
    </row>
    <row r="66" spans="1:4" x14ac:dyDescent="0.25">
      <c r="A66" s="4" t="s">
        <v>180</v>
      </c>
      <c r="B66" s="4">
        <v>386288</v>
      </c>
      <c r="C66" s="4" t="s">
        <v>2937</v>
      </c>
      <c r="D66" s="9">
        <v>7800</v>
      </c>
    </row>
    <row r="67" spans="1:4" x14ac:dyDescent="0.25">
      <c r="A67" s="4" t="s">
        <v>34</v>
      </c>
      <c r="B67" s="4">
        <v>385558</v>
      </c>
      <c r="C67" s="4" t="s">
        <v>2939</v>
      </c>
      <c r="D67" s="9">
        <v>1983</v>
      </c>
    </row>
    <row r="68" spans="1:4" x14ac:dyDescent="0.25">
      <c r="A68" s="4" t="s">
        <v>315</v>
      </c>
      <c r="B68" s="4">
        <v>387937</v>
      </c>
      <c r="C68" s="4" t="s">
        <v>2940</v>
      </c>
      <c r="D68" s="9">
        <v>845</v>
      </c>
    </row>
    <row r="69" spans="1:4" x14ac:dyDescent="0.25">
      <c r="A69" s="4" t="s">
        <v>315</v>
      </c>
      <c r="B69" s="4">
        <v>379210</v>
      </c>
      <c r="C69" s="4" t="s">
        <v>2941</v>
      </c>
      <c r="D69" s="9">
        <v>1035</v>
      </c>
    </row>
    <row r="70" spans="1:4" x14ac:dyDescent="0.25">
      <c r="A70" s="4" t="s">
        <v>832</v>
      </c>
      <c r="B70" s="4">
        <v>388606</v>
      </c>
      <c r="C70" s="4" t="s">
        <v>2942</v>
      </c>
      <c r="D70" s="9">
        <v>257</v>
      </c>
    </row>
    <row r="71" spans="1:4" x14ac:dyDescent="0.25">
      <c r="A71" s="4" t="s">
        <v>832</v>
      </c>
      <c r="B71" s="4">
        <v>384799</v>
      </c>
      <c r="C71" s="4" t="s">
        <v>2943</v>
      </c>
      <c r="D71" s="9">
        <v>15120</v>
      </c>
    </row>
    <row r="72" spans="1:4" x14ac:dyDescent="0.25">
      <c r="A72" s="4" t="s">
        <v>832</v>
      </c>
      <c r="B72" s="4">
        <v>384778</v>
      </c>
      <c r="C72" s="4" t="s">
        <v>2945</v>
      </c>
      <c r="D72" s="9">
        <v>395</v>
      </c>
    </row>
    <row r="73" spans="1:4" x14ac:dyDescent="0.25">
      <c r="A73" s="4" t="s">
        <v>832</v>
      </c>
      <c r="B73" s="4">
        <v>384808</v>
      </c>
      <c r="C73" s="4" t="s">
        <v>2946</v>
      </c>
      <c r="D73" s="9">
        <v>18370</v>
      </c>
    </row>
    <row r="74" spans="1:4" x14ac:dyDescent="0.25">
      <c r="A74" s="4" t="s">
        <v>832</v>
      </c>
      <c r="B74" s="4">
        <v>388595</v>
      </c>
      <c r="C74" s="4" t="s">
        <v>2947</v>
      </c>
      <c r="D74" s="9">
        <v>1190</v>
      </c>
    </row>
    <row r="75" spans="1:4" x14ac:dyDescent="0.25">
      <c r="A75" s="4" t="s">
        <v>832</v>
      </c>
      <c r="B75" s="4">
        <v>384799</v>
      </c>
      <c r="C75" s="4" t="s">
        <v>2948</v>
      </c>
      <c r="D75" s="9">
        <v>13940</v>
      </c>
    </row>
    <row r="76" spans="1:4" x14ac:dyDescent="0.25">
      <c r="A76" s="4" t="s">
        <v>832</v>
      </c>
      <c r="B76" s="4">
        <v>384799</v>
      </c>
      <c r="C76" s="4" t="s">
        <v>2949</v>
      </c>
      <c r="D76" s="9">
        <v>17995</v>
      </c>
    </row>
    <row r="77" spans="1:4" x14ac:dyDescent="0.25">
      <c r="A77" s="4" t="s">
        <v>1891</v>
      </c>
      <c r="B77" s="4">
        <v>379313</v>
      </c>
      <c r="C77" s="4" t="s">
        <v>2950</v>
      </c>
      <c r="D77" s="9">
        <v>2500</v>
      </c>
    </row>
    <row r="78" spans="1:4" x14ac:dyDescent="0.25">
      <c r="A78" s="4" t="s">
        <v>995</v>
      </c>
      <c r="B78" s="4">
        <v>383798</v>
      </c>
      <c r="C78" s="4" t="s">
        <v>2951</v>
      </c>
      <c r="D78" s="9">
        <v>72425</v>
      </c>
    </row>
    <row r="79" spans="1:4" x14ac:dyDescent="0.25">
      <c r="A79" s="4" t="s">
        <v>995</v>
      </c>
      <c r="B79" s="4">
        <v>381734</v>
      </c>
      <c r="C79" s="4" t="s">
        <v>2952</v>
      </c>
      <c r="D79" s="9">
        <v>25685</v>
      </c>
    </row>
    <row r="80" spans="1:4" x14ac:dyDescent="0.25">
      <c r="A80" s="4" t="s">
        <v>995</v>
      </c>
      <c r="B80" s="4">
        <v>381734</v>
      </c>
      <c r="C80" s="4" t="s">
        <v>2953</v>
      </c>
      <c r="D80" s="9">
        <v>19791</v>
      </c>
    </row>
    <row r="81" spans="1:4" x14ac:dyDescent="0.25">
      <c r="A81" s="4" t="s">
        <v>52</v>
      </c>
      <c r="B81" s="4">
        <v>379599</v>
      </c>
      <c r="C81" s="4" t="s">
        <v>2954</v>
      </c>
      <c r="D81" s="9">
        <v>1140</v>
      </c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SUM(D2:D5,D7:D81)</f>
        <v>462239</v>
      </c>
    </row>
    <row r="93" spans="1:4" x14ac:dyDescent="0.25">
      <c r="C93" s="31" t="s">
        <v>2501</v>
      </c>
      <c r="D93" s="32">
        <f>SUM(D6)</f>
        <v>36630</v>
      </c>
    </row>
    <row r="94" spans="1:4" x14ac:dyDescent="0.25">
      <c r="C94" s="31" t="s">
        <v>83</v>
      </c>
      <c r="D94" s="32">
        <f>SUM(D92:D92)</f>
        <v>462239</v>
      </c>
    </row>
  </sheetData>
  <printOptions horizontalCentered="1"/>
  <pageMargins left="0.7" right="0.7" top="1.25" bottom="0.75" header="0.3" footer="0.3"/>
  <pageSetup paperSize="17" scale="119" orientation="landscape" r:id="rId1"/>
  <headerFooter>
    <oddHeader>&amp;C&amp;"Arial Black,Regular"&amp;14SALES REPORT
&amp;10APPROVED WORK AWAITING SCHEDULE</oddHeader>
    <oddFooter>&amp;L&amp;8&amp;Z&amp;F&amp;R&amp;8&amp;D</oddFooter>
  </headerFooter>
  <rowBreaks count="1" manualBreakCount="1">
    <brk id="37" max="3" man="1"/>
  </rowBreaks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90E1-6FCA-4F76-A5BA-32FB6292BDE0}">
  <dimension ref="A1:D94"/>
  <sheetViews>
    <sheetView view="pageBreakPreview" zoomScaleNormal="100" zoomScaleSheetLayoutView="100" workbookViewId="0">
      <selection activeCell="C11" sqref="C11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389317</v>
      </c>
      <c r="C2" s="4" t="s">
        <v>2958</v>
      </c>
      <c r="D2" s="9">
        <v>11660</v>
      </c>
    </row>
    <row r="3" spans="1:4" x14ac:dyDescent="0.25">
      <c r="A3" s="4" t="s">
        <v>256</v>
      </c>
      <c r="B3" s="4">
        <v>389317</v>
      </c>
      <c r="C3" s="4" t="s">
        <v>2959</v>
      </c>
      <c r="D3" s="9">
        <v>31690</v>
      </c>
    </row>
    <row r="4" spans="1:4" x14ac:dyDescent="0.25">
      <c r="A4" s="4" t="s">
        <v>256</v>
      </c>
      <c r="B4" s="4">
        <v>389317</v>
      </c>
      <c r="C4" s="4" t="s">
        <v>2960</v>
      </c>
      <c r="D4" s="9">
        <v>11660</v>
      </c>
    </row>
    <row r="5" spans="1:4" x14ac:dyDescent="0.25">
      <c r="A5" s="4" t="s">
        <v>256</v>
      </c>
      <c r="B5" s="4">
        <v>389317</v>
      </c>
      <c r="C5" s="4" t="s">
        <v>2961</v>
      </c>
      <c r="D5" s="9">
        <v>10560</v>
      </c>
    </row>
    <row r="6" spans="1:4" x14ac:dyDescent="0.25">
      <c r="A6" s="4" t="s">
        <v>200</v>
      </c>
      <c r="B6" s="4">
        <v>389653</v>
      </c>
      <c r="C6" s="4" t="s">
        <v>2962</v>
      </c>
      <c r="D6" s="9">
        <v>24523</v>
      </c>
    </row>
    <row r="7" spans="1:4" x14ac:dyDescent="0.25">
      <c r="A7" s="4" t="s">
        <v>330</v>
      </c>
      <c r="B7" s="4">
        <v>379297</v>
      </c>
      <c r="C7" s="4" t="s">
        <v>2797</v>
      </c>
      <c r="D7" s="9">
        <v>1035</v>
      </c>
    </row>
    <row r="8" spans="1:4" x14ac:dyDescent="0.25">
      <c r="A8" s="4" t="s">
        <v>1419</v>
      </c>
      <c r="B8" s="4">
        <v>386379</v>
      </c>
      <c r="C8" s="4" t="s">
        <v>2837</v>
      </c>
      <c r="D8" s="9">
        <v>14400</v>
      </c>
    </row>
    <row r="9" spans="1:4" x14ac:dyDescent="0.25">
      <c r="A9" s="4" t="s">
        <v>1419</v>
      </c>
      <c r="B9" s="4">
        <v>386607</v>
      </c>
      <c r="C9" s="4" t="s">
        <v>2933</v>
      </c>
      <c r="D9" s="9">
        <v>17300</v>
      </c>
    </row>
    <row r="10" spans="1:4" x14ac:dyDescent="0.25">
      <c r="A10" s="4" t="s">
        <v>1419</v>
      </c>
      <c r="B10" s="4">
        <v>385412</v>
      </c>
      <c r="C10" s="4" t="s">
        <v>2838</v>
      </c>
      <c r="D10" s="9">
        <v>11850</v>
      </c>
    </row>
    <row r="11" spans="1:4" x14ac:dyDescent="0.25">
      <c r="A11" s="4" t="s">
        <v>1419</v>
      </c>
      <c r="B11" s="4">
        <v>385416</v>
      </c>
      <c r="C11" s="4" t="s">
        <v>2839</v>
      </c>
      <c r="D11" s="9">
        <v>960</v>
      </c>
    </row>
    <row r="12" spans="1:4" x14ac:dyDescent="0.25">
      <c r="A12" s="4" t="s">
        <v>1419</v>
      </c>
      <c r="B12" s="4">
        <v>385501</v>
      </c>
      <c r="C12" s="4" t="s">
        <v>2840</v>
      </c>
      <c r="D12" s="9">
        <v>600</v>
      </c>
    </row>
    <row r="13" spans="1:4" x14ac:dyDescent="0.25">
      <c r="A13" s="4" t="s">
        <v>1419</v>
      </c>
      <c r="B13" s="4">
        <v>385503</v>
      </c>
      <c r="C13" s="4" t="s">
        <v>2841</v>
      </c>
      <c r="D13" s="9">
        <v>1890</v>
      </c>
    </row>
    <row r="14" spans="1:4" x14ac:dyDescent="0.25">
      <c r="A14" s="4" t="s">
        <v>1419</v>
      </c>
      <c r="B14" s="4">
        <v>385504</v>
      </c>
      <c r="C14" s="4" t="s">
        <v>2842</v>
      </c>
      <c r="D14" s="9">
        <v>6460</v>
      </c>
    </row>
    <row r="15" spans="1:4" x14ac:dyDescent="0.25">
      <c r="A15" s="4" t="s">
        <v>1419</v>
      </c>
      <c r="B15" s="4">
        <v>385505</v>
      </c>
      <c r="C15" s="4" t="s">
        <v>2843</v>
      </c>
      <c r="D15" s="9">
        <v>3485</v>
      </c>
    </row>
    <row r="16" spans="1:4" x14ac:dyDescent="0.25">
      <c r="A16" s="4" t="s">
        <v>1419</v>
      </c>
      <c r="B16" s="4">
        <v>385448</v>
      </c>
      <c r="C16" s="4" t="s">
        <v>2844</v>
      </c>
      <c r="D16" s="9">
        <v>10640</v>
      </c>
    </row>
    <row r="17" spans="1:4" x14ac:dyDescent="0.25">
      <c r="A17" s="4" t="s">
        <v>1419</v>
      </c>
      <c r="B17" s="4">
        <v>385506</v>
      </c>
      <c r="C17" s="4" t="s">
        <v>2845</v>
      </c>
      <c r="D17" s="9">
        <v>4760</v>
      </c>
    </row>
    <row r="18" spans="1:4" x14ac:dyDescent="0.25">
      <c r="A18" s="4" t="s">
        <v>1419</v>
      </c>
      <c r="B18" s="4">
        <v>385507</v>
      </c>
      <c r="C18" s="4" t="s">
        <v>2846</v>
      </c>
      <c r="D18" s="9">
        <v>195</v>
      </c>
    </row>
    <row r="19" spans="1:4" x14ac:dyDescent="0.25">
      <c r="A19" s="4" t="s">
        <v>1419</v>
      </c>
      <c r="B19" s="4">
        <v>385510</v>
      </c>
      <c r="C19" s="4" t="s">
        <v>2847</v>
      </c>
      <c r="D19" s="9">
        <v>1255</v>
      </c>
    </row>
    <row r="20" spans="1:4" x14ac:dyDescent="0.25">
      <c r="A20" s="4" t="s">
        <v>1419</v>
      </c>
      <c r="B20" s="4">
        <v>385420</v>
      </c>
      <c r="C20" s="4" t="s">
        <v>2848</v>
      </c>
      <c r="D20" s="9">
        <v>2520</v>
      </c>
    </row>
    <row r="21" spans="1:4" x14ac:dyDescent="0.25">
      <c r="A21" s="4" t="s">
        <v>1419</v>
      </c>
      <c r="B21" s="4">
        <v>385513</v>
      </c>
      <c r="C21" s="4" t="s">
        <v>2849</v>
      </c>
      <c r="D21" s="9">
        <v>3000</v>
      </c>
    </row>
    <row r="22" spans="1:4" x14ac:dyDescent="0.25">
      <c r="A22" s="4" t="s">
        <v>1419</v>
      </c>
      <c r="B22" s="4">
        <v>385424</v>
      </c>
      <c r="C22" s="4" t="s">
        <v>2850</v>
      </c>
      <c r="D22" s="9">
        <v>1850</v>
      </c>
    </row>
    <row r="23" spans="1:4" x14ac:dyDescent="0.25">
      <c r="A23" s="4" t="s">
        <v>1419</v>
      </c>
      <c r="B23" s="4">
        <v>385515</v>
      </c>
      <c r="C23" s="4" t="s">
        <v>2851</v>
      </c>
      <c r="D23" s="9">
        <v>3120</v>
      </c>
    </row>
    <row r="24" spans="1:4" x14ac:dyDescent="0.25">
      <c r="A24" s="4" t="s">
        <v>1419</v>
      </c>
      <c r="B24" s="4">
        <v>385516</v>
      </c>
      <c r="C24" s="4" t="s">
        <v>2852</v>
      </c>
      <c r="D24" s="9">
        <v>6330</v>
      </c>
    </row>
    <row r="25" spans="1:4" x14ac:dyDescent="0.25">
      <c r="A25" s="4" t="s">
        <v>1419</v>
      </c>
      <c r="B25" s="4">
        <v>385519</v>
      </c>
      <c r="C25" s="4" t="s">
        <v>2853</v>
      </c>
      <c r="D25" s="9">
        <v>630</v>
      </c>
    </row>
    <row r="26" spans="1:4" x14ac:dyDescent="0.25">
      <c r="A26" s="4" t="s">
        <v>1419</v>
      </c>
      <c r="B26" s="4">
        <v>385520</v>
      </c>
      <c r="C26" s="4" t="s">
        <v>2854</v>
      </c>
      <c r="D26" s="9">
        <v>1170</v>
      </c>
    </row>
    <row r="27" spans="1:4" x14ac:dyDescent="0.25">
      <c r="A27" s="4" t="s">
        <v>1419</v>
      </c>
      <c r="B27" s="4">
        <v>385521</v>
      </c>
      <c r="C27" s="4" t="s">
        <v>2855</v>
      </c>
      <c r="D27" s="9">
        <v>3160</v>
      </c>
    </row>
    <row r="28" spans="1:4" x14ac:dyDescent="0.25">
      <c r="A28" s="4" t="s">
        <v>1419</v>
      </c>
      <c r="B28" s="4">
        <v>385522</v>
      </c>
      <c r="C28" s="4" t="s">
        <v>2856</v>
      </c>
      <c r="D28" s="9">
        <v>2025</v>
      </c>
    </row>
    <row r="29" spans="1:4" x14ac:dyDescent="0.25">
      <c r="A29" s="4" t="s">
        <v>1419</v>
      </c>
      <c r="B29" s="4">
        <v>385427</v>
      </c>
      <c r="C29" s="4" t="s">
        <v>2857</v>
      </c>
      <c r="D29" s="9">
        <v>1140</v>
      </c>
    </row>
    <row r="30" spans="1:4" x14ac:dyDescent="0.25">
      <c r="A30" s="4" t="s">
        <v>1419</v>
      </c>
      <c r="B30" s="4">
        <v>385432</v>
      </c>
      <c r="C30" s="4" t="s">
        <v>2858</v>
      </c>
      <c r="D30" s="9">
        <v>2265</v>
      </c>
    </row>
    <row r="31" spans="1:4" x14ac:dyDescent="0.25">
      <c r="A31" s="4" t="s">
        <v>1419</v>
      </c>
      <c r="B31" s="4">
        <v>385523</v>
      </c>
      <c r="C31" s="4" t="s">
        <v>2859</v>
      </c>
      <c r="D31" s="9">
        <v>2540</v>
      </c>
    </row>
    <row r="32" spans="1:4" x14ac:dyDescent="0.25">
      <c r="A32" s="4" t="s">
        <v>1419</v>
      </c>
      <c r="B32" s="4">
        <v>385499</v>
      </c>
      <c r="C32" s="4" t="s">
        <v>2860</v>
      </c>
      <c r="D32" s="9">
        <v>2275</v>
      </c>
    </row>
    <row r="33" spans="1:4" x14ac:dyDescent="0.25">
      <c r="A33" s="4" t="s">
        <v>1419</v>
      </c>
      <c r="B33" s="4">
        <v>385435</v>
      </c>
      <c r="C33" s="4" t="s">
        <v>2861</v>
      </c>
      <c r="D33" s="9">
        <v>3395</v>
      </c>
    </row>
    <row r="34" spans="1:4" x14ac:dyDescent="0.25">
      <c r="A34" s="4" t="s">
        <v>1419</v>
      </c>
      <c r="B34" s="4">
        <v>385438</v>
      </c>
      <c r="C34" s="4" t="s">
        <v>2862</v>
      </c>
      <c r="D34" s="9">
        <v>4220</v>
      </c>
    </row>
    <row r="35" spans="1:4" x14ac:dyDescent="0.25">
      <c r="A35" s="4" t="s">
        <v>1419</v>
      </c>
      <c r="B35" s="4">
        <v>385524</v>
      </c>
      <c r="C35" s="4" t="s">
        <v>2863</v>
      </c>
      <c r="D35" s="9">
        <v>1020</v>
      </c>
    </row>
    <row r="36" spans="1:4" x14ac:dyDescent="0.25">
      <c r="A36" s="4" t="s">
        <v>1419</v>
      </c>
      <c r="B36" s="4">
        <v>385443</v>
      </c>
      <c r="C36" s="4" t="s">
        <v>2864</v>
      </c>
      <c r="D36" s="9">
        <v>1575</v>
      </c>
    </row>
    <row r="37" spans="1:4" x14ac:dyDescent="0.25">
      <c r="A37" s="4" t="s">
        <v>1419</v>
      </c>
      <c r="B37" s="4">
        <v>385525</v>
      </c>
      <c r="C37" s="4" t="s">
        <v>2865</v>
      </c>
      <c r="D37" s="9">
        <v>8355</v>
      </c>
    </row>
    <row r="38" spans="1:4" x14ac:dyDescent="0.25">
      <c r="A38" s="4" t="s">
        <v>1419</v>
      </c>
      <c r="B38" s="4">
        <v>386351</v>
      </c>
      <c r="C38" s="4" t="s">
        <v>2866</v>
      </c>
      <c r="D38" s="9">
        <v>270</v>
      </c>
    </row>
    <row r="39" spans="1:4" x14ac:dyDescent="0.25">
      <c r="A39" s="4" t="s">
        <v>1419</v>
      </c>
      <c r="B39" s="4">
        <v>386359</v>
      </c>
      <c r="C39" s="4" t="s">
        <v>2867</v>
      </c>
      <c r="D39" s="9">
        <v>540</v>
      </c>
    </row>
    <row r="40" spans="1:4" x14ac:dyDescent="0.25">
      <c r="A40" s="4" t="s">
        <v>1419</v>
      </c>
      <c r="B40" s="4">
        <v>386359</v>
      </c>
      <c r="C40" s="4" t="s">
        <v>2867</v>
      </c>
      <c r="D40" s="9">
        <v>540</v>
      </c>
    </row>
    <row r="41" spans="1:4" x14ac:dyDescent="0.25">
      <c r="A41" s="4" t="s">
        <v>1419</v>
      </c>
      <c r="B41" s="4">
        <v>386362</v>
      </c>
      <c r="C41" s="4" t="s">
        <v>2868</v>
      </c>
      <c r="D41" s="9">
        <v>1080</v>
      </c>
    </row>
    <row r="42" spans="1:4" x14ac:dyDescent="0.25">
      <c r="A42" s="4" t="s">
        <v>1419</v>
      </c>
      <c r="B42" s="4">
        <v>388543</v>
      </c>
      <c r="C42" s="4" t="s">
        <v>2925</v>
      </c>
      <c r="D42" s="9">
        <v>19260</v>
      </c>
    </row>
    <row r="43" spans="1:4" x14ac:dyDescent="0.25">
      <c r="A43" s="4" t="s">
        <v>1419</v>
      </c>
      <c r="B43" s="4">
        <v>386365</v>
      </c>
      <c r="C43" s="4" t="s">
        <v>2870</v>
      </c>
      <c r="D43" s="9">
        <v>25740</v>
      </c>
    </row>
    <row r="44" spans="1:4" x14ac:dyDescent="0.25">
      <c r="A44" s="4" t="s">
        <v>1419</v>
      </c>
      <c r="B44" s="4">
        <v>386366</v>
      </c>
      <c r="C44" s="4" t="s">
        <v>2871</v>
      </c>
      <c r="D44" s="9">
        <v>360</v>
      </c>
    </row>
    <row r="45" spans="1:4" x14ac:dyDescent="0.25">
      <c r="A45" s="4" t="s">
        <v>1419</v>
      </c>
      <c r="B45" s="4">
        <v>386368</v>
      </c>
      <c r="C45" s="4" t="s">
        <v>2872</v>
      </c>
      <c r="D45" s="9">
        <v>180</v>
      </c>
    </row>
    <row r="46" spans="1:4" x14ac:dyDescent="0.25">
      <c r="A46" s="4" t="s">
        <v>1419</v>
      </c>
      <c r="B46" s="4">
        <v>386370</v>
      </c>
      <c r="C46" s="4" t="s">
        <v>2873</v>
      </c>
      <c r="D46" s="9">
        <v>1350</v>
      </c>
    </row>
    <row r="47" spans="1:4" x14ac:dyDescent="0.25">
      <c r="A47" s="4" t="s">
        <v>1419</v>
      </c>
      <c r="B47" s="4">
        <v>386371</v>
      </c>
      <c r="C47" s="4" t="s">
        <v>2874</v>
      </c>
      <c r="D47" s="9">
        <v>3150</v>
      </c>
    </row>
    <row r="48" spans="1:4" x14ac:dyDescent="0.25">
      <c r="A48" s="4" t="s">
        <v>1419</v>
      </c>
      <c r="B48" s="4">
        <v>386372</v>
      </c>
      <c r="C48" s="4" t="s">
        <v>2875</v>
      </c>
      <c r="D48" s="9">
        <v>540</v>
      </c>
    </row>
    <row r="49" spans="1:4" x14ac:dyDescent="0.25">
      <c r="A49" s="4" t="s">
        <v>1419</v>
      </c>
      <c r="B49" s="4">
        <v>386373</v>
      </c>
      <c r="C49" s="4" t="s">
        <v>2876</v>
      </c>
      <c r="D49" s="9">
        <v>630</v>
      </c>
    </row>
    <row r="50" spans="1:4" x14ac:dyDescent="0.25">
      <c r="A50" s="4" t="s">
        <v>1419</v>
      </c>
      <c r="B50" s="4">
        <v>386380</v>
      </c>
      <c r="C50" s="4" t="s">
        <v>2877</v>
      </c>
      <c r="D50" s="9">
        <v>6750</v>
      </c>
    </row>
    <row r="51" spans="1:4" x14ac:dyDescent="0.25">
      <c r="A51" s="4" t="s">
        <v>1419</v>
      </c>
      <c r="B51" s="4">
        <v>386382</v>
      </c>
      <c r="C51" s="4" t="s">
        <v>2878</v>
      </c>
      <c r="D51" s="9">
        <v>180</v>
      </c>
    </row>
    <row r="52" spans="1:4" x14ac:dyDescent="0.25">
      <c r="A52" s="4" t="s">
        <v>1419</v>
      </c>
      <c r="B52" s="4">
        <v>386383</v>
      </c>
      <c r="C52" s="4" t="s">
        <v>2879</v>
      </c>
      <c r="D52" s="9">
        <v>15030</v>
      </c>
    </row>
    <row r="53" spans="1:4" x14ac:dyDescent="0.25">
      <c r="A53" s="4" t="s">
        <v>1419</v>
      </c>
      <c r="B53" s="4">
        <v>386386</v>
      </c>
      <c r="C53" s="4" t="s">
        <v>2880</v>
      </c>
      <c r="D53" s="9">
        <v>90</v>
      </c>
    </row>
    <row r="54" spans="1:4" x14ac:dyDescent="0.25">
      <c r="A54" s="4" t="s">
        <v>1419</v>
      </c>
      <c r="B54" s="4">
        <v>386355</v>
      </c>
      <c r="C54" s="4" t="s">
        <v>2881</v>
      </c>
      <c r="D54" s="9">
        <v>14670</v>
      </c>
    </row>
    <row r="55" spans="1:4" x14ac:dyDescent="0.25">
      <c r="A55" s="4" t="s">
        <v>1419</v>
      </c>
      <c r="B55" s="4">
        <v>386387</v>
      </c>
      <c r="C55" s="4" t="s">
        <v>2882</v>
      </c>
      <c r="D55" s="9">
        <v>90</v>
      </c>
    </row>
    <row r="56" spans="1:4" x14ac:dyDescent="0.25">
      <c r="A56" s="4" t="s">
        <v>1419</v>
      </c>
      <c r="B56" s="4">
        <v>386389</v>
      </c>
      <c r="C56" s="4" t="s">
        <v>2883</v>
      </c>
      <c r="D56" s="9">
        <v>5220</v>
      </c>
    </row>
    <row r="57" spans="1:4" x14ac:dyDescent="0.25">
      <c r="A57" s="4" t="s">
        <v>1419</v>
      </c>
      <c r="B57" s="4">
        <v>386393</v>
      </c>
      <c r="C57" s="4" t="s">
        <v>2884</v>
      </c>
      <c r="D57" s="9">
        <v>2700</v>
      </c>
    </row>
    <row r="58" spans="1:4" x14ac:dyDescent="0.25">
      <c r="A58" s="4" t="s">
        <v>1419</v>
      </c>
      <c r="B58" s="4">
        <v>386394</v>
      </c>
      <c r="C58" s="4" t="s">
        <v>2885</v>
      </c>
      <c r="D58" s="9">
        <v>900</v>
      </c>
    </row>
    <row r="59" spans="1:4" x14ac:dyDescent="0.25">
      <c r="A59" s="4" t="s">
        <v>1419</v>
      </c>
      <c r="B59" s="4">
        <v>386398</v>
      </c>
      <c r="C59" s="4" t="s">
        <v>2886</v>
      </c>
      <c r="D59" s="9">
        <v>27360</v>
      </c>
    </row>
    <row r="60" spans="1:4" x14ac:dyDescent="0.25">
      <c r="A60" s="4" t="s">
        <v>1419</v>
      </c>
      <c r="B60" s="4">
        <v>388532</v>
      </c>
      <c r="C60" s="4" t="s">
        <v>2934</v>
      </c>
      <c r="D60" s="9">
        <v>315</v>
      </c>
    </row>
    <row r="61" spans="1:4" x14ac:dyDescent="0.25">
      <c r="A61" s="4" t="s">
        <v>1419</v>
      </c>
      <c r="B61" s="4">
        <v>388545</v>
      </c>
      <c r="C61" s="4" t="s">
        <v>2957</v>
      </c>
      <c r="D61" s="9">
        <v>2395</v>
      </c>
    </row>
    <row r="62" spans="1:4" x14ac:dyDescent="0.25">
      <c r="A62" s="4" t="s">
        <v>2963</v>
      </c>
      <c r="B62" s="4">
        <v>383592</v>
      </c>
      <c r="C62" s="4" t="s">
        <v>2964</v>
      </c>
      <c r="D62" s="9">
        <v>11385</v>
      </c>
    </row>
    <row r="63" spans="1:4" x14ac:dyDescent="0.25">
      <c r="A63" s="4" t="s">
        <v>315</v>
      </c>
      <c r="B63" s="4">
        <v>386660</v>
      </c>
      <c r="C63" s="4" t="s">
        <v>2965</v>
      </c>
      <c r="D63" s="9">
        <v>29105</v>
      </c>
    </row>
    <row r="64" spans="1:4" x14ac:dyDescent="0.25">
      <c r="A64" s="4" t="s">
        <v>315</v>
      </c>
      <c r="B64" s="4">
        <v>386557</v>
      </c>
      <c r="C64" s="4" t="s">
        <v>2966</v>
      </c>
      <c r="D64" s="9">
        <v>600</v>
      </c>
    </row>
    <row r="65" spans="1:4" x14ac:dyDescent="0.25">
      <c r="A65" s="4" t="s">
        <v>832</v>
      </c>
      <c r="B65" s="4">
        <v>389687</v>
      </c>
      <c r="C65" s="4" t="s">
        <v>2967</v>
      </c>
      <c r="D65" s="9">
        <v>5475</v>
      </c>
    </row>
    <row r="66" spans="1:4" x14ac:dyDescent="0.25">
      <c r="A66" s="4" t="s">
        <v>832</v>
      </c>
      <c r="B66" s="4">
        <v>385888</v>
      </c>
      <c r="C66" s="4" t="s">
        <v>2968</v>
      </c>
      <c r="D66" s="9">
        <v>4465</v>
      </c>
    </row>
    <row r="67" spans="1:4" x14ac:dyDescent="0.25">
      <c r="A67" s="4" t="s">
        <v>832</v>
      </c>
      <c r="B67" s="4">
        <v>389796</v>
      </c>
      <c r="C67" s="4" t="s">
        <v>2969</v>
      </c>
      <c r="D67" s="9">
        <v>200</v>
      </c>
    </row>
    <row r="68" spans="1:4" x14ac:dyDescent="0.25">
      <c r="A68" s="4" t="s">
        <v>2970</v>
      </c>
      <c r="B68" s="4">
        <v>364015</v>
      </c>
      <c r="C68" s="4" t="s">
        <v>2971</v>
      </c>
      <c r="D68" s="9">
        <v>2915</v>
      </c>
    </row>
    <row r="69" spans="1:4" x14ac:dyDescent="0.25">
      <c r="A69" s="4" t="s">
        <v>995</v>
      </c>
      <c r="B69" s="4">
        <v>383798</v>
      </c>
      <c r="C69" s="4" t="s">
        <v>2951</v>
      </c>
      <c r="D69" s="9">
        <v>72425</v>
      </c>
    </row>
    <row r="70" spans="1:4" x14ac:dyDescent="0.25">
      <c r="A70" s="4" t="s">
        <v>995</v>
      </c>
      <c r="B70" s="4">
        <v>389825</v>
      </c>
      <c r="C70" s="4" t="s">
        <v>2972</v>
      </c>
      <c r="D70" s="9">
        <v>103</v>
      </c>
    </row>
    <row r="71" spans="1:4" x14ac:dyDescent="0.25">
      <c r="A71" s="4" t="s">
        <v>2973</v>
      </c>
      <c r="B71" s="4">
        <v>389740</v>
      </c>
      <c r="C71" s="4" t="s">
        <v>2974</v>
      </c>
      <c r="D71" s="9">
        <v>55</v>
      </c>
    </row>
    <row r="72" spans="1:4" x14ac:dyDescent="0.25">
      <c r="A72" s="4" t="s">
        <v>52</v>
      </c>
      <c r="B72" s="4">
        <v>379599</v>
      </c>
      <c r="C72" s="4" t="s">
        <v>2954</v>
      </c>
      <c r="D72" s="9">
        <v>1140</v>
      </c>
    </row>
    <row r="73" spans="1:4" x14ac:dyDescent="0.25">
      <c r="A73" s="4" t="s">
        <v>52</v>
      </c>
      <c r="B73" s="4">
        <v>379783</v>
      </c>
      <c r="C73" s="4" t="s">
        <v>2975</v>
      </c>
      <c r="D73" s="9">
        <v>495</v>
      </c>
    </row>
    <row r="74" spans="1:4" x14ac:dyDescent="0.25">
      <c r="A74" s="4" t="s">
        <v>52</v>
      </c>
      <c r="B74" s="4">
        <v>383298</v>
      </c>
      <c r="C74" s="4" t="s">
        <v>2976</v>
      </c>
      <c r="D74" s="9">
        <v>790</v>
      </c>
    </row>
    <row r="75" spans="1:4" x14ac:dyDescent="0.25">
      <c r="A75" s="4" t="s">
        <v>2831</v>
      </c>
      <c r="B75" s="4">
        <v>389561</v>
      </c>
      <c r="C75" s="4" t="s">
        <v>2977</v>
      </c>
      <c r="D75" s="9">
        <v>23487</v>
      </c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SUM(D2:D74)</f>
        <v>474006</v>
      </c>
    </row>
    <row r="93" spans="1:4" x14ac:dyDescent="0.25">
      <c r="C93" s="31" t="s">
        <v>2501</v>
      </c>
      <c r="D93" s="32">
        <f>SUM(D75)</f>
        <v>23487</v>
      </c>
    </row>
    <row r="94" spans="1:4" x14ac:dyDescent="0.25">
      <c r="C94" s="31" t="s">
        <v>83</v>
      </c>
      <c r="D94" s="32">
        <f>SUM(D92:D93)</f>
        <v>497493</v>
      </c>
    </row>
  </sheetData>
  <printOptions horizontalCentered="1"/>
  <pageMargins left="0.7" right="0.7" top="1.25" bottom="0.75" header="0.3" footer="0.3"/>
  <pageSetup paperSize="17" scale="106" orientation="landscape" r:id="rId1"/>
  <headerFooter>
    <oddHeader>&amp;C&amp;"Arial Black,Regular"&amp;14SALES REPORT
&amp;10APPROVED WORK AWAITING SCHEDULE</oddHeader>
    <oddFooter>&amp;L&amp;8&amp;Z&amp;F&amp;R&amp;8&amp;D</oddFooter>
  </headerFooter>
  <rowBreaks count="1" manualBreakCount="1">
    <brk id="37" max="3" man="1"/>
  </rowBreaks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AF0E-F6B6-4A75-BB13-4F100283DC63}">
  <dimension ref="A1:D94"/>
  <sheetViews>
    <sheetView view="pageBreakPreview" topLeftCell="A52" zoomScaleNormal="100" zoomScaleSheetLayoutView="100" workbookViewId="0">
      <selection activeCell="H92" sqref="H92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389932</v>
      </c>
      <c r="C2" s="4" t="s">
        <v>2978</v>
      </c>
      <c r="D2" s="9">
        <v>170</v>
      </c>
    </row>
    <row r="3" spans="1:4" x14ac:dyDescent="0.25">
      <c r="A3" s="4" t="s">
        <v>147</v>
      </c>
      <c r="B3" s="4">
        <v>385200</v>
      </c>
      <c r="C3" s="4" t="s">
        <v>2979</v>
      </c>
      <c r="D3" s="9">
        <v>9365</v>
      </c>
    </row>
    <row r="4" spans="1:4" x14ac:dyDescent="0.25">
      <c r="A4" s="4" t="s">
        <v>147</v>
      </c>
      <c r="B4" s="4">
        <v>385200</v>
      </c>
      <c r="C4" s="4" t="s">
        <v>2980</v>
      </c>
      <c r="D4" s="9">
        <v>33205</v>
      </c>
    </row>
    <row r="5" spans="1:4" x14ac:dyDescent="0.25">
      <c r="A5" s="4" t="s">
        <v>143</v>
      </c>
      <c r="B5" s="4">
        <v>389871</v>
      </c>
      <c r="C5" s="4" t="s">
        <v>2981</v>
      </c>
      <c r="D5" s="9">
        <v>5530</v>
      </c>
    </row>
    <row r="6" spans="1:4" x14ac:dyDescent="0.25">
      <c r="A6" s="4" t="s">
        <v>175</v>
      </c>
      <c r="B6" s="4">
        <v>390037</v>
      </c>
      <c r="C6" s="4" t="s">
        <v>2982</v>
      </c>
      <c r="D6" s="9">
        <v>75</v>
      </c>
    </row>
    <row r="7" spans="1:4" x14ac:dyDescent="0.25">
      <c r="A7" s="4" t="s">
        <v>567</v>
      </c>
      <c r="B7" s="4">
        <v>384844</v>
      </c>
      <c r="C7" s="4" t="s">
        <v>2983</v>
      </c>
      <c r="D7" s="9">
        <v>7990</v>
      </c>
    </row>
    <row r="8" spans="1:4" x14ac:dyDescent="0.25">
      <c r="A8" s="4" t="s">
        <v>200</v>
      </c>
      <c r="B8" s="4">
        <v>389653</v>
      </c>
      <c r="C8" s="4" t="s">
        <v>2962</v>
      </c>
      <c r="D8" s="9">
        <v>24523</v>
      </c>
    </row>
    <row r="9" spans="1:4" x14ac:dyDescent="0.25">
      <c r="A9" s="4" t="s">
        <v>26</v>
      </c>
      <c r="B9" s="4">
        <v>386169</v>
      </c>
      <c r="C9" s="4" t="s">
        <v>2932</v>
      </c>
      <c r="D9" s="9">
        <v>1390</v>
      </c>
    </row>
    <row r="10" spans="1:4" x14ac:dyDescent="0.25">
      <c r="A10" s="4" t="s">
        <v>330</v>
      </c>
      <c r="B10" s="4">
        <v>379297</v>
      </c>
      <c r="C10" s="4" t="s">
        <v>2797</v>
      </c>
      <c r="D10" s="9">
        <v>1035</v>
      </c>
    </row>
    <row r="11" spans="1:4" x14ac:dyDescent="0.25">
      <c r="A11" s="4" t="s">
        <v>1419</v>
      </c>
      <c r="B11" s="4">
        <v>386379</v>
      </c>
      <c r="C11" s="4" t="s">
        <v>2837</v>
      </c>
      <c r="D11" s="9">
        <v>14400</v>
      </c>
    </row>
    <row r="12" spans="1:4" x14ac:dyDescent="0.25">
      <c r="A12" s="4" t="s">
        <v>1419</v>
      </c>
      <c r="B12" s="4">
        <v>386607</v>
      </c>
      <c r="C12" s="4" t="s">
        <v>2933</v>
      </c>
      <c r="D12" s="9">
        <v>17300</v>
      </c>
    </row>
    <row r="13" spans="1:4" x14ac:dyDescent="0.25">
      <c r="A13" s="4" t="s">
        <v>1419</v>
      </c>
      <c r="B13" s="4">
        <v>385412</v>
      </c>
      <c r="C13" s="4" t="s">
        <v>2838</v>
      </c>
      <c r="D13" s="9">
        <v>11850</v>
      </c>
    </row>
    <row r="14" spans="1:4" x14ac:dyDescent="0.25">
      <c r="A14" s="4" t="s">
        <v>1419</v>
      </c>
      <c r="B14" s="4">
        <v>385416</v>
      </c>
      <c r="C14" s="4" t="s">
        <v>2839</v>
      </c>
      <c r="D14" s="9">
        <v>960</v>
      </c>
    </row>
    <row r="15" spans="1:4" x14ac:dyDescent="0.25">
      <c r="A15" s="4" t="s">
        <v>1419</v>
      </c>
      <c r="B15" s="4">
        <v>385501</v>
      </c>
      <c r="C15" s="4" t="s">
        <v>2840</v>
      </c>
      <c r="D15" s="9">
        <v>600</v>
      </c>
    </row>
    <row r="16" spans="1:4" x14ac:dyDescent="0.25">
      <c r="A16" s="4" t="s">
        <v>1419</v>
      </c>
      <c r="B16" s="4">
        <v>385503</v>
      </c>
      <c r="C16" s="4" t="s">
        <v>2841</v>
      </c>
      <c r="D16" s="9">
        <v>1890</v>
      </c>
    </row>
    <row r="17" spans="1:4" x14ac:dyDescent="0.25">
      <c r="A17" s="4" t="s">
        <v>1419</v>
      </c>
      <c r="B17" s="4">
        <v>385504</v>
      </c>
      <c r="C17" s="4" t="s">
        <v>2842</v>
      </c>
      <c r="D17" s="9">
        <v>6460</v>
      </c>
    </row>
    <row r="18" spans="1:4" x14ac:dyDescent="0.25">
      <c r="A18" s="4" t="s">
        <v>1419</v>
      </c>
      <c r="B18" s="4">
        <v>385505</v>
      </c>
      <c r="C18" s="4" t="s">
        <v>2843</v>
      </c>
      <c r="D18" s="9">
        <v>3485</v>
      </c>
    </row>
    <row r="19" spans="1:4" x14ac:dyDescent="0.25">
      <c r="A19" s="4" t="s">
        <v>1419</v>
      </c>
      <c r="B19" s="4">
        <v>385448</v>
      </c>
      <c r="C19" s="4" t="s">
        <v>2844</v>
      </c>
      <c r="D19" s="9">
        <v>10640</v>
      </c>
    </row>
    <row r="20" spans="1:4" x14ac:dyDescent="0.25">
      <c r="A20" s="4" t="s">
        <v>1419</v>
      </c>
      <c r="B20" s="4">
        <v>385506</v>
      </c>
      <c r="C20" s="4" t="s">
        <v>2845</v>
      </c>
      <c r="D20" s="9">
        <v>4760</v>
      </c>
    </row>
    <row r="21" spans="1:4" x14ac:dyDescent="0.25">
      <c r="A21" s="4" t="s">
        <v>1419</v>
      </c>
      <c r="B21" s="4">
        <v>385507</v>
      </c>
      <c r="C21" s="4" t="s">
        <v>2846</v>
      </c>
      <c r="D21" s="9">
        <v>195</v>
      </c>
    </row>
    <row r="22" spans="1:4" x14ac:dyDescent="0.25">
      <c r="A22" s="4" t="s">
        <v>1419</v>
      </c>
      <c r="B22" s="4">
        <v>385510</v>
      </c>
      <c r="C22" s="4" t="s">
        <v>2847</v>
      </c>
      <c r="D22" s="9">
        <v>1255</v>
      </c>
    </row>
    <row r="23" spans="1:4" x14ac:dyDescent="0.25">
      <c r="A23" s="4" t="s">
        <v>1419</v>
      </c>
      <c r="B23" s="4">
        <v>385420</v>
      </c>
      <c r="C23" s="4" t="s">
        <v>2848</v>
      </c>
      <c r="D23" s="9">
        <v>2520</v>
      </c>
    </row>
    <row r="24" spans="1:4" x14ac:dyDescent="0.25">
      <c r="A24" s="4" t="s">
        <v>1419</v>
      </c>
      <c r="B24" s="4">
        <v>385513</v>
      </c>
      <c r="C24" s="4" t="s">
        <v>2849</v>
      </c>
      <c r="D24" s="9">
        <v>3000</v>
      </c>
    </row>
    <row r="25" spans="1:4" x14ac:dyDescent="0.25">
      <c r="A25" s="4" t="s">
        <v>1419</v>
      </c>
      <c r="B25" s="4">
        <v>385424</v>
      </c>
      <c r="C25" s="4" t="s">
        <v>2850</v>
      </c>
      <c r="D25" s="9">
        <v>1850</v>
      </c>
    </row>
    <row r="26" spans="1:4" x14ac:dyDescent="0.25">
      <c r="A26" s="4" t="s">
        <v>1419</v>
      </c>
      <c r="B26" s="4">
        <v>385515</v>
      </c>
      <c r="C26" s="4" t="s">
        <v>2851</v>
      </c>
      <c r="D26" s="9">
        <v>3120</v>
      </c>
    </row>
    <row r="27" spans="1:4" x14ac:dyDescent="0.25">
      <c r="A27" s="4" t="s">
        <v>1419</v>
      </c>
      <c r="B27" s="4">
        <v>385516</v>
      </c>
      <c r="C27" s="4" t="s">
        <v>2852</v>
      </c>
      <c r="D27" s="9">
        <v>6330</v>
      </c>
    </row>
    <row r="28" spans="1:4" x14ac:dyDescent="0.25">
      <c r="A28" s="4" t="s">
        <v>1419</v>
      </c>
      <c r="B28" s="4">
        <v>385519</v>
      </c>
      <c r="C28" s="4" t="s">
        <v>2853</v>
      </c>
      <c r="D28" s="9">
        <v>630</v>
      </c>
    </row>
    <row r="29" spans="1:4" x14ac:dyDescent="0.25">
      <c r="A29" s="4" t="s">
        <v>1419</v>
      </c>
      <c r="B29" s="4">
        <v>385520</v>
      </c>
      <c r="C29" s="4" t="s">
        <v>2854</v>
      </c>
      <c r="D29" s="9">
        <v>1170</v>
      </c>
    </row>
    <row r="30" spans="1:4" x14ac:dyDescent="0.25">
      <c r="A30" s="4" t="s">
        <v>1419</v>
      </c>
      <c r="B30" s="4">
        <v>385521</v>
      </c>
      <c r="C30" s="4" t="s">
        <v>2855</v>
      </c>
      <c r="D30" s="9">
        <v>3160</v>
      </c>
    </row>
    <row r="31" spans="1:4" x14ac:dyDescent="0.25">
      <c r="A31" s="4" t="s">
        <v>1419</v>
      </c>
      <c r="B31" s="4">
        <v>385522</v>
      </c>
      <c r="C31" s="4" t="s">
        <v>2856</v>
      </c>
      <c r="D31" s="9">
        <v>2025</v>
      </c>
    </row>
    <row r="32" spans="1:4" x14ac:dyDescent="0.25">
      <c r="A32" s="4" t="s">
        <v>1419</v>
      </c>
      <c r="B32" s="4">
        <v>385427</v>
      </c>
      <c r="C32" s="4" t="s">
        <v>2857</v>
      </c>
      <c r="D32" s="9">
        <v>1140</v>
      </c>
    </row>
    <row r="33" spans="1:4" x14ac:dyDescent="0.25">
      <c r="A33" s="4" t="s">
        <v>1419</v>
      </c>
      <c r="B33" s="4">
        <v>385432</v>
      </c>
      <c r="C33" s="4" t="s">
        <v>2858</v>
      </c>
      <c r="D33" s="9">
        <v>2265</v>
      </c>
    </row>
    <row r="34" spans="1:4" x14ac:dyDescent="0.25">
      <c r="A34" s="4" t="s">
        <v>1419</v>
      </c>
      <c r="B34" s="4">
        <v>385523</v>
      </c>
      <c r="C34" s="4" t="s">
        <v>2859</v>
      </c>
      <c r="D34" s="9">
        <v>2540</v>
      </c>
    </row>
    <row r="35" spans="1:4" x14ac:dyDescent="0.25">
      <c r="A35" s="4" t="s">
        <v>1419</v>
      </c>
      <c r="B35" s="4">
        <v>385499</v>
      </c>
      <c r="C35" s="4" t="s">
        <v>2860</v>
      </c>
      <c r="D35" s="9">
        <v>2275</v>
      </c>
    </row>
    <row r="36" spans="1:4" x14ac:dyDescent="0.25">
      <c r="A36" s="4" t="s">
        <v>1419</v>
      </c>
      <c r="B36" s="4">
        <v>385435</v>
      </c>
      <c r="C36" s="4" t="s">
        <v>2861</v>
      </c>
      <c r="D36" s="9">
        <v>3395</v>
      </c>
    </row>
    <row r="37" spans="1:4" x14ac:dyDescent="0.25">
      <c r="A37" s="4" t="s">
        <v>1419</v>
      </c>
      <c r="B37" s="4">
        <v>385438</v>
      </c>
      <c r="C37" s="4" t="s">
        <v>2862</v>
      </c>
      <c r="D37" s="9">
        <v>4220</v>
      </c>
    </row>
    <row r="38" spans="1:4" x14ac:dyDescent="0.25">
      <c r="A38" s="4" t="s">
        <v>1419</v>
      </c>
      <c r="B38" s="4">
        <v>385524</v>
      </c>
      <c r="C38" s="4" t="s">
        <v>2863</v>
      </c>
      <c r="D38" s="9">
        <v>1020</v>
      </c>
    </row>
    <row r="39" spans="1:4" x14ac:dyDescent="0.25">
      <c r="A39" s="4" t="s">
        <v>1419</v>
      </c>
      <c r="B39" s="4">
        <v>385443</v>
      </c>
      <c r="C39" s="4" t="s">
        <v>2864</v>
      </c>
      <c r="D39" s="9">
        <v>1575</v>
      </c>
    </row>
    <row r="40" spans="1:4" x14ac:dyDescent="0.25">
      <c r="A40" s="4" t="s">
        <v>1419</v>
      </c>
      <c r="B40" s="4">
        <v>385525</v>
      </c>
      <c r="C40" s="4" t="s">
        <v>2865</v>
      </c>
      <c r="D40" s="9">
        <v>8355</v>
      </c>
    </row>
    <row r="41" spans="1:4" x14ac:dyDescent="0.25">
      <c r="A41" s="4" t="s">
        <v>1419</v>
      </c>
      <c r="B41" s="4">
        <v>386351</v>
      </c>
      <c r="C41" s="4" t="s">
        <v>2866</v>
      </c>
      <c r="D41" s="9">
        <v>270</v>
      </c>
    </row>
    <row r="42" spans="1:4" x14ac:dyDescent="0.25">
      <c r="A42" s="4" t="s">
        <v>1419</v>
      </c>
      <c r="B42" s="4">
        <v>386359</v>
      </c>
      <c r="C42" s="4" t="s">
        <v>2867</v>
      </c>
      <c r="D42" s="9">
        <v>540</v>
      </c>
    </row>
    <row r="43" spans="1:4" x14ac:dyDescent="0.25">
      <c r="A43" s="4" t="s">
        <v>1419</v>
      </c>
      <c r="B43" s="4">
        <v>386359</v>
      </c>
      <c r="C43" s="4" t="s">
        <v>2867</v>
      </c>
      <c r="D43" s="9">
        <v>540</v>
      </c>
    </row>
    <row r="44" spans="1:4" x14ac:dyDescent="0.25">
      <c r="A44" s="4" t="s">
        <v>1419</v>
      </c>
      <c r="B44" s="4">
        <v>386362</v>
      </c>
      <c r="C44" s="4" t="s">
        <v>2868</v>
      </c>
      <c r="D44" s="9">
        <v>1080</v>
      </c>
    </row>
    <row r="45" spans="1:4" x14ac:dyDescent="0.25">
      <c r="A45" s="4" t="s">
        <v>1419</v>
      </c>
      <c r="B45" s="4">
        <v>388543</v>
      </c>
      <c r="C45" s="4" t="s">
        <v>2925</v>
      </c>
      <c r="D45" s="9">
        <v>19260</v>
      </c>
    </row>
    <row r="46" spans="1:4" x14ac:dyDescent="0.25">
      <c r="A46" s="4" t="s">
        <v>1419</v>
      </c>
      <c r="B46" s="4">
        <v>386365</v>
      </c>
      <c r="C46" s="4" t="s">
        <v>2870</v>
      </c>
      <c r="D46" s="9">
        <v>25740</v>
      </c>
    </row>
    <row r="47" spans="1:4" x14ac:dyDescent="0.25">
      <c r="A47" s="4" t="s">
        <v>1419</v>
      </c>
      <c r="B47" s="4">
        <v>386366</v>
      </c>
      <c r="C47" s="4" t="s">
        <v>2871</v>
      </c>
      <c r="D47" s="9">
        <v>360</v>
      </c>
    </row>
    <row r="48" spans="1:4" x14ac:dyDescent="0.25">
      <c r="A48" s="4" t="s">
        <v>1419</v>
      </c>
      <c r="B48" s="4">
        <v>386368</v>
      </c>
      <c r="C48" s="4" t="s">
        <v>2872</v>
      </c>
      <c r="D48" s="9">
        <v>180</v>
      </c>
    </row>
    <row r="49" spans="1:4" x14ac:dyDescent="0.25">
      <c r="A49" s="4" t="s">
        <v>1419</v>
      </c>
      <c r="B49" s="4">
        <v>386370</v>
      </c>
      <c r="C49" s="4" t="s">
        <v>2873</v>
      </c>
      <c r="D49" s="9">
        <v>1350</v>
      </c>
    </row>
    <row r="50" spans="1:4" x14ac:dyDescent="0.25">
      <c r="A50" s="4" t="s">
        <v>1419</v>
      </c>
      <c r="B50" s="4">
        <v>386371</v>
      </c>
      <c r="C50" s="4" t="s">
        <v>2874</v>
      </c>
      <c r="D50" s="9">
        <v>3150</v>
      </c>
    </row>
    <row r="51" spans="1:4" x14ac:dyDescent="0.25">
      <c r="A51" s="4" t="s">
        <v>1419</v>
      </c>
      <c r="B51" s="4">
        <v>386372</v>
      </c>
      <c r="C51" s="4" t="s">
        <v>2875</v>
      </c>
      <c r="D51" s="9">
        <v>540</v>
      </c>
    </row>
    <row r="52" spans="1:4" x14ac:dyDescent="0.25">
      <c r="A52" s="4" t="s">
        <v>1419</v>
      </c>
      <c r="B52" s="4">
        <v>386373</v>
      </c>
      <c r="C52" s="4" t="s">
        <v>2876</v>
      </c>
      <c r="D52" s="9">
        <v>630</v>
      </c>
    </row>
    <row r="53" spans="1:4" x14ac:dyDescent="0.25">
      <c r="A53" s="4" t="s">
        <v>1419</v>
      </c>
      <c r="B53" s="4">
        <v>386380</v>
      </c>
      <c r="C53" s="4" t="s">
        <v>2877</v>
      </c>
      <c r="D53" s="9">
        <v>6750</v>
      </c>
    </row>
    <row r="54" spans="1:4" x14ac:dyDescent="0.25">
      <c r="A54" s="4" t="s">
        <v>1419</v>
      </c>
      <c r="B54" s="4">
        <v>386382</v>
      </c>
      <c r="C54" s="4" t="s">
        <v>2878</v>
      </c>
      <c r="D54" s="9">
        <v>180</v>
      </c>
    </row>
    <row r="55" spans="1:4" x14ac:dyDescent="0.25">
      <c r="A55" s="4" t="s">
        <v>1419</v>
      </c>
      <c r="B55" s="4">
        <v>386383</v>
      </c>
      <c r="C55" s="4" t="s">
        <v>2879</v>
      </c>
      <c r="D55" s="9">
        <v>15030</v>
      </c>
    </row>
    <row r="56" spans="1:4" x14ac:dyDescent="0.25">
      <c r="A56" s="4" t="s">
        <v>1419</v>
      </c>
      <c r="B56" s="4">
        <v>386386</v>
      </c>
      <c r="C56" s="4" t="s">
        <v>2880</v>
      </c>
      <c r="D56" s="9">
        <v>90</v>
      </c>
    </row>
    <row r="57" spans="1:4" x14ac:dyDescent="0.25">
      <c r="A57" s="4" t="s">
        <v>1419</v>
      </c>
      <c r="B57" s="4">
        <v>386355</v>
      </c>
      <c r="C57" s="4" t="s">
        <v>2881</v>
      </c>
      <c r="D57" s="9">
        <v>14670</v>
      </c>
    </row>
    <row r="58" spans="1:4" x14ac:dyDescent="0.25">
      <c r="A58" s="4" t="s">
        <v>1419</v>
      </c>
      <c r="B58" s="4">
        <v>386387</v>
      </c>
      <c r="C58" s="4" t="s">
        <v>2882</v>
      </c>
      <c r="D58" s="9">
        <v>90</v>
      </c>
    </row>
    <row r="59" spans="1:4" x14ac:dyDescent="0.25">
      <c r="A59" s="4" t="s">
        <v>1419</v>
      </c>
      <c r="B59" s="4">
        <v>386389</v>
      </c>
      <c r="C59" s="4" t="s">
        <v>2883</v>
      </c>
      <c r="D59" s="9">
        <v>5220</v>
      </c>
    </row>
    <row r="60" spans="1:4" x14ac:dyDescent="0.25">
      <c r="A60" s="4" t="s">
        <v>1419</v>
      </c>
      <c r="B60" s="4">
        <v>386393</v>
      </c>
      <c r="C60" s="4" t="s">
        <v>2884</v>
      </c>
      <c r="D60" s="9">
        <v>2700</v>
      </c>
    </row>
    <row r="61" spans="1:4" x14ac:dyDescent="0.25">
      <c r="A61" s="4" t="s">
        <v>1419</v>
      </c>
      <c r="B61" s="4">
        <v>386394</v>
      </c>
      <c r="C61" s="4" t="s">
        <v>2885</v>
      </c>
      <c r="D61" s="9">
        <v>900</v>
      </c>
    </row>
    <row r="62" spans="1:4" x14ac:dyDescent="0.25">
      <c r="A62" s="4" t="s">
        <v>1419</v>
      </c>
      <c r="B62" s="4">
        <v>386398</v>
      </c>
      <c r="C62" s="4" t="s">
        <v>2886</v>
      </c>
      <c r="D62" s="9">
        <v>27360</v>
      </c>
    </row>
    <row r="63" spans="1:4" x14ac:dyDescent="0.25">
      <c r="A63" s="4" t="s">
        <v>1419</v>
      </c>
      <c r="B63" s="4">
        <v>388532</v>
      </c>
      <c r="C63" s="4" t="s">
        <v>2934</v>
      </c>
      <c r="D63" s="9">
        <v>315</v>
      </c>
    </row>
    <row r="64" spans="1:4" x14ac:dyDescent="0.25">
      <c r="A64" s="4" t="s">
        <v>1997</v>
      </c>
      <c r="B64" s="4">
        <v>389972</v>
      </c>
      <c r="C64" s="4" t="s">
        <v>2984</v>
      </c>
      <c r="D64" s="9">
        <v>38720</v>
      </c>
    </row>
    <row r="65" spans="1:4" x14ac:dyDescent="0.25">
      <c r="A65" s="4" t="s">
        <v>221</v>
      </c>
      <c r="B65" s="4">
        <v>386797</v>
      </c>
      <c r="C65" s="4" t="s">
        <v>2985</v>
      </c>
      <c r="D65" s="9">
        <v>19040</v>
      </c>
    </row>
    <row r="66" spans="1:4" x14ac:dyDescent="0.25">
      <c r="A66" s="4" t="s">
        <v>315</v>
      </c>
      <c r="B66" s="4">
        <v>390057</v>
      </c>
      <c r="C66" s="4" t="s">
        <v>2986</v>
      </c>
      <c r="D66" s="9">
        <v>160</v>
      </c>
    </row>
    <row r="67" spans="1:4" x14ac:dyDescent="0.25">
      <c r="A67" s="4" t="s">
        <v>315</v>
      </c>
      <c r="B67" s="4">
        <v>386445</v>
      </c>
      <c r="C67" s="4" t="s">
        <v>2987</v>
      </c>
      <c r="D67" s="9">
        <v>235</v>
      </c>
    </row>
    <row r="68" spans="1:4" x14ac:dyDescent="0.25">
      <c r="A68" s="4" t="s">
        <v>315</v>
      </c>
      <c r="B68" s="4">
        <v>390190</v>
      </c>
      <c r="C68" s="4" t="s">
        <v>2988</v>
      </c>
      <c r="D68" s="9">
        <v>100</v>
      </c>
    </row>
    <row r="69" spans="1:4" x14ac:dyDescent="0.25">
      <c r="A69" s="4" t="s">
        <v>832</v>
      </c>
      <c r="B69" s="4">
        <v>389687</v>
      </c>
      <c r="C69" s="4" t="s">
        <v>2967</v>
      </c>
      <c r="D69" s="9">
        <v>5475</v>
      </c>
    </row>
    <row r="70" spans="1:4" x14ac:dyDescent="0.25">
      <c r="A70" s="4" t="s">
        <v>832</v>
      </c>
      <c r="B70" s="4">
        <v>389746</v>
      </c>
      <c r="C70" s="4" t="s">
        <v>2989</v>
      </c>
      <c r="D70" s="9">
        <v>313</v>
      </c>
    </row>
    <row r="71" spans="1:4" x14ac:dyDescent="0.25">
      <c r="A71" s="4" t="s">
        <v>995</v>
      </c>
      <c r="B71" s="4">
        <v>383798</v>
      </c>
      <c r="C71" s="4" t="s">
        <v>2951</v>
      </c>
      <c r="D71" s="9">
        <v>72425</v>
      </c>
    </row>
    <row r="72" spans="1:4" x14ac:dyDescent="0.25">
      <c r="A72" s="4" t="s">
        <v>443</v>
      </c>
      <c r="B72" s="4">
        <v>361618</v>
      </c>
      <c r="C72" s="4" t="s">
        <v>2990</v>
      </c>
      <c r="D72" s="9">
        <v>14885</v>
      </c>
    </row>
    <row r="73" spans="1:4" x14ac:dyDescent="0.25">
      <c r="A73" s="4" t="s">
        <v>443</v>
      </c>
      <c r="B73" s="4">
        <v>361618</v>
      </c>
      <c r="C73" s="4" t="s">
        <v>2991</v>
      </c>
      <c r="D73" s="9">
        <v>2940</v>
      </c>
    </row>
    <row r="74" spans="1:4" x14ac:dyDescent="0.25">
      <c r="A74" s="4" t="s">
        <v>443</v>
      </c>
      <c r="B74" s="4">
        <v>380661</v>
      </c>
      <c r="C74" s="4" t="s">
        <v>2992</v>
      </c>
      <c r="D74" s="9">
        <v>6010</v>
      </c>
    </row>
    <row r="75" spans="1:4" x14ac:dyDescent="0.25">
      <c r="A75" s="4" t="s">
        <v>443</v>
      </c>
      <c r="B75" s="4">
        <v>380661</v>
      </c>
      <c r="C75" s="4" t="s">
        <v>2993</v>
      </c>
      <c r="D75" s="9">
        <v>5590</v>
      </c>
    </row>
    <row r="76" spans="1:4" x14ac:dyDescent="0.25">
      <c r="A76" s="4" t="s">
        <v>443</v>
      </c>
      <c r="B76" s="4">
        <v>363766</v>
      </c>
      <c r="C76" s="4" t="s">
        <v>2994</v>
      </c>
      <c r="D76" s="9">
        <v>520</v>
      </c>
    </row>
    <row r="77" spans="1:4" x14ac:dyDescent="0.25">
      <c r="A77" s="4" t="s">
        <v>2973</v>
      </c>
      <c r="B77" s="4">
        <v>389740</v>
      </c>
      <c r="C77" s="4" t="s">
        <v>2974</v>
      </c>
      <c r="D77" s="9">
        <v>55</v>
      </c>
    </row>
    <row r="78" spans="1:4" x14ac:dyDescent="0.25">
      <c r="A78" s="4" t="s">
        <v>52</v>
      </c>
      <c r="B78" s="4">
        <v>379599</v>
      </c>
      <c r="C78" s="4" t="s">
        <v>2954</v>
      </c>
      <c r="D78" s="9">
        <v>1140</v>
      </c>
    </row>
    <row r="79" spans="1:4" x14ac:dyDescent="0.25">
      <c r="A79" s="4" t="s">
        <v>52</v>
      </c>
      <c r="B79" s="4">
        <v>389244</v>
      </c>
      <c r="C79" s="4" t="s">
        <v>2995</v>
      </c>
      <c r="D79" s="9">
        <v>895</v>
      </c>
    </row>
    <row r="80" spans="1:4" x14ac:dyDescent="0.25">
      <c r="A80" s="4" t="s">
        <v>2831</v>
      </c>
      <c r="B80" s="4">
        <v>390205</v>
      </c>
      <c r="C80" s="4" t="s">
        <v>2996</v>
      </c>
      <c r="D80" s="9">
        <v>59716</v>
      </c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SUM(D2:D79)</f>
        <v>503116</v>
      </c>
    </row>
    <row r="93" spans="1:4" x14ac:dyDescent="0.25">
      <c r="C93" s="31" t="s">
        <v>2501</v>
      </c>
      <c r="D93" s="32">
        <f>SUM(D80)</f>
        <v>59716</v>
      </c>
    </row>
    <row r="94" spans="1:4" x14ac:dyDescent="0.25">
      <c r="C94" s="31" t="s">
        <v>83</v>
      </c>
      <c r="D94" s="32">
        <f>SUM(D92:D93)</f>
        <v>562832</v>
      </c>
    </row>
  </sheetData>
  <printOptions horizontalCentered="1"/>
  <pageMargins left="0.7" right="0.7" top="1.25" bottom="0.75" header="0.3" footer="0.3"/>
  <pageSetup paperSize="17" scale="119" orientation="landscape" r:id="rId1"/>
  <headerFooter>
    <oddHeader>&amp;C&amp;"Arial Black,Regular"&amp;14SALES REPORT
&amp;10APPROVED WORK AWAITING SCHEDULE</oddHeader>
    <oddFooter>&amp;L&amp;8&amp;Z&amp;F&amp;R&amp;8&amp;D</oddFooter>
  </headerFooter>
  <rowBreaks count="1" manualBreakCount="1">
    <brk id="37" max="3" man="1"/>
  </rowBreaks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32AC-C82A-4D6E-878E-67BC9E2E5AD9}">
  <dimension ref="A1:D94"/>
  <sheetViews>
    <sheetView view="pageBreakPreview" topLeftCell="A59" zoomScaleNormal="100" zoomScaleSheetLayoutView="100" workbookViewId="0">
      <selection activeCell="C92" sqref="C92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389932</v>
      </c>
      <c r="C2" s="4" t="s">
        <v>2978</v>
      </c>
      <c r="D2" s="9">
        <v>170</v>
      </c>
    </row>
    <row r="3" spans="1:4" x14ac:dyDescent="0.25">
      <c r="A3" s="4" t="s">
        <v>98</v>
      </c>
      <c r="B3" s="4">
        <v>391274</v>
      </c>
      <c r="C3" s="4" t="s">
        <v>2997</v>
      </c>
      <c r="D3" s="9">
        <v>132800</v>
      </c>
    </row>
    <row r="4" spans="1:4" x14ac:dyDescent="0.25">
      <c r="A4" s="4" t="s">
        <v>2831</v>
      </c>
      <c r="B4" s="4">
        <v>392583</v>
      </c>
      <c r="C4" s="4" t="s">
        <v>2998</v>
      </c>
      <c r="D4" s="9">
        <v>1733</v>
      </c>
    </row>
    <row r="5" spans="1:4" x14ac:dyDescent="0.25">
      <c r="A5" s="4" t="s">
        <v>2831</v>
      </c>
      <c r="B5" s="4">
        <v>392581</v>
      </c>
      <c r="C5" s="4" t="s">
        <v>2999</v>
      </c>
      <c r="D5" s="9">
        <v>948</v>
      </c>
    </row>
    <row r="6" spans="1:4" x14ac:dyDescent="0.25">
      <c r="A6" s="4" t="s">
        <v>175</v>
      </c>
      <c r="B6" s="4">
        <v>392446</v>
      </c>
      <c r="C6" s="4" t="s">
        <v>3000</v>
      </c>
      <c r="D6" s="9">
        <v>50</v>
      </c>
    </row>
    <row r="7" spans="1:4" x14ac:dyDescent="0.25">
      <c r="A7" s="4" t="s">
        <v>175</v>
      </c>
      <c r="B7" s="4">
        <v>390037</v>
      </c>
      <c r="C7" s="4" t="s">
        <v>2982</v>
      </c>
      <c r="D7" s="9">
        <v>75</v>
      </c>
    </row>
    <row r="8" spans="1:4" x14ac:dyDescent="0.25">
      <c r="A8" s="4" t="s">
        <v>200</v>
      </c>
      <c r="B8" s="4">
        <v>389653</v>
      </c>
      <c r="C8" s="4" t="s">
        <v>2962</v>
      </c>
      <c r="D8" s="9">
        <v>24523</v>
      </c>
    </row>
    <row r="9" spans="1:4" x14ac:dyDescent="0.25">
      <c r="A9" s="4" t="s">
        <v>26</v>
      </c>
      <c r="B9" s="4">
        <v>391303</v>
      </c>
      <c r="C9" s="4" t="s">
        <v>3001</v>
      </c>
      <c r="D9" s="9">
        <v>250</v>
      </c>
    </row>
    <row r="10" spans="1:4" x14ac:dyDescent="0.25">
      <c r="A10" s="4" t="s">
        <v>330</v>
      </c>
      <c r="B10" s="4">
        <v>379297</v>
      </c>
      <c r="C10" s="4" t="s">
        <v>2797</v>
      </c>
      <c r="D10" s="9">
        <v>1035</v>
      </c>
    </row>
    <row r="11" spans="1:4" x14ac:dyDescent="0.25">
      <c r="A11" s="4" t="s">
        <v>1419</v>
      </c>
      <c r="B11" s="4">
        <v>386393</v>
      </c>
      <c r="C11" s="4" t="s">
        <v>3002</v>
      </c>
      <c r="D11" s="9">
        <v>2700</v>
      </c>
    </row>
    <row r="12" spans="1:4" x14ac:dyDescent="0.25">
      <c r="A12" s="4" t="s">
        <v>1419</v>
      </c>
      <c r="B12" s="4">
        <v>386379</v>
      </c>
      <c r="C12" s="4" t="s">
        <v>2837</v>
      </c>
      <c r="D12" s="9">
        <v>14400</v>
      </c>
    </row>
    <row r="13" spans="1:4" x14ac:dyDescent="0.25">
      <c r="A13" s="4" t="s">
        <v>1419</v>
      </c>
      <c r="B13" s="4">
        <v>386607</v>
      </c>
      <c r="C13" s="4" t="s">
        <v>2933</v>
      </c>
      <c r="D13" s="9">
        <v>17300</v>
      </c>
    </row>
    <row r="14" spans="1:4" x14ac:dyDescent="0.25">
      <c r="A14" s="4" t="s">
        <v>1419</v>
      </c>
      <c r="B14" s="4">
        <v>385412</v>
      </c>
      <c r="C14" s="4" t="s">
        <v>2838</v>
      </c>
      <c r="D14" s="9">
        <v>11850</v>
      </c>
    </row>
    <row r="15" spans="1:4" x14ac:dyDescent="0.25">
      <c r="A15" s="4" t="s">
        <v>1419</v>
      </c>
      <c r="B15" s="4">
        <v>385416</v>
      </c>
      <c r="C15" s="4" t="s">
        <v>2839</v>
      </c>
      <c r="D15" s="9">
        <v>960</v>
      </c>
    </row>
    <row r="16" spans="1:4" x14ac:dyDescent="0.25">
      <c r="A16" s="4" t="s">
        <v>1419</v>
      </c>
      <c r="B16" s="4">
        <v>385503</v>
      </c>
      <c r="C16" s="4" t="s">
        <v>2841</v>
      </c>
      <c r="D16" s="9">
        <v>1890</v>
      </c>
    </row>
    <row r="17" spans="1:4" x14ac:dyDescent="0.25">
      <c r="A17" s="4" t="s">
        <v>1419</v>
      </c>
      <c r="B17" s="4">
        <v>385504</v>
      </c>
      <c r="C17" s="4" t="s">
        <v>2842</v>
      </c>
      <c r="D17" s="9">
        <v>6460</v>
      </c>
    </row>
    <row r="18" spans="1:4" x14ac:dyDescent="0.25">
      <c r="A18" s="4" t="s">
        <v>1419</v>
      </c>
      <c r="B18" s="4">
        <v>385448</v>
      </c>
      <c r="C18" s="4" t="s">
        <v>2844</v>
      </c>
      <c r="D18" s="9">
        <v>10640</v>
      </c>
    </row>
    <row r="19" spans="1:4" x14ac:dyDescent="0.25">
      <c r="A19" s="4" t="s">
        <v>1419</v>
      </c>
      <c r="B19" s="4">
        <v>385506</v>
      </c>
      <c r="C19" s="4" t="s">
        <v>2845</v>
      </c>
      <c r="D19" s="9">
        <v>4760</v>
      </c>
    </row>
    <row r="20" spans="1:4" x14ac:dyDescent="0.25">
      <c r="A20" s="4" t="s">
        <v>1419</v>
      </c>
      <c r="B20" s="4">
        <v>385507</v>
      </c>
      <c r="C20" s="4" t="s">
        <v>2846</v>
      </c>
      <c r="D20" s="9">
        <v>195</v>
      </c>
    </row>
    <row r="21" spans="1:4" x14ac:dyDescent="0.25">
      <c r="A21" s="4" t="s">
        <v>1419</v>
      </c>
      <c r="B21" s="4">
        <v>385420</v>
      </c>
      <c r="C21" s="4" t="s">
        <v>2848</v>
      </c>
      <c r="D21" s="9">
        <v>2520</v>
      </c>
    </row>
    <row r="22" spans="1:4" x14ac:dyDescent="0.25">
      <c r="A22" s="4" t="s">
        <v>1419</v>
      </c>
      <c r="B22" s="4">
        <v>385513</v>
      </c>
      <c r="C22" s="4" t="s">
        <v>2849</v>
      </c>
      <c r="D22" s="9">
        <v>3000</v>
      </c>
    </row>
    <row r="23" spans="1:4" x14ac:dyDescent="0.25">
      <c r="A23" s="4" t="s">
        <v>1419</v>
      </c>
      <c r="B23" s="4">
        <v>385424</v>
      </c>
      <c r="C23" s="4" t="s">
        <v>2850</v>
      </c>
      <c r="D23" s="9">
        <v>1850</v>
      </c>
    </row>
    <row r="24" spans="1:4" x14ac:dyDescent="0.25">
      <c r="A24" s="4" t="s">
        <v>1419</v>
      </c>
      <c r="B24" s="4">
        <v>385515</v>
      </c>
      <c r="C24" s="4" t="s">
        <v>2851</v>
      </c>
      <c r="D24" s="9">
        <v>3120</v>
      </c>
    </row>
    <row r="25" spans="1:4" x14ac:dyDescent="0.25">
      <c r="A25" s="4" t="s">
        <v>1419</v>
      </c>
      <c r="B25" s="4">
        <v>385516</v>
      </c>
      <c r="C25" s="4" t="s">
        <v>2852</v>
      </c>
      <c r="D25" s="9">
        <v>6330</v>
      </c>
    </row>
    <row r="26" spans="1:4" x14ac:dyDescent="0.25">
      <c r="A26" s="4" t="s">
        <v>1419</v>
      </c>
      <c r="B26" s="4">
        <v>385522</v>
      </c>
      <c r="C26" s="4" t="s">
        <v>2856</v>
      </c>
      <c r="D26" s="9">
        <v>2025</v>
      </c>
    </row>
    <row r="27" spans="1:4" x14ac:dyDescent="0.25">
      <c r="A27" s="4" t="s">
        <v>1419</v>
      </c>
      <c r="B27" s="4">
        <v>385427</v>
      </c>
      <c r="C27" s="4" t="s">
        <v>2857</v>
      </c>
      <c r="D27" s="9">
        <v>1140</v>
      </c>
    </row>
    <row r="28" spans="1:4" x14ac:dyDescent="0.25">
      <c r="A28" s="4" t="s">
        <v>1419</v>
      </c>
      <c r="B28" s="4">
        <v>385432</v>
      </c>
      <c r="C28" s="4" t="s">
        <v>2858</v>
      </c>
      <c r="D28" s="9">
        <v>2265</v>
      </c>
    </row>
    <row r="29" spans="1:4" x14ac:dyDescent="0.25">
      <c r="A29" s="4" t="s">
        <v>1419</v>
      </c>
      <c r="B29" s="4">
        <v>385523</v>
      </c>
      <c r="C29" s="4" t="s">
        <v>2859</v>
      </c>
      <c r="D29" s="9">
        <v>2540</v>
      </c>
    </row>
    <row r="30" spans="1:4" x14ac:dyDescent="0.25">
      <c r="A30" s="4" t="s">
        <v>1419</v>
      </c>
      <c r="B30" s="4">
        <v>385435</v>
      </c>
      <c r="C30" s="4" t="s">
        <v>2861</v>
      </c>
      <c r="D30" s="9">
        <v>3395</v>
      </c>
    </row>
    <row r="31" spans="1:4" x14ac:dyDescent="0.25">
      <c r="A31" s="4" t="s">
        <v>1419</v>
      </c>
      <c r="B31" s="4">
        <v>385438</v>
      </c>
      <c r="C31" s="4" t="s">
        <v>2862</v>
      </c>
      <c r="D31" s="9">
        <v>4220</v>
      </c>
    </row>
    <row r="32" spans="1:4" x14ac:dyDescent="0.25">
      <c r="A32" s="4" t="s">
        <v>1419</v>
      </c>
      <c r="B32" s="4">
        <v>385524</v>
      </c>
      <c r="C32" s="4" t="s">
        <v>2863</v>
      </c>
      <c r="D32" s="9">
        <v>1020</v>
      </c>
    </row>
    <row r="33" spans="1:4" x14ac:dyDescent="0.25">
      <c r="A33" s="4" t="s">
        <v>1419</v>
      </c>
      <c r="B33" s="4">
        <v>385525</v>
      </c>
      <c r="C33" s="4" t="s">
        <v>2865</v>
      </c>
      <c r="D33" s="9">
        <v>8355</v>
      </c>
    </row>
    <row r="34" spans="1:4" x14ac:dyDescent="0.25">
      <c r="A34" s="4" t="s">
        <v>1419</v>
      </c>
      <c r="B34" s="4">
        <v>386351</v>
      </c>
      <c r="C34" s="4" t="s">
        <v>2866</v>
      </c>
      <c r="D34" s="9">
        <v>270</v>
      </c>
    </row>
    <row r="35" spans="1:4" x14ac:dyDescent="0.25">
      <c r="A35" s="4" t="s">
        <v>1419</v>
      </c>
      <c r="B35" s="4">
        <v>386359</v>
      </c>
      <c r="C35" s="4" t="s">
        <v>2867</v>
      </c>
      <c r="D35" s="9">
        <v>540</v>
      </c>
    </row>
    <row r="36" spans="1:4" x14ac:dyDescent="0.25">
      <c r="A36" s="4" t="s">
        <v>1419</v>
      </c>
      <c r="B36" s="4">
        <v>386359</v>
      </c>
      <c r="C36" s="4" t="s">
        <v>2867</v>
      </c>
      <c r="D36" s="9">
        <v>540</v>
      </c>
    </row>
    <row r="37" spans="1:4" x14ac:dyDescent="0.25">
      <c r="A37" s="4" t="s">
        <v>1419</v>
      </c>
      <c r="B37" s="4">
        <v>389254</v>
      </c>
      <c r="C37" s="4" t="s">
        <v>3003</v>
      </c>
      <c r="D37" s="9">
        <v>10350</v>
      </c>
    </row>
    <row r="38" spans="1:4" x14ac:dyDescent="0.25">
      <c r="A38" s="4" t="s">
        <v>1419</v>
      </c>
      <c r="B38" s="4">
        <v>386362</v>
      </c>
      <c r="C38" s="4" t="s">
        <v>2868</v>
      </c>
      <c r="D38" s="9">
        <v>1080</v>
      </c>
    </row>
    <row r="39" spans="1:4" x14ac:dyDescent="0.25">
      <c r="A39" s="4" t="s">
        <v>1419</v>
      </c>
      <c r="B39" s="4">
        <v>388543</v>
      </c>
      <c r="C39" s="4" t="s">
        <v>2925</v>
      </c>
      <c r="D39" s="9">
        <v>19260</v>
      </c>
    </row>
    <row r="40" spans="1:4" x14ac:dyDescent="0.25">
      <c r="A40" s="4" t="s">
        <v>1419</v>
      </c>
      <c r="B40" s="4">
        <v>386365</v>
      </c>
      <c r="C40" s="4" t="s">
        <v>2870</v>
      </c>
      <c r="D40" s="9">
        <v>25740</v>
      </c>
    </row>
    <row r="41" spans="1:4" x14ac:dyDescent="0.25">
      <c r="A41" s="4" t="s">
        <v>1419</v>
      </c>
      <c r="B41" s="4">
        <v>386366</v>
      </c>
      <c r="C41" s="4" t="s">
        <v>2871</v>
      </c>
      <c r="D41" s="9">
        <v>360</v>
      </c>
    </row>
    <row r="42" spans="1:4" x14ac:dyDescent="0.25">
      <c r="A42" s="4" t="s">
        <v>1419</v>
      </c>
      <c r="B42" s="4">
        <v>386368</v>
      </c>
      <c r="C42" s="4" t="s">
        <v>2872</v>
      </c>
      <c r="D42" s="9">
        <v>180</v>
      </c>
    </row>
    <row r="43" spans="1:4" x14ac:dyDescent="0.25">
      <c r="A43" s="4" t="s">
        <v>1419</v>
      </c>
      <c r="B43" s="4">
        <v>386370</v>
      </c>
      <c r="C43" s="4" t="s">
        <v>2873</v>
      </c>
      <c r="D43" s="9">
        <v>1350</v>
      </c>
    </row>
    <row r="44" spans="1:4" x14ac:dyDescent="0.25">
      <c r="A44" s="4" t="s">
        <v>1419</v>
      </c>
      <c r="B44" s="4">
        <v>386371</v>
      </c>
      <c r="C44" s="4" t="s">
        <v>2874</v>
      </c>
      <c r="D44" s="9">
        <v>3150</v>
      </c>
    </row>
    <row r="45" spans="1:4" x14ac:dyDescent="0.25">
      <c r="A45" s="4" t="s">
        <v>1419</v>
      </c>
      <c r="B45" s="4">
        <v>386380</v>
      </c>
      <c r="C45" s="4" t="s">
        <v>2877</v>
      </c>
      <c r="D45" s="9">
        <v>6750</v>
      </c>
    </row>
    <row r="46" spans="1:4" x14ac:dyDescent="0.25">
      <c r="A46" s="4" t="s">
        <v>1419</v>
      </c>
      <c r="B46" s="4">
        <v>386382</v>
      </c>
      <c r="C46" s="4" t="s">
        <v>2878</v>
      </c>
      <c r="D46" s="9">
        <v>180</v>
      </c>
    </row>
    <row r="47" spans="1:4" x14ac:dyDescent="0.25">
      <c r="A47" s="4" t="s">
        <v>1419</v>
      </c>
      <c r="B47" s="4">
        <v>386383</v>
      </c>
      <c r="C47" s="4" t="s">
        <v>2879</v>
      </c>
      <c r="D47" s="9">
        <v>15030</v>
      </c>
    </row>
    <row r="48" spans="1:4" x14ac:dyDescent="0.25">
      <c r="A48" s="4" t="s">
        <v>1419</v>
      </c>
      <c r="B48" s="4">
        <v>386386</v>
      </c>
      <c r="C48" s="4" t="s">
        <v>2880</v>
      </c>
      <c r="D48" s="9">
        <v>90</v>
      </c>
    </row>
    <row r="49" spans="1:4" x14ac:dyDescent="0.25">
      <c r="A49" s="4" t="s">
        <v>1419</v>
      </c>
      <c r="B49" s="4">
        <v>386355</v>
      </c>
      <c r="C49" s="4" t="s">
        <v>2881</v>
      </c>
      <c r="D49" s="9">
        <v>14670</v>
      </c>
    </row>
    <row r="50" spans="1:4" x14ac:dyDescent="0.25">
      <c r="A50" s="4" t="s">
        <v>1419</v>
      </c>
      <c r="B50" s="4">
        <v>386387</v>
      </c>
      <c r="C50" s="4" t="s">
        <v>2882</v>
      </c>
      <c r="D50" s="9">
        <v>90</v>
      </c>
    </row>
    <row r="51" spans="1:4" x14ac:dyDescent="0.25">
      <c r="A51" s="4" t="s">
        <v>1419</v>
      </c>
      <c r="B51" s="4">
        <v>386389</v>
      </c>
      <c r="C51" s="4" t="s">
        <v>2883</v>
      </c>
      <c r="D51" s="9">
        <v>5220</v>
      </c>
    </row>
    <row r="52" spans="1:4" x14ac:dyDescent="0.25">
      <c r="A52" s="4" t="s">
        <v>1419</v>
      </c>
      <c r="B52" s="4">
        <v>386394</v>
      </c>
      <c r="C52" s="4" t="s">
        <v>2885</v>
      </c>
      <c r="D52" s="9">
        <v>900</v>
      </c>
    </row>
    <row r="53" spans="1:4" x14ac:dyDescent="0.25">
      <c r="A53" s="4" t="s">
        <v>1419</v>
      </c>
      <c r="B53" s="4">
        <v>388532</v>
      </c>
      <c r="C53" s="4" t="s">
        <v>2934</v>
      </c>
      <c r="D53" s="9">
        <v>315</v>
      </c>
    </row>
    <row r="54" spans="1:4" x14ac:dyDescent="0.25">
      <c r="A54" s="4" t="s">
        <v>180</v>
      </c>
      <c r="B54" s="4">
        <v>392634</v>
      </c>
      <c r="C54" s="4" t="s">
        <v>3004</v>
      </c>
      <c r="D54" s="9">
        <v>3375</v>
      </c>
    </row>
    <row r="55" spans="1:4" x14ac:dyDescent="0.25">
      <c r="A55" s="4" t="s">
        <v>180</v>
      </c>
      <c r="B55" s="4">
        <v>392638</v>
      </c>
      <c r="C55" s="4" t="s">
        <v>3005</v>
      </c>
      <c r="D55" s="9">
        <v>2800</v>
      </c>
    </row>
    <row r="56" spans="1:4" x14ac:dyDescent="0.25">
      <c r="A56" s="4" t="s">
        <v>34</v>
      </c>
      <c r="B56" s="4">
        <v>392378</v>
      </c>
      <c r="C56" s="4" t="s">
        <v>3006</v>
      </c>
      <c r="D56" s="9">
        <v>5954</v>
      </c>
    </row>
    <row r="57" spans="1:4" x14ac:dyDescent="0.25">
      <c r="A57" s="4" t="s">
        <v>315</v>
      </c>
      <c r="B57" s="4">
        <v>390057</v>
      </c>
      <c r="C57" s="4" t="s">
        <v>2986</v>
      </c>
      <c r="D57" s="9">
        <v>160</v>
      </c>
    </row>
    <row r="58" spans="1:4" x14ac:dyDescent="0.25">
      <c r="A58" s="4" t="s">
        <v>315</v>
      </c>
      <c r="B58" s="4">
        <v>386445</v>
      </c>
      <c r="C58" s="4" t="s">
        <v>2987</v>
      </c>
      <c r="D58" s="9">
        <v>235</v>
      </c>
    </row>
    <row r="59" spans="1:4" x14ac:dyDescent="0.25">
      <c r="A59" s="4" t="s">
        <v>315</v>
      </c>
      <c r="B59" s="4">
        <v>390190</v>
      </c>
      <c r="C59" s="4" t="s">
        <v>2988</v>
      </c>
      <c r="D59" s="9">
        <v>100</v>
      </c>
    </row>
    <row r="60" spans="1:4" x14ac:dyDescent="0.25">
      <c r="A60" s="4" t="s">
        <v>832</v>
      </c>
      <c r="B60" s="4">
        <v>392659</v>
      </c>
      <c r="C60" s="4" t="s">
        <v>3007</v>
      </c>
      <c r="D60" s="9">
        <v>320</v>
      </c>
    </row>
    <row r="61" spans="1:4" x14ac:dyDescent="0.25">
      <c r="A61" s="4" t="s">
        <v>832</v>
      </c>
      <c r="B61" s="4">
        <v>392639</v>
      </c>
      <c r="C61" s="4" t="s">
        <v>3008</v>
      </c>
      <c r="D61" s="9">
        <v>95</v>
      </c>
    </row>
    <row r="62" spans="1:4" x14ac:dyDescent="0.25">
      <c r="A62" s="4" t="s">
        <v>832</v>
      </c>
      <c r="B62" s="4">
        <v>388454</v>
      </c>
      <c r="C62" s="4" t="s">
        <v>3009</v>
      </c>
      <c r="D62" s="9">
        <v>1995</v>
      </c>
    </row>
    <row r="63" spans="1:4" x14ac:dyDescent="0.25">
      <c r="A63" s="4" t="s">
        <v>832</v>
      </c>
      <c r="B63" s="4">
        <v>388453</v>
      </c>
      <c r="C63" s="4" t="s">
        <v>3010</v>
      </c>
      <c r="D63" s="9">
        <v>1085</v>
      </c>
    </row>
    <row r="64" spans="1:4" x14ac:dyDescent="0.25">
      <c r="A64" s="4" t="s">
        <v>832</v>
      </c>
      <c r="B64" s="4">
        <v>389687</v>
      </c>
      <c r="C64" s="4" t="s">
        <v>2967</v>
      </c>
      <c r="D64" s="9">
        <v>5475</v>
      </c>
    </row>
    <row r="65" spans="1:4" x14ac:dyDescent="0.25">
      <c r="A65" s="4" t="s">
        <v>832</v>
      </c>
      <c r="B65" s="4">
        <v>389746</v>
      </c>
      <c r="C65" s="4" t="s">
        <v>2989</v>
      </c>
      <c r="D65" s="9">
        <v>313</v>
      </c>
    </row>
    <row r="66" spans="1:4" x14ac:dyDescent="0.25">
      <c r="A66" s="4" t="s">
        <v>832</v>
      </c>
      <c r="B66" s="4">
        <v>389638</v>
      </c>
      <c r="C66" s="4" t="s">
        <v>3011</v>
      </c>
      <c r="D66" s="9">
        <v>735</v>
      </c>
    </row>
    <row r="67" spans="1:4" x14ac:dyDescent="0.25">
      <c r="A67" s="4" t="s">
        <v>45</v>
      </c>
      <c r="B67" s="4">
        <v>392701</v>
      </c>
      <c r="C67" s="4" t="s">
        <v>3012</v>
      </c>
      <c r="D67" s="9">
        <v>32125</v>
      </c>
    </row>
    <row r="68" spans="1:4" x14ac:dyDescent="0.25">
      <c r="A68" s="4" t="s">
        <v>45</v>
      </c>
      <c r="B68" s="4">
        <v>392701</v>
      </c>
      <c r="C68" s="4" t="s">
        <v>3013</v>
      </c>
      <c r="D68" s="9">
        <v>3160</v>
      </c>
    </row>
    <row r="69" spans="1:4" x14ac:dyDescent="0.25">
      <c r="A69" s="4" t="s">
        <v>995</v>
      </c>
      <c r="B69" s="4">
        <v>383798</v>
      </c>
      <c r="C69" s="4" t="s">
        <v>2951</v>
      </c>
      <c r="D69" s="9">
        <v>72425</v>
      </c>
    </row>
    <row r="70" spans="1:4" x14ac:dyDescent="0.25">
      <c r="A70" s="4" t="s">
        <v>995</v>
      </c>
      <c r="B70" s="4">
        <v>392518</v>
      </c>
      <c r="C70" s="4" t="s">
        <v>3014</v>
      </c>
      <c r="D70" s="9">
        <v>65</v>
      </c>
    </row>
    <row r="71" spans="1:4" x14ac:dyDescent="0.25">
      <c r="A71" s="4" t="s">
        <v>995</v>
      </c>
      <c r="B71" s="4">
        <v>384979</v>
      </c>
      <c r="C71" s="4" t="s">
        <v>3015</v>
      </c>
      <c r="D71" s="9">
        <v>295</v>
      </c>
    </row>
    <row r="72" spans="1:4" x14ac:dyDescent="0.25">
      <c r="A72" s="4" t="s">
        <v>2762</v>
      </c>
      <c r="B72" s="4">
        <v>381728</v>
      </c>
      <c r="C72" s="4" t="s">
        <v>2899</v>
      </c>
      <c r="D72" s="9">
        <v>1550</v>
      </c>
    </row>
    <row r="73" spans="1:4" x14ac:dyDescent="0.25">
      <c r="A73" s="4" t="s">
        <v>2762</v>
      </c>
      <c r="B73" s="4">
        <v>388016</v>
      </c>
      <c r="C73" s="4" t="s">
        <v>3016</v>
      </c>
      <c r="D73" s="9">
        <v>250</v>
      </c>
    </row>
    <row r="74" spans="1:4" x14ac:dyDescent="0.25">
      <c r="A74" s="4" t="s">
        <v>443</v>
      </c>
      <c r="B74" s="4">
        <v>361618</v>
      </c>
      <c r="C74" s="4" t="s">
        <v>2991</v>
      </c>
      <c r="D74" s="9">
        <v>2940</v>
      </c>
    </row>
    <row r="75" spans="1:4" x14ac:dyDescent="0.25">
      <c r="A75" s="4" t="s">
        <v>443</v>
      </c>
      <c r="B75" s="4">
        <v>363766</v>
      </c>
      <c r="C75" s="4" t="s">
        <v>2994</v>
      </c>
      <c r="D75" s="9">
        <v>520</v>
      </c>
    </row>
    <row r="76" spans="1:4" x14ac:dyDescent="0.25">
      <c r="A76" s="4" t="s">
        <v>2973</v>
      </c>
      <c r="B76" s="4">
        <v>389740</v>
      </c>
      <c r="C76" s="4" t="s">
        <v>2974</v>
      </c>
      <c r="D76" s="9">
        <v>55</v>
      </c>
    </row>
    <row r="77" spans="1:4" x14ac:dyDescent="0.25">
      <c r="A77" s="4" t="s">
        <v>52</v>
      </c>
      <c r="B77" s="4">
        <v>379599</v>
      </c>
      <c r="C77" s="4" t="s">
        <v>2954</v>
      </c>
      <c r="D77" s="9">
        <v>1140</v>
      </c>
    </row>
    <row r="78" spans="1:4" x14ac:dyDescent="0.25">
      <c r="A78" s="4" t="s">
        <v>52</v>
      </c>
      <c r="B78" s="4">
        <v>389244</v>
      </c>
      <c r="C78" s="4" t="s">
        <v>2995</v>
      </c>
      <c r="D78" s="9">
        <v>895</v>
      </c>
    </row>
    <row r="79" spans="1:4" x14ac:dyDescent="0.25">
      <c r="A79" s="4" t="s">
        <v>52</v>
      </c>
      <c r="B79" s="4">
        <v>385980</v>
      </c>
      <c r="C79" s="4" t="s">
        <v>3017</v>
      </c>
      <c r="D79" s="9">
        <v>1490</v>
      </c>
    </row>
    <row r="80" spans="1:4" x14ac:dyDescent="0.25">
      <c r="A80" s="4" t="s">
        <v>1920</v>
      </c>
      <c r="B80" s="4">
        <v>386033</v>
      </c>
      <c r="C80" s="4" t="s">
        <v>3018</v>
      </c>
      <c r="D80" s="9">
        <v>3680</v>
      </c>
    </row>
    <row r="81" spans="1:4" x14ac:dyDescent="0.25">
      <c r="A81" s="4" t="s">
        <v>1920</v>
      </c>
      <c r="B81" s="4">
        <v>386033</v>
      </c>
      <c r="C81" s="4" t="s">
        <v>3019</v>
      </c>
      <c r="D81" s="9">
        <v>6090</v>
      </c>
    </row>
    <row r="82" spans="1:4" x14ac:dyDescent="0.25">
      <c r="A82" s="4" t="s">
        <v>241</v>
      </c>
      <c r="B82" s="4">
        <v>388649</v>
      </c>
      <c r="C82" s="4" t="s">
        <v>3020</v>
      </c>
      <c r="D82" s="9">
        <v>12220</v>
      </c>
    </row>
    <row r="83" spans="1:4" x14ac:dyDescent="0.25">
      <c r="A83" s="4" t="s">
        <v>241</v>
      </c>
      <c r="B83" s="4">
        <v>388649</v>
      </c>
      <c r="C83" s="4" t="s">
        <v>3021</v>
      </c>
      <c r="D83" s="9">
        <v>7579</v>
      </c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SUM(D2:D3,D6:D83)</f>
        <v>547024</v>
      </c>
    </row>
    <row r="93" spans="1:4" x14ac:dyDescent="0.25">
      <c r="C93" s="31" t="s">
        <v>2501</v>
      </c>
      <c r="D93" s="32">
        <f>SUM(D4:D5)</f>
        <v>2681</v>
      </c>
    </row>
    <row r="94" spans="1:4" x14ac:dyDescent="0.25">
      <c r="C94" s="31" t="s">
        <v>83</v>
      </c>
      <c r="D94" s="32">
        <f>SUM(D92:D93)</f>
        <v>549705</v>
      </c>
    </row>
  </sheetData>
  <printOptions horizontalCentered="1"/>
  <pageMargins left="0.7" right="0.7" top="1.25" bottom="0.75" header="0.3" footer="0.3"/>
  <pageSetup paperSize="17" scale="119" orientation="landscape" r:id="rId1"/>
  <headerFooter>
    <oddHeader>&amp;C&amp;"Arial Black,Regular"&amp;14SALES REPORT
&amp;10APPROVED WORK AWAITING SCHEDULE</oddHeader>
    <oddFooter>&amp;L&amp;8&amp;Z&amp;F&amp;R&amp;8&amp;D</oddFooter>
  </headerFooter>
  <rowBreaks count="1" manualBreakCount="1">
    <brk id="37" max="3" man="1"/>
  </rowBreaks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6652-31FA-4435-ACDF-BA7781DF5C36}">
  <dimension ref="A1:D94"/>
  <sheetViews>
    <sheetView view="pageBreakPreview" topLeftCell="A16" zoomScaleNormal="100" zoomScaleSheetLayoutView="100" workbookViewId="0">
      <selection activeCell="E40" sqref="E40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389932</v>
      </c>
      <c r="C2" s="4" t="s">
        <v>2978</v>
      </c>
      <c r="D2" s="9">
        <v>170</v>
      </c>
    </row>
    <row r="3" spans="1:4" x14ac:dyDescent="0.25">
      <c r="A3" s="4" t="s">
        <v>98</v>
      </c>
      <c r="B3" s="4">
        <v>391274</v>
      </c>
      <c r="C3" s="4" t="s">
        <v>2997</v>
      </c>
      <c r="D3" s="9">
        <v>132800</v>
      </c>
    </row>
    <row r="4" spans="1:4" x14ac:dyDescent="0.25">
      <c r="A4" s="4" t="s">
        <v>175</v>
      </c>
      <c r="B4" s="4">
        <v>390037</v>
      </c>
      <c r="C4" s="4" t="s">
        <v>3022</v>
      </c>
      <c r="D4" s="9">
        <v>75</v>
      </c>
    </row>
    <row r="5" spans="1:4" x14ac:dyDescent="0.25">
      <c r="A5" s="4" t="s">
        <v>175</v>
      </c>
      <c r="B5" s="4">
        <v>392446</v>
      </c>
      <c r="C5" s="4" t="s">
        <v>3000</v>
      </c>
      <c r="D5" s="9">
        <v>50</v>
      </c>
    </row>
    <row r="6" spans="1:4" x14ac:dyDescent="0.25">
      <c r="A6" s="4" t="s">
        <v>200</v>
      </c>
      <c r="B6" s="4">
        <v>389653</v>
      </c>
      <c r="C6" s="4" t="s">
        <v>3023</v>
      </c>
      <c r="D6" s="9">
        <v>24523</v>
      </c>
    </row>
    <row r="7" spans="1:4" x14ac:dyDescent="0.25">
      <c r="A7" s="4" t="s">
        <v>26</v>
      </c>
      <c r="B7" s="4">
        <v>391303</v>
      </c>
      <c r="C7" s="4" t="s">
        <v>3001</v>
      </c>
      <c r="D7" s="9">
        <v>250</v>
      </c>
    </row>
    <row r="8" spans="1:4" x14ac:dyDescent="0.25">
      <c r="A8" s="4" t="s">
        <v>330</v>
      </c>
      <c r="B8" s="4">
        <v>379297</v>
      </c>
      <c r="C8" s="4" t="s">
        <v>3024</v>
      </c>
      <c r="D8" s="9">
        <v>1035</v>
      </c>
    </row>
    <row r="9" spans="1:4" x14ac:dyDescent="0.25">
      <c r="A9" s="4" t="s">
        <v>1419</v>
      </c>
      <c r="B9" s="4">
        <v>386359</v>
      </c>
      <c r="C9" s="4" t="s">
        <v>3025</v>
      </c>
      <c r="D9" s="9">
        <v>540</v>
      </c>
    </row>
    <row r="10" spans="1:4" x14ac:dyDescent="0.25">
      <c r="A10" s="4" t="s">
        <v>1419</v>
      </c>
      <c r="B10" s="4">
        <v>389254</v>
      </c>
      <c r="C10" s="4" t="s">
        <v>3026</v>
      </c>
      <c r="D10" s="9">
        <v>10350</v>
      </c>
    </row>
    <row r="11" spans="1:4" x14ac:dyDescent="0.25">
      <c r="A11" s="4" t="s">
        <v>1419</v>
      </c>
      <c r="B11" s="4">
        <v>388543</v>
      </c>
      <c r="C11" s="4" t="s">
        <v>3027</v>
      </c>
      <c r="D11" s="9">
        <v>19260</v>
      </c>
    </row>
    <row r="12" spans="1:4" x14ac:dyDescent="0.25">
      <c r="A12" s="4" t="s">
        <v>1419</v>
      </c>
      <c r="B12" s="4">
        <v>386368</v>
      </c>
      <c r="C12" s="4" t="s">
        <v>3028</v>
      </c>
      <c r="D12" s="9">
        <v>180</v>
      </c>
    </row>
    <row r="13" spans="1:4" x14ac:dyDescent="0.25">
      <c r="A13" s="4" t="s">
        <v>1419</v>
      </c>
      <c r="B13" s="4">
        <v>386379</v>
      </c>
      <c r="C13" s="4" t="s">
        <v>3029</v>
      </c>
      <c r="D13" s="9">
        <v>14400</v>
      </c>
    </row>
    <row r="14" spans="1:4" x14ac:dyDescent="0.25">
      <c r="A14" s="4" t="s">
        <v>1419</v>
      </c>
      <c r="B14" s="4">
        <v>386389</v>
      </c>
      <c r="C14" s="4" t="s">
        <v>3030</v>
      </c>
      <c r="D14" s="9">
        <v>5220</v>
      </c>
    </row>
    <row r="15" spans="1:4" x14ac:dyDescent="0.25">
      <c r="A15" s="4" t="s">
        <v>1419</v>
      </c>
      <c r="B15" s="4">
        <v>385507</v>
      </c>
      <c r="C15" s="4" t="s">
        <v>3031</v>
      </c>
      <c r="D15" s="9">
        <v>195</v>
      </c>
    </row>
    <row r="16" spans="1:4" x14ac:dyDescent="0.25">
      <c r="A16" s="4" t="s">
        <v>1419</v>
      </c>
      <c r="B16" s="4">
        <v>386351</v>
      </c>
      <c r="C16" s="4" t="s">
        <v>3032</v>
      </c>
      <c r="D16" s="9">
        <v>270</v>
      </c>
    </row>
    <row r="17" spans="1:4" x14ac:dyDescent="0.25">
      <c r="A17" s="4" t="s">
        <v>1419</v>
      </c>
      <c r="B17" s="4">
        <v>386365</v>
      </c>
      <c r="C17" s="4" t="s">
        <v>3033</v>
      </c>
      <c r="D17" s="9">
        <v>25740</v>
      </c>
    </row>
    <row r="18" spans="1:4" x14ac:dyDescent="0.25">
      <c r="A18" s="4" t="s">
        <v>1419</v>
      </c>
      <c r="B18" s="4">
        <v>386370</v>
      </c>
      <c r="C18" s="4" t="s">
        <v>3034</v>
      </c>
      <c r="D18" s="9">
        <v>1350</v>
      </c>
    </row>
    <row r="19" spans="1:4" x14ac:dyDescent="0.25">
      <c r="A19" s="4" t="s">
        <v>1419</v>
      </c>
      <c r="B19" s="4">
        <v>386371</v>
      </c>
      <c r="C19" s="4" t="s">
        <v>3035</v>
      </c>
      <c r="D19" s="9">
        <v>3150</v>
      </c>
    </row>
    <row r="20" spans="1:4" x14ac:dyDescent="0.25">
      <c r="A20" s="4" t="s">
        <v>1419</v>
      </c>
      <c r="B20" s="4">
        <v>386380</v>
      </c>
      <c r="C20" s="4" t="s">
        <v>3036</v>
      </c>
      <c r="D20" s="9">
        <v>6750</v>
      </c>
    </row>
    <row r="21" spans="1:4" x14ac:dyDescent="0.25">
      <c r="A21" s="4" t="s">
        <v>1419</v>
      </c>
      <c r="B21" s="4">
        <v>386383</v>
      </c>
      <c r="C21" s="4" t="s">
        <v>3037</v>
      </c>
      <c r="D21" s="9">
        <v>15030</v>
      </c>
    </row>
    <row r="22" spans="1:4" x14ac:dyDescent="0.25">
      <c r="A22" s="4" t="s">
        <v>1419</v>
      </c>
      <c r="B22" s="4">
        <v>386355</v>
      </c>
      <c r="C22" s="4" t="s">
        <v>3038</v>
      </c>
      <c r="D22" s="9">
        <v>14670</v>
      </c>
    </row>
    <row r="23" spans="1:4" x14ac:dyDescent="0.25">
      <c r="A23" s="4" t="s">
        <v>1419</v>
      </c>
      <c r="B23" s="4">
        <v>386393</v>
      </c>
      <c r="C23" s="4" t="s">
        <v>3002</v>
      </c>
      <c r="D23" s="9">
        <v>2700</v>
      </c>
    </row>
    <row r="24" spans="1:4" x14ac:dyDescent="0.25">
      <c r="A24" s="4" t="s">
        <v>1419</v>
      </c>
      <c r="B24" s="4">
        <v>386394</v>
      </c>
      <c r="C24" s="4" t="s">
        <v>3039</v>
      </c>
      <c r="D24" s="9">
        <v>900</v>
      </c>
    </row>
    <row r="25" spans="1:4" x14ac:dyDescent="0.25">
      <c r="A25" s="4" t="s">
        <v>1419</v>
      </c>
      <c r="B25" s="4">
        <v>395147</v>
      </c>
      <c r="C25" s="4" t="s">
        <v>3040</v>
      </c>
      <c r="D25" s="9">
        <v>-405</v>
      </c>
    </row>
    <row r="26" spans="1:4" x14ac:dyDescent="0.25">
      <c r="A26" s="4" t="s">
        <v>3041</v>
      </c>
      <c r="B26" s="4">
        <v>395230</v>
      </c>
      <c r="C26" s="4" t="s">
        <v>3042</v>
      </c>
      <c r="D26" s="9">
        <v>2705</v>
      </c>
    </row>
    <row r="27" spans="1:4" x14ac:dyDescent="0.25">
      <c r="A27" s="4" t="s">
        <v>315</v>
      </c>
      <c r="B27" s="4">
        <v>386445</v>
      </c>
      <c r="C27" s="4" t="s">
        <v>3043</v>
      </c>
      <c r="D27" s="9">
        <v>235</v>
      </c>
    </row>
    <row r="28" spans="1:4" x14ac:dyDescent="0.25">
      <c r="A28" s="4" t="s">
        <v>315</v>
      </c>
      <c r="B28" s="4">
        <v>390190</v>
      </c>
      <c r="C28" s="4" t="s">
        <v>3044</v>
      </c>
      <c r="D28" s="9">
        <v>100</v>
      </c>
    </row>
    <row r="29" spans="1:4" x14ac:dyDescent="0.25">
      <c r="A29" s="4" t="s">
        <v>315</v>
      </c>
      <c r="B29" s="4">
        <v>390057</v>
      </c>
      <c r="C29" s="4" t="s">
        <v>2986</v>
      </c>
      <c r="D29" s="9">
        <v>160</v>
      </c>
    </row>
    <row r="30" spans="1:4" x14ac:dyDescent="0.25">
      <c r="A30" s="4" t="s">
        <v>832</v>
      </c>
      <c r="B30" s="4">
        <v>392639</v>
      </c>
      <c r="C30" s="4" t="s">
        <v>3008</v>
      </c>
      <c r="D30" s="9">
        <v>95</v>
      </c>
    </row>
    <row r="31" spans="1:4" x14ac:dyDescent="0.25">
      <c r="A31" s="4" t="s">
        <v>832</v>
      </c>
      <c r="B31" s="4">
        <v>389746</v>
      </c>
      <c r="C31" s="4" t="s">
        <v>2989</v>
      </c>
      <c r="D31" s="9">
        <v>313</v>
      </c>
    </row>
    <row r="32" spans="1:4" x14ac:dyDescent="0.25">
      <c r="A32" s="4" t="s">
        <v>995</v>
      </c>
      <c r="B32" s="4">
        <v>383798</v>
      </c>
      <c r="C32" s="4" t="s">
        <v>2951</v>
      </c>
      <c r="D32" s="9">
        <v>72425</v>
      </c>
    </row>
    <row r="33" spans="1:4" x14ac:dyDescent="0.25">
      <c r="A33" s="4" t="s">
        <v>995</v>
      </c>
      <c r="B33" s="4">
        <v>392518</v>
      </c>
      <c r="C33" s="4" t="s">
        <v>3014</v>
      </c>
      <c r="D33" s="9">
        <v>65</v>
      </c>
    </row>
    <row r="34" spans="1:4" x14ac:dyDescent="0.25">
      <c r="A34" s="4" t="s">
        <v>995</v>
      </c>
      <c r="B34" s="4">
        <v>392699</v>
      </c>
      <c r="C34" s="4" t="s">
        <v>3045</v>
      </c>
      <c r="D34" s="9">
        <v>60</v>
      </c>
    </row>
    <row r="35" spans="1:4" x14ac:dyDescent="0.25">
      <c r="A35" s="4" t="s">
        <v>995</v>
      </c>
      <c r="B35" s="4">
        <v>384979</v>
      </c>
      <c r="C35" s="4" t="s">
        <v>3015</v>
      </c>
      <c r="D35" s="9">
        <v>295</v>
      </c>
    </row>
    <row r="36" spans="1:4" x14ac:dyDescent="0.25">
      <c r="A36" s="4" t="s">
        <v>995</v>
      </c>
      <c r="B36" s="4">
        <v>388719</v>
      </c>
      <c r="C36" s="4" t="s">
        <v>3046</v>
      </c>
      <c r="D36" s="9">
        <v>595</v>
      </c>
    </row>
    <row r="37" spans="1:4" x14ac:dyDescent="0.25">
      <c r="A37" s="4" t="s">
        <v>443</v>
      </c>
      <c r="B37" s="4">
        <v>363766</v>
      </c>
      <c r="C37" s="4" t="s">
        <v>3047</v>
      </c>
      <c r="D37" s="9">
        <v>520</v>
      </c>
    </row>
    <row r="38" spans="1:4" x14ac:dyDescent="0.25">
      <c r="A38" s="4" t="s">
        <v>2973</v>
      </c>
      <c r="B38" s="4">
        <v>389740</v>
      </c>
      <c r="C38" s="4" t="s">
        <v>3048</v>
      </c>
      <c r="D38" s="9">
        <v>55</v>
      </c>
    </row>
    <row r="39" spans="1:4" x14ac:dyDescent="0.25">
      <c r="A39" s="4" t="s">
        <v>52</v>
      </c>
      <c r="B39" s="4">
        <v>379599</v>
      </c>
      <c r="C39" s="4" t="s">
        <v>3049</v>
      </c>
      <c r="D39" s="9">
        <v>1140</v>
      </c>
    </row>
    <row r="40" spans="1:4" x14ac:dyDescent="0.25">
      <c r="A40" s="4" t="s">
        <v>52</v>
      </c>
      <c r="B40" s="4">
        <v>385980</v>
      </c>
      <c r="C40" s="4" t="s">
        <v>3050</v>
      </c>
      <c r="D40" s="9">
        <v>1490</v>
      </c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SUM(D2:D40)</f>
        <v>359456</v>
      </c>
    </row>
    <row r="93" spans="1:4" x14ac:dyDescent="0.25">
      <c r="C93" s="31" t="s">
        <v>2501</v>
      </c>
      <c r="D93" s="32">
        <v>0</v>
      </c>
    </row>
    <row r="94" spans="1:4" x14ac:dyDescent="0.25">
      <c r="C94" s="31" t="s">
        <v>83</v>
      </c>
      <c r="D94" s="32">
        <f>SUM(D92:D93)</f>
        <v>359456</v>
      </c>
    </row>
  </sheetData>
  <printOptions horizontalCentered="1"/>
  <pageMargins left="0.7" right="0.7" top="1.25" bottom="0.75" header="0.3" footer="0.3"/>
  <pageSetup paperSize="17" scale="119" orientation="landscape" r:id="rId1"/>
  <headerFooter>
    <oddHeader>&amp;C&amp;"Arial Black,Regular"&amp;14SALES REPORT
&amp;10APPROVED WORK AWAITING SCHEDULE</oddHeader>
    <oddFooter>&amp;L&amp;8&amp;Z&amp;F&amp;R&amp;8&amp;D</oddFooter>
  </headerFooter>
  <rowBreaks count="1" manualBreakCount="1">
    <brk id="37" max="3" man="1"/>
  </rowBreaks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9406-356D-49B0-AC8A-383951FEDED0}">
  <dimension ref="A1:D94"/>
  <sheetViews>
    <sheetView view="pageBreakPreview" topLeftCell="A22" zoomScaleNormal="100" zoomScaleSheetLayoutView="100" workbookViewId="0">
      <selection activeCell="A113" sqref="A113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1967</v>
      </c>
      <c r="B2" s="4">
        <v>395247</v>
      </c>
      <c r="C2" s="4" t="s">
        <v>3051</v>
      </c>
      <c r="D2" s="9">
        <v>1395</v>
      </c>
    </row>
    <row r="3" spans="1:4" x14ac:dyDescent="0.25">
      <c r="A3" s="4" t="s">
        <v>98</v>
      </c>
      <c r="B3" s="4">
        <v>389932</v>
      </c>
      <c r="C3" s="4" t="s">
        <v>2978</v>
      </c>
      <c r="D3" s="9">
        <v>170</v>
      </c>
    </row>
    <row r="4" spans="1:4" x14ac:dyDescent="0.25">
      <c r="A4" s="4" t="s">
        <v>98</v>
      </c>
      <c r="B4" s="4">
        <v>391274</v>
      </c>
      <c r="C4" s="4" t="s">
        <v>2997</v>
      </c>
      <c r="D4" s="9">
        <v>132800</v>
      </c>
    </row>
    <row r="5" spans="1:4" x14ac:dyDescent="0.25">
      <c r="A5" s="4" t="s">
        <v>175</v>
      </c>
      <c r="B5" s="4">
        <v>390037</v>
      </c>
      <c r="C5" s="4" t="s">
        <v>3022</v>
      </c>
      <c r="D5" s="9">
        <v>75</v>
      </c>
    </row>
    <row r="6" spans="1:4" x14ac:dyDescent="0.25">
      <c r="A6" s="4" t="s">
        <v>175</v>
      </c>
      <c r="B6" s="4">
        <v>392446</v>
      </c>
      <c r="C6" s="4" t="s">
        <v>3000</v>
      </c>
      <c r="D6" s="9">
        <v>50</v>
      </c>
    </row>
    <row r="7" spans="1:4" x14ac:dyDescent="0.25">
      <c r="A7" s="4" t="s">
        <v>175</v>
      </c>
      <c r="B7" s="4">
        <v>395515</v>
      </c>
      <c r="C7" s="4" t="s">
        <v>3052</v>
      </c>
      <c r="D7" s="9">
        <v>18730</v>
      </c>
    </row>
    <row r="8" spans="1:4" x14ac:dyDescent="0.25">
      <c r="A8" s="4" t="s">
        <v>200</v>
      </c>
      <c r="B8" s="4">
        <v>389653</v>
      </c>
      <c r="C8" s="4" t="s">
        <v>3023</v>
      </c>
      <c r="D8" s="9">
        <v>24523</v>
      </c>
    </row>
    <row r="9" spans="1:4" x14ac:dyDescent="0.25">
      <c r="A9" s="4" t="s">
        <v>26</v>
      </c>
      <c r="B9" s="4">
        <v>391303</v>
      </c>
      <c r="C9" s="4" t="s">
        <v>3001</v>
      </c>
      <c r="D9" s="9">
        <v>250</v>
      </c>
    </row>
    <row r="10" spans="1:4" x14ac:dyDescent="0.25">
      <c r="A10" s="4" t="s">
        <v>26</v>
      </c>
      <c r="B10" s="4">
        <v>391312</v>
      </c>
      <c r="C10" s="4" t="s">
        <v>3053</v>
      </c>
      <c r="D10" s="9">
        <v>2440</v>
      </c>
    </row>
    <row r="11" spans="1:4" x14ac:dyDescent="0.25">
      <c r="A11" s="4" t="s">
        <v>330</v>
      </c>
      <c r="B11" s="4">
        <v>379297</v>
      </c>
      <c r="C11" s="4" t="s">
        <v>3024</v>
      </c>
      <c r="D11" s="9">
        <v>1035</v>
      </c>
    </row>
    <row r="12" spans="1:4" x14ac:dyDescent="0.25">
      <c r="A12" s="4" t="s">
        <v>1419</v>
      </c>
      <c r="B12" s="4">
        <v>386359</v>
      </c>
      <c r="C12" s="4" t="s">
        <v>3025</v>
      </c>
      <c r="D12" s="9">
        <v>540</v>
      </c>
    </row>
    <row r="13" spans="1:4" x14ac:dyDescent="0.25">
      <c r="A13" s="4" t="s">
        <v>1419</v>
      </c>
      <c r="B13" s="4">
        <v>389254</v>
      </c>
      <c r="C13" s="4" t="s">
        <v>3026</v>
      </c>
      <c r="D13" s="9">
        <v>10350</v>
      </c>
    </row>
    <row r="14" spans="1:4" x14ac:dyDescent="0.25">
      <c r="A14" s="4" t="s">
        <v>1419</v>
      </c>
      <c r="B14" s="4">
        <v>388543</v>
      </c>
      <c r="C14" s="4" t="s">
        <v>3027</v>
      </c>
      <c r="D14" s="9">
        <v>19260</v>
      </c>
    </row>
    <row r="15" spans="1:4" x14ac:dyDescent="0.25">
      <c r="A15" s="4" t="s">
        <v>1419</v>
      </c>
      <c r="B15" s="4">
        <v>386368</v>
      </c>
      <c r="C15" s="4" t="s">
        <v>3028</v>
      </c>
      <c r="D15" s="9">
        <v>180</v>
      </c>
    </row>
    <row r="16" spans="1:4" x14ac:dyDescent="0.25">
      <c r="A16" s="4" t="s">
        <v>1419</v>
      </c>
      <c r="B16" s="4">
        <v>386379</v>
      </c>
      <c r="C16" s="4" t="s">
        <v>3029</v>
      </c>
      <c r="D16" s="9">
        <v>14400</v>
      </c>
    </row>
    <row r="17" spans="1:4" x14ac:dyDescent="0.25">
      <c r="A17" s="4" t="s">
        <v>1419</v>
      </c>
      <c r="B17" s="4">
        <v>386389</v>
      </c>
      <c r="C17" s="4" t="s">
        <v>3030</v>
      </c>
      <c r="D17" s="9">
        <v>5220</v>
      </c>
    </row>
    <row r="18" spans="1:4" x14ac:dyDescent="0.25">
      <c r="A18" s="4" t="s">
        <v>1419</v>
      </c>
      <c r="B18" s="4">
        <v>385507</v>
      </c>
      <c r="C18" s="4" t="s">
        <v>3031</v>
      </c>
      <c r="D18" s="9">
        <v>195</v>
      </c>
    </row>
    <row r="19" spans="1:4" x14ac:dyDescent="0.25">
      <c r="A19" s="4" t="s">
        <v>1419</v>
      </c>
      <c r="B19" s="4">
        <v>386351</v>
      </c>
      <c r="C19" s="4" t="s">
        <v>3032</v>
      </c>
      <c r="D19" s="9">
        <v>270</v>
      </c>
    </row>
    <row r="20" spans="1:4" x14ac:dyDescent="0.25">
      <c r="A20" s="4" t="s">
        <v>1419</v>
      </c>
      <c r="B20" s="4">
        <v>386365</v>
      </c>
      <c r="C20" s="4" t="s">
        <v>3033</v>
      </c>
      <c r="D20" s="9">
        <v>25740</v>
      </c>
    </row>
    <row r="21" spans="1:4" x14ac:dyDescent="0.25">
      <c r="A21" s="4" t="s">
        <v>1419</v>
      </c>
      <c r="B21" s="4">
        <v>386370</v>
      </c>
      <c r="C21" s="4" t="s">
        <v>3034</v>
      </c>
      <c r="D21" s="9">
        <v>1350</v>
      </c>
    </row>
    <row r="22" spans="1:4" x14ac:dyDescent="0.25">
      <c r="A22" s="4" t="s">
        <v>1419</v>
      </c>
      <c r="B22" s="4">
        <v>386371</v>
      </c>
      <c r="C22" s="4" t="s">
        <v>3035</v>
      </c>
      <c r="D22" s="9">
        <v>3150</v>
      </c>
    </row>
    <row r="23" spans="1:4" x14ac:dyDescent="0.25">
      <c r="A23" s="4" t="s">
        <v>1419</v>
      </c>
      <c r="B23" s="4">
        <v>386380</v>
      </c>
      <c r="C23" s="4" t="s">
        <v>3036</v>
      </c>
      <c r="D23" s="9">
        <v>6750</v>
      </c>
    </row>
    <row r="24" spans="1:4" x14ac:dyDescent="0.25">
      <c r="A24" s="4" t="s">
        <v>1419</v>
      </c>
      <c r="B24" s="4">
        <v>386383</v>
      </c>
      <c r="C24" s="4" t="s">
        <v>3037</v>
      </c>
      <c r="D24" s="9">
        <v>15030</v>
      </c>
    </row>
    <row r="25" spans="1:4" x14ac:dyDescent="0.25">
      <c r="A25" s="4" t="s">
        <v>1419</v>
      </c>
      <c r="B25" s="4">
        <v>386355</v>
      </c>
      <c r="C25" s="4" t="s">
        <v>3038</v>
      </c>
      <c r="D25" s="9">
        <v>14670</v>
      </c>
    </row>
    <row r="26" spans="1:4" x14ac:dyDescent="0.25">
      <c r="A26" s="4" t="s">
        <v>1419</v>
      </c>
      <c r="B26" s="4">
        <v>386393</v>
      </c>
      <c r="C26" s="4" t="s">
        <v>3002</v>
      </c>
      <c r="D26" s="9">
        <v>2700</v>
      </c>
    </row>
    <row r="27" spans="1:4" x14ac:dyDescent="0.25">
      <c r="A27" s="4" t="s">
        <v>1419</v>
      </c>
      <c r="B27" s="4">
        <v>386394</v>
      </c>
      <c r="C27" s="4" t="s">
        <v>3039</v>
      </c>
      <c r="D27" s="9">
        <v>900</v>
      </c>
    </row>
    <row r="28" spans="1:4" x14ac:dyDescent="0.25">
      <c r="A28" s="4" t="s">
        <v>1419</v>
      </c>
      <c r="B28" s="4">
        <v>395147</v>
      </c>
      <c r="C28" s="4" t="s">
        <v>3040</v>
      </c>
      <c r="D28" s="9">
        <v>-405</v>
      </c>
    </row>
    <row r="29" spans="1:4" x14ac:dyDescent="0.25">
      <c r="A29" s="4" t="s">
        <v>1582</v>
      </c>
      <c r="B29" s="4">
        <v>392386</v>
      </c>
      <c r="C29" s="4" t="s">
        <v>3054</v>
      </c>
      <c r="D29" s="9">
        <v>463</v>
      </c>
    </row>
    <row r="30" spans="1:4" x14ac:dyDescent="0.25">
      <c r="A30" s="4" t="s">
        <v>1582</v>
      </c>
      <c r="B30" s="4">
        <v>392385</v>
      </c>
      <c r="C30" s="4" t="s">
        <v>3055</v>
      </c>
      <c r="D30" s="9">
        <v>17612</v>
      </c>
    </row>
    <row r="31" spans="1:4" x14ac:dyDescent="0.25">
      <c r="A31" s="4" t="s">
        <v>180</v>
      </c>
      <c r="B31" s="4">
        <v>391291</v>
      </c>
      <c r="C31" s="4" t="s">
        <v>3056</v>
      </c>
      <c r="D31" s="9">
        <v>7175</v>
      </c>
    </row>
    <row r="32" spans="1:4" x14ac:dyDescent="0.25">
      <c r="A32" s="4" t="s">
        <v>180</v>
      </c>
      <c r="B32" s="4">
        <v>391291</v>
      </c>
      <c r="C32" s="4" t="s">
        <v>3057</v>
      </c>
      <c r="D32" s="9">
        <v>3780</v>
      </c>
    </row>
    <row r="33" spans="1:4" x14ac:dyDescent="0.25">
      <c r="A33" s="4" t="s">
        <v>180</v>
      </c>
      <c r="B33" s="4">
        <v>391293</v>
      </c>
      <c r="C33" s="4" t="s">
        <v>3058</v>
      </c>
      <c r="D33" s="9">
        <v>2485</v>
      </c>
    </row>
    <row r="34" spans="1:4" x14ac:dyDescent="0.25">
      <c r="A34" s="4" t="s">
        <v>180</v>
      </c>
      <c r="B34" s="4">
        <v>391293</v>
      </c>
      <c r="C34" s="4" t="s">
        <v>3059</v>
      </c>
      <c r="D34" s="9">
        <v>2485</v>
      </c>
    </row>
    <row r="35" spans="1:4" x14ac:dyDescent="0.25">
      <c r="A35" s="4" t="s">
        <v>180</v>
      </c>
      <c r="B35" s="4">
        <v>391291</v>
      </c>
      <c r="C35" s="4" t="s">
        <v>3060</v>
      </c>
      <c r="D35" s="9">
        <v>8390</v>
      </c>
    </row>
    <row r="36" spans="1:4" x14ac:dyDescent="0.25">
      <c r="A36" s="4" t="s">
        <v>180</v>
      </c>
      <c r="B36" s="4">
        <v>391291</v>
      </c>
      <c r="C36" s="4" t="s">
        <v>3061</v>
      </c>
      <c r="D36" s="9">
        <v>7175</v>
      </c>
    </row>
    <row r="37" spans="1:4" x14ac:dyDescent="0.25">
      <c r="A37" s="4" t="s">
        <v>180</v>
      </c>
      <c r="B37" s="4">
        <v>391291</v>
      </c>
      <c r="C37" s="4" t="s">
        <v>3062</v>
      </c>
      <c r="D37" s="9">
        <v>3780</v>
      </c>
    </row>
    <row r="38" spans="1:4" x14ac:dyDescent="0.25">
      <c r="A38" s="4" t="s">
        <v>1047</v>
      </c>
      <c r="B38" s="4">
        <v>388488</v>
      </c>
      <c r="C38" s="4" t="s">
        <v>3063</v>
      </c>
      <c r="D38" s="9">
        <v>300</v>
      </c>
    </row>
    <row r="39" spans="1:4" x14ac:dyDescent="0.25">
      <c r="A39" s="4" t="s">
        <v>315</v>
      </c>
      <c r="B39" s="4">
        <v>390190</v>
      </c>
      <c r="C39" s="4" t="s">
        <v>3044</v>
      </c>
      <c r="D39" s="9">
        <v>100</v>
      </c>
    </row>
    <row r="40" spans="1:4" x14ac:dyDescent="0.25">
      <c r="A40" s="4" t="s">
        <v>315</v>
      </c>
      <c r="B40" s="4">
        <v>390057</v>
      </c>
      <c r="C40" s="4" t="s">
        <v>2986</v>
      </c>
      <c r="D40" s="9">
        <v>160</v>
      </c>
    </row>
    <row r="41" spans="1:4" x14ac:dyDescent="0.25">
      <c r="A41" s="4" t="s">
        <v>315</v>
      </c>
      <c r="B41" s="4">
        <v>395369</v>
      </c>
      <c r="C41" s="4" t="s">
        <v>3064</v>
      </c>
      <c r="D41" s="9">
        <v>257</v>
      </c>
    </row>
    <row r="42" spans="1:4" x14ac:dyDescent="0.25">
      <c r="A42" s="4" t="s">
        <v>2291</v>
      </c>
      <c r="B42" s="4">
        <v>395476</v>
      </c>
      <c r="C42" s="4" t="s">
        <v>3065</v>
      </c>
      <c r="D42" s="9">
        <v>18280</v>
      </c>
    </row>
    <row r="43" spans="1:4" x14ac:dyDescent="0.25">
      <c r="A43" s="4" t="s">
        <v>2291</v>
      </c>
      <c r="B43" s="4">
        <v>395476</v>
      </c>
      <c r="C43" s="4" t="s">
        <v>3066</v>
      </c>
      <c r="D43" s="9">
        <v>15641</v>
      </c>
    </row>
    <row r="44" spans="1:4" x14ac:dyDescent="0.25">
      <c r="A44" s="4" t="s">
        <v>832</v>
      </c>
      <c r="B44" s="4">
        <v>395459</v>
      </c>
      <c r="C44" s="4" t="s">
        <v>3067</v>
      </c>
      <c r="D44" s="9">
        <v>113</v>
      </c>
    </row>
    <row r="45" spans="1:4" x14ac:dyDescent="0.25">
      <c r="A45" s="4" t="s">
        <v>832</v>
      </c>
      <c r="B45" s="4">
        <v>392639</v>
      </c>
      <c r="C45" s="4" t="s">
        <v>3008</v>
      </c>
      <c r="D45" s="9">
        <v>95</v>
      </c>
    </row>
    <row r="46" spans="1:4" x14ac:dyDescent="0.25">
      <c r="A46" s="4" t="s">
        <v>832</v>
      </c>
      <c r="B46" s="4">
        <v>389746</v>
      </c>
      <c r="C46" s="4" t="s">
        <v>2989</v>
      </c>
      <c r="D46" s="9">
        <v>313</v>
      </c>
    </row>
    <row r="47" spans="1:4" x14ac:dyDescent="0.25">
      <c r="A47" s="4" t="s">
        <v>995</v>
      </c>
      <c r="B47" s="4">
        <v>383798</v>
      </c>
      <c r="C47" s="4" t="s">
        <v>2951</v>
      </c>
      <c r="D47" s="9">
        <v>72425</v>
      </c>
    </row>
    <row r="48" spans="1:4" x14ac:dyDescent="0.25">
      <c r="A48" s="4" t="s">
        <v>995</v>
      </c>
      <c r="B48" s="4">
        <v>392518</v>
      </c>
      <c r="C48" s="4" t="s">
        <v>3014</v>
      </c>
      <c r="D48" s="9">
        <v>65</v>
      </c>
    </row>
    <row r="49" spans="1:4" x14ac:dyDescent="0.25">
      <c r="A49" s="4" t="s">
        <v>995</v>
      </c>
      <c r="B49" s="4">
        <v>392699</v>
      </c>
      <c r="C49" s="4" t="s">
        <v>3045</v>
      </c>
      <c r="D49" s="9">
        <v>60</v>
      </c>
    </row>
    <row r="50" spans="1:4" x14ac:dyDescent="0.25">
      <c r="A50" s="4" t="s">
        <v>995</v>
      </c>
      <c r="B50" s="4">
        <v>395468</v>
      </c>
      <c r="C50" s="4" t="s">
        <v>3068</v>
      </c>
      <c r="D50" s="9">
        <v>995</v>
      </c>
    </row>
    <row r="51" spans="1:4" x14ac:dyDescent="0.25">
      <c r="A51" s="4" t="s">
        <v>995</v>
      </c>
      <c r="B51" s="4">
        <v>384979</v>
      </c>
      <c r="C51" s="4" t="s">
        <v>3015</v>
      </c>
      <c r="D51" s="9">
        <v>295</v>
      </c>
    </row>
    <row r="52" spans="1:4" x14ac:dyDescent="0.25">
      <c r="A52" s="4" t="s">
        <v>995</v>
      </c>
      <c r="B52" s="4">
        <v>388719</v>
      </c>
      <c r="C52" s="4" t="s">
        <v>3046</v>
      </c>
      <c r="D52" s="9">
        <v>595</v>
      </c>
    </row>
    <row r="53" spans="1:4" x14ac:dyDescent="0.25">
      <c r="A53" s="4" t="s">
        <v>995</v>
      </c>
      <c r="B53" s="4">
        <v>385613</v>
      </c>
      <c r="C53" s="4" t="s">
        <v>3069</v>
      </c>
      <c r="D53" s="9">
        <v>33710</v>
      </c>
    </row>
    <row r="54" spans="1:4" x14ac:dyDescent="0.25">
      <c r="A54" s="4" t="s">
        <v>995</v>
      </c>
      <c r="B54" s="4">
        <v>385613</v>
      </c>
      <c r="C54" s="4" t="s">
        <v>3070</v>
      </c>
      <c r="D54" s="9">
        <v>94900</v>
      </c>
    </row>
    <row r="55" spans="1:4" x14ac:dyDescent="0.25">
      <c r="A55" s="4" t="s">
        <v>443</v>
      </c>
      <c r="B55" s="4">
        <v>363766</v>
      </c>
      <c r="C55" s="4" t="s">
        <v>3047</v>
      </c>
      <c r="D55" s="9">
        <v>520</v>
      </c>
    </row>
    <row r="56" spans="1:4" x14ac:dyDescent="0.25">
      <c r="A56" s="4" t="s">
        <v>2973</v>
      </c>
      <c r="B56" s="4">
        <v>389740</v>
      </c>
      <c r="C56" s="4" t="s">
        <v>3048</v>
      </c>
      <c r="D56" s="9">
        <v>55</v>
      </c>
    </row>
    <row r="57" spans="1:4" x14ac:dyDescent="0.25">
      <c r="A57" s="4" t="s">
        <v>52</v>
      </c>
      <c r="B57" s="4">
        <v>379599</v>
      </c>
      <c r="C57" s="4" t="s">
        <v>3049</v>
      </c>
      <c r="D57" s="9">
        <v>1140</v>
      </c>
    </row>
    <row r="58" spans="1:4" x14ac:dyDescent="0.25">
      <c r="A58" s="4" t="s">
        <v>52</v>
      </c>
      <c r="B58" s="4">
        <v>385980</v>
      </c>
      <c r="C58" s="4" t="s">
        <v>3050</v>
      </c>
      <c r="D58" s="9">
        <v>1490</v>
      </c>
    </row>
    <row r="59" spans="1:4" x14ac:dyDescent="0.25">
      <c r="A59" s="4" t="s">
        <v>1920</v>
      </c>
      <c r="B59" s="4">
        <v>389744</v>
      </c>
      <c r="C59" s="4" t="s">
        <v>3071</v>
      </c>
      <c r="D59" s="9">
        <v>30235</v>
      </c>
    </row>
    <row r="60" spans="1:4" x14ac:dyDescent="0.25">
      <c r="A60" s="4" t="s">
        <v>2499</v>
      </c>
      <c r="B60" s="4">
        <v>392636</v>
      </c>
      <c r="C60" s="4" t="s">
        <v>3072</v>
      </c>
      <c r="D60" s="9">
        <v>295</v>
      </c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SUM(D2:D40)</f>
        <v>355673</v>
      </c>
    </row>
    <row r="93" spans="1:4" x14ac:dyDescent="0.25">
      <c r="C93" s="31" t="s">
        <v>2501</v>
      </c>
      <c r="D93" s="32">
        <v>0</v>
      </c>
    </row>
    <row r="94" spans="1:4" x14ac:dyDescent="0.25">
      <c r="C94" s="31" t="s">
        <v>83</v>
      </c>
      <c r="D94" s="32">
        <f>SUM(D92:D93)</f>
        <v>355673</v>
      </c>
    </row>
  </sheetData>
  <printOptions horizontalCentered="1"/>
  <pageMargins left="0.7" right="0.7" top="1.25" bottom="0.75" header="0.3" footer="0.3"/>
  <pageSetup paperSize="17" scale="119" orientation="landscape" r:id="rId1"/>
  <headerFooter>
    <oddHeader>&amp;C&amp;"Arial Black,Regular"&amp;14SALES REPORT
&amp;10APPROVED WORK AWAITING SCHEDULE</oddHeader>
    <oddFooter>&amp;L&amp;8&amp;Z&amp;F&amp;R&amp;8&amp;D</oddFooter>
  </headerFooter>
  <rowBreaks count="1" manualBreakCount="1">
    <brk id="37" max="3" man="1"/>
  </rowBreaks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FA2EB-85D8-4D31-B140-D385DE5209F8}">
  <dimension ref="A1:D94"/>
  <sheetViews>
    <sheetView view="pageBreakPreview" zoomScaleNormal="100" zoomScaleSheetLayoutView="100" workbookViewId="0">
      <selection activeCell="K19" sqref="K19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1967</v>
      </c>
      <c r="B2" s="4">
        <v>395247</v>
      </c>
      <c r="C2" s="4" t="s">
        <v>3051</v>
      </c>
      <c r="D2" s="9">
        <v>1395</v>
      </c>
    </row>
    <row r="3" spans="1:4" x14ac:dyDescent="0.25">
      <c r="A3" s="4" t="s">
        <v>98</v>
      </c>
      <c r="B3" s="4">
        <v>391274</v>
      </c>
      <c r="C3" s="4" t="s">
        <v>2997</v>
      </c>
      <c r="D3" s="9">
        <v>132800</v>
      </c>
    </row>
    <row r="4" spans="1:4" x14ac:dyDescent="0.25">
      <c r="A4" s="4" t="s">
        <v>175</v>
      </c>
      <c r="B4" s="4">
        <v>392446</v>
      </c>
      <c r="C4" s="4" t="s">
        <v>3000</v>
      </c>
      <c r="D4" s="9">
        <v>50</v>
      </c>
    </row>
    <row r="5" spans="1:4" x14ac:dyDescent="0.25">
      <c r="A5" s="4" t="s">
        <v>175</v>
      </c>
      <c r="B5" s="4">
        <v>395515</v>
      </c>
      <c r="C5" s="4" t="s">
        <v>3052</v>
      </c>
      <c r="D5" s="9">
        <v>18730</v>
      </c>
    </row>
    <row r="6" spans="1:4" x14ac:dyDescent="0.25">
      <c r="A6" s="4" t="s">
        <v>200</v>
      </c>
      <c r="B6" s="4">
        <v>389653</v>
      </c>
      <c r="C6" s="4" t="s">
        <v>3023</v>
      </c>
      <c r="D6" s="9">
        <v>24523</v>
      </c>
    </row>
    <row r="7" spans="1:4" x14ac:dyDescent="0.25">
      <c r="A7" s="4" t="s">
        <v>330</v>
      </c>
      <c r="B7" s="4">
        <v>379297</v>
      </c>
      <c r="C7" s="4" t="s">
        <v>3024</v>
      </c>
      <c r="D7" s="9">
        <v>1035</v>
      </c>
    </row>
    <row r="8" spans="1:4" x14ac:dyDescent="0.25">
      <c r="A8" s="4" t="s">
        <v>1419</v>
      </c>
      <c r="B8" s="4">
        <v>386359</v>
      </c>
      <c r="C8" s="4" t="s">
        <v>3025</v>
      </c>
      <c r="D8" s="9">
        <v>540</v>
      </c>
    </row>
    <row r="9" spans="1:4" x14ac:dyDescent="0.25">
      <c r="A9" s="4" t="s">
        <v>1419</v>
      </c>
      <c r="B9" s="4">
        <v>389254</v>
      </c>
      <c r="C9" s="4" t="s">
        <v>3026</v>
      </c>
      <c r="D9" s="9">
        <v>10350</v>
      </c>
    </row>
    <row r="10" spans="1:4" x14ac:dyDescent="0.25">
      <c r="A10" s="4" t="s">
        <v>1419</v>
      </c>
      <c r="B10" s="4">
        <v>388543</v>
      </c>
      <c r="C10" s="4" t="s">
        <v>3027</v>
      </c>
      <c r="D10" s="9">
        <v>19260</v>
      </c>
    </row>
    <row r="11" spans="1:4" x14ac:dyDescent="0.25">
      <c r="A11" s="4" t="s">
        <v>1419</v>
      </c>
      <c r="B11" s="4">
        <v>386368</v>
      </c>
      <c r="C11" s="4" t="s">
        <v>3028</v>
      </c>
      <c r="D11" s="9">
        <v>180</v>
      </c>
    </row>
    <row r="12" spans="1:4" x14ac:dyDescent="0.25">
      <c r="A12" s="4" t="s">
        <v>1419</v>
      </c>
      <c r="B12" s="4">
        <v>386379</v>
      </c>
      <c r="C12" s="4" t="s">
        <v>3029</v>
      </c>
      <c r="D12" s="9">
        <v>14400</v>
      </c>
    </row>
    <row r="13" spans="1:4" x14ac:dyDescent="0.25">
      <c r="A13" s="4" t="s">
        <v>1419</v>
      </c>
      <c r="B13" s="4">
        <v>386389</v>
      </c>
      <c r="C13" s="4" t="s">
        <v>3030</v>
      </c>
      <c r="D13" s="9">
        <v>5220</v>
      </c>
    </row>
    <row r="14" spans="1:4" x14ac:dyDescent="0.25">
      <c r="A14" s="4" t="s">
        <v>1419</v>
      </c>
      <c r="B14" s="4">
        <v>386365</v>
      </c>
      <c r="C14" s="4" t="s">
        <v>3033</v>
      </c>
      <c r="D14" s="9">
        <v>25740</v>
      </c>
    </row>
    <row r="15" spans="1:4" x14ac:dyDescent="0.25">
      <c r="A15" s="4" t="s">
        <v>1419</v>
      </c>
      <c r="B15" s="4">
        <v>386370</v>
      </c>
      <c r="C15" s="4" t="s">
        <v>3034</v>
      </c>
      <c r="D15" s="9">
        <v>1350</v>
      </c>
    </row>
    <row r="16" spans="1:4" x14ac:dyDescent="0.25">
      <c r="A16" s="4" t="s">
        <v>1419</v>
      </c>
      <c r="B16" s="4">
        <v>386371</v>
      </c>
      <c r="C16" s="4" t="s">
        <v>3035</v>
      </c>
      <c r="D16" s="9">
        <v>3150</v>
      </c>
    </row>
    <row r="17" spans="1:4" x14ac:dyDescent="0.25">
      <c r="A17" s="4" t="s">
        <v>1419</v>
      </c>
      <c r="B17" s="4">
        <v>386380</v>
      </c>
      <c r="C17" s="4" t="s">
        <v>3036</v>
      </c>
      <c r="D17" s="9">
        <v>6750</v>
      </c>
    </row>
    <row r="18" spans="1:4" x14ac:dyDescent="0.25">
      <c r="A18" s="4" t="s">
        <v>1419</v>
      </c>
      <c r="B18" s="4">
        <v>386383</v>
      </c>
      <c r="C18" s="4" t="s">
        <v>3037</v>
      </c>
      <c r="D18" s="9">
        <v>15030</v>
      </c>
    </row>
    <row r="19" spans="1:4" x14ac:dyDescent="0.25">
      <c r="A19" s="4" t="s">
        <v>1419</v>
      </c>
      <c r="B19" s="4">
        <v>386355</v>
      </c>
      <c r="C19" s="4" t="s">
        <v>3038</v>
      </c>
      <c r="D19" s="9">
        <v>14670</v>
      </c>
    </row>
    <row r="20" spans="1:4" x14ac:dyDescent="0.25">
      <c r="A20" s="4" t="s">
        <v>1419</v>
      </c>
      <c r="B20" s="4">
        <v>386393</v>
      </c>
      <c r="C20" s="4" t="s">
        <v>3002</v>
      </c>
      <c r="D20" s="9">
        <v>2700</v>
      </c>
    </row>
    <row r="21" spans="1:4" x14ac:dyDescent="0.25">
      <c r="A21" s="4" t="s">
        <v>1419</v>
      </c>
      <c r="B21" s="4">
        <v>386394</v>
      </c>
      <c r="C21" s="4" t="s">
        <v>3039</v>
      </c>
      <c r="D21" s="9">
        <v>900</v>
      </c>
    </row>
    <row r="22" spans="1:4" x14ac:dyDescent="0.25">
      <c r="A22" s="4" t="s">
        <v>180</v>
      </c>
      <c r="B22" s="4">
        <v>395338</v>
      </c>
      <c r="C22" s="4" t="s">
        <v>3073</v>
      </c>
      <c r="D22" s="9">
        <v>173</v>
      </c>
    </row>
    <row r="23" spans="1:4" x14ac:dyDescent="0.25">
      <c r="A23" s="4" t="s">
        <v>1948</v>
      </c>
      <c r="B23" s="4">
        <v>392617</v>
      </c>
      <c r="C23" s="4" t="s">
        <v>3074</v>
      </c>
      <c r="D23" s="9">
        <v>1550</v>
      </c>
    </row>
    <row r="24" spans="1:4" x14ac:dyDescent="0.25">
      <c r="A24" s="4" t="s">
        <v>1047</v>
      </c>
      <c r="B24" s="4">
        <v>388488</v>
      </c>
      <c r="C24" s="4" t="s">
        <v>3063</v>
      </c>
      <c r="D24" s="9">
        <v>300</v>
      </c>
    </row>
    <row r="25" spans="1:4" x14ac:dyDescent="0.25">
      <c r="A25" s="4" t="s">
        <v>315</v>
      </c>
      <c r="B25" s="4">
        <v>390190</v>
      </c>
      <c r="C25" s="4" t="s">
        <v>3044</v>
      </c>
      <c r="D25" s="9">
        <v>100</v>
      </c>
    </row>
    <row r="26" spans="1:4" x14ac:dyDescent="0.25">
      <c r="A26" s="4" t="s">
        <v>315</v>
      </c>
      <c r="B26" s="4">
        <v>395369</v>
      </c>
      <c r="C26" s="4" t="s">
        <v>3064</v>
      </c>
      <c r="D26" s="9">
        <v>257</v>
      </c>
    </row>
    <row r="27" spans="1:4" x14ac:dyDescent="0.25">
      <c r="A27" s="4" t="s">
        <v>832</v>
      </c>
      <c r="B27" s="4">
        <v>392639</v>
      </c>
      <c r="C27" s="4" t="s">
        <v>3008</v>
      </c>
      <c r="D27" s="9">
        <v>95</v>
      </c>
    </row>
    <row r="28" spans="1:4" x14ac:dyDescent="0.25">
      <c r="A28" s="4" t="s">
        <v>832</v>
      </c>
      <c r="B28" s="4">
        <v>389746</v>
      </c>
      <c r="C28" s="4" t="s">
        <v>2989</v>
      </c>
      <c r="D28" s="9">
        <v>313</v>
      </c>
    </row>
    <row r="29" spans="1:4" x14ac:dyDescent="0.25">
      <c r="A29" s="4" t="s">
        <v>832</v>
      </c>
      <c r="B29" s="4">
        <v>389442</v>
      </c>
      <c r="C29" s="4" t="s">
        <v>3075</v>
      </c>
      <c r="D29" s="9">
        <v>900</v>
      </c>
    </row>
    <row r="30" spans="1:4" x14ac:dyDescent="0.25">
      <c r="A30" s="4" t="s">
        <v>995</v>
      </c>
      <c r="B30" s="4">
        <v>383798</v>
      </c>
      <c r="C30" s="4" t="s">
        <v>2951</v>
      </c>
      <c r="D30" s="9">
        <v>72425</v>
      </c>
    </row>
    <row r="31" spans="1:4" x14ac:dyDescent="0.25">
      <c r="A31" s="4" t="s">
        <v>995</v>
      </c>
      <c r="B31" s="4">
        <v>392518</v>
      </c>
      <c r="C31" s="4" t="s">
        <v>3014</v>
      </c>
      <c r="D31" s="9">
        <v>65</v>
      </c>
    </row>
    <row r="32" spans="1:4" x14ac:dyDescent="0.25">
      <c r="A32" s="4" t="s">
        <v>995</v>
      </c>
      <c r="B32" s="4">
        <v>392699</v>
      </c>
      <c r="C32" s="4" t="s">
        <v>3045</v>
      </c>
      <c r="D32" s="9">
        <v>60</v>
      </c>
    </row>
    <row r="33" spans="1:4" x14ac:dyDescent="0.25">
      <c r="A33" s="4" t="s">
        <v>443</v>
      </c>
      <c r="B33" s="4">
        <v>363766</v>
      </c>
      <c r="C33" s="4" t="s">
        <v>3047</v>
      </c>
      <c r="D33" s="9">
        <v>520</v>
      </c>
    </row>
    <row r="34" spans="1:4" x14ac:dyDescent="0.25">
      <c r="A34" s="4" t="s">
        <v>2973</v>
      </c>
      <c r="B34" s="4">
        <v>389740</v>
      </c>
      <c r="C34" s="4" t="s">
        <v>3048</v>
      </c>
      <c r="D34" s="9">
        <v>55</v>
      </c>
    </row>
    <row r="35" spans="1:4" x14ac:dyDescent="0.25">
      <c r="A35" s="4" t="s">
        <v>52</v>
      </c>
      <c r="B35" s="4">
        <v>379599</v>
      </c>
      <c r="C35" s="4" t="s">
        <v>3049</v>
      </c>
      <c r="D35" s="9">
        <v>1140</v>
      </c>
    </row>
    <row r="36" spans="1:4" x14ac:dyDescent="0.25">
      <c r="A36" s="4" t="s">
        <v>52</v>
      </c>
      <c r="B36" s="4">
        <v>385980</v>
      </c>
      <c r="C36" s="4" t="s">
        <v>3050</v>
      </c>
      <c r="D36" s="9">
        <v>1490</v>
      </c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SUM(D2:D36)</f>
        <v>378216</v>
      </c>
    </row>
    <row r="93" spans="1:4" x14ac:dyDescent="0.25">
      <c r="C93" s="31" t="s">
        <v>2501</v>
      </c>
      <c r="D93" s="32">
        <v>0</v>
      </c>
    </row>
    <row r="94" spans="1:4" x14ac:dyDescent="0.25">
      <c r="C94" s="31" t="s">
        <v>83</v>
      </c>
      <c r="D94" s="32">
        <f>SUM(D92:D93)</f>
        <v>378216</v>
      </c>
    </row>
  </sheetData>
  <printOptions horizontalCentered="1"/>
  <pageMargins left="0.7" right="0.7" top="1.25" bottom="0.75" header="0.3" footer="0.3"/>
  <pageSetup paperSize="17" scale="111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B829-8FE6-494B-A2F6-888B5B7CEC1A}">
  <dimension ref="A1:D94"/>
  <sheetViews>
    <sheetView view="pageBreakPreview" zoomScaleNormal="100" zoomScaleSheetLayoutView="100" workbookViewId="0">
      <selection activeCell="A98" sqref="A98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391274</v>
      </c>
      <c r="C2" s="4" t="s">
        <v>2997</v>
      </c>
      <c r="D2" s="9">
        <v>132800</v>
      </c>
    </row>
    <row r="3" spans="1:4" x14ac:dyDescent="0.25">
      <c r="A3" s="4" t="s">
        <v>256</v>
      </c>
      <c r="B3" s="4">
        <v>390047</v>
      </c>
      <c r="C3" s="4" t="s">
        <v>3076</v>
      </c>
      <c r="D3" s="9">
        <v>18695</v>
      </c>
    </row>
    <row r="4" spans="1:4" x14ac:dyDescent="0.25">
      <c r="A4" s="4" t="s">
        <v>256</v>
      </c>
      <c r="B4" s="4">
        <v>390052</v>
      </c>
      <c r="C4" s="4" t="s">
        <v>3077</v>
      </c>
      <c r="D4" s="9">
        <v>3565</v>
      </c>
    </row>
    <row r="5" spans="1:4" x14ac:dyDescent="0.25">
      <c r="A5" s="4" t="s">
        <v>175</v>
      </c>
      <c r="B5" s="4">
        <v>392446</v>
      </c>
      <c r="C5" s="4" t="s">
        <v>3000</v>
      </c>
      <c r="D5" s="9">
        <v>50</v>
      </c>
    </row>
    <row r="6" spans="1:4" x14ac:dyDescent="0.25">
      <c r="A6" s="4" t="s">
        <v>175</v>
      </c>
      <c r="B6" s="4">
        <v>395515</v>
      </c>
      <c r="C6" s="4" t="s">
        <v>3052</v>
      </c>
      <c r="D6" s="9">
        <v>18730</v>
      </c>
    </row>
    <row r="7" spans="1:4" x14ac:dyDescent="0.25">
      <c r="A7" s="4" t="s">
        <v>175</v>
      </c>
      <c r="B7" s="4">
        <v>395863</v>
      </c>
      <c r="C7" s="4" t="s">
        <v>3078</v>
      </c>
      <c r="D7" s="9">
        <v>195</v>
      </c>
    </row>
    <row r="8" spans="1:4" x14ac:dyDescent="0.25">
      <c r="A8" s="4" t="s">
        <v>200</v>
      </c>
      <c r="B8" s="4">
        <v>400377</v>
      </c>
      <c r="C8" s="4" t="s">
        <v>3079</v>
      </c>
      <c r="D8" s="9">
        <v>24178</v>
      </c>
    </row>
    <row r="9" spans="1:4" x14ac:dyDescent="0.25">
      <c r="A9" s="4" t="s">
        <v>26</v>
      </c>
      <c r="B9" s="4">
        <v>395794</v>
      </c>
      <c r="C9" s="4" t="s">
        <v>3080</v>
      </c>
      <c r="D9" s="9">
        <v>244</v>
      </c>
    </row>
    <row r="10" spans="1:4" x14ac:dyDescent="0.25">
      <c r="A10" s="4" t="s">
        <v>330</v>
      </c>
      <c r="B10" s="4">
        <v>379297</v>
      </c>
      <c r="C10" s="4" t="s">
        <v>3024</v>
      </c>
      <c r="D10" s="9">
        <v>1035</v>
      </c>
    </row>
    <row r="11" spans="1:4" x14ac:dyDescent="0.25">
      <c r="A11" s="4" t="s">
        <v>1419</v>
      </c>
      <c r="B11" s="4">
        <v>386359</v>
      </c>
      <c r="C11" s="4" t="s">
        <v>3025</v>
      </c>
      <c r="D11" s="9">
        <v>540</v>
      </c>
    </row>
    <row r="12" spans="1:4" x14ac:dyDescent="0.25">
      <c r="A12" s="4" t="s">
        <v>1419</v>
      </c>
      <c r="B12" s="4">
        <v>386368</v>
      </c>
      <c r="C12" s="4" t="s">
        <v>3028</v>
      </c>
      <c r="D12" s="9">
        <v>180</v>
      </c>
    </row>
    <row r="13" spans="1:4" x14ac:dyDescent="0.25">
      <c r="A13" s="4" t="s">
        <v>1948</v>
      </c>
      <c r="B13" s="4">
        <v>392617</v>
      </c>
      <c r="C13" s="4" t="s">
        <v>3074</v>
      </c>
      <c r="D13" s="9">
        <v>1550</v>
      </c>
    </row>
    <row r="14" spans="1:4" x14ac:dyDescent="0.25">
      <c r="A14" s="4" t="s">
        <v>1047</v>
      </c>
      <c r="B14" s="4">
        <v>388488</v>
      </c>
      <c r="C14" s="4" t="s">
        <v>3063</v>
      </c>
      <c r="D14" s="9">
        <v>300</v>
      </c>
    </row>
    <row r="15" spans="1:4" x14ac:dyDescent="0.25">
      <c r="A15" s="4" t="s">
        <v>315</v>
      </c>
      <c r="B15" s="4">
        <v>390190</v>
      </c>
      <c r="C15" s="4" t="s">
        <v>3044</v>
      </c>
      <c r="D15" s="9">
        <v>100</v>
      </c>
    </row>
    <row r="16" spans="1:4" x14ac:dyDescent="0.25">
      <c r="A16" s="4" t="s">
        <v>315</v>
      </c>
      <c r="B16" s="4">
        <v>395369</v>
      </c>
      <c r="C16" s="4" t="s">
        <v>3064</v>
      </c>
      <c r="D16" s="9">
        <v>257</v>
      </c>
    </row>
    <row r="17" spans="1:4" x14ac:dyDescent="0.25">
      <c r="A17" s="4" t="s">
        <v>2291</v>
      </c>
      <c r="B17" s="4">
        <v>389283</v>
      </c>
      <c r="C17" s="4" t="s">
        <v>3081</v>
      </c>
      <c r="D17" s="9">
        <v>495</v>
      </c>
    </row>
    <row r="18" spans="1:4" x14ac:dyDescent="0.25">
      <c r="A18" s="4" t="s">
        <v>832</v>
      </c>
      <c r="B18" s="4">
        <v>397152</v>
      </c>
      <c r="C18" s="4" t="s">
        <v>3082</v>
      </c>
      <c r="D18" s="9">
        <v>0</v>
      </c>
    </row>
    <row r="19" spans="1:4" x14ac:dyDescent="0.25">
      <c r="A19" s="4" t="s">
        <v>832</v>
      </c>
      <c r="B19" s="4">
        <v>392639</v>
      </c>
      <c r="C19" s="4" t="s">
        <v>3008</v>
      </c>
      <c r="D19" s="9">
        <v>95</v>
      </c>
    </row>
    <row r="20" spans="1:4" x14ac:dyDescent="0.25">
      <c r="A20" s="4" t="s">
        <v>832</v>
      </c>
      <c r="B20" s="4">
        <v>389247</v>
      </c>
      <c r="C20" s="4" t="s">
        <v>3083</v>
      </c>
      <c r="D20" s="9">
        <v>5625</v>
      </c>
    </row>
    <row r="21" spans="1:4" x14ac:dyDescent="0.25">
      <c r="A21" s="4" t="s">
        <v>832</v>
      </c>
      <c r="B21" s="4">
        <v>389454</v>
      </c>
      <c r="C21" s="4" t="s">
        <v>3084</v>
      </c>
      <c r="D21" s="9">
        <v>725</v>
      </c>
    </row>
    <row r="22" spans="1:4" x14ac:dyDescent="0.25">
      <c r="A22" s="4" t="s">
        <v>45</v>
      </c>
      <c r="B22" s="4">
        <v>399269</v>
      </c>
      <c r="C22" s="4" t="s">
        <v>3085</v>
      </c>
      <c r="D22" s="9">
        <v>550</v>
      </c>
    </row>
    <row r="23" spans="1:4" x14ac:dyDescent="0.25">
      <c r="A23" s="4" t="s">
        <v>995</v>
      </c>
      <c r="B23" s="4">
        <v>383798</v>
      </c>
      <c r="C23" s="4" t="s">
        <v>2951</v>
      </c>
      <c r="D23" s="9">
        <v>72425</v>
      </c>
    </row>
    <row r="24" spans="1:4" x14ac:dyDescent="0.25">
      <c r="A24" s="4" t="s">
        <v>995</v>
      </c>
      <c r="B24" s="4">
        <v>392518</v>
      </c>
      <c r="C24" s="4" t="s">
        <v>3014</v>
      </c>
      <c r="D24" s="9">
        <v>65</v>
      </c>
    </row>
    <row r="25" spans="1:4" x14ac:dyDescent="0.25">
      <c r="A25" s="4" t="s">
        <v>995</v>
      </c>
      <c r="B25" s="4">
        <v>392699</v>
      </c>
      <c r="C25" s="4" t="s">
        <v>3045</v>
      </c>
      <c r="D25" s="9">
        <v>60</v>
      </c>
    </row>
    <row r="26" spans="1:4" x14ac:dyDescent="0.25">
      <c r="A26" s="4" t="s">
        <v>443</v>
      </c>
      <c r="B26" s="4">
        <v>398266</v>
      </c>
      <c r="C26" s="4" t="s">
        <v>3086</v>
      </c>
      <c r="D26" s="9">
        <v>160</v>
      </c>
    </row>
    <row r="27" spans="1:4" x14ac:dyDescent="0.25">
      <c r="A27" s="4" t="s">
        <v>2973</v>
      </c>
      <c r="B27" s="4">
        <v>389740</v>
      </c>
      <c r="C27" s="4" t="s">
        <v>3048</v>
      </c>
      <c r="D27" s="9">
        <v>55</v>
      </c>
    </row>
    <row r="28" spans="1:4" x14ac:dyDescent="0.25">
      <c r="A28" s="4" t="s">
        <v>52</v>
      </c>
      <c r="B28" s="4">
        <v>379599</v>
      </c>
      <c r="C28" s="4" t="s">
        <v>3049</v>
      </c>
      <c r="D28" s="9">
        <v>1140</v>
      </c>
    </row>
    <row r="29" spans="1:4" x14ac:dyDescent="0.25">
      <c r="A29" s="4" t="s">
        <v>52</v>
      </c>
      <c r="B29" s="4">
        <v>385980</v>
      </c>
      <c r="C29" s="4" t="s">
        <v>3050</v>
      </c>
      <c r="D29" s="9">
        <v>1490</v>
      </c>
    </row>
    <row r="30" spans="1:4" x14ac:dyDescent="0.25">
      <c r="A30" s="4" t="s">
        <v>1920</v>
      </c>
      <c r="B30" s="4">
        <v>392466</v>
      </c>
      <c r="C30" s="4" t="s">
        <v>3087</v>
      </c>
      <c r="D30" s="9">
        <v>13065</v>
      </c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SUM(D2:D36)</f>
        <v>298369</v>
      </c>
    </row>
    <row r="93" spans="1:4" x14ac:dyDescent="0.25">
      <c r="C93" s="31" t="s">
        <v>2501</v>
      </c>
      <c r="D93" s="32">
        <v>0</v>
      </c>
    </row>
    <row r="94" spans="1:4" x14ac:dyDescent="0.25">
      <c r="C94" s="31" t="s">
        <v>83</v>
      </c>
      <c r="D94" s="32">
        <f>SUM(D92:D93)</f>
        <v>298369</v>
      </c>
    </row>
  </sheetData>
  <printOptions horizontalCentered="1"/>
  <pageMargins left="0.7" right="0.7" top="1.25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F5E1-27BA-4ABB-A063-5F63814C4818}">
  <dimension ref="A1:D94"/>
  <sheetViews>
    <sheetView view="pageBreakPreview" zoomScaleNormal="100" zoomScaleSheetLayoutView="100" workbookViewId="0">
      <selection activeCell="C98" sqref="C98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395753</v>
      </c>
      <c r="C2" s="4" t="s">
        <v>3088</v>
      </c>
      <c r="D2" s="9">
        <v>1750</v>
      </c>
    </row>
    <row r="3" spans="1:4" x14ac:dyDescent="0.25">
      <c r="A3" s="4" t="s">
        <v>98</v>
      </c>
      <c r="B3" s="4">
        <v>391274</v>
      </c>
      <c r="C3" s="4" t="s">
        <v>2997</v>
      </c>
      <c r="D3" s="9">
        <v>132800</v>
      </c>
    </row>
    <row r="4" spans="1:4" x14ac:dyDescent="0.25">
      <c r="A4" s="4" t="s">
        <v>143</v>
      </c>
      <c r="B4" s="4">
        <v>395131</v>
      </c>
      <c r="C4" s="4" t="s">
        <v>3089</v>
      </c>
      <c r="D4" s="9">
        <v>42635</v>
      </c>
    </row>
    <row r="5" spans="1:4" x14ac:dyDescent="0.25">
      <c r="A5" s="4" t="s">
        <v>167</v>
      </c>
      <c r="B5" s="4">
        <v>395674</v>
      </c>
      <c r="C5" s="4" t="s">
        <v>3090</v>
      </c>
      <c r="D5" s="9">
        <v>1632</v>
      </c>
    </row>
    <row r="6" spans="1:4" x14ac:dyDescent="0.25">
      <c r="A6" s="4" t="s">
        <v>200</v>
      </c>
      <c r="B6" s="4">
        <v>400377</v>
      </c>
      <c r="C6" s="4" t="s">
        <v>3091</v>
      </c>
      <c r="D6" s="9">
        <v>24178</v>
      </c>
    </row>
    <row r="7" spans="1:4" x14ac:dyDescent="0.25">
      <c r="A7" s="4" t="s">
        <v>330</v>
      </c>
      <c r="B7" s="4">
        <v>379297</v>
      </c>
      <c r="C7" s="4" t="s">
        <v>3092</v>
      </c>
      <c r="D7" s="9">
        <v>1035</v>
      </c>
    </row>
    <row r="8" spans="1:4" x14ac:dyDescent="0.25">
      <c r="A8" s="4" t="s">
        <v>1419</v>
      </c>
      <c r="B8" s="4">
        <v>400675</v>
      </c>
      <c r="C8" s="4" t="s">
        <v>3093</v>
      </c>
      <c r="D8" s="9">
        <v>32925</v>
      </c>
    </row>
    <row r="9" spans="1:4" x14ac:dyDescent="0.25">
      <c r="A9" s="4" t="s">
        <v>1419</v>
      </c>
      <c r="B9" s="4">
        <v>400681</v>
      </c>
      <c r="C9" s="4" t="s">
        <v>3094</v>
      </c>
      <c r="D9" s="9">
        <v>22980</v>
      </c>
    </row>
    <row r="10" spans="1:4" x14ac:dyDescent="0.25">
      <c r="A10" s="4" t="s">
        <v>1419</v>
      </c>
      <c r="B10" s="4">
        <v>400722</v>
      </c>
      <c r="C10" s="4" t="s">
        <v>3095</v>
      </c>
      <c r="D10" s="9">
        <v>16245</v>
      </c>
    </row>
    <row r="11" spans="1:4" x14ac:dyDescent="0.25">
      <c r="A11" s="4" t="s">
        <v>1419</v>
      </c>
      <c r="B11" s="4">
        <v>400733</v>
      </c>
      <c r="C11" s="4" t="s">
        <v>3096</v>
      </c>
      <c r="D11" s="9">
        <v>54820</v>
      </c>
    </row>
    <row r="12" spans="1:4" x14ac:dyDescent="0.25">
      <c r="A12" s="4" t="s">
        <v>1047</v>
      </c>
      <c r="B12" s="4">
        <v>388488</v>
      </c>
      <c r="C12" s="4" t="s">
        <v>3097</v>
      </c>
      <c r="D12" s="9">
        <v>300</v>
      </c>
    </row>
    <row r="13" spans="1:4" x14ac:dyDescent="0.25">
      <c r="A13" s="4" t="s">
        <v>2291</v>
      </c>
      <c r="B13" s="4">
        <v>395877</v>
      </c>
      <c r="C13" s="4" t="s">
        <v>3098</v>
      </c>
      <c r="D13" s="9">
        <v>250</v>
      </c>
    </row>
    <row r="14" spans="1:4" x14ac:dyDescent="0.25">
      <c r="A14" s="4" t="s">
        <v>2291</v>
      </c>
      <c r="B14" s="4">
        <v>389283</v>
      </c>
      <c r="C14" s="4" t="s">
        <v>3081</v>
      </c>
      <c r="D14" s="9">
        <v>495</v>
      </c>
    </row>
    <row r="15" spans="1:4" x14ac:dyDescent="0.25">
      <c r="A15" s="4" t="s">
        <v>832</v>
      </c>
      <c r="B15" s="4">
        <v>392639</v>
      </c>
      <c r="C15" s="4" t="s">
        <v>3008</v>
      </c>
      <c r="D15" s="9">
        <v>95</v>
      </c>
    </row>
    <row r="16" spans="1:4" x14ac:dyDescent="0.25">
      <c r="A16" s="4" t="s">
        <v>1054</v>
      </c>
      <c r="B16" s="4">
        <v>397185</v>
      </c>
      <c r="C16" s="4" t="s">
        <v>3099</v>
      </c>
      <c r="D16" s="9">
        <v>2250</v>
      </c>
    </row>
    <row r="17" spans="1:4" x14ac:dyDescent="0.25">
      <c r="A17" s="4" t="s">
        <v>995</v>
      </c>
      <c r="B17" s="4">
        <v>383798</v>
      </c>
      <c r="C17" s="4" t="s">
        <v>3100</v>
      </c>
      <c r="D17" s="9">
        <v>72425</v>
      </c>
    </row>
    <row r="18" spans="1:4" x14ac:dyDescent="0.25">
      <c r="A18" s="4" t="s">
        <v>995</v>
      </c>
      <c r="B18" s="4">
        <v>400867</v>
      </c>
      <c r="C18" s="4" t="s">
        <v>3101</v>
      </c>
      <c r="D18" s="9">
        <v>4440</v>
      </c>
    </row>
    <row r="19" spans="1:4" x14ac:dyDescent="0.25">
      <c r="A19" s="4" t="s">
        <v>995</v>
      </c>
      <c r="B19" s="4">
        <v>395498</v>
      </c>
      <c r="C19" s="4" t="s">
        <v>3102</v>
      </c>
      <c r="D19" s="9">
        <v>1495</v>
      </c>
    </row>
    <row r="20" spans="1:4" x14ac:dyDescent="0.25">
      <c r="A20" s="4" t="s">
        <v>995</v>
      </c>
      <c r="B20" s="4">
        <v>395498</v>
      </c>
      <c r="C20" s="4" t="s">
        <v>3103</v>
      </c>
      <c r="D20" s="9">
        <v>3060</v>
      </c>
    </row>
    <row r="21" spans="1:4" x14ac:dyDescent="0.25">
      <c r="A21" s="4" t="s">
        <v>50</v>
      </c>
      <c r="B21" s="4">
        <v>400765</v>
      </c>
      <c r="C21" s="4" t="s">
        <v>3104</v>
      </c>
      <c r="D21" s="9">
        <v>17140</v>
      </c>
    </row>
    <row r="22" spans="1:4" x14ac:dyDescent="0.25">
      <c r="A22" s="4" t="s">
        <v>50</v>
      </c>
      <c r="B22" s="4">
        <v>400765</v>
      </c>
      <c r="C22" s="4" t="s">
        <v>3105</v>
      </c>
      <c r="D22" s="9">
        <v>44385</v>
      </c>
    </row>
    <row r="23" spans="1:4" x14ac:dyDescent="0.25">
      <c r="A23" s="4" t="s">
        <v>50</v>
      </c>
      <c r="B23" s="4">
        <v>389490</v>
      </c>
      <c r="C23" s="4" t="s">
        <v>3106</v>
      </c>
      <c r="D23" s="9">
        <v>22880</v>
      </c>
    </row>
    <row r="24" spans="1:4" x14ac:dyDescent="0.25">
      <c r="A24" s="4" t="s">
        <v>52</v>
      </c>
      <c r="B24" s="4">
        <v>379599</v>
      </c>
      <c r="C24" s="4" t="s">
        <v>3107</v>
      </c>
      <c r="D24" s="9">
        <v>1140</v>
      </c>
    </row>
    <row r="25" spans="1:4" x14ac:dyDescent="0.25">
      <c r="A25" s="4" t="s">
        <v>52</v>
      </c>
      <c r="B25" s="4">
        <v>385980</v>
      </c>
      <c r="C25" s="4" t="s">
        <v>3108</v>
      </c>
      <c r="D25" s="9">
        <v>1490</v>
      </c>
    </row>
    <row r="26" spans="1:4" x14ac:dyDescent="0.25">
      <c r="A26" s="4" t="s">
        <v>61</v>
      </c>
      <c r="B26" s="4">
        <v>400890</v>
      </c>
      <c r="C26" s="4" t="s">
        <v>3109</v>
      </c>
      <c r="D26" s="9">
        <v>19160</v>
      </c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SUM(D2:D4,D6:D25)</f>
        <v>501213</v>
      </c>
    </row>
    <row r="93" spans="1:4" x14ac:dyDescent="0.25">
      <c r="C93" s="31" t="s">
        <v>2501</v>
      </c>
      <c r="D93" s="32">
        <f>SUM(D5,D26)</f>
        <v>20792</v>
      </c>
    </row>
    <row r="94" spans="1:4" x14ac:dyDescent="0.25">
      <c r="C94" s="31" t="s">
        <v>83</v>
      </c>
      <c r="D94" s="32">
        <f>SUM(D92:D93)</f>
        <v>522005</v>
      </c>
    </row>
  </sheetData>
  <printOptions horizontalCentered="1"/>
  <pageMargins left="0.7" right="0.7" top="1.25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B052-DB78-4143-88B8-BB133F7C010A}">
  <dimension ref="A1:D94"/>
  <sheetViews>
    <sheetView view="pageBreakPreview" topLeftCell="A3" zoomScaleNormal="100" zoomScaleSheetLayoutView="100" workbookViewId="0">
      <selection activeCell="G20" sqref="G20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256</v>
      </c>
      <c r="B2" s="4">
        <v>402053</v>
      </c>
      <c r="C2" s="4" t="s">
        <v>3110</v>
      </c>
      <c r="D2" s="9">
        <v>520</v>
      </c>
    </row>
    <row r="3" spans="1:4" x14ac:dyDescent="0.25">
      <c r="A3" s="4" t="s">
        <v>143</v>
      </c>
      <c r="B3" s="4">
        <v>395131</v>
      </c>
      <c r="C3" s="4" t="s">
        <v>3089</v>
      </c>
      <c r="D3" s="9">
        <v>42635</v>
      </c>
    </row>
    <row r="4" spans="1:4" x14ac:dyDescent="0.25">
      <c r="A4" s="4" t="s">
        <v>111</v>
      </c>
      <c r="B4" s="4">
        <v>402068</v>
      </c>
      <c r="C4" s="4" t="s">
        <v>3111</v>
      </c>
      <c r="D4" s="9">
        <v>12339</v>
      </c>
    </row>
    <row r="5" spans="1:4" x14ac:dyDescent="0.25">
      <c r="A5" s="4" t="s">
        <v>200</v>
      </c>
      <c r="B5" s="4">
        <v>400377</v>
      </c>
      <c r="C5" s="4" t="s">
        <v>3091</v>
      </c>
      <c r="D5" s="9">
        <v>24178</v>
      </c>
    </row>
    <row r="6" spans="1:4" x14ac:dyDescent="0.25">
      <c r="A6" s="4" t="s">
        <v>200</v>
      </c>
      <c r="B6" s="4">
        <v>394945</v>
      </c>
      <c r="C6" s="4" t="s">
        <v>3112</v>
      </c>
      <c r="D6" s="9">
        <v>2500</v>
      </c>
    </row>
    <row r="7" spans="1:4" x14ac:dyDescent="0.25">
      <c r="A7" s="4" t="s">
        <v>200</v>
      </c>
      <c r="B7" s="4">
        <v>399272</v>
      </c>
      <c r="C7" s="4" t="s">
        <v>3113</v>
      </c>
      <c r="D7" s="9">
        <v>2290</v>
      </c>
    </row>
    <row r="8" spans="1:4" x14ac:dyDescent="0.25">
      <c r="A8" s="4" t="s">
        <v>26</v>
      </c>
      <c r="B8" s="4">
        <v>395346</v>
      </c>
      <c r="C8" s="4" t="s">
        <v>3114</v>
      </c>
      <c r="D8" s="9">
        <v>2013</v>
      </c>
    </row>
    <row r="9" spans="1:4" x14ac:dyDescent="0.25">
      <c r="A9" s="4" t="s">
        <v>330</v>
      </c>
      <c r="B9" s="4">
        <v>379297</v>
      </c>
      <c r="C9" s="4" t="s">
        <v>3092</v>
      </c>
      <c r="D9" s="9">
        <v>1035</v>
      </c>
    </row>
    <row r="10" spans="1:4" x14ac:dyDescent="0.25">
      <c r="A10" s="4" t="s">
        <v>1047</v>
      </c>
      <c r="B10" s="4">
        <v>388488</v>
      </c>
      <c r="C10" s="4" t="s">
        <v>3097</v>
      </c>
      <c r="D10" s="9">
        <v>300</v>
      </c>
    </row>
    <row r="11" spans="1:4" x14ac:dyDescent="0.25">
      <c r="A11" s="4" t="s">
        <v>493</v>
      </c>
      <c r="B11" s="4">
        <v>402216</v>
      </c>
      <c r="C11" s="4" t="s">
        <v>3115</v>
      </c>
      <c r="D11" s="9">
        <v>195</v>
      </c>
    </row>
    <row r="12" spans="1:4" x14ac:dyDescent="0.25">
      <c r="A12" s="4" t="s">
        <v>2291</v>
      </c>
      <c r="B12" s="4">
        <v>395877</v>
      </c>
      <c r="C12" s="4" t="s">
        <v>3098</v>
      </c>
      <c r="D12" s="9">
        <v>250</v>
      </c>
    </row>
    <row r="13" spans="1:4" x14ac:dyDescent="0.25">
      <c r="A13" s="4" t="s">
        <v>2291</v>
      </c>
      <c r="B13" s="4">
        <v>389283</v>
      </c>
      <c r="C13" s="4" t="s">
        <v>3081</v>
      </c>
      <c r="D13" s="9">
        <v>495</v>
      </c>
    </row>
    <row r="14" spans="1:4" x14ac:dyDescent="0.25">
      <c r="A14" s="4" t="s">
        <v>832</v>
      </c>
      <c r="B14" s="4">
        <v>392639</v>
      </c>
      <c r="C14" s="4" t="s">
        <v>3008</v>
      </c>
      <c r="D14" s="9">
        <v>95</v>
      </c>
    </row>
    <row r="15" spans="1:4" x14ac:dyDescent="0.25">
      <c r="A15" s="4" t="s">
        <v>832</v>
      </c>
      <c r="B15" s="4">
        <v>401995</v>
      </c>
      <c r="C15" s="4" t="s">
        <v>3116</v>
      </c>
      <c r="D15" s="9">
        <v>995</v>
      </c>
    </row>
    <row r="16" spans="1:4" x14ac:dyDescent="0.25">
      <c r="A16" s="4" t="s">
        <v>832</v>
      </c>
      <c r="B16" s="4">
        <v>401963</v>
      </c>
      <c r="C16" s="4" t="s">
        <v>3117</v>
      </c>
      <c r="D16" s="9">
        <v>375</v>
      </c>
    </row>
    <row r="17" spans="1:4" x14ac:dyDescent="0.25">
      <c r="A17" s="4" t="s">
        <v>1054</v>
      </c>
      <c r="B17" s="4">
        <v>397185</v>
      </c>
      <c r="C17" s="4" t="s">
        <v>3099</v>
      </c>
      <c r="D17" s="9">
        <v>2250</v>
      </c>
    </row>
    <row r="18" spans="1:4" x14ac:dyDescent="0.25">
      <c r="A18" s="4" t="s">
        <v>995</v>
      </c>
      <c r="B18" s="4">
        <v>383798</v>
      </c>
      <c r="C18" s="4" t="s">
        <v>3100</v>
      </c>
      <c r="D18" s="9">
        <v>72425</v>
      </c>
    </row>
    <row r="19" spans="1:4" x14ac:dyDescent="0.25">
      <c r="A19" s="4" t="s">
        <v>995</v>
      </c>
      <c r="B19" s="4">
        <v>402056</v>
      </c>
      <c r="C19" s="4" t="s">
        <v>3118</v>
      </c>
      <c r="D19" s="9">
        <v>375</v>
      </c>
    </row>
    <row r="20" spans="1:4" x14ac:dyDescent="0.25">
      <c r="A20" s="4" t="s">
        <v>995</v>
      </c>
      <c r="B20" s="4">
        <v>395498</v>
      </c>
      <c r="C20" s="4" t="s">
        <v>3102</v>
      </c>
      <c r="D20" s="9">
        <v>1495</v>
      </c>
    </row>
    <row r="21" spans="1:4" x14ac:dyDescent="0.25">
      <c r="A21" s="4" t="s">
        <v>995</v>
      </c>
      <c r="B21" s="4">
        <v>395498</v>
      </c>
      <c r="C21" s="4" t="s">
        <v>3103</v>
      </c>
      <c r="D21" s="9">
        <v>3060</v>
      </c>
    </row>
    <row r="22" spans="1:4" x14ac:dyDescent="0.25">
      <c r="A22" s="4" t="s">
        <v>2762</v>
      </c>
      <c r="B22" s="4">
        <v>402037</v>
      </c>
      <c r="C22" s="4" t="s">
        <v>3119</v>
      </c>
      <c r="D22" s="9">
        <v>200</v>
      </c>
    </row>
    <row r="23" spans="1:4" x14ac:dyDescent="0.25">
      <c r="A23" s="4" t="s">
        <v>50</v>
      </c>
      <c r="B23" s="4">
        <v>394909</v>
      </c>
      <c r="C23" s="4" t="s">
        <v>3120</v>
      </c>
      <c r="D23" s="9">
        <v>150</v>
      </c>
    </row>
    <row r="24" spans="1:4" x14ac:dyDescent="0.25">
      <c r="A24" s="4" t="s">
        <v>50</v>
      </c>
      <c r="B24" s="4">
        <v>400765</v>
      </c>
      <c r="C24" s="4" t="s">
        <v>3121</v>
      </c>
      <c r="D24" s="9">
        <v>44385</v>
      </c>
    </row>
    <row r="25" spans="1:4" x14ac:dyDescent="0.25">
      <c r="A25" s="4" t="s">
        <v>52</v>
      </c>
      <c r="B25" s="4">
        <v>379599</v>
      </c>
      <c r="C25" s="4" t="s">
        <v>3107</v>
      </c>
      <c r="D25" s="9">
        <v>1140</v>
      </c>
    </row>
    <row r="26" spans="1:4" x14ac:dyDescent="0.25">
      <c r="A26" s="4" t="s">
        <v>52</v>
      </c>
      <c r="B26" s="4">
        <v>385980</v>
      </c>
      <c r="C26" s="4" t="s">
        <v>3108</v>
      </c>
      <c r="D26" s="9">
        <v>1490</v>
      </c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SUM(D2:D3,D5:D26)</f>
        <v>204846</v>
      </c>
    </row>
    <row r="93" spans="1:4" x14ac:dyDescent="0.25">
      <c r="C93" s="31" t="s">
        <v>2501</v>
      </c>
      <c r="D93" s="32">
        <f>SUM(D4)</f>
        <v>12339</v>
      </c>
    </row>
    <row r="94" spans="1:4" x14ac:dyDescent="0.25">
      <c r="C94" s="31" t="s">
        <v>83</v>
      </c>
      <c r="D94" s="32">
        <f>SUM(D92:D93)</f>
        <v>217185</v>
      </c>
    </row>
  </sheetData>
  <printOptions horizontalCentered="1"/>
  <pageMargins left="0.7" right="0.7" top="1.25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26F2-0D3C-40C9-8096-A39879CEC4B7}">
  <dimension ref="A1:D94"/>
  <sheetViews>
    <sheetView view="pageBreakPreview" zoomScaleNormal="100" zoomScaleSheetLayoutView="100" workbookViewId="0">
      <selection activeCell="C98" sqref="C98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500</v>
      </c>
      <c r="B2" s="4">
        <v>402568</v>
      </c>
      <c r="C2" s="4" t="s">
        <v>3122</v>
      </c>
      <c r="D2" s="9">
        <v>5455</v>
      </c>
    </row>
    <row r="3" spans="1:4" x14ac:dyDescent="0.25">
      <c r="A3" s="4" t="s">
        <v>500</v>
      </c>
      <c r="B3" s="4">
        <v>402566</v>
      </c>
      <c r="C3" s="4" t="s">
        <v>3123</v>
      </c>
      <c r="D3" s="9">
        <v>458</v>
      </c>
    </row>
    <row r="4" spans="1:4" x14ac:dyDescent="0.25">
      <c r="A4" s="4" t="s">
        <v>26</v>
      </c>
      <c r="B4" s="4">
        <v>399321</v>
      </c>
      <c r="C4" s="4" t="s">
        <v>3124</v>
      </c>
      <c r="D4" s="9">
        <v>1945</v>
      </c>
    </row>
    <row r="5" spans="1:4" x14ac:dyDescent="0.25">
      <c r="A5" s="4" t="s">
        <v>26</v>
      </c>
      <c r="B5" s="4">
        <v>401942</v>
      </c>
      <c r="C5" s="4" t="s">
        <v>3125</v>
      </c>
      <c r="D5" s="9">
        <v>895</v>
      </c>
    </row>
    <row r="6" spans="1:4" x14ac:dyDescent="0.25">
      <c r="A6" s="4" t="s">
        <v>493</v>
      </c>
      <c r="B6" s="4">
        <v>402216</v>
      </c>
      <c r="C6" s="4" t="s">
        <v>3126</v>
      </c>
      <c r="D6" s="9">
        <v>195</v>
      </c>
    </row>
    <row r="7" spans="1:4" x14ac:dyDescent="0.25">
      <c r="A7" s="4" t="s">
        <v>315</v>
      </c>
      <c r="B7" s="4">
        <v>402082</v>
      </c>
      <c r="C7" s="4" t="s">
        <v>3127</v>
      </c>
      <c r="D7" s="9">
        <v>625</v>
      </c>
    </row>
    <row r="8" spans="1:4" x14ac:dyDescent="0.25">
      <c r="A8" s="4" t="s">
        <v>832</v>
      </c>
      <c r="B8" s="4">
        <v>402288</v>
      </c>
      <c r="C8" s="4" t="s">
        <v>3128</v>
      </c>
      <c r="D8" s="9">
        <v>3120</v>
      </c>
    </row>
    <row r="9" spans="1:4" x14ac:dyDescent="0.25">
      <c r="A9" s="4" t="s">
        <v>995</v>
      </c>
      <c r="B9" s="4">
        <v>392531</v>
      </c>
      <c r="C9" s="4" t="s">
        <v>3129</v>
      </c>
      <c r="D9" s="9">
        <v>27149</v>
      </c>
    </row>
    <row r="10" spans="1:4" x14ac:dyDescent="0.25">
      <c r="A10" s="4" t="s">
        <v>2762</v>
      </c>
      <c r="B10" s="4">
        <v>402037</v>
      </c>
      <c r="C10" s="4" t="s">
        <v>3130</v>
      </c>
      <c r="D10" s="9">
        <v>200</v>
      </c>
    </row>
    <row r="11" spans="1:4" hidden="1" x14ac:dyDescent="0.25">
      <c r="A11" s="4"/>
      <c r="B11" s="4"/>
      <c r="C11" s="4"/>
      <c r="D11" s="9"/>
    </row>
    <row r="12" spans="1:4" hidden="1" x14ac:dyDescent="0.25">
      <c r="A12" s="4"/>
      <c r="B12" s="4"/>
      <c r="C12" s="4"/>
      <c r="D12" s="9"/>
    </row>
    <row r="13" spans="1:4" hidden="1" x14ac:dyDescent="0.25">
      <c r="A13" s="4"/>
      <c r="B13" s="4"/>
      <c r="C13" s="4"/>
      <c r="D13" s="9"/>
    </row>
    <row r="14" spans="1:4" hidden="1" x14ac:dyDescent="0.25">
      <c r="A14" s="4"/>
      <c r="B14" s="4"/>
      <c r="C14" s="4"/>
      <c r="D14" s="9"/>
    </row>
    <row r="15" spans="1:4" hidden="1" x14ac:dyDescent="0.25">
      <c r="A15" s="4"/>
      <c r="B15" s="4"/>
      <c r="C15" s="4"/>
      <c r="D15" s="9"/>
    </row>
    <row r="16" spans="1:4" hidden="1" x14ac:dyDescent="0.25">
      <c r="A16" s="4"/>
      <c r="B16" s="4"/>
      <c r="C16" s="4"/>
      <c r="D16" s="9"/>
    </row>
    <row r="17" spans="1:4" hidden="1" x14ac:dyDescent="0.25">
      <c r="A17" s="4"/>
      <c r="B17" s="4"/>
      <c r="C17" s="4"/>
      <c r="D17" s="9"/>
    </row>
    <row r="18" spans="1:4" hidden="1" x14ac:dyDescent="0.25">
      <c r="A18" s="4"/>
      <c r="B18" s="4"/>
      <c r="C18" s="4"/>
      <c r="D18" s="9"/>
    </row>
    <row r="19" spans="1:4" hidden="1" x14ac:dyDescent="0.25">
      <c r="A19" s="4"/>
      <c r="B19" s="4"/>
      <c r="C19" s="4"/>
      <c r="D19" s="9"/>
    </row>
    <row r="20" spans="1:4" hidden="1" x14ac:dyDescent="0.25">
      <c r="A20" s="4"/>
      <c r="B20" s="4"/>
      <c r="C20" s="4"/>
      <c r="D20" s="9"/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SUM(D2:D3)</f>
        <v>5913</v>
      </c>
    </row>
    <row r="93" spans="1:4" x14ac:dyDescent="0.25">
      <c r="C93" s="31" t="s">
        <v>2501</v>
      </c>
      <c r="D93" s="32">
        <f>SUM(D4:D10)</f>
        <v>34129</v>
      </c>
    </row>
    <row r="94" spans="1:4" x14ac:dyDescent="0.25">
      <c r="C94" s="31" t="s">
        <v>83</v>
      </c>
      <c r="D94" s="32">
        <f>SUM(D92:D93)</f>
        <v>40042</v>
      </c>
    </row>
  </sheetData>
  <printOptions horizontalCentered="1"/>
  <pageMargins left="0.7" right="0.7" top="1.25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D377-7B46-4FA6-965B-CFC8B6075CCE}">
  <dimension ref="A1:D94"/>
  <sheetViews>
    <sheetView view="pageBreakPreview" zoomScaleNormal="100" zoomScaleSheetLayoutView="100" workbookViewId="0">
      <selection activeCell="H19" sqref="H19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402649</v>
      </c>
      <c r="C2" s="4" t="s">
        <v>3131</v>
      </c>
      <c r="D2" s="9">
        <v>52105</v>
      </c>
    </row>
    <row r="3" spans="1:4" x14ac:dyDescent="0.25">
      <c r="A3" s="4" t="s">
        <v>256</v>
      </c>
      <c r="B3" s="4">
        <v>387913</v>
      </c>
      <c r="C3" s="4" t="s">
        <v>3132</v>
      </c>
      <c r="D3" s="9">
        <v>16184</v>
      </c>
    </row>
    <row r="4" spans="1:4" x14ac:dyDescent="0.25">
      <c r="A4" s="4" t="s">
        <v>13</v>
      </c>
      <c r="B4" s="4">
        <v>400810</v>
      </c>
      <c r="C4" s="4" t="s">
        <v>3133</v>
      </c>
      <c r="D4" s="9">
        <v>297</v>
      </c>
    </row>
    <row r="5" spans="1:4" x14ac:dyDescent="0.25">
      <c r="A5" s="4" t="s">
        <v>13</v>
      </c>
      <c r="B5" s="4">
        <v>401900</v>
      </c>
      <c r="C5" s="4" t="s">
        <v>3134</v>
      </c>
      <c r="D5" s="9">
        <v>1050</v>
      </c>
    </row>
    <row r="6" spans="1:4" x14ac:dyDescent="0.25">
      <c r="A6" s="4" t="s">
        <v>13</v>
      </c>
      <c r="B6" s="4">
        <v>400736</v>
      </c>
      <c r="C6" s="4" t="s">
        <v>3135</v>
      </c>
      <c r="D6" s="9">
        <v>3868</v>
      </c>
    </row>
    <row r="7" spans="1:4" x14ac:dyDescent="0.25">
      <c r="A7" s="4" t="s">
        <v>13</v>
      </c>
      <c r="B7" s="4">
        <v>400729</v>
      </c>
      <c r="C7" s="4" t="s">
        <v>3136</v>
      </c>
      <c r="D7" s="9">
        <v>98</v>
      </c>
    </row>
    <row r="8" spans="1:4" x14ac:dyDescent="0.25">
      <c r="A8" s="4" t="s">
        <v>2831</v>
      </c>
      <c r="B8" s="4">
        <v>402575</v>
      </c>
      <c r="C8" s="4" t="s">
        <v>3137</v>
      </c>
      <c r="D8" s="9">
        <v>60850</v>
      </c>
    </row>
    <row r="9" spans="1:4" x14ac:dyDescent="0.25">
      <c r="A9" s="4" t="s">
        <v>167</v>
      </c>
      <c r="B9" s="4">
        <v>402759</v>
      </c>
      <c r="C9" s="4" t="s">
        <v>3138</v>
      </c>
      <c r="D9" s="9">
        <v>2723</v>
      </c>
    </row>
    <row r="10" spans="1:4" x14ac:dyDescent="0.25">
      <c r="A10" s="4" t="s">
        <v>167</v>
      </c>
      <c r="B10" s="4">
        <v>402753</v>
      </c>
      <c r="C10" s="4" t="s">
        <v>3139</v>
      </c>
      <c r="D10" s="9">
        <v>870</v>
      </c>
    </row>
    <row r="11" spans="1:4" x14ac:dyDescent="0.25">
      <c r="A11" s="4" t="s">
        <v>180</v>
      </c>
      <c r="B11" s="4">
        <v>400835</v>
      </c>
      <c r="C11" s="4" t="s">
        <v>3140</v>
      </c>
      <c r="D11" s="9">
        <v>60300</v>
      </c>
    </row>
    <row r="12" spans="1:4" x14ac:dyDescent="0.25">
      <c r="A12" s="4" t="s">
        <v>180</v>
      </c>
      <c r="B12" s="4">
        <v>395648</v>
      </c>
      <c r="C12" s="4" t="s">
        <v>3141</v>
      </c>
      <c r="D12" s="9">
        <v>1800</v>
      </c>
    </row>
    <row r="13" spans="1:4" x14ac:dyDescent="0.25">
      <c r="A13" s="4" t="s">
        <v>180</v>
      </c>
      <c r="B13" s="4">
        <v>400388</v>
      </c>
      <c r="C13" s="4" t="s">
        <v>3142</v>
      </c>
      <c r="D13" s="9">
        <v>595</v>
      </c>
    </row>
    <row r="14" spans="1:4" x14ac:dyDescent="0.25">
      <c r="A14" s="4" t="s">
        <v>180</v>
      </c>
      <c r="B14" s="4">
        <v>400441</v>
      </c>
      <c r="C14" s="4" t="s">
        <v>3143</v>
      </c>
      <c r="D14" s="9">
        <v>1406</v>
      </c>
    </row>
    <row r="15" spans="1:4" x14ac:dyDescent="0.25">
      <c r="A15" s="4" t="s">
        <v>493</v>
      </c>
      <c r="B15" s="4">
        <v>402216</v>
      </c>
      <c r="C15" s="4" t="s">
        <v>3126</v>
      </c>
      <c r="D15" s="9">
        <v>195</v>
      </c>
    </row>
    <row r="16" spans="1:4" x14ac:dyDescent="0.25">
      <c r="A16" s="4" t="s">
        <v>315</v>
      </c>
      <c r="B16" s="4">
        <v>402082</v>
      </c>
      <c r="C16" s="4" t="s">
        <v>3127</v>
      </c>
      <c r="D16" s="9">
        <v>625</v>
      </c>
    </row>
    <row r="17" spans="1:4" x14ac:dyDescent="0.25">
      <c r="A17" s="4" t="s">
        <v>832</v>
      </c>
      <c r="B17" s="4">
        <v>402702</v>
      </c>
      <c r="C17" s="4" t="s">
        <v>3144</v>
      </c>
      <c r="D17" s="9">
        <v>1245</v>
      </c>
    </row>
    <row r="18" spans="1:4" x14ac:dyDescent="0.25">
      <c r="A18" s="4" t="s">
        <v>832</v>
      </c>
      <c r="B18" s="4">
        <v>401917</v>
      </c>
      <c r="C18" s="4" t="s">
        <v>3145</v>
      </c>
      <c r="D18" s="9">
        <v>3390</v>
      </c>
    </row>
    <row r="19" spans="1:4" x14ac:dyDescent="0.25">
      <c r="A19" s="4" t="s">
        <v>832</v>
      </c>
      <c r="B19" s="4">
        <v>401936</v>
      </c>
      <c r="C19" s="4" t="s">
        <v>3146</v>
      </c>
      <c r="D19" s="9">
        <v>21551</v>
      </c>
    </row>
    <row r="20" spans="1:4" x14ac:dyDescent="0.25">
      <c r="A20" s="4" t="s">
        <v>832</v>
      </c>
      <c r="B20" s="4">
        <v>401936</v>
      </c>
      <c r="C20" s="4" t="s">
        <v>3147</v>
      </c>
      <c r="D20" s="9">
        <v>12495</v>
      </c>
    </row>
    <row r="21" spans="1:4" x14ac:dyDescent="0.25">
      <c r="A21" s="4" t="s">
        <v>832</v>
      </c>
      <c r="B21" s="4">
        <v>401936</v>
      </c>
      <c r="C21" s="4" t="s">
        <v>3148</v>
      </c>
      <c r="D21" s="9">
        <v>21401</v>
      </c>
    </row>
    <row r="22" spans="1:4" x14ac:dyDescent="0.25">
      <c r="A22" s="4" t="s">
        <v>995</v>
      </c>
      <c r="B22" s="4">
        <v>402251</v>
      </c>
      <c r="C22" s="4" t="s">
        <v>3149</v>
      </c>
      <c r="D22" s="9">
        <v>26555</v>
      </c>
    </row>
    <row r="23" spans="1:4" x14ac:dyDescent="0.25">
      <c r="A23" s="4" t="s">
        <v>2762</v>
      </c>
      <c r="B23" s="4">
        <v>402037</v>
      </c>
      <c r="C23" s="4" t="s">
        <v>3130</v>
      </c>
      <c r="D23" s="9">
        <v>200</v>
      </c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SUM(D2:D3,D11:D23)</f>
        <v>220047</v>
      </c>
    </row>
    <row r="93" spans="1:4" x14ac:dyDescent="0.25">
      <c r="C93" s="31" t="s">
        <v>2501</v>
      </c>
      <c r="D93" s="32">
        <f>SUM(D4:D10)</f>
        <v>69756</v>
      </c>
    </row>
    <row r="94" spans="1:4" x14ac:dyDescent="0.25">
      <c r="C94" s="31" t="s">
        <v>83</v>
      </c>
      <c r="D94" s="32">
        <f>SUM(D92:D93)</f>
        <v>289803</v>
      </c>
    </row>
  </sheetData>
  <printOptions horizontalCentered="1"/>
  <pageMargins left="0.7" right="0.7" top="1.25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7B37-3612-4C07-AFAF-C99DB21A6556}">
  <dimension ref="A1:D94"/>
  <sheetViews>
    <sheetView view="pageBreakPreview" zoomScaleNormal="100" zoomScaleSheetLayoutView="100" workbookViewId="0">
      <selection activeCell="A106" sqref="A106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147</v>
      </c>
      <c r="B2" s="4">
        <v>403224</v>
      </c>
      <c r="C2" s="4" t="s">
        <v>3150</v>
      </c>
      <c r="D2" s="9">
        <v>1485</v>
      </c>
    </row>
    <row r="3" spans="1:4" x14ac:dyDescent="0.25">
      <c r="A3" s="4" t="s">
        <v>180</v>
      </c>
      <c r="B3" s="4">
        <v>395648</v>
      </c>
      <c r="C3" s="4" t="s">
        <v>3141</v>
      </c>
      <c r="D3" s="9">
        <v>1800</v>
      </c>
    </row>
    <row r="4" spans="1:4" x14ac:dyDescent="0.25">
      <c r="A4" s="4" t="s">
        <v>180</v>
      </c>
      <c r="B4" s="4">
        <v>400388</v>
      </c>
      <c r="C4" s="4" t="s">
        <v>3142</v>
      </c>
      <c r="D4" s="9">
        <v>595</v>
      </c>
    </row>
    <row r="5" spans="1:4" x14ac:dyDescent="0.25">
      <c r="A5" s="4" t="s">
        <v>32</v>
      </c>
      <c r="B5" s="4">
        <v>402382</v>
      </c>
      <c r="C5" s="4" t="s">
        <v>3151</v>
      </c>
      <c r="D5" s="9">
        <v>7665</v>
      </c>
    </row>
    <row r="6" spans="1:4" x14ac:dyDescent="0.25">
      <c r="A6" s="4" t="s">
        <v>315</v>
      </c>
      <c r="B6" s="4">
        <v>402082</v>
      </c>
      <c r="C6" s="4" t="s">
        <v>3127</v>
      </c>
      <c r="D6" s="9">
        <v>625</v>
      </c>
    </row>
    <row r="7" spans="1:4" hidden="1" x14ac:dyDescent="0.25">
      <c r="A7" s="4"/>
      <c r="B7" s="4"/>
      <c r="C7" s="4"/>
      <c r="D7" s="9"/>
    </row>
    <row r="8" spans="1:4" hidden="1" x14ac:dyDescent="0.25">
      <c r="A8" s="4"/>
      <c r="B8" s="4"/>
      <c r="C8" s="4"/>
      <c r="D8" s="9"/>
    </row>
    <row r="9" spans="1:4" hidden="1" x14ac:dyDescent="0.25">
      <c r="A9" s="4"/>
      <c r="B9" s="4"/>
      <c r="C9" s="4"/>
      <c r="D9" s="9"/>
    </row>
    <row r="10" spans="1:4" hidden="1" x14ac:dyDescent="0.25">
      <c r="A10" s="4"/>
      <c r="B10" s="4"/>
      <c r="C10" s="4"/>
      <c r="D10" s="9"/>
    </row>
    <row r="11" spans="1:4" hidden="1" x14ac:dyDescent="0.25">
      <c r="A11" s="4"/>
      <c r="B11" s="4"/>
      <c r="C11" s="4"/>
      <c r="D11" s="9"/>
    </row>
    <row r="12" spans="1:4" hidden="1" x14ac:dyDescent="0.25">
      <c r="A12" s="4"/>
      <c r="B12" s="4"/>
      <c r="C12" s="4"/>
      <c r="D12" s="9"/>
    </row>
    <row r="13" spans="1:4" hidden="1" x14ac:dyDescent="0.25">
      <c r="A13" s="4"/>
      <c r="B13" s="4"/>
      <c r="C13" s="4"/>
      <c r="D13" s="9"/>
    </row>
    <row r="14" spans="1:4" hidden="1" x14ac:dyDescent="0.25">
      <c r="A14" s="4"/>
      <c r="B14" s="4"/>
      <c r="C14" s="4"/>
      <c r="D14" s="9"/>
    </row>
    <row r="15" spans="1:4" hidden="1" x14ac:dyDescent="0.25">
      <c r="A15" s="4"/>
      <c r="B15" s="4"/>
      <c r="C15" s="4"/>
      <c r="D15" s="9"/>
    </row>
    <row r="16" spans="1:4" hidden="1" x14ac:dyDescent="0.25">
      <c r="A16" s="4"/>
      <c r="B16" s="4"/>
      <c r="C16" s="4"/>
      <c r="D16" s="9"/>
    </row>
    <row r="17" spans="1:4" hidden="1" x14ac:dyDescent="0.25">
      <c r="A17" s="4"/>
      <c r="B17" s="4"/>
      <c r="C17" s="4"/>
      <c r="D17" s="9"/>
    </row>
    <row r="18" spans="1:4" hidden="1" x14ac:dyDescent="0.25">
      <c r="A18" s="4"/>
      <c r="B18" s="4"/>
      <c r="C18" s="4"/>
      <c r="D18" s="9"/>
    </row>
    <row r="19" spans="1:4" hidden="1" x14ac:dyDescent="0.25">
      <c r="A19" s="4"/>
      <c r="B19" s="4"/>
      <c r="C19" s="4"/>
      <c r="D19" s="9"/>
    </row>
    <row r="20" spans="1:4" hidden="1" x14ac:dyDescent="0.25">
      <c r="A20" s="4"/>
      <c r="B20" s="4"/>
      <c r="C20" s="4"/>
      <c r="D20" s="9"/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SUM(D2:D3,D11:D23)</f>
        <v>3285</v>
      </c>
    </row>
    <row r="93" spans="1:4" x14ac:dyDescent="0.25">
      <c r="C93" s="31" t="s">
        <v>2501</v>
      </c>
      <c r="D93" s="32">
        <f>SUM(D4:D10)</f>
        <v>8885</v>
      </c>
    </row>
    <row r="94" spans="1:4" x14ac:dyDescent="0.25">
      <c r="C94" s="31" t="s">
        <v>83</v>
      </c>
      <c r="D94" s="32">
        <f>SUM(D92:D93)</f>
        <v>12170</v>
      </c>
    </row>
  </sheetData>
  <printOptions horizontalCentered="1"/>
  <pageMargins left="0.7" right="0.7" top="1.25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D27A-1C1A-4A6A-87E3-8FFDB0E94EF4}">
  <dimension ref="A1:D94"/>
  <sheetViews>
    <sheetView view="pageBreakPreview" zoomScaleNormal="100" zoomScaleSheetLayoutView="100" workbookViewId="0">
      <selection activeCell="L12" sqref="L12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1967</v>
      </c>
      <c r="B2" s="4">
        <v>402918</v>
      </c>
      <c r="C2" s="4" t="s">
        <v>3152</v>
      </c>
      <c r="D2" s="9">
        <v>435</v>
      </c>
    </row>
    <row r="3" spans="1:4" x14ac:dyDescent="0.25">
      <c r="A3" s="4" t="s">
        <v>1967</v>
      </c>
      <c r="B3" s="4">
        <v>402737</v>
      </c>
      <c r="C3" s="4" t="s">
        <v>3153</v>
      </c>
      <c r="D3" s="9">
        <v>855</v>
      </c>
    </row>
    <row r="4" spans="1:4" x14ac:dyDescent="0.25">
      <c r="A4" s="4" t="s">
        <v>1967</v>
      </c>
      <c r="B4" s="4">
        <v>402741</v>
      </c>
      <c r="C4" s="4" t="s">
        <v>3154</v>
      </c>
      <c r="D4" s="9">
        <v>235</v>
      </c>
    </row>
    <row r="5" spans="1:4" x14ac:dyDescent="0.25">
      <c r="A5" s="4" t="s">
        <v>1967</v>
      </c>
      <c r="B5" s="4">
        <v>402749</v>
      </c>
      <c r="C5" s="4" t="s">
        <v>3155</v>
      </c>
      <c r="D5" s="9">
        <v>875</v>
      </c>
    </row>
    <row r="6" spans="1:4" x14ac:dyDescent="0.25">
      <c r="A6" s="4" t="s">
        <v>1967</v>
      </c>
      <c r="B6" s="4">
        <v>402750</v>
      </c>
      <c r="C6" s="4" t="s">
        <v>3156</v>
      </c>
      <c r="D6" s="9">
        <v>115</v>
      </c>
    </row>
    <row r="7" spans="1:4" x14ac:dyDescent="0.25">
      <c r="A7" s="4" t="s">
        <v>1967</v>
      </c>
      <c r="B7" s="4">
        <v>402746</v>
      </c>
      <c r="C7" s="4" t="s">
        <v>3157</v>
      </c>
      <c r="D7" s="9">
        <v>3555</v>
      </c>
    </row>
    <row r="8" spans="1:4" x14ac:dyDescent="0.25">
      <c r="A8" s="4" t="s">
        <v>1967</v>
      </c>
      <c r="B8" s="4">
        <v>402740</v>
      </c>
      <c r="C8" s="4" t="s">
        <v>3158</v>
      </c>
      <c r="D8" s="9">
        <v>2220</v>
      </c>
    </row>
    <row r="9" spans="1:4" x14ac:dyDescent="0.25">
      <c r="A9" s="4" t="s">
        <v>1967</v>
      </c>
      <c r="B9" s="4">
        <v>402730</v>
      </c>
      <c r="C9" s="4" t="s">
        <v>3159</v>
      </c>
      <c r="D9" s="9">
        <v>3290</v>
      </c>
    </row>
    <row r="10" spans="1:4" x14ac:dyDescent="0.25">
      <c r="A10" s="4" t="s">
        <v>111</v>
      </c>
      <c r="B10" s="4">
        <v>403652</v>
      </c>
      <c r="C10" s="4" t="s">
        <v>3160</v>
      </c>
      <c r="D10" s="9">
        <v>190</v>
      </c>
    </row>
    <row r="11" spans="1:4" x14ac:dyDescent="0.25">
      <c r="A11" s="4" t="s">
        <v>111</v>
      </c>
      <c r="B11" s="4">
        <v>403654</v>
      </c>
      <c r="C11" s="4" t="s">
        <v>3161</v>
      </c>
      <c r="D11" s="9">
        <v>190</v>
      </c>
    </row>
    <row r="12" spans="1:4" x14ac:dyDescent="0.25">
      <c r="A12" s="4" t="s">
        <v>111</v>
      </c>
      <c r="B12" s="4">
        <v>403657</v>
      </c>
      <c r="C12" s="4" t="s">
        <v>3162</v>
      </c>
      <c r="D12" s="9">
        <v>190</v>
      </c>
    </row>
    <row r="13" spans="1:4" x14ac:dyDescent="0.25">
      <c r="A13" s="4" t="s">
        <v>111</v>
      </c>
      <c r="B13" s="4">
        <v>403655</v>
      </c>
      <c r="C13" s="4" t="s">
        <v>3163</v>
      </c>
      <c r="D13" s="9">
        <v>380</v>
      </c>
    </row>
    <row r="14" spans="1:4" x14ac:dyDescent="0.25">
      <c r="A14" s="4" t="s">
        <v>111</v>
      </c>
      <c r="B14" s="4">
        <v>403651</v>
      </c>
      <c r="C14" s="4" t="s">
        <v>3164</v>
      </c>
      <c r="D14" s="9">
        <v>570</v>
      </c>
    </row>
    <row r="15" spans="1:4" x14ac:dyDescent="0.25">
      <c r="A15" s="4" t="s">
        <v>111</v>
      </c>
      <c r="B15" s="4">
        <v>403653</v>
      </c>
      <c r="C15" s="4" t="s">
        <v>3165</v>
      </c>
      <c r="D15" s="9">
        <v>83</v>
      </c>
    </row>
    <row r="16" spans="1:4" x14ac:dyDescent="0.25">
      <c r="A16" s="4" t="s">
        <v>111</v>
      </c>
      <c r="B16" s="4">
        <v>403669</v>
      </c>
      <c r="C16" s="4" t="s">
        <v>3166</v>
      </c>
      <c r="D16" s="9">
        <v>250</v>
      </c>
    </row>
    <row r="17" spans="1:4" x14ac:dyDescent="0.25">
      <c r="A17" s="4" t="s">
        <v>1582</v>
      </c>
      <c r="B17" s="4">
        <v>403102</v>
      </c>
      <c r="C17" s="4" t="s">
        <v>3167</v>
      </c>
      <c r="D17" s="9">
        <v>28641</v>
      </c>
    </row>
    <row r="18" spans="1:4" x14ac:dyDescent="0.25">
      <c r="A18" s="4" t="s">
        <v>1582</v>
      </c>
      <c r="B18" s="4">
        <v>403374</v>
      </c>
      <c r="C18" s="4" t="s">
        <v>3168</v>
      </c>
      <c r="D18" s="9">
        <v>13278</v>
      </c>
    </row>
    <row r="19" spans="1:4" x14ac:dyDescent="0.25">
      <c r="A19" s="4" t="s">
        <v>1582</v>
      </c>
      <c r="B19" s="4">
        <v>403378</v>
      </c>
      <c r="C19" s="4" t="s">
        <v>3169</v>
      </c>
      <c r="D19" s="9">
        <v>41327</v>
      </c>
    </row>
    <row r="20" spans="1:4" x14ac:dyDescent="0.25">
      <c r="A20" s="4" t="s">
        <v>180</v>
      </c>
      <c r="B20" s="4">
        <v>395648</v>
      </c>
      <c r="C20" s="4" t="s">
        <v>3141</v>
      </c>
      <c r="D20" s="9">
        <v>1800</v>
      </c>
    </row>
    <row r="21" spans="1:4" x14ac:dyDescent="0.25">
      <c r="A21" s="4" t="s">
        <v>180</v>
      </c>
      <c r="B21" s="4">
        <v>400388</v>
      </c>
      <c r="C21" s="4" t="s">
        <v>3142</v>
      </c>
      <c r="D21" s="9">
        <v>595</v>
      </c>
    </row>
    <row r="22" spans="1:4" x14ac:dyDescent="0.25">
      <c r="A22" s="4" t="s">
        <v>32</v>
      </c>
      <c r="B22" s="4">
        <v>402382</v>
      </c>
      <c r="C22" s="4" t="s">
        <v>3151</v>
      </c>
      <c r="D22" s="9">
        <v>7665</v>
      </c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SUM(D2:D9,D17:D22)</f>
        <v>104886</v>
      </c>
    </row>
    <row r="93" spans="1:4" x14ac:dyDescent="0.25">
      <c r="C93" s="31" t="s">
        <v>2501</v>
      </c>
      <c r="D93" s="32">
        <f>SUM(D10:D16)</f>
        <v>1853</v>
      </c>
    </row>
    <row r="94" spans="1:4" x14ac:dyDescent="0.25">
      <c r="C94" s="31" t="s">
        <v>83</v>
      </c>
      <c r="D94" s="32">
        <f>SUM(D92:D93)</f>
        <v>106739</v>
      </c>
    </row>
  </sheetData>
  <printOptions horizontalCentered="1"/>
  <pageMargins left="0.7" right="0.7" top="1.25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B79E-03E4-469F-96C2-11A563A051A4}">
  <dimension ref="A1:D94"/>
  <sheetViews>
    <sheetView view="pageBreakPreview" zoomScaleNormal="100" zoomScaleSheetLayoutView="100" workbookViewId="0">
      <selection activeCell="E93" sqref="E93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1967</v>
      </c>
      <c r="B2" s="4">
        <v>402918</v>
      </c>
      <c r="C2" s="4" t="s">
        <v>3152</v>
      </c>
      <c r="D2" s="9">
        <v>435</v>
      </c>
    </row>
    <row r="3" spans="1:4" x14ac:dyDescent="0.25">
      <c r="A3" s="4" t="s">
        <v>1967</v>
      </c>
      <c r="B3" s="4">
        <v>402737</v>
      </c>
      <c r="C3" s="4" t="s">
        <v>3153</v>
      </c>
      <c r="D3" s="9">
        <v>855</v>
      </c>
    </row>
    <row r="4" spans="1:4" x14ac:dyDescent="0.25">
      <c r="A4" s="4" t="s">
        <v>1967</v>
      </c>
      <c r="B4" s="4">
        <v>402741</v>
      </c>
      <c r="C4" s="4" t="s">
        <v>3154</v>
      </c>
      <c r="D4" s="9">
        <v>235</v>
      </c>
    </row>
    <row r="5" spans="1:4" x14ac:dyDescent="0.25">
      <c r="A5" s="4" t="s">
        <v>1967</v>
      </c>
      <c r="B5" s="4">
        <v>402749</v>
      </c>
      <c r="C5" s="4" t="s">
        <v>3155</v>
      </c>
      <c r="D5" s="9">
        <v>875</v>
      </c>
    </row>
    <row r="6" spans="1:4" x14ac:dyDescent="0.25">
      <c r="A6" s="4" t="s">
        <v>1967</v>
      </c>
      <c r="B6" s="4">
        <v>402750</v>
      </c>
      <c r="C6" s="4" t="s">
        <v>3156</v>
      </c>
      <c r="D6" s="9">
        <v>115</v>
      </c>
    </row>
    <row r="7" spans="1:4" x14ac:dyDescent="0.25">
      <c r="A7" s="4" t="s">
        <v>1967</v>
      </c>
      <c r="B7" s="4">
        <v>402746</v>
      </c>
      <c r="C7" s="4" t="s">
        <v>3157</v>
      </c>
      <c r="D7" s="9">
        <v>3555</v>
      </c>
    </row>
    <row r="8" spans="1:4" x14ac:dyDescent="0.25">
      <c r="A8" s="4" t="s">
        <v>1967</v>
      </c>
      <c r="B8" s="4">
        <v>402740</v>
      </c>
      <c r="C8" s="4" t="s">
        <v>3158</v>
      </c>
      <c r="D8" s="9">
        <v>2220</v>
      </c>
    </row>
    <row r="9" spans="1:4" x14ac:dyDescent="0.25">
      <c r="A9" s="4" t="s">
        <v>1967</v>
      </c>
      <c r="B9" s="4">
        <v>402730</v>
      </c>
      <c r="C9" s="4" t="s">
        <v>3159</v>
      </c>
      <c r="D9" s="9">
        <v>3290</v>
      </c>
    </row>
    <row r="10" spans="1:4" x14ac:dyDescent="0.25">
      <c r="A10" s="4" t="s">
        <v>3170</v>
      </c>
      <c r="B10" s="4">
        <v>395777</v>
      </c>
      <c r="C10" s="4" t="s">
        <v>3171</v>
      </c>
      <c r="D10" s="9">
        <v>4000</v>
      </c>
    </row>
    <row r="11" spans="1:4" x14ac:dyDescent="0.25">
      <c r="A11" s="4" t="s">
        <v>3170</v>
      </c>
      <c r="B11" s="4">
        <v>395139</v>
      </c>
      <c r="C11" s="4" t="s">
        <v>3172</v>
      </c>
      <c r="D11" s="9">
        <v>4250</v>
      </c>
    </row>
    <row r="12" spans="1:4" x14ac:dyDescent="0.25">
      <c r="A12" s="4" t="s">
        <v>26</v>
      </c>
      <c r="B12" s="4">
        <v>403617</v>
      </c>
      <c r="C12" s="4" t="s">
        <v>3173</v>
      </c>
      <c r="D12" s="9">
        <v>500</v>
      </c>
    </row>
    <row r="13" spans="1:4" x14ac:dyDescent="0.25">
      <c r="A13" s="4" t="s">
        <v>1582</v>
      </c>
      <c r="B13" s="4">
        <v>403374</v>
      </c>
      <c r="C13" s="4" t="s">
        <v>3168</v>
      </c>
      <c r="D13" s="9">
        <v>13278</v>
      </c>
    </row>
    <row r="14" spans="1:4" x14ac:dyDescent="0.25">
      <c r="A14" s="4" t="s">
        <v>180</v>
      </c>
      <c r="B14" s="4">
        <v>395648</v>
      </c>
      <c r="C14" s="4" t="s">
        <v>3141</v>
      </c>
      <c r="D14" s="9">
        <v>1800</v>
      </c>
    </row>
    <row r="15" spans="1:4" x14ac:dyDescent="0.25">
      <c r="A15" s="4" t="s">
        <v>180</v>
      </c>
      <c r="B15" s="4">
        <v>400388</v>
      </c>
      <c r="C15" s="4" t="s">
        <v>3142</v>
      </c>
      <c r="D15" s="9">
        <v>595</v>
      </c>
    </row>
    <row r="16" spans="1:4" x14ac:dyDescent="0.25">
      <c r="A16" s="4" t="s">
        <v>32</v>
      </c>
      <c r="B16" s="4">
        <v>402382</v>
      </c>
      <c r="C16" s="4" t="s">
        <v>3151</v>
      </c>
      <c r="D16" s="9">
        <v>7665</v>
      </c>
    </row>
    <row r="17" spans="1:4" x14ac:dyDescent="0.25">
      <c r="A17" s="4" t="s">
        <v>315</v>
      </c>
      <c r="B17" s="4">
        <v>388720</v>
      </c>
      <c r="C17" s="4" t="s">
        <v>3174</v>
      </c>
      <c r="D17" s="9">
        <v>12803</v>
      </c>
    </row>
    <row r="18" spans="1:4" x14ac:dyDescent="0.25">
      <c r="A18" s="4" t="s">
        <v>315</v>
      </c>
      <c r="B18" s="4">
        <v>403408</v>
      </c>
      <c r="C18" s="4" t="s">
        <v>3175</v>
      </c>
      <c r="D18" s="9">
        <v>2240</v>
      </c>
    </row>
    <row r="19" spans="1:4" x14ac:dyDescent="0.25">
      <c r="A19" s="4" t="s">
        <v>832</v>
      </c>
      <c r="B19" s="4">
        <v>402813</v>
      </c>
      <c r="C19" s="4" t="s">
        <v>3176</v>
      </c>
      <c r="D19" s="9">
        <v>1145</v>
      </c>
    </row>
    <row r="20" spans="1:4" x14ac:dyDescent="0.25">
      <c r="A20" s="4" t="s">
        <v>3177</v>
      </c>
      <c r="B20" s="4">
        <v>402223</v>
      </c>
      <c r="C20" s="4" t="s">
        <v>3178</v>
      </c>
      <c r="D20" s="9">
        <v>41546</v>
      </c>
    </row>
    <row r="21" spans="1:4" x14ac:dyDescent="0.25">
      <c r="A21" s="4" t="s">
        <v>3177</v>
      </c>
      <c r="B21" s="4">
        <v>402224</v>
      </c>
      <c r="C21" s="4" t="s">
        <v>3179</v>
      </c>
      <c r="D21" s="9">
        <v>3750</v>
      </c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SUM(D2:D21)</f>
        <v>105152</v>
      </c>
    </row>
    <row r="93" spans="1:4" x14ac:dyDescent="0.25">
      <c r="C93" s="31" t="s">
        <v>2501</v>
      </c>
      <c r="D93" s="32">
        <v>0</v>
      </c>
    </row>
    <row r="94" spans="1:4" x14ac:dyDescent="0.25">
      <c r="C94" s="31" t="s">
        <v>83</v>
      </c>
      <c r="D94" s="32">
        <f>SUM(D92:D93)</f>
        <v>105152</v>
      </c>
    </row>
  </sheetData>
  <printOptions horizontalCentered="1"/>
  <pageMargins left="0.7" right="0.7" top="1.25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F9503-4A9D-4D3F-842B-B24F65634240}">
  <dimension ref="A1:D94"/>
  <sheetViews>
    <sheetView view="pageBreakPreview" zoomScaleNormal="100" zoomScaleSheetLayoutView="100" workbookViewId="0">
      <selection activeCell="L9" sqref="L9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1967</v>
      </c>
      <c r="B2" s="4">
        <v>402918</v>
      </c>
      <c r="C2" s="4" t="s">
        <v>3152</v>
      </c>
      <c r="D2" s="9">
        <v>435</v>
      </c>
    </row>
    <row r="3" spans="1:4" x14ac:dyDescent="0.25">
      <c r="A3" s="4" t="s">
        <v>1967</v>
      </c>
      <c r="B3" s="4">
        <v>402737</v>
      </c>
      <c r="C3" s="4" t="s">
        <v>3153</v>
      </c>
      <c r="D3" s="9">
        <v>855</v>
      </c>
    </row>
    <row r="4" spans="1:4" x14ac:dyDescent="0.25">
      <c r="A4" s="4" t="s">
        <v>1967</v>
      </c>
      <c r="B4" s="4">
        <v>402741</v>
      </c>
      <c r="C4" s="4" t="s">
        <v>3154</v>
      </c>
      <c r="D4" s="9">
        <v>235</v>
      </c>
    </row>
    <row r="5" spans="1:4" x14ac:dyDescent="0.25">
      <c r="A5" s="4" t="s">
        <v>1967</v>
      </c>
      <c r="B5" s="4">
        <v>402749</v>
      </c>
      <c r="C5" s="4" t="s">
        <v>3155</v>
      </c>
      <c r="D5" s="9">
        <v>875</v>
      </c>
    </row>
    <row r="6" spans="1:4" x14ac:dyDescent="0.25">
      <c r="A6" s="4" t="s">
        <v>1967</v>
      </c>
      <c r="B6" s="4">
        <v>402750</v>
      </c>
      <c r="C6" s="4" t="s">
        <v>3156</v>
      </c>
      <c r="D6" s="9">
        <v>115</v>
      </c>
    </row>
    <row r="7" spans="1:4" x14ac:dyDescent="0.25">
      <c r="A7" s="4" t="s">
        <v>1967</v>
      </c>
      <c r="B7" s="4">
        <v>402746</v>
      </c>
      <c r="C7" s="4" t="s">
        <v>3157</v>
      </c>
      <c r="D7" s="9">
        <v>3555</v>
      </c>
    </row>
    <row r="8" spans="1:4" x14ac:dyDescent="0.25">
      <c r="A8" s="4" t="s">
        <v>1967</v>
      </c>
      <c r="B8" s="4">
        <v>402740</v>
      </c>
      <c r="C8" s="4" t="s">
        <v>3158</v>
      </c>
      <c r="D8" s="9">
        <v>2220</v>
      </c>
    </row>
    <row r="9" spans="1:4" x14ac:dyDescent="0.25">
      <c r="A9" s="4" t="s">
        <v>1967</v>
      </c>
      <c r="B9" s="4">
        <v>402730</v>
      </c>
      <c r="C9" s="4" t="s">
        <v>3159</v>
      </c>
      <c r="D9" s="9">
        <v>3290</v>
      </c>
    </row>
    <row r="10" spans="1:4" x14ac:dyDescent="0.25">
      <c r="A10" s="4" t="s">
        <v>61</v>
      </c>
      <c r="B10" s="4">
        <v>403690</v>
      </c>
      <c r="C10" s="4" t="s">
        <v>3180</v>
      </c>
      <c r="D10" s="9">
        <v>18880</v>
      </c>
    </row>
    <row r="11" spans="1:4" x14ac:dyDescent="0.25">
      <c r="A11" s="4" t="s">
        <v>2831</v>
      </c>
      <c r="B11" s="4">
        <v>404013</v>
      </c>
      <c r="C11" s="4" t="s">
        <v>3181</v>
      </c>
      <c r="D11" s="9">
        <v>14518</v>
      </c>
    </row>
    <row r="12" spans="1:4" x14ac:dyDescent="0.25">
      <c r="A12" s="4" t="s">
        <v>2831</v>
      </c>
      <c r="B12" s="4">
        <v>403990</v>
      </c>
      <c r="C12" s="4" t="s">
        <v>3182</v>
      </c>
      <c r="D12" s="9">
        <v>1253</v>
      </c>
    </row>
    <row r="13" spans="1:4" x14ac:dyDescent="0.25">
      <c r="A13" s="4" t="s">
        <v>26</v>
      </c>
      <c r="B13" s="4">
        <v>403617</v>
      </c>
      <c r="C13" s="4" t="s">
        <v>3173</v>
      </c>
      <c r="D13" s="9">
        <v>500</v>
      </c>
    </row>
    <row r="14" spans="1:4" x14ac:dyDescent="0.25">
      <c r="A14" s="4" t="s">
        <v>180</v>
      </c>
      <c r="B14" s="4">
        <v>395648</v>
      </c>
      <c r="C14" s="4" t="s">
        <v>3141</v>
      </c>
      <c r="D14" s="9">
        <v>1800</v>
      </c>
    </row>
    <row r="15" spans="1:4" x14ac:dyDescent="0.25">
      <c r="A15" s="4" t="s">
        <v>180</v>
      </c>
      <c r="B15" s="4">
        <v>400388</v>
      </c>
      <c r="C15" s="4" t="s">
        <v>3142</v>
      </c>
      <c r="D15" s="9">
        <v>595</v>
      </c>
    </row>
    <row r="16" spans="1:4" x14ac:dyDescent="0.25">
      <c r="A16" s="4" t="s">
        <v>32</v>
      </c>
      <c r="B16" s="4">
        <v>402382</v>
      </c>
      <c r="C16" s="4" t="s">
        <v>3151</v>
      </c>
      <c r="D16" s="9">
        <v>7665</v>
      </c>
    </row>
    <row r="17" spans="1:4" x14ac:dyDescent="0.25">
      <c r="A17" s="4" t="s">
        <v>315</v>
      </c>
      <c r="B17" s="4">
        <v>388720</v>
      </c>
      <c r="C17" s="4" t="s">
        <v>3174</v>
      </c>
      <c r="D17" s="9">
        <v>12803</v>
      </c>
    </row>
    <row r="18" spans="1:4" x14ac:dyDescent="0.25">
      <c r="A18" s="4" t="s">
        <v>315</v>
      </c>
      <c r="B18" s="4">
        <v>403408</v>
      </c>
      <c r="C18" s="4" t="s">
        <v>3175</v>
      </c>
      <c r="D18" s="9">
        <v>2240</v>
      </c>
    </row>
    <row r="19" spans="1:4" x14ac:dyDescent="0.25">
      <c r="A19" s="4" t="s">
        <v>1891</v>
      </c>
      <c r="B19" s="4">
        <v>403873</v>
      </c>
      <c r="C19" s="4" t="s">
        <v>3183</v>
      </c>
      <c r="D19" s="9">
        <v>1795</v>
      </c>
    </row>
    <row r="20" spans="1:4" x14ac:dyDescent="0.25">
      <c r="A20" s="4" t="s">
        <v>1891</v>
      </c>
      <c r="B20" s="4">
        <v>403872</v>
      </c>
      <c r="C20" s="4" t="s">
        <v>3184</v>
      </c>
      <c r="D20" s="9">
        <v>2295</v>
      </c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SUM(D2:D9,D13:D20)</f>
        <v>41273</v>
      </c>
    </row>
    <row r="93" spans="1:4" x14ac:dyDescent="0.25">
      <c r="C93" s="31" t="s">
        <v>2501</v>
      </c>
      <c r="D93" s="32">
        <f>SUM(D10:D12)</f>
        <v>34651</v>
      </c>
    </row>
    <row r="94" spans="1:4" x14ac:dyDescent="0.25">
      <c r="C94" s="31" t="s">
        <v>83</v>
      </c>
      <c r="D94" s="32">
        <f>SUM(D92:D93)</f>
        <v>75924</v>
      </c>
    </row>
  </sheetData>
  <printOptions horizontalCentered="1"/>
  <pageMargins left="0.7" right="0.7" top="1.25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5A227-78C5-4CB2-9DDA-C572037A9A84}">
  <dimension ref="A1:D94"/>
  <sheetViews>
    <sheetView view="pageBreakPreview" zoomScaleNormal="100" zoomScaleSheetLayoutView="100" workbookViewId="0">
      <selection activeCell="H18" sqref="H18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1967</v>
      </c>
      <c r="B2" s="4">
        <v>402918</v>
      </c>
      <c r="C2" s="4" t="s">
        <v>3152</v>
      </c>
      <c r="D2" s="9">
        <v>435</v>
      </c>
    </row>
    <row r="3" spans="1:4" x14ac:dyDescent="0.25">
      <c r="A3" s="4" t="s">
        <v>1967</v>
      </c>
      <c r="B3" s="4">
        <v>402737</v>
      </c>
      <c r="C3" s="4" t="s">
        <v>3153</v>
      </c>
      <c r="D3" s="9">
        <v>855</v>
      </c>
    </row>
    <row r="4" spans="1:4" x14ac:dyDescent="0.25">
      <c r="A4" s="4" t="s">
        <v>1967</v>
      </c>
      <c r="B4" s="4">
        <v>402741</v>
      </c>
      <c r="C4" s="4" t="s">
        <v>3154</v>
      </c>
      <c r="D4" s="9">
        <v>235</v>
      </c>
    </row>
    <row r="5" spans="1:4" x14ac:dyDescent="0.25">
      <c r="A5" s="4" t="s">
        <v>1967</v>
      </c>
      <c r="B5" s="4">
        <v>402749</v>
      </c>
      <c r="C5" s="4" t="s">
        <v>3155</v>
      </c>
      <c r="D5" s="9">
        <v>875</v>
      </c>
    </row>
    <row r="6" spans="1:4" x14ac:dyDescent="0.25">
      <c r="A6" s="4" t="s">
        <v>1967</v>
      </c>
      <c r="B6" s="4">
        <v>402750</v>
      </c>
      <c r="C6" s="4" t="s">
        <v>3156</v>
      </c>
      <c r="D6" s="9">
        <v>115</v>
      </c>
    </row>
    <row r="7" spans="1:4" x14ac:dyDescent="0.25">
      <c r="A7" s="4" t="s">
        <v>1967</v>
      </c>
      <c r="B7" s="4">
        <v>402746</v>
      </c>
      <c r="C7" s="4" t="s">
        <v>3157</v>
      </c>
      <c r="D7" s="9">
        <v>3555</v>
      </c>
    </row>
    <row r="8" spans="1:4" x14ac:dyDescent="0.25">
      <c r="A8" s="4" t="s">
        <v>1967</v>
      </c>
      <c r="B8" s="4">
        <v>402740</v>
      </c>
      <c r="C8" s="4" t="s">
        <v>3158</v>
      </c>
      <c r="D8" s="9">
        <v>2220</v>
      </c>
    </row>
    <row r="9" spans="1:4" x14ac:dyDescent="0.25">
      <c r="A9" s="4" t="s">
        <v>1967</v>
      </c>
      <c r="B9" s="4">
        <v>402730</v>
      </c>
      <c r="C9" s="4" t="s">
        <v>3159</v>
      </c>
      <c r="D9" s="9">
        <v>3290</v>
      </c>
    </row>
    <row r="10" spans="1:4" x14ac:dyDescent="0.25">
      <c r="A10" s="4" t="s">
        <v>111</v>
      </c>
      <c r="B10" s="4">
        <v>406596</v>
      </c>
      <c r="C10" s="4" t="s">
        <v>3185</v>
      </c>
      <c r="D10" s="9">
        <v>380</v>
      </c>
    </row>
    <row r="11" spans="1:4" x14ac:dyDescent="0.25">
      <c r="A11" s="4" t="s">
        <v>111</v>
      </c>
      <c r="B11" s="4">
        <v>406585</v>
      </c>
      <c r="C11" s="4" t="s">
        <v>3186</v>
      </c>
      <c r="D11" s="9">
        <v>380</v>
      </c>
    </row>
    <row r="12" spans="1:4" x14ac:dyDescent="0.25">
      <c r="A12" s="4" t="s">
        <v>111</v>
      </c>
      <c r="B12" s="4">
        <v>406594</v>
      </c>
      <c r="C12" s="4" t="s">
        <v>3187</v>
      </c>
      <c r="D12" s="9">
        <v>190</v>
      </c>
    </row>
    <row r="13" spans="1:4" x14ac:dyDescent="0.25">
      <c r="A13" s="4" t="s">
        <v>111</v>
      </c>
      <c r="B13" s="4">
        <v>406588</v>
      </c>
      <c r="C13" s="4" t="s">
        <v>3188</v>
      </c>
      <c r="D13" s="9">
        <v>363</v>
      </c>
    </row>
    <row r="14" spans="1:4" x14ac:dyDescent="0.25">
      <c r="A14" s="4" t="s">
        <v>111</v>
      </c>
      <c r="B14" s="4">
        <v>406592</v>
      </c>
      <c r="C14" s="4" t="s">
        <v>3189</v>
      </c>
      <c r="D14" s="9">
        <v>380</v>
      </c>
    </row>
    <row r="15" spans="1:4" x14ac:dyDescent="0.25">
      <c r="A15" s="4" t="s">
        <v>111</v>
      </c>
      <c r="B15" s="4">
        <v>406584</v>
      </c>
      <c r="C15" s="4" t="s">
        <v>3190</v>
      </c>
      <c r="D15" s="9">
        <v>190</v>
      </c>
    </row>
    <row r="16" spans="1:4" x14ac:dyDescent="0.25">
      <c r="A16" s="4" t="s">
        <v>111</v>
      </c>
      <c r="B16" s="4">
        <v>406587</v>
      </c>
      <c r="C16" s="4" t="s">
        <v>3191</v>
      </c>
      <c r="D16" s="9">
        <v>380</v>
      </c>
    </row>
    <row r="17" spans="1:4" x14ac:dyDescent="0.25">
      <c r="A17" s="4" t="s">
        <v>111</v>
      </c>
      <c r="B17" s="4">
        <v>406589</v>
      </c>
      <c r="C17" s="4" t="s">
        <v>3192</v>
      </c>
      <c r="D17" s="9">
        <v>190</v>
      </c>
    </row>
    <row r="18" spans="1:4" x14ac:dyDescent="0.25">
      <c r="A18" s="4" t="s">
        <v>111</v>
      </c>
      <c r="B18" s="4">
        <v>406598</v>
      </c>
      <c r="C18" s="4" t="s">
        <v>3193</v>
      </c>
      <c r="D18" s="9">
        <v>190</v>
      </c>
    </row>
    <row r="19" spans="1:4" x14ac:dyDescent="0.25">
      <c r="A19" s="4" t="s">
        <v>111</v>
      </c>
      <c r="B19" s="4">
        <v>406586</v>
      </c>
      <c r="C19" s="4" t="s">
        <v>3194</v>
      </c>
      <c r="D19" s="9">
        <v>570</v>
      </c>
    </row>
    <row r="20" spans="1:4" x14ac:dyDescent="0.25">
      <c r="A20" s="4" t="s">
        <v>111</v>
      </c>
      <c r="B20" s="4">
        <v>406590</v>
      </c>
      <c r="C20" s="4" t="s">
        <v>3195</v>
      </c>
      <c r="D20" s="9">
        <v>190</v>
      </c>
    </row>
    <row r="21" spans="1:4" x14ac:dyDescent="0.25">
      <c r="A21" s="4" t="s">
        <v>111</v>
      </c>
      <c r="B21" s="4">
        <v>406591</v>
      </c>
      <c r="C21" s="4" t="s">
        <v>3196</v>
      </c>
      <c r="D21" s="9">
        <v>570</v>
      </c>
    </row>
    <row r="22" spans="1:4" x14ac:dyDescent="0.25">
      <c r="A22" s="4" t="s">
        <v>111</v>
      </c>
      <c r="B22" s="4">
        <v>406583</v>
      </c>
      <c r="C22" s="4" t="s">
        <v>3197</v>
      </c>
      <c r="D22" s="9">
        <v>950</v>
      </c>
    </row>
    <row r="23" spans="1:4" x14ac:dyDescent="0.25">
      <c r="A23" s="4" t="s">
        <v>111</v>
      </c>
      <c r="B23" s="4">
        <v>406593</v>
      </c>
      <c r="C23" s="4" t="s">
        <v>3198</v>
      </c>
      <c r="D23" s="9">
        <v>167</v>
      </c>
    </row>
    <row r="24" spans="1:4" x14ac:dyDescent="0.25">
      <c r="A24" s="4" t="s">
        <v>111</v>
      </c>
      <c r="B24" s="4">
        <v>406595</v>
      </c>
      <c r="C24" s="4" t="s">
        <v>3199</v>
      </c>
      <c r="D24" s="9">
        <v>83</v>
      </c>
    </row>
    <row r="25" spans="1:4" x14ac:dyDescent="0.25">
      <c r="A25" s="4" t="s">
        <v>111</v>
      </c>
      <c r="B25" s="4">
        <v>406597</v>
      </c>
      <c r="C25" s="4" t="s">
        <v>3200</v>
      </c>
      <c r="D25" s="9">
        <v>83</v>
      </c>
    </row>
    <row r="26" spans="1:4" x14ac:dyDescent="0.25">
      <c r="A26" s="4" t="s">
        <v>167</v>
      </c>
      <c r="B26" s="4">
        <v>403644</v>
      </c>
      <c r="C26" s="4" t="s">
        <v>3201</v>
      </c>
      <c r="D26" s="9">
        <v>594</v>
      </c>
    </row>
    <row r="27" spans="1:4" x14ac:dyDescent="0.25">
      <c r="A27" s="4" t="s">
        <v>26</v>
      </c>
      <c r="B27" s="4">
        <v>403617</v>
      </c>
      <c r="C27" s="4" t="s">
        <v>3173</v>
      </c>
      <c r="D27" s="9">
        <v>500</v>
      </c>
    </row>
    <row r="28" spans="1:4" x14ac:dyDescent="0.25">
      <c r="A28" s="4" t="s">
        <v>180</v>
      </c>
      <c r="B28" s="4">
        <v>395648</v>
      </c>
      <c r="C28" s="4" t="s">
        <v>3141</v>
      </c>
      <c r="D28" s="9">
        <v>1800</v>
      </c>
    </row>
    <row r="29" spans="1:4" x14ac:dyDescent="0.25">
      <c r="A29" s="4" t="s">
        <v>180</v>
      </c>
      <c r="B29" s="4">
        <v>400388</v>
      </c>
      <c r="C29" s="4" t="s">
        <v>3142</v>
      </c>
      <c r="D29" s="9">
        <v>595</v>
      </c>
    </row>
    <row r="30" spans="1:4" x14ac:dyDescent="0.25">
      <c r="A30" s="4" t="s">
        <v>32</v>
      </c>
      <c r="B30" s="4">
        <v>402924</v>
      </c>
      <c r="C30" s="4" t="s">
        <v>3202</v>
      </c>
      <c r="D30" s="9">
        <v>20795</v>
      </c>
    </row>
    <row r="31" spans="1:4" x14ac:dyDescent="0.25">
      <c r="A31" s="4" t="s">
        <v>315</v>
      </c>
      <c r="B31" s="4">
        <v>403408</v>
      </c>
      <c r="C31" s="4" t="s">
        <v>3175</v>
      </c>
      <c r="D31" s="9">
        <v>2240</v>
      </c>
    </row>
    <row r="32" spans="1:4" x14ac:dyDescent="0.25">
      <c r="A32" s="4" t="s">
        <v>995</v>
      </c>
      <c r="B32" s="4">
        <v>406557</v>
      </c>
      <c r="C32" s="4" t="s">
        <v>3203</v>
      </c>
      <c r="D32" s="9">
        <v>2920</v>
      </c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SUM(D2:D9,D27:D32)</f>
        <v>40430</v>
      </c>
    </row>
    <row r="93" spans="1:4" x14ac:dyDescent="0.25">
      <c r="C93" s="31" t="s">
        <v>2501</v>
      </c>
      <c r="D93" s="32">
        <f>SUM(D10:D26)</f>
        <v>5850</v>
      </c>
    </row>
    <row r="94" spans="1:4" x14ac:dyDescent="0.25">
      <c r="C94" s="31" t="s">
        <v>83</v>
      </c>
      <c r="D94" s="32">
        <f>SUM(D92:D93)</f>
        <v>46280</v>
      </c>
    </row>
  </sheetData>
  <printOptions horizontalCentered="1"/>
  <pageMargins left="0.7" right="0.7" top="1.25" bottom="0.75" header="0.3" footer="0.3"/>
  <pageSetup paperSize="5" scale="89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182D-FFBC-4CAE-A445-7CE10B67455A}">
  <dimension ref="A1:D94"/>
  <sheetViews>
    <sheetView view="pageBreakPreview" zoomScaleNormal="100" zoomScaleSheetLayoutView="100" workbookViewId="0">
      <selection activeCell="H27" sqref="H27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1967</v>
      </c>
      <c r="B2" s="4">
        <v>402918</v>
      </c>
      <c r="C2" s="4" t="s">
        <v>3152</v>
      </c>
      <c r="D2" s="9">
        <v>435</v>
      </c>
    </row>
    <row r="3" spans="1:4" x14ac:dyDescent="0.25">
      <c r="A3" s="4" t="s">
        <v>1967</v>
      </c>
      <c r="B3" s="4">
        <v>402737</v>
      </c>
      <c r="C3" s="4" t="s">
        <v>3153</v>
      </c>
      <c r="D3" s="9">
        <v>855</v>
      </c>
    </row>
    <row r="4" spans="1:4" x14ac:dyDescent="0.25">
      <c r="A4" s="4" t="s">
        <v>1967</v>
      </c>
      <c r="B4" s="4">
        <v>402741</v>
      </c>
      <c r="C4" s="4" t="s">
        <v>3154</v>
      </c>
      <c r="D4" s="9">
        <v>235</v>
      </c>
    </row>
    <row r="5" spans="1:4" x14ac:dyDescent="0.25">
      <c r="A5" s="4" t="s">
        <v>1967</v>
      </c>
      <c r="B5" s="4">
        <v>402749</v>
      </c>
      <c r="C5" s="4" t="s">
        <v>3155</v>
      </c>
      <c r="D5" s="9">
        <v>875</v>
      </c>
    </row>
    <row r="6" spans="1:4" x14ac:dyDescent="0.25">
      <c r="A6" s="4" t="s">
        <v>1967</v>
      </c>
      <c r="B6" s="4">
        <v>402750</v>
      </c>
      <c r="C6" s="4" t="s">
        <v>3156</v>
      </c>
      <c r="D6" s="9">
        <v>115</v>
      </c>
    </row>
    <row r="7" spans="1:4" x14ac:dyDescent="0.25">
      <c r="A7" s="4" t="s">
        <v>1967</v>
      </c>
      <c r="B7" s="4">
        <v>402746</v>
      </c>
      <c r="C7" s="4" t="s">
        <v>3157</v>
      </c>
      <c r="D7" s="9">
        <v>3555</v>
      </c>
    </row>
    <row r="8" spans="1:4" x14ac:dyDescent="0.25">
      <c r="A8" s="4" t="s">
        <v>1967</v>
      </c>
      <c r="B8" s="4">
        <v>402740</v>
      </c>
      <c r="C8" s="4" t="s">
        <v>3158</v>
      </c>
      <c r="D8" s="9">
        <v>2220</v>
      </c>
    </row>
    <row r="9" spans="1:4" x14ac:dyDescent="0.25">
      <c r="A9" s="4" t="s">
        <v>1967</v>
      </c>
      <c r="B9" s="4">
        <v>402730</v>
      </c>
      <c r="C9" s="4" t="s">
        <v>3159</v>
      </c>
      <c r="D9" s="9">
        <v>3290</v>
      </c>
    </row>
    <row r="10" spans="1:4" x14ac:dyDescent="0.25">
      <c r="A10" s="4" t="s">
        <v>98</v>
      </c>
      <c r="B10" s="4">
        <v>406336</v>
      </c>
      <c r="C10" s="4" t="s">
        <v>3204</v>
      </c>
      <c r="D10" s="9">
        <v>195</v>
      </c>
    </row>
    <row r="11" spans="1:4" x14ac:dyDescent="0.25">
      <c r="A11" s="4" t="s">
        <v>98</v>
      </c>
      <c r="B11" s="4">
        <v>406336</v>
      </c>
      <c r="C11" s="4" t="s">
        <v>3205</v>
      </c>
      <c r="D11" s="9">
        <v>705</v>
      </c>
    </row>
    <row r="12" spans="1:4" x14ac:dyDescent="0.25">
      <c r="A12" s="4" t="s">
        <v>98</v>
      </c>
      <c r="B12" s="4">
        <v>406338</v>
      </c>
      <c r="C12" s="4" t="s">
        <v>3206</v>
      </c>
      <c r="D12" s="9">
        <v>790</v>
      </c>
    </row>
    <row r="13" spans="1:4" x14ac:dyDescent="0.25">
      <c r="A13" s="4" t="s">
        <v>638</v>
      </c>
      <c r="B13" s="4">
        <v>406691</v>
      </c>
      <c r="C13" s="4" t="s">
        <v>3207</v>
      </c>
      <c r="D13" s="9">
        <v>0</v>
      </c>
    </row>
    <row r="14" spans="1:4" x14ac:dyDescent="0.25">
      <c r="A14" s="4" t="s">
        <v>256</v>
      </c>
      <c r="B14" s="4">
        <v>407772</v>
      </c>
      <c r="C14" s="4" t="s">
        <v>3208</v>
      </c>
      <c r="D14" s="9">
        <v>7340</v>
      </c>
    </row>
    <row r="15" spans="1:4" x14ac:dyDescent="0.25">
      <c r="A15" s="4" t="s">
        <v>256</v>
      </c>
      <c r="B15" s="4">
        <v>407772</v>
      </c>
      <c r="C15" s="4" t="s">
        <v>3209</v>
      </c>
      <c r="D15" s="9">
        <v>8060</v>
      </c>
    </row>
    <row r="16" spans="1:4" x14ac:dyDescent="0.25">
      <c r="A16" s="4" t="s">
        <v>256</v>
      </c>
      <c r="B16" s="4">
        <v>407772</v>
      </c>
      <c r="C16" s="4" t="s">
        <v>3210</v>
      </c>
      <c r="D16" s="9">
        <v>7340</v>
      </c>
    </row>
    <row r="17" spans="1:4" x14ac:dyDescent="0.25">
      <c r="A17" s="4" t="s">
        <v>256</v>
      </c>
      <c r="B17" s="4">
        <v>407772</v>
      </c>
      <c r="C17" s="4" t="s">
        <v>3211</v>
      </c>
      <c r="D17" s="9">
        <v>9545</v>
      </c>
    </row>
    <row r="18" spans="1:4" x14ac:dyDescent="0.25">
      <c r="A18" s="4" t="s">
        <v>26</v>
      </c>
      <c r="B18" s="4">
        <v>403617</v>
      </c>
      <c r="C18" s="4" t="s">
        <v>3173</v>
      </c>
      <c r="D18" s="9">
        <v>500</v>
      </c>
    </row>
    <row r="19" spans="1:4" x14ac:dyDescent="0.25">
      <c r="A19" s="4" t="s">
        <v>180</v>
      </c>
      <c r="B19" s="4">
        <v>377135</v>
      </c>
      <c r="C19" s="4" t="s">
        <v>3212</v>
      </c>
      <c r="D19" s="9">
        <v>18247</v>
      </c>
    </row>
    <row r="20" spans="1:4" x14ac:dyDescent="0.25">
      <c r="A20" s="4" t="s">
        <v>180</v>
      </c>
      <c r="B20" s="4">
        <v>395648</v>
      </c>
      <c r="C20" s="4" t="s">
        <v>3141</v>
      </c>
      <c r="D20" s="9">
        <v>1800</v>
      </c>
    </row>
    <row r="21" spans="1:4" x14ac:dyDescent="0.25">
      <c r="A21" s="4" t="s">
        <v>180</v>
      </c>
      <c r="B21" s="4">
        <v>400388</v>
      </c>
      <c r="C21" s="4" t="s">
        <v>3142</v>
      </c>
      <c r="D21" s="9">
        <v>595</v>
      </c>
    </row>
    <row r="22" spans="1:4" x14ac:dyDescent="0.25">
      <c r="A22" s="4" t="s">
        <v>221</v>
      </c>
      <c r="B22" s="4">
        <v>406609</v>
      </c>
      <c r="C22" s="4" t="s">
        <v>3213</v>
      </c>
      <c r="D22" s="9">
        <v>9315</v>
      </c>
    </row>
    <row r="23" spans="1:4" x14ac:dyDescent="0.25">
      <c r="A23" s="4" t="s">
        <v>32</v>
      </c>
      <c r="B23" s="4">
        <v>402924</v>
      </c>
      <c r="C23" s="4" t="s">
        <v>3202</v>
      </c>
      <c r="D23" s="9">
        <v>20795</v>
      </c>
    </row>
    <row r="24" spans="1:4" x14ac:dyDescent="0.25">
      <c r="A24" s="4" t="s">
        <v>315</v>
      </c>
      <c r="B24" s="4">
        <v>405115</v>
      </c>
      <c r="C24" s="4" t="s">
        <v>3214</v>
      </c>
      <c r="D24" s="9">
        <v>66</v>
      </c>
    </row>
    <row r="25" spans="1:4" x14ac:dyDescent="0.25">
      <c r="A25" s="4" t="s">
        <v>315</v>
      </c>
      <c r="B25" s="4">
        <v>405114</v>
      </c>
      <c r="C25" s="4" t="s">
        <v>3215</v>
      </c>
      <c r="D25" s="9">
        <v>66</v>
      </c>
    </row>
    <row r="26" spans="1:4" x14ac:dyDescent="0.25">
      <c r="A26" s="4" t="s">
        <v>315</v>
      </c>
      <c r="B26" s="4">
        <v>406438</v>
      </c>
      <c r="C26" s="4" t="s">
        <v>3216</v>
      </c>
      <c r="D26" s="9">
        <v>149</v>
      </c>
    </row>
    <row r="27" spans="1:4" x14ac:dyDescent="0.25">
      <c r="A27" s="4" t="s">
        <v>3217</v>
      </c>
      <c r="B27" s="4">
        <v>402801</v>
      </c>
      <c r="C27" s="4" t="s">
        <v>3218</v>
      </c>
      <c r="D27" s="9">
        <v>10795</v>
      </c>
    </row>
    <row r="28" spans="1:4" x14ac:dyDescent="0.25">
      <c r="A28" s="4" t="s">
        <v>3217</v>
      </c>
      <c r="B28" s="4">
        <v>402801</v>
      </c>
      <c r="C28" s="4" t="s">
        <v>3219</v>
      </c>
      <c r="D28" s="9">
        <v>6255</v>
      </c>
    </row>
    <row r="29" spans="1:4" x14ac:dyDescent="0.25">
      <c r="A29" s="4" t="s">
        <v>832</v>
      </c>
      <c r="B29" s="4">
        <v>400739</v>
      </c>
      <c r="C29" s="4" t="s">
        <v>3220</v>
      </c>
      <c r="D29" s="9">
        <v>4450</v>
      </c>
    </row>
    <row r="30" spans="1:4" x14ac:dyDescent="0.25">
      <c r="A30" s="4" t="s">
        <v>832</v>
      </c>
      <c r="B30" s="4">
        <v>388955</v>
      </c>
      <c r="C30" s="4" t="s">
        <v>3221</v>
      </c>
      <c r="D30" s="9">
        <v>400</v>
      </c>
    </row>
    <row r="31" spans="1:4" x14ac:dyDescent="0.25">
      <c r="A31" s="4" t="s">
        <v>832</v>
      </c>
      <c r="B31" s="4">
        <v>402595</v>
      </c>
      <c r="C31" s="4" t="s">
        <v>3222</v>
      </c>
      <c r="D31" s="9">
        <v>495</v>
      </c>
    </row>
    <row r="32" spans="1:4" x14ac:dyDescent="0.25">
      <c r="A32" s="4" t="s">
        <v>995</v>
      </c>
      <c r="B32" s="4">
        <v>406462</v>
      </c>
      <c r="C32" s="4" t="s">
        <v>3223</v>
      </c>
      <c r="D32" s="9">
        <v>695</v>
      </c>
    </row>
    <row r="33" spans="1:4" x14ac:dyDescent="0.25">
      <c r="A33" s="4" t="s">
        <v>995</v>
      </c>
      <c r="B33" s="4">
        <v>406557</v>
      </c>
      <c r="C33" s="4" t="s">
        <v>3203</v>
      </c>
      <c r="D33" s="9">
        <v>2920</v>
      </c>
    </row>
    <row r="34" spans="1:4" x14ac:dyDescent="0.25">
      <c r="A34" s="4" t="s">
        <v>995</v>
      </c>
      <c r="B34" s="4">
        <v>406513</v>
      </c>
      <c r="C34" s="4" t="s">
        <v>3224</v>
      </c>
      <c r="D34" s="9">
        <v>995</v>
      </c>
    </row>
    <row r="35" spans="1:4" x14ac:dyDescent="0.25">
      <c r="A35" s="4" t="s">
        <v>995</v>
      </c>
      <c r="B35" s="4">
        <v>406514</v>
      </c>
      <c r="C35" s="4" t="s">
        <v>3225</v>
      </c>
      <c r="D35" s="9">
        <v>895</v>
      </c>
    </row>
    <row r="36" spans="1:4" x14ac:dyDescent="0.25">
      <c r="A36" s="4" t="s">
        <v>995</v>
      </c>
      <c r="B36" s="4">
        <v>406512</v>
      </c>
      <c r="C36" s="4" t="s">
        <v>3226</v>
      </c>
      <c r="D36" s="9">
        <v>195</v>
      </c>
    </row>
    <row r="37" spans="1:4" x14ac:dyDescent="0.25">
      <c r="A37" s="4" t="s">
        <v>995</v>
      </c>
      <c r="B37" s="4">
        <v>406510</v>
      </c>
      <c r="C37" s="4" t="s">
        <v>3227</v>
      </c>
      <c r="D37" s="9">
        <v>2665</v>
      </c>
    </row>
    <row r="38" spans="1:4" x14ac:dyDescent="0.25">
      <c r="A38" s="4" t="s">
        <v>332</v>
      </c>
      <c r="B38" s="4">
        <v>402177</v>
      </c>
      <c r="C38" s="4" t="s">
        <v>3228</v>
      </c>
      <c r="D38" s="9">
        <v>2670</v>
      </c>
    </row>
    <row r="39" spans="1:4" x14ac:dyDescent="0.25">
      <c r="A39" s="4" t="s">
        <v>241</v>
      </c>
      <c r="B39" s="4">
        <v>407744</v>
      </c>
      <c r="C39" s="4" t="s">
        <v>3229</v>
      </c>
      <c r="D39" s="9">
        <v>885</v>
      </c>
    </row>
    <row r="40" spans="1:4" x14ac:dyDescent="0.25">
      <c r="A40" s="4" t="s">
        <v>61</v>
      </c>
      <c r="B40" s="4">
        <v>410027</v>
      </c>
      <c r="C40" s="4" t="s">
        <v>3230</v>
      </c>
      <c r="D40" s="9">
        <v>6156</v>
      </c>
    </row>
    <row r="41" spans="1:4" x14ac:dyDescent="0.25">
      <c r="A41" s="4" t="s">
        <v>61</v>
      </c>
      <c r="B41" s="4">
        <v>410012</v>
      </c>
      <c r="C41" s="4" t="s">
        <v>3231</v>
      </c>
      <c r="D41" s="9">
        <v>6156</v>
      </c>
    </row>
    <row r="42" spans="1:4" x14ac:dyDescent="0.25">
      <c r="A42" s="4" t="s">
        <v>61</v>
      </c>
      <c r="B42" s="4">
        <v>410030</v>
      </c>
      <c r="C42" s="4" t="s">
        <v>2776</v>
      </c>
      <c r="D42" s="9">
        <v>1564</v>
      </c>
    </row>
    <row r="43" spans="1:4" x14ac:dyDescent="0.25">
      <c r="A43" s="4" t="s">
        <v>61</v>
      </c>
      <c r="B43" s="4">
        <v>410035</v>
      </c>
      <c r="C43" s="4" t="s">
        <v>2777</v>
      </c>
      <c r="D43" s="9">
        <v>12456</v>
      </c>
    </row>
    <row r="44" spans="1:4" x14ac:dyDescent="0.25">
      <c r="A44" s="4" t="s">
        <v>61</v>
      </c>
      <c r="B44" s="4">
        <v>410016</v>
      </c>
      <c r="C44" s="4" t="s">
        <v>3232</v>
      </c>
      <c r="D44" s="9">
        <v>8188</v>
      </c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SUM(D2:D39)</f>
        <v>131403</v>
      </c>
    </row>
    <row r="93" spans="1:4" x14ac:dyDescent="0.25">
      <c r="C93" s="31" t="s">
        <v>2501</v>
      </c>
      <c r="D93" s="32">
        <f>SUM(D40:D44)</f>
        <v>34520</v>
      </c>
    </row>
    <row r="94" spans="1:4" x14ac:dyDescent="0.25">
      <c r="C94" s="31" t="s">
        <v>83</v>
      </c>
      <c r="D94" s="32">
        <f>SUM(D92:D93)</f>
        <v>165923</v>
      </c>
    </row>
  </sheetData>
  <printOptions horizontalCentered="1"/>
  <pageMargins left="0.7" right="0.7" top="1.25" bottom="0.75" header="0.3" footer="0.3"/>
  <pageSetup paperSize="5" scale="89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2849-062D-4D32-AF65-2DD8D8074D49}">
  <dimension ref="A1:D94"/>
  <sheetViews>
    <sheetView view="pageBreakPreview" topLeftCell="A22" zoomScaleNormal="100" zoomScaleSheetLayoutView="100" workbookViewId="0">
      <selection activeCell="D94" sqref="D94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405081</v>
      </c>
      <c r="C2" s="4" t="s">
        <v>3233</v>
      </c>
      <c r="D2" s="9">
        <v>4950</v>
      </c>
    </row>
    <row r="3" spans="1:4" x14ac:dyDescent="0.25">
      <c r="A3" s="4" t="s">
        <v>98</v>
      </c>
      <c r="B3" s="4">
        <v>405081</v>
      </c>
      <c r="C3" s="4" t="s">
        <v>3234</v>
      </c>
      <c r="D3" s="9">
        <v>9083</v>
      </c>
    </row>
    <row r="4" spans="1:4" x14ac:dyDescent="0.25">
      <c r="A4" s="4" t="s">
        <v>256</v>
      </c>
      <c r="B4" s="4">
        <v>407772</v>
      </c>
      <c r="C4" s="4" t="s">
        <v>3208</v>
      </c>
      <c r="D4" s="9">
        <v>7340</v>
      </c>
    </row>
    <row r="5" spans="1:4" x14ac:dyDescent="0.25">
      <c r="A5" s="4" t="s">
        <v>256</v>
      </c>
      <c r="B5" s="4">
        <v>407772</v>
      </c>
      <c r="C5" s="4" t="s">
        <v>3209</v>
      </c>
      <c r="D5" s="9">
        <v>8060</v>
      </c>
    </row>
    <row r="6" spans="1:4" x14ac:dyDescent="0.25">
      <c r="A6" s="4" t="s">
        <v>256</v>
      </c>
      <c r="B6" s="4">
        <v>407772</v>
      </c>
      <c r="C6" s="4" t="s">
        <v>3210</v>
      </c>
      <c r="D6" s="9">
        <v>7340</v>
      </c>
    </row>
    <row r="7" spans="1:4" x14ac:dyDescent="0.25">
      <c r="A7" s="4" t="s">
        <v>256</v>
      </c>
      <c r="B7" s="4">
        <v>407772</v>
      </c>
      <c r="C7" s="4" t="s">
        <v>3211</v>
      </c>
      <c r="D7" s="9">
        <v>9545</v>
      </c>
    </row>
    <row r="8" spans="1:4" x14ac:dyDescent="0.25">
      <c r="A8" s="4" t="s">
        <v>500</v>
      </c>
      <c r="B8" s="4">
        <v>410201</v>
      </c>
      <c r="C8" s="4" t="s">
        <v>3235</v>
      </c>
      <c r="D8" s="9">
        <v>2364</v>
      </c>
    </row>
    <row r="9" spans="1:4" x14ac:dyDescent="0.25">
      <c r="A9" s="4" t="s">
        <v>500</v>
      </c>
      <c r="B9" s="4">
        <v>410204</v>
      </c>
      <c r="C9" s="4" t="s">
        <v>3236</v>
      </c>
      <c r="D9" s="9">
        <v>1773</v>
      </c>
    </row>
    <row r="10" spans="1:4" x14ac:dyDescent="0.25">
      <c r="A10" s="4" t="s">
        <v>500</v>
      </c>
      <c r="B10" s="4">
        <v>410210</v>
      </c>
      <c r="C10" s="4" t="s">
        <v>3237</v>
      </c>
      <c r="D10" s="9">
        <v>1832</v>
      </c>
    </row>
    <row r="11" spans="1:4" x14ac:dyDescent="0.25">
      <c r="A11" s="4" t="s">
        <v>500</v>
      </c>
      <c r="B11" s="4">
        <v>410211</v>
      </c>
      <c r="C11" s="4" t="s">
        <v>3238</v>
      </c>
      <c r="D11" s="9">
        <v>177</v>
      </c>
    </row>
    <row r="12" spans="1:4" x14ac:dyDescent="0.25">
      <c r="A12" s="4" t="s">
        <v>500</v>
      </c>
      <c r="B12" s="4">
        <v>410258</v>
      </c>
      <c r="C12" s="4" t="s">
        <v>3239</v>
      </c>
      <c r="D12" s="9">
        <v>2541</v>
      </c>
    </row>
    <row r="13" spans="1:4" x14ac:dyDescent="0.25">
      <c r="A13" s="4" t="s">
        <v>500</v>
      </c>
      <c r="B13" s="4">
        <v>410257</v>
      </c>
      <c r="C13" s="4" t="s">
        <v>3240</v>
      </c>
      <c r="D13" s="9">
        <v>591</v>
      </c>
    </row>
    <row r="14" spans="1:4" x14ac:dyDescent="0.25">
      <c r="A14" s="4" t="s">
        <v>500</v>
      </c>
      <c r="B14" s="4">
        <v>410260</v>
      </c>
      <c r="C14" s="4" t="s">
        <v>3241</v>
      </c>
      <c r="D14" s="9">
        <v>1773</v>
      </c>
    </row>
    <row r="15" spans="1:4" x14ac:dyDescent="0.25">
      <c r="A15" s="4" t="s">
        <v>500</v>
      </c>
      <c r="B15" s="4">
        <v>410208</v>
      </c>
      <c r="C15" s="4" t="s">
        <v>3242</v>
      </c>
      <c r="D15" s="9">
        <v>2069</v>
      </c>
    </row>
    <row r="16" spans="1:4" x14ac:dyDescent="0.25">
      <c r="A16" s="4" t="s">
        <v>111</v>
      </c>
      <c r="B16" s="4">
        <v>410350</v>
      </c>
      <c r="C16" s="4" t="s">
        <v>3243</v>
      </c>
      <c r="D16" s="9">
        <v>40610</v>
      </c>
    </row>
    <row r="17" spans="1:4" x14ac:dyDescent="0.25">
      <c r="A17" s="4" t="s">
        <v>111</v>
      </c>
      <c r="B17" s="4">
        <v>410450</v>
      </c>
      <c r="C17" s="4" t="s">
        <v>3244</v>
      </c>
      <c r="D17" s="9">
        <v>190</v>
      </c>
    </row>
    <row r="18" spans="1:4" x14ac:dyDescent="0.25">
      <c r="A18" s="4" t="s">
        <v>177</v>
      </c>
      <c r="B18" s="4">
        <v>410216</v>
      </c>
      <c r="C18" s="4" t="s">
        <v>3245</v>
      </c>
      <c r="D18" s="9">
        <v>995</v>
      </c>
    </row>
    <row r="19" spans="1:4" x14ac:dyDescent="0.25">
      <c r="A19" s="4" t="s">
        <v>26</v>
      </c>
      <c r="B19" s="4">
        <v>403617</v>
      </c>
      <c r="C19" s="4" t="s">
        <v>3173</v>
      </c>
      <c r="D19" s="9">
        <v>500</v>
      </c>
    </row>
    <row r="20" spans="1:4" x14ac:dyDescent="0.25">
      <c r="A20" s="4" t="s">
        <v>180</v>
      </c>
      <c r="B20" s="4">
        <v>395648</v>
      </c>
      <c r="C20" s="4" t="s">
        <v>3141</v>
      </c>
      <c r="D20" s="9">
        <v>1800</v>
      </c>
    </row>
    <row r="21" spans="1:4" x14ac:dyDescent="0.25">
      <c r="A21" s="4" t="s">
        <v>180</v>
      </c>
      <c r="B21" s="4">
        <v>402953</v>
      </c>
      <c r="C21" s="4" t="s">
        <v>3246</v>
      </c>
      <c r="D21" s="9">
        <v>6931</v>
      </c>
    </row>
    <row r="22" spans="1:4" x14ac:dyDescent="0.25">
      <c r="A22" s="4" t="s">
        <v>180</v>
      </c>
      <c r="B22" s="4">
        <v>400388</v>
      </c>
      <c r="C22" s="4" t="s">
        <v>3142</v>
      </c>
      <c r="D22" s="9">
        <v>595</v>
      </c>
    </row>
    <row r="23" spans="1:4" x14ac:dyDescent="0.25">
      <c r="A23" s="4" t="s">
        <v>180</v>
      </c>
      <c r="B23" s="4">
        <v>402953</v>
      </c>
      <c r="C23" s="4" t="s">
        <v>3247</v>
      </c>
      <c r="D23" s="9">
        <v>11210</v>
      </c>
    </row>
    <row r="24" spans="1:4" x14ac:dyDescent="0.25">
      <c r="A24" s="4" t="s">
        <v>180</v>
      </c>
      <c r="B24" s="4">
        <v>402953</v>
      </c>
      <c r="C24" s="4" t="s">
        <v>3248</v>
      </c>
      <c r="D24" s="9">
        <v>3590</v>
      </c>
    </row>
    <row r="25" spans="1:4" x14ac:dyDescent="0.25">
      <c r="A25" s="4" t="s">
        <v>180</v>
      </c>
      <c r="B25" s="4">
        <v>402953</v>
      </c>
      <c r="C25" s="4" t="s">
        <v>3249</v>
      </c>
      <c r="D25" s="9">
        <v>7016</v>
      </c>
    </row>
    <row r="26" spans="1:4" x14ac:dyDescent="0.25">
      <c r="A26" s="4" t="s">
        <v>180</v>
      </c>
      <c r="B26" s="4">
        <v>402953</v>
      </c>
      <c r="C26" s="4" t="s">
        <v>3250</v>
      </c>
      <c r="D26" s="9">
        <v>11210</v>
      </c>
    </row>
    <row r="27" spans="1:4" x14ac:dyDescent="0.25">
      <c r="A27" s="4" t="s">
        <v>180</v>
      </c>
      <c r="B27" s="4">
        <v>402953</v>
      </c>
      <c r="C27" s="4" t="s">
        <v>3251</v>
      </c>
      <c r="D27" s="9">
        <v>3590</v>
      </c>
    </row>
    <row r="28" spans="1:4" x14ac:dyDescent="0.25">
      <c r="A28" s="4" t="s">
        <v>315</v>
      </c>
      <c r="B28" s="4">
        <v>405115</v>
      </c>
      <c r="C28" s="4" t="s">
        <v>3214</v>
      </c>
      <c r="D28" s="9">
        <v>66</v>
      </c>
    </row>
    <row r="29" spans="1:4" x14ac:dyDescent="0.25">
      <c r="A29" s="4" t="s">
        <v>315</v>
      </c>
      <c r="B29" s="4">
        <v>405114</v>
      </c>
      <c r="C29" s="4" t="s">
        <v>3215</v>
      </c>
      <c r="D29" s="9">
        <v>66</v>
      </c>
    </row>
    <row r="30" spans="1:4" x14ac:dyDescent="0.25">
      <c r="A30" s="4" t="s">
        <v>315</v>
      </c>
      <c r="B30" s="4">
        <v>406438</v>
      </c>
      <c r="C30" s="4" t="s">
        <v>3216</v>
      </c>
      <c r="D30" s="9">
        <v>149</v>
      </c>
    </row>
    <row r="31" spans="1:4" x14ac:dyDescent="0.25">
      <c r="A31" s="4" t="s">
        <v>315</v>
      </c>
      <c r="B31" s="4">
        <v>406525</v>
      </c>
      <c r="C31" s="4" t="s">
        <v>3252</v>
      </c>
      <c r="D31" s="9">
        <v>11912</v>
      </c>
    </row>
    <row r="32" spans="1:4" x14ac:dyDescent="0.25">
      <c r="A32" s="4" t="s">
        <v>832</v>
      </c>
      <c r="B32" s="4">
        <v>402595</v>
      </c>
      <c r="C32" s="4" t="s">
        <v>3222</v>
      </c>
      <c r="D32" s="9">
        <v>495</v>
      </c>
    </row>
    <row r="33" spans="1:4" x14ac:dyDescent="0.25">
      <c r="A33" s="4" t="s">
        <v>832</v>
      </c>
      <c r="B33" s="4">
        <v>408859</v>
      </c>
      <c r="C33" s="4" t="s">
        <v>3253</v>
      </c>
      <c r="D33" s="9">
        <v>1885</v>
      </c>
    </row>
    <row r="34" spans="1:4" x14ac:dyDescent="0.25">
      <c r="A34" s="4" t="s">
        <v>995</v>
      </c>
      <c r="B34" s="4">
        <v>406462</v>
      </c>
      <c r="C34" s="4" t="s">
        <v>3223</v>
      </c>
      <c r="D34" s="9">
        <v>695</v>
      </c>
    </row>
    <row r="35" spans="1:4" x14ac:dyDescent="0.25">
      <c r="A35" s="4" t="s">
        <v>995</v>
      </c>
      <c r="B35" s="4">
        <v>406513</v>
      </c>
      <c r="C35" s="4" t="s">
        <v>3254</v>
      </c>
      <c r="D35" s="9">
        <v>995</v>
      </c>
    </row>
    <row r="36" spans="1:4" x14ac:dyDescent="0.25">
      <c r="A36" s="4" t="s">
        <v>995</v>
      </c>
      <c r="B36" s="4">
        <v>406505</v>
      </c>
      <c r="C36" s="4" t="s">
        <v>3255</v>
      </c>
      <c r="D36" s="9">
        <v>1480</v>
      </c>
    </row>
    <row r="37" spans="1:4" x14ac:dyDescent="0.25">
      <c r="A37" s="4" t="s">
        <v>995</v>
      </c>
      <c r="B37" s="4">
        <v>406514</v>
      </c>
      <c r="C37" s="4" t="s">
        <v>3256</v>
      </c>
      <c r="D37" s="9">
        <v>895</v>
      </c>
    </row>
    <row r="38" spans="1:4" x14ac:dyDescent="0.25">
      <c r="A38" s="4" t="s">
        <v>995</v>
      </c>
      <c r="B38" s="4">
        <v>405117</v>
      </c>
      <c r="C38" s="4" t="s">
        <v>3257</v>
      </c>
      <c r="D38" s="9">
        <v>1685</v>
      </c>
    </row>
    <row r="39" spans="1:4" x14ac:dyDescent="0.25">
      <c r="A39" s="4" t="s">
        <v>332</v>
      </c>
      <c r="B39" s="4">
        <v>402177</v>
      </c>
      <c r="C39" s="4" t="s">
        <v>3228</v>
      </c>
      <c r="D39" s="9">
        <v>2670</v>
      </c>
    </row>
    <row r="40" spans="1:4" x14ac:dyDescent="0.25">
      <c r="A40" s="4" t="s">
        <v>241</v>
      </c>
      <c r="B40" s="4">
        <v>407744</v>
      </c>
      <c r="C40" s="4" t="s">
        <v>3229</v>
      </c>
      <c r="D40" s="9">
        <v>885</v>
      </c>
    </row>
    <row r="41" spans="1:4" x14ac:dyDescent="0.25">
      <c r="A41" s="4" t="s">
        <v>241</v>
      </c>
      <c r="B41" s="4">
        <v>402983</v>
      </c>
      <c r="C41" s="4" t="s">
        <v>3258</v>
      </c>
      <c r="D41" s="9">
        <v>3570</v>
      </c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SUM(D2:D7,D18:D41)</f>
        <v>121203</v>
      </c>
    </row>
    <row r="93" spans="1:4" x14ac:dyDescent="0.25">
      <c r="C93" s="31" t="s">
        <v>2501</v>
      </c>
      <c r="D93" s="32">
        <f>SUM(D8:D17)</f>
        <v>53920</v>
      </c>
    </row>
    <row r="94" spans="1:4" x14ac:dyDescent="0.25">
      <c r="C94" s="31" t="s">
        <v>83</v>
      </c>
      <c r="D94" s="32">
        <f>SUM(D92:D93)</f>
        <v>175123</v>
      </c>
    </row>
  </sheetData>
  <printOptions horizontalCentered="1"/>
  <pageMargins left="0.7" right="0.7" top="1.25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ABAF-EA2E-4FA0-A82F-556FB6F6D965}">
  <dimension ref="A1:D94"/>
  <sheetViews>
    <sheetView view="pageBreakPreview" zoomScaleNormal="100" zoomScaleSheetLayoutView="100" workbookViewId="0">
      <selection activeCell="K98" sqref="K98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177</v>
      </c>
      <c r="B2" s="4">
        <v>410216</v>
      </c>
      <c r="C2" s="4" t="s">
        <v>3245</v>
      </c>
      <c r="D2" s="9">
        <v>995</v>
      </c>
    </row>
    <row r="3" spans="1:4" x14ac:dyDescent="0.25">
      <c r="A3" s="4" t="s">
        <v>180</v>
      </c>
      <c r="B3" s="4">
        <v>395648</v>
      </c>
      <c r="C3" s="4" t="s">
        <v>3141</v>
      </c>
      <c r="D3" s="9">
        <v>1800</v>
      </c>
    </row>
    <row r="4" spans="1:4" x14ac:dyDescent="0.25">
      <c r="A4" s="4" t="s">
        <v>180</v>
      </c>
      <c r="B4" s="4">
        <v>400388</v>
      </c>
      <c r="C4" s="4" t="s">
        <v>3142</v>
      </c>
      <c r="D4" s="9">
        <v>595</v>
      </c>
    </row>
    <row r="5" spans="1:4" x14ac:dyDescent="0.25">
      <c r="A5" s="4" t="s">
        <v>180</v>
      </c>
      <c r="B5" s="4">
        <v>406344</v>
      </c>
      <c r="C5" s="4" t="s">
        <v>3259</v>
      </c>
      <c r="D5" s="9">
        <v>4500</v>
      </c>
    </row>
    <row r="6" spans="1:4" x14ac:dyDescent="0.25">
      <c r="A6" s="4" t="s">
        <v>180</v>
      </c>
      <c r="B6" s="4">
        <v>406343</v>
      </c>
      <c r="C6" s="4" t="s">
        <v>3260</v>
      </c>
      <c r="D6" s="9">
        <v>36395</v>
      </c>
    </row>
    <row r="7" spans="1:4" x14ac:dyDescent="0.25">
      <c r="A7" s="4" t="s">
        <v>315</v>
      </c>
      <c r="B7" s="4">
        <v>403407</v>
      </c>
      <c r="C7" s="4" t="s">
        <v>3261</v>
      </c>
      <c r="D7" s="9">
        <v>2400</v>
      </c>
    </row>
    <row r="8" spans="1:4" x14ac:dyDescent="0.25">
      <c r="A8" s="4" t="s">
        <v>315</v>
      </c>
      <c r="B8" s="4">
        <v>405115</v>
      </c>
      <c r="C8" s="4" t="s">
        <v>3214</v>
      </c>
      <c r="D8" s="9">
        <v>66</v>
      </c>
    </row>
    <row r="9" spans="1:4" x14ac:dyDescent="0.25">
      <c r="A9" s="4" t="s">
        <v>315</v>
      </c>
      <c r="B9" s="4">
        <v>405114</v>
      </c>
      <c r="C9" s="4" t="s">
        <v>3215</v>
      </c>
      <c r="D9" s="9">
        <v>66</v>
      </c>
    </row>
    <row r="10" spans="1:4" x14ac:dyDescent="0.25">
      <c r="A10" s="4" t="s">
        <v>315</v>
      </c>
      <c r="B10" s="4">
        <v>402821</v>
      </c>
      <c r="C10" s="4" t="s">
        <v>3262</v>
      </c>
      <c r="D10" s="9">
        <v>3139</v>
      </c>
    </row>
    <row r="11" spans="1:4" x14ac:dyDescent="0.25">
      <c r="A11" s="4" t="s">
        <v>832</v>
      </c>
      <c r="B11" s="4">
        <v>411747</v>
      </c>
      <c r="C11" s="4" t="s">
        <v>3263</v>
      </c>
      <c r="D11" s="9">
        <v>50</v>
      </c>
    </row>
    <row r="12" spans="1:4" x14ac:dyDescent="0.25">
      <c r="A12" s="4" t="s">
        <v>832</v>
      </c>
      <c r="B12" s="4">
        <v>402595</v>
      </c>
      <c r="C12" s="4" t="s">
        <v>3222</v>
      </c>
      <c r="D12" s="9">
        <v>495</v>
      </c>
    </row>
    <row r="13" spans="1:4" x14ac:dyDescent="0.25">
      <c r="A13" s="4" t="s">
        <v>832</v>
      </c>
      <c r="B13" s="4">
        <v>408859</v>
      </c>
      <c r="C13" s="4" t="s">
        <v>3253</v>
      </c>
      <c r="D13" s="9">
        <v>1885</v>
      </c>
    </row>
    <row r="14" spans="1:4" x14ac:dyDescent="0.25">
      <c r="A14" s="4" t="s">
        <v>832</v>
      </c>
      <c r="B14" s="4">
        <v>406430</v>
      </c>
      <c r="C14" s="4" t="s">
        <v>3264</v>
      </c>
      <c r="D14" s="9">
        <v>2490</v>
      </c>
    </row>
    <row r="15" spans="1:4" x14ac:dyDescent="0.25">
      <c r="A15" s="4" t="s">
        <v>995</v>
      </c>
      <c r="B15" s="4">
        <v>405117</v>
      </c>
      <c r="C15" s="4" t="s">
        <v>3257</v>
      </c>
      <c r="D15" s="9">
        <v>1685</v>
      </c>
    </row>
    <row r="16" spans="1:4" x14ac:dyDescent="0.25">
      <c r="A16" s="4" t="s">
        <v>3265</v>
      </c>
      <c r="B16" s="4">
        <v>411629</v>
      </c>
      <c r="C16" s="4" t="s">
        <v>3266</v>
      </c>
      <c r="D16" s="9">
        <v>250</v>
      </c>
    </row>
    <row r="17" spans="1:4" x14ac:dyDescent="0.25">
      <c r="A17" s="4" t="s">
        <v>332</v>
      </c>
      <c r="B17" s="4">
        <v>402177</v>
      </c>
      <c r="C17" s="4" t="s">
        <v>3228</v>
      </c>
      <c r="D17" s="9">
        <v>2670</v>
      </c>
    </row>
    <row r="18" spans="1:4" x14ac:dyDescent="0.25">
      <c r="A18" s="4" t="s">
        <v>241</v>
      </c>
      <c r="B18" s="4">
        <v>407744</v>
      </c>
      <c r="C18" s="4" t="s">
        <v>3229</v>
      </c>
      <c r="D18" s="9">
        <v>885</v>
      </c>
    </row>
    <row r="19" spans="1:4" x14ac:dyDescent="0.25">
      <c r="A19" s="4" t="s">
        <v>2831</v>
      </c>
      <c r="B19" s="4">
        <v>410110</v>
      </c>
      <c r="C19" s="4" t="s">
        <v>3267</v>
      </c>
      <c r="D19" s="9">
        <v>36743</v>
      </c>
    </row>
    <row r="20" spans="1:4" hidden="1" x14ac:dyDescent="0.25">
      <c r="A20" s="4"/>
      <c r="B20" s="4"/>
      <c r="C20" s="4"/>
      <c r="D20" s="9"/>
    </row>
    <row r="21" spans="1:4" hidden="1" x14ac:dyDescent="0.25">
      <c r="A21" s="4"/>
      <c r="B21" s="4"/>
      <c r="C21" s="4"/>
      <c r="D21" s="9"/>
    </row>
    <row r="22" spans="1:4" hidden="1" x14ac:dyDescent="0.25">
      <c r="A22" s="4"/>
      <c r="B22" s="4"/>
      <c r="C22" s="4"/>
      <c r="D22" s="9"/>
    </row>
    <row r="23" spans="1:4" hidden="1" x14ac:dyDescent="0.25">
      <c r="A23" s="4"/>
      <c r="B23" s="4"/>
      <c r="C23" s="4"/>
      <c r="D23" s="9"/>
    </row>
    <row r="24" spans="1:4" hidden="1" x14ac:dyDescent="0.25">
      <c r="A24" s="4"/>
      <c r="B24" s="4"/>
      <c r="C24" s="4"/>
      <c r="D24" s="9"/>
    </row>
    <row r="25" spans="1:4" hidden="1" x14ac:dyDescent="0.25">
      <c r="A25" s="4"/>
      <c r="B25" s="4"/>
      <c r="C25" s="4"/>
      <c r="D25" s="9"/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SUM(D2:D18)</f>
        <v>60366</v>
      </c>
    </row>
    <row r="93" spans="1:4" x14ac:dyDescent="0.25">
      <c r="C93" s="31" t="s">
        <v>2501</v>
      </c>
      <c r="D93" s="32">
        <f>SUM(D19)</f>
        <v>36743</v>
      </c>
    </row>
    <row r="94" spans="1:4" x14ac:dyDescent="0.25">
      <c r="C94" s="31" t="s">
        <v>83</v>
      </c>
      <c r="D94" s="32">
        <f>SUM(D92:D93)</f>
        <v>97109</v>
      </c>
    </row>
  </sheetData>
  <printOptions horizontalCentered="1"/>
  <pageMargins left="0.7" right="0.7" top="1.25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9A8A-4341-43E4-84EE-85C7E8127F28}">
  <dimension ref="A1:D94"/>
  <sheetViews>
    <sheetView view="pageBreakPreview" zoomScaleNormal="100" zoomScaleSheetLayoutView="100" workbookViewId="0">
      <selection activeCell="M22" sqref="M22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24</v>
      </c>
      <c r="B2" s="4">
        <v>411809</v>
      </c>
      <c r="C2" s="4" t="s">
        <v>3268</v>
      </c>
      <c r="D2" s="9">
        <v>541</v>
      </c>
    </row>
    <row r="3" spans="1:4" x14ac:dyDescent="0.25">
      <c r="A3" s="4" t="s">
        <v>24</v>
      </c>
      <c r="B3" s="4">
        <v>411774</v>
      </c>
      <c r="C3" s="4" t="s">
        <v>3269</v>
      </c>
      <c r="D3" s="9">
        <v>19090</v>
      </c>
    </row>
    <row r="4" spans="1:4" x14ac:dyDescent="0.25">
      <c r="A4" s="4" t="s">
        <v>2831</v>
      </c>
      <c r="B4" s="4">
        <v>404041</v>
      </c>
      <c r="C4" s="4" t="s">
        <v>3270</v>
      </c>
      <c r="D4" s="9">
        <v>9159</v>
      </c>
    </row>
    <row r="5" spans="1:4" x14ac:dyDescent="0.25">
      <c r="A5" s="4" t="s">
        <v>177</v>
      </c>
      <c r="B5" s="4">
        <v>410216</v>
      </c>
      <c r="C5" s="4" t="s">
        <v>3245</v>
      </c>
      <c r="D5" s="9">
        <v>995</v>
      </c>
    </row>
    <row r="6" spans="1:4" x14ac:dyDescent="0.25">
      <c r="A6" s="4" t="s">
        <v>26</v>
      </c>
      <c r="B6" s="4">
        <v>402890</v>
      </c>
      <c r="C6" s="4" t="s">
        <v>3271</v>
      </c>
      <c r="D6" s="9">
        <v>17199</v>
      </c>
    </row>
    <row r="7" spans="1:4" x14ac:dyDescent="0.25">
      <c r="A7" s="4" t="s">
        <v>1419</v>
      </c>
      <c r="B7" s="4">
        <v>411981</v>
      </c>
      <c r="C7" s="4" t="s">
        <v>3272</v>
      </c>
      <c r="D7" s="9">
        <v>10930</v>
      </c>
    </row>
    <row r="8" spans="1:4" x14ac:dyDescent="0.25">
      <c r="A8" s="4" t="s">
        <v>1582</v>
      </c>
      <c r="B8" s="4">
        <v>403372</v>
      </c>
      <c r="C8" s="4" t="s">
        <v>3273</v>
      </c>
      <c r="D8" s="9">
        <v>12126</v>
      </c>
    </row>
    <row r="9" spans="1:4" x14ac:dyDescent="0.25">
      <c r="A9" s="4" t="s">
        <v>180</v>
      </c>
      <c r="B9" s="4">
        <v>395648</v>
      </c>
      <c r="C9" s="4" t="s">
        <v>3141</v>
      </c>
      <c r="D9" s="9">
        <v>1800</v>
      </c>
    </row>
    <row r="10" spans="1:4" x14ac:dyDescent="0.25">
      <c r="A10" s="4" t="s">
        <v>180</v>
      </c>
      <c r="B10" s="4">
        <v>400388</v>
      </c>
      <c r="C10" s="4" t="s">
        <v>3142</v>
      </c>
      <c r="D10" s="9">
        <v>595</v>
      </c>
    </row>
    <row r="11" spans="1:4" x14ac:dyDescent="0.25">
      <c r="A11" s="4" t="s">
        <v>180</v>
      </c>
      <c r="B11" s="4">
        <v>412223</v>
      </c>
      <c r="C11" s="4" t="s">
        <v>3274</v>
      </c>
      <c r="D11" s="9">
        <v>4500</v>
      </c>
    </row>
    <row r="12" spans="1:4" x14ac:dyDescent="0.25">
      <c r="A12" s="4" t="s">
        <v>180</v>
      </c>
      <c r="B12" s="4">
        <v>403439</v>
      </c>
      <c r="C12" s="4" t="s">
        <v>3275</v>
      </c>
      <c r="D12" s="9">
        <v>6584</v>
      </c>
    </row>
    <row r="13" spans="1:4" x14ac:dyDescent="0.25">
      <c r="A13" s="4" t="s">
        <v>315</v>
      </c>
      <c r="B13" s="4">
        <v>412180</v>
      </c>
      <c r="C13" s="4" t="s">
        <v>3276</v>
      </c>
      <c r="D13" s="9">
        <v>1300</v>
      </c>
    </row>
    <row r="14" spans="1:4" x14ac:dyDescent="0.25">
      <c r="A14" s="4" t="s">
        <v>315</v>
      </c>
      <c r="B14" s="4">
        <v>403407</v>
      </c>
      <c r="C14" s="4" t="s">
        <v>3261</v>
      </c>
      <c r="D14" s="9">
        <v>2400</v>
      </c>
    </row>
    <row r="15" spans="1:4" x14ac:dyDescent="0.25">
      <c r="A15" s="4" t="s">
        <v>315</v>
      </c>
      <c r="B15" s="4">
        <v>405115</v>
      </c>
      <c r="C15" s="4" t="s">
        <v>3214</v>
      </c>
      <c r="D15" s="9">
        <v>66</v>
      </c>
    </row>
    <row r="16" spans="1:4" x14ac:dyDescent="0.25">
      <c r="A16" s="4" t="s">
        <v>315</v>
      </c>
      <c r="B16" s="4">
        <v>405114</v>
      </c>
      <c r="C16" s="4" t="s">
        <v>3215</v>
      </c>
      <c r="D16" s="9">
        <v>66</v>
      </c>
    </row>
    <row r="17" spans="1:4" x14ac:dyDescent="0.25">
      <c r="A17" s="4" t="s">
        <v>315</v>
      </c>
      <c r="B17" s="4">
        <v>411863</v>
      </c>
      <c r="C17" s="4" t="s">
        <v>3277</v>
      </c>
      <c r="D17" s="9">
        <v>83</v>
      </c>
    </row>
    <row r="18" spans="1:4" x14ac:dyDescent="0.25">
      <c r="A18" s="4" t="s">
        <v>2291</v>
      </c>
      <c r="B18" s="4">
        <v>411845</v>
      </c>
      <c r="C18" s="4" t="s">
        <v>3278</v>
      </c>
      <c r="D18" s="9">
        <v>4610</v>
      </c>
    </row>
    <row r="19" spans="1:4" x14ac:dyDescent="0.25">
      <c r="A19" s="4" t="s">
        <v>832</v>
      </c>
      <c r="B19" s="4">
        <v>411747</v>
      </c>
      <c r="C19" s="4" t="s">
        <v>3263</v>
      </c>
      <c r="D19" s="9">
        <v>50</v>
      </c>
    </row>
    <row r="20" spans="1:4" x14ac:dyDescent="0.25">
      <c r="A20" s="4" t="s">
        <v>832</v>
      </c>
      <c r="B20" s="4">
        <v>403143</v>
      </c>
      <c r="C20" s="4" t="s">
        <v>3279</v>
      </c>
      <c r="D20" s="9">
        <v>1685</v>
      </c>
    </row>
    <row r="21" spans="1:4" x14ac:dyDescent="0.25">
      <c r="A21" s="4" t="s">
        <v>832</v>
      </c>
      <c r="B21" s="4">
        <v>408859</v>
      </c>
      <c r="C21" s="4" t="s">
        <v>3253</v>
      </c>
      <c r="D21" s="9">
        <v>1885</v>
      </c>
    </row>
    <row r="22" spans="1:4" x14ac:dyDescent="0.25">
      <c r="A22" s="4" t="s">
        <v>832</v>
      </c>
      <c r="B22" s="4">
        <v>406430</v>
      </c>
      <c r="C22" s="4" t="s">
        <v>3264</v>
      </c>
      <c r="D22" s="9">
        <v>2490</v>
      </c>
    </row>
    <row r="23" spans="1:4" x14ac:dyDescent="0.25">
      <c r="A23" s="4" t="s">
        <v>1387</v>
      </c>
      <c r="B23" s="4">
        <v>411710</v>
      </c>
      <c r="C23" s="4" t="s">
        <v>3280</v>
      </c>
      <c r="D23" s="9">
        <v>23175</v>
      </c>
    </row>
    <row r="24" spans="1:4" x14ac:dyDescent="0.25">
      <c r="A24" s="4" t="s">
        <v>995</v>
      </c>
      <c r="B24" s="4">
        <v>410550</v>
      </c>
      <c r="C24" s="4" t="s">
        <v>3281</v>
      </c>
      <c r="D24" s="9">
        <v>8585</v>
      </c>
    </row>
    <row r="25" spans="1:4" x14ac:dyDescent="0.25">
      <c r="A25" s="4" t="s">
        <v>995</v>
      </c>
      <c r="B25" s="4">
        <v>405117</v>
      </c>
      <c r="C25" s="4" t="s">
        <v>3257</v>
      </c>
      <c r="D25" s="9">
        <v>1685</v>
      </c>
    </row>
    <row r="26" spans="1:4" x14ac:dyDescent="0.25">
      <c r="A26" s="4" t="s">
        <v>995</v>
      </c>
      <c r="B26" s="4">
        <v>412100</v>
      </c>
      <c r="C26" s="4" t="s">
        <v>3282</v>
      </c>
      <c r="D26" s="9">
        <v>395</v>
      </c>
    </row>
    <row r="27" spans="1:4" x14ac:dyDescent="0.25">
      <c r="A27" s="4" t="s">
        <v>995</v>
      </c>
      <c r="B27" s="4">
        <v>412071</v>
      </c>
      <c r="C27" s="4" t="s">
        <v>3283</v>
      </c>
      <c r="D27" s="9">
        <v>500</v>
      </c>
    </row>
    <row r="28" spans="1:4" x14ac:dyDescent="0.25">
      <c r="A28" s="4" t="s">
        <v>2831</v>
      </c>
      <c r="B28" s="4">
        <v>410110</v>
      </c>
      <c r="C28" s="4" t="s">
        <v>3267</v>
      </c>
      <c r="D28" s="9">
        <v>36743</v>
      </c>
    </row>
    <row r="29" spans="1:4" x14ac:dyDescent="0.25">
      <c r="A29" s="4" t="s">
        <v>2831</v>
      </c>
      <c r="B29" s="4">
        <v>410199</v>
      </c>
      <c r="C29" s="4" t="s">
        <v>3284</v>
      </c>
      <c r="D29" s="9">
        <v>8024</v>
      </c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SUM(D5:D27)</f>
        <v>103704</v>
      </c>
    </row>
    <row r="93" spans="1:4" x14ac:dyDescent="0.25">
      <c r="C93" s="31" t="s">
        <v>2501</v>
      </c>
      <c r="D93" s="32">
        <f>SUM(D2:D4,D28:D29)</f>
        <v>73557</v>
      </c>
    </row>
    <row r="94" spans="1:4" x14ac:dyDescent="0.25">
      <c r="C94" s="31" t="s">
        <v>83</v>
      </c>
      <c r="D94" s="32">
        <f>SUM(D92:D93)</f>
        <v>177261</v>
      </c>
    </row>
  </sheetData>
  <printOptions horizontalCentered="1"/>
  <pageMargins left="0.7" right="0.7" top="1.25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3549D-85A8-4891-8A2D-1AC0F244F812}">
  <dimension ref="A1:D94"/>
  <sheetViews>
    <sheetView view="pageBreakPreview" zoomScaleNormal="100" zoomScaleSheetLayoutView="100" workbookViewId="0">
      <selection activeCell="I7" sqref="I7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81</v>
      </c>
      <c r="B2" s="4">
        <v>412507</v>
      </c>
      <c r="C2" s="4" t="s">
        <v>3285</v>
      </c>
      <c r="D2" s="9">
        <v>32762</v>
      </c>
    </row>
    <row r="3" spans="1:4" x14ac:dyDescent="0.25">
      <c r="A3" s="4" t="s">
        <v>26</v>
      </c>
      <c r="B3" s="4">
        <v>402834</v>
      </c>
      <c r="C3" s="4" t="s">
        <v>3286</v>
      </c>
      <c r="D3" s="9">
        <v>1590</v>
      </c>
    </row>
    <row r="4" spans="1:4" x14ac:dyDescent="0.25">
      <c r="A4" s="4" t="s">
        <v>26</v>
      </c>
      <c r="B4" s="4">
        <v>402890</v>
      </c>
      <c r="C4" s="4" t="s">
        <v>3271</v>
      </c>
      <c r="D4" s="9">
        <v>17199</v>
      </c>
    </row>
    <row r="5" spans="1:4" x14ac:dyDescent="0.25">
      <c r="A5" s="4" t="s">
        <v>1635</v>
      </c>
      <c r="B5" s="4">
        <v>411864</v>
      </c>
      <c r="C5" s="4" t="s">
        <v>3287</v>
      </c>
      <c r="D5" s="9">
        <v>695</v>
      </c>
    </row>
    <row r="6" spans="1:4" x14ac:dyDescent="0.25">
      <c r="A6" s="4" t="s">
        <v>1419</v>
      </c>
      <c r="B6" s="4">
        <v>411981</v>
      </c>
      <c r="C6" s="4" t="s">
        <v>3272</v>
      </c>
      <c r="D6" s="9">
        <v>10930</v>
      </c>
    </row>
    <row r="7" spans="1:4" x14ac:dyDescent="0.25">
      <c r="A7" s="4" t="s">
        <v>1582</v>
      </c>
      <c r="B7" s="4">
        <v>403370</v>
      </c>
      <c r="C7" s="4" t="s">
        <v>3288</v>
      </c>
      <c r="D7" s="9">
        <v>15194</v>
      </c>
    </row>
    <row r="8" spans="1:4" x14ac:dyDescent="0.25">
      <c r="A8" s="4" t="s">
        <v>1582</v>
      </c>
      <c r="B8" s="4">
        <v>403372</v>
      </c>
      <c r="C8" s="4" t="s">
        <v>3273</v>
      </c>
      <c r="D8" s="9">
        <v>12126</v>
      </c>
    </row>
    <row r="9" spans="1:4" x14ac:dyDescent="0.25">
      <c r="A9" s="4" t="s">
        <v>180</v>
      </c>
      <c r="B9" s="4">
        <v>395648</v>
      </c>
      <c r="C9" s="4" t="s">
        <v>3141</v>
      </c>
      <c r="D9" s="9">
        <v>1800</v>
      </c>
    </row>
    <row r="10" spans="1:4" x14ac:dyDescent="0.25">
      <c r="A10" s="4" t="s">
        <v>180</v>
      </c>
      <c r="B10" s="4">
        <v>412366</v>
      </c>
      <c r="C10" s="4" t="s">
        <v>3289</v>
      </c>
      <c r="D10" s="9">
        <v>0</v>
      </c>
    </row>
    <row r="11" spans="1:4" x14ac:dyDescent="0.25">
      <c r="A11" s="4" t="s">
        <v>180</v>
      </c>
      <c r="B11" s="4">
        <v>400388</v>
      </c>
      <c r="C11" s="4" t="s">
        <v>3142</v>
      </c>
      <c r="D11" s="9">
        <v>595</v>
      </c>
    </row>
    <row r="12" spans="1:4" x14ac:dyDescent="0.25">
      <c r="A12" s="4" t="s">
        <v>180</v>
      </c>
      <c r="B12" s="4">
        <v>403439</v>
      </c>
      <c r="C12" s="4" t="s">
        <v>3275</v>
      </c>
      <c r="D12" s="9">
        <v>6584</v>
      </c>
    </row>
    <row r="13" spans="1:4" x14ac:dyDescent="0.25">
      <c r="A13" s="4" t="s">
        <v>1335</v>
      </c>
      <c r="B13" s="4">
        <v>412400</v>
      </c>
      <c r="C13" s="4" t="s">
        <v>3290</v>
      </c>
      <c r="D13" s="9">
        <v>5025</v>
      </c>
    </row>
    <row r="14" spans="1:4" x14ac:dyDescent="0.25">
      <c r="A14" s="4" t="s">
        <v>315</v>
      </c>
      <c r="B14" s="4">
        <v>403407</v>
      </c>
      <c r="C14" s="4" t="s">
        <v>3261</v>
      </c>
      <c r="D14" s="9">
        <v>2400</v>
      </c>
    </row>
    <row r="15" spans="1:4" x14ac:dyDescent="0.25">
      <c r="A15" s="4" t="s">
        <v>315</v>
      </c>
      <c r="B15" s="4">
        <v>405115</v>
      </c>
      <c r="C15" s="4" t="s">
        <v>3214</v>
      </c>
      <c r="D15" s="9">
        <v>66</v>
      </c>
    </row>
    <row r="16" spans="1:4" x14ac:dyDescent="0.25">
      <c r="A16" s="4" t="s">
        <v>315</v>
      </c>
      <c r="B16" s="4">
        <v>405114</v>
      </c>
      <c r="C16" s="4" t="s">
        <v>3215</v>
      </c>
      <c r="D16" s="9">
        <v>66</v>
      </c>
    </row>
    <row r="17" spans="1:4" x14ac:dyDescent="0.25">
      <c r="A17" s="4" t="s">
        <v>315</v>
      </c>
      <c r="B17" s="4">
        <v>407770</v>
      </c>
      <c r="C17" s="4" t="s">
        <v>3291</v>
      </c>
      <c r="D17" s="9">
        <v>17835</v>
      </c>
    </row>
    <row r="18" spans="1:4" x14ac:dyDescent="0.25">
      <c r="A18" s="4" t="s">
        <v>315</v>
      </c>
      <c r="B18" s="4">
        <v>411863</v>
      </c>
      <c r="C18" s="4" t="s">
        <v>3277</v>
      </c>
      <c r="D18" s="9">
        <v>83</v>
      </c>
    </row>
    <row r="19" spans="1:4" x14ac:dyDescent="0.25">
      <c r="A19" s="4" t="s">
        <v>315</v>
      </c>
      <c r="B19" s="4">
        <v>410183</v>
      </c>
      <c r="C19" s="4" t="s">
        <v>3292</v>
      </c>
      <c r="D19" s="9">
        <v>5795</v>
      </c>
    </row>
    <row r="20" spans="1:4" x14ac:dyDescent="0.25">
      <c r="A20" s="4" t="s">
        <v>2291</v>
      </c>
      <c r="B20" s="4">
        <v>411845</v>
      </c>
      <c r="C20" s="4" t="s">
        <v>3278</v>
      </c>
      <c r="D20" s="9">
        <v>4610</v>
      </c>
    </row>
    <row r="21" spans="1:4" x14ac:dyDescent="0.25">
      <c r="A21" s="4" t="s">
        <v>832</v>
      </c>
      <c r="B21" s="4">
        <v>408859</v>
      </c>
      <c r="C21" s="4" t="s">
        <v>3253</v>
      </c>
      <c r="D21" s="9">
        <v>1885</v>
      </c>
    </row>
    <row r="22" spans="1:4" x14ac:dyDescent="0.25">
      <c r="A22" s="4" t="s">
        <v>1387</v>
      </c>
      <c r="B22" s="4">
        <v>411710</v>
      </c>
      <c r="C22" s="4" t="s">
        <v>3280</v>
      </c>
      <c r="D22" s="9">
        <v>23175</v>
      </c>
    </row>
    <row r="23" spans="1:4" x14ac:dyDescent="0.25">
      <c r="A23" s="4" t="s">
        <v>995</v>
      </c>
      <c r="B23" s="4">
        <v>410550</v>
      </c>
      <c r="C23" s="4" t="s">
        <v>3281</v>
      </c>
      <c r="D23" s="9">
        <v>8585</v>
      </c>
    </row>
    <row r="24" spans="1:4" x14ac:dyDescent="0.25">
      <c r="A24" s="4" t="s">
        <v>995</v>
      </c>
      <c r="B24" s="4">
        <v>405117</v>
      </c>
      <c r="C24" s="4" t="s">
        <v>3257</v>
      </c>
      <c r="D24" s="9">
        <v>1685</v>
      </c>
    </row>
    <row r="25" spans="1:4" x14ac:dyDescent="0.25">
      <c r="A25" s="4" t="s">
        <v>995</v>
      </c>
      <c r="B25" s="4">
        <v>402644</v>
      </c>
      <c r="C25" s="4" t="s">
        <v>3293</v>
      </c>
      <c r="D25" s="9">
        <v>6745</v>
      </c>
    </row>
    <row r="26" spans="1:4" x14ac:dyDescent="0.25">
      <c r="A26" s="4" t="s">
        <v>995</v>
      </c>
      <c r="B26" s="4">
        <v>402644</v>
      </c>
      <c r="C26" s="4" t="s">
        <v>3294</v>
      </c>
      <c r="D26" s="9">
        <v>8400</v>
      </c>
    </row>
    <row r="27" spans="1:4" x14ac:dyDescent="0.25">
      <c r="A27" s="4" t="s">
        <v>995</v>
      </c>
      <c r="B27" s="4">
        <v>412071</v>
      </c>
      <c r="C27" s="4" t="s">
        <v>3283</v>
      </c>
      <c r="D27" s="9">
        <v>500</v>
      </c>
    </row>
    <row r="28" spans="1:4" x14ac:dyDescent="0.25">
      <c r="A28" s="4" t="s">
        <v>995</v>
      </c>
      <c r="B28" s="4">
        <v>402644</v>
      </c>
      <c r="C28" s="4" t="s">
        <v>3295</v>
      </c>
      <c r="D28" s="9">
        <v>8315</v>
      </c>
    </row>
    <row r="29" spans="1:4" x14ac:dyDescent="0.25">
      <c r="A29" s="4" t="s">
        <v>995</v>
      </c>
      <c r="B29" s="4">
        <v>402644</v>
      </c>
      <c r="C29" s="4" t="s">
        <v>3296</v>
      </c>
      <c r="D29" s="9">
        <v>8563</v>
      </c>
    </row>
    <row r="30" spans="1:4" x14ac:dyDescent="0.25">
      <c r="A30" s="4" t="s">
        <v>995</v>
      </c>
      <c r="B30" s="4">
        <v>402644</v>
      </c>
      <c r="C30" s="4" t="s">
        <v>3297</v>
      </c>
      <c r="D30" s="9">
        <v>7145</v>
      </c>
    </row>
    <row r="31" spans="1:4" x14ac:dyDescent="0.25">
      <c r="A31" s="4" t="s">
        <v>995</v>
      </c>
      <c r="B31" s="4">
        <v>402644</v>
      </c>
      <c r="C31" s="4" t="s">
        <v>3298</v>
      </c>
      <c r="D31" s="9">
        <v>8200</v>
      </c>
    </row>
    <row r="32" spans="1:4" x14ac:dyDescent="0.25">
      <c r="A32" s="4" t="s">
        <v>206</v>
      </c>
      <c r="B32" s="4">
        <v>410231</v>
      </c>
      <c r="C32" s="4" t="s">
        <v>3299</v>
      </c>
      <c r="D32" s="9">
        <v>6125</v>
      </c>
    </row>
    <row r="33" spans="1:4" x14ac:dyDescent="0.25">
      <c r="A33" s="4" t="s">
        <v>206</v>
      </c>
      <c r="B33" s="4">
        <v>412304</v>
      </c>
      <c r="C33" s="4" t="s">
        <v>3300</v>
      </c>
      <c r="D33" s="9">
        <v>6625</v>
      </c>
    </row>
    <row r="34" spans="1:4" x14ac:dyDescent="0.25">
      <c r="A34" s="4" t="s">
        <v>206</v>
      </c>
      <c r="B34" s="4">
        <v>410227</v>
      </c>
      <c r="C34" s="4" t="s">
        <v>3301</v>
      </c>
      <c r="D34" s="9">
        <v>15535</v>
      </c>
    </row>
    <row r="35" spans="1:4" x14ac:dyDescent="0.25">
      <c r="A35" s="4" t="s">
        <v>151</v>
      </c>
      <c r="B35" s="4">
        <v>412290</v>
      </c>
      <c r="C35" s="4" t="s">
        <v>3302</v>
      </c>
      <c r="D35" s="9">
        <v>1650</v>
      </c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SUM(D3:D35)</f>
        <v>215726</v>
      </c>
    </row>
    <row r="93" spans="1:4" x14ac:dyDescent="0.25">
      <c r="C93" s="31" t="s">
        <v>2501</v>
      </c>
      <c r="D93" s="32">
        <f>SUM(D2)</f>
        <v>32762</v>
      </c>
    </row>
    <row r="94" spans="1:4" x14ac:dyDescent="0.25">
      <c r="C94" s="31" t="s">
        <v>83</v>
      </c>
      <c r="D94" s="32">
        <f>SUM(D92:D93)</f>
        <v>248488</v>
      </c>
    </row>
  </sheetData>
  <printOptions horizontalCentered="1"/>
  <pageMargins left="0.7" right="0.7" top="1.25" bottom="0.75" header="0.3" footer="0.3"/>
  <pageSetup paperSize="5" scale="8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1B0D-6B28-4B55-B783-B8D40C9EFD79}">
  <dimension ref="A1:D94"/>
  <sheetViews>
    <sheetView view="pageBreakPreview" zoomScaleNormal="100" zoomScaleSheetLayoutView="100" workbookViewId="0">
      <selection activeCell="C99" sqref="C99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1967</v>
      </c>
      <c r="B2" s="4">
        <v>412551</v>
      </c>
      <c r="C2" s="4" t="s">
        <v>3303</v>
      </c>
      <c r="D2" s="9">
        <v>12965</v>
      </c>
    </row>
    <row r="3" spans="1:4" x14ac:dyDescent="0.25">
      <c r="A3" s="4" t="s">
        <v>1967</v>
      </c>
      <c r="B3" s="4">
        <v>412556</v>
      </c>
      <c r="C3" s="4" t="s">
        <v>3304</v>
      </c>
      <c r="D3" s="9">
        <v>2240</v>
      </c>
    </row>
    <row r="4" spans="1:4" x14ac:dyDescent="0.25">
      <c r="A4" s="4" t="s">
        <v>1967</v>
      </c>
      <c r="B4" s="4">
        <v>412561</v>
      </c>
      <c r="C4" s="4" t="s">
        <v>3305</v>
      </c>
      <c r="D4" s="9">
        <v>10665</v>
      </c>
    </row>
    <row r="5" spans="1:4" x14ac:dyDescent="0.25">
      <c r="A5" s="4" t="s">
        <v>1967</v>
      </c>
      <c r="B5" s="4">
        <v>412566</v>
      </c>
      <c r="C5" s="4" t="s">
        <v>3306</v>
      </c>
      <c r="D5" s="9">
        <v>7660</v>
      </c>
    </row>
    <row r="6" spans="1:4" x14ac:dyDescent="0.25">
      <c r="A6" s="4" t="s">
        <v>1967</v>
      </c>
      <c r="B6" s="4">
        <v>412567</v>
      </c>
      <c r="C6" s="4" t="s">
        <v>3307</v>
      </c>
      <c r="D6" s="9">
        <v>1335</v>
      </c>
    </row>
    <row r="7" spans="1:4" x14ac:dyDescent="0.25">
      <c r="A7" s="4" t="s">
        <v>1967</v>
      </c>
      <c r="B7" s="4">
        <v>412568</v>
      </c>
      <c r="C7" s="4" t="s">
        <v>3308</v>
      </c>
      <c r="D7" s="9">
        <v>2710</v>
      </c>
    </row>
    <row r="8" spans="1:4" x14ac:dyDescent="0.25">
      <c r="A8" s="4" t="s">
        <v>1967</v>
      </c>
      <c r="B8" s="4">
        <v>412570</v>
      </c>
      <c r="C8" s="4" t="s">
        <v>3309</v>
      </c>
      <c r="D8" s="9">
        <v>11990</v>
      </c>
    </row>
    <row r="9" spans="1:4" x14ac:dyDescent="0.25">
      <c r="A9" s="4" t="s">
        <v>1967</v>
      </c>
      <c r="B9" s="4">
        <v>412571</v>
      </c>
      <c r="C9" s="4" t="s">
        <v>3310</v>
      </c>
      <c r="D9" s="9">
        <v>10645</v>
      </c>
    </row>
    <row r="10" spans="1:4" x14ac:dyDescent="0.25">
      <c r="A10" s="4" t="s">
        <v>1967</v>
      </c>
      <c r="B10" s="4">
        <v>412573</v>
      </c>
      <c r="C10" s="4" t="s">
        <v>3311</v>
      </c>
      <c r="D10" s="9">
        <v>9165</v>
      </c>
    </row>
    <row r="11" spans="1:4" x14ac:dyDescent="0.25">
      <c r="A11" s="4" t="s">
        <v>1967</v>
      </c>
      <c r="B11" s="4">
        <v>412574</v>
      </c>
      <c r="C11" s="4" t="s">
        <v>3312</v>
      </c>
      <c r="D11" s="9">
        <v>2285</v>
      </c>
    </row>
    <row r="12" spans="1:4" x14ac:dyDescent="0.25">
      <c r="A12" s="4" t="s">
        <v>1967</v>
      </c>
      <c r="B12" s="4">
        <v>412575</v>
      </c>
      <c r="C12" s="4" t="s">
        <v>3313</v>
      </c>
      <c r="D12" s="9">
        <v>26700</v>
      </c>
    </row>
    <row r="13" spans="1:4" x14ac:dyDescent="0.25">
      <c r="A13" s="4" t="s">
        <v>1967</v>
      </c>
      <c r="B13" s="4">
        <v>412576</v>
      </c>
      <c r="C13" s="4" t="s">
        <v>3314</v>
      </c>
      <c r="D13" s="9">
        <v>4805</v>
      </c>
    </row>
    <row r="14" spans="1:4" x14ac:dyDescent="0.25">
      <c r="A14" s="4" t="s">
        <v>1967</v>
      </c>
      <c r="B14" s="4">
        <v>412577</v>
      </c>
      <c r="C14" s="4" t="s">
        <v>3315</v>
      </c>
      <c r="D14" s="9">
        <v>3085</v>
      </c>
    </row>
    <row r="15" spans="1:4" x14ac:dyDescent="0.25">
      <c r="A15" s="4" t="s">
        <v>1967</v>
      </c>
      <c r="B15" s="4">
        <v>412578</v>
      </c>
      <c r="C15" s="4" t="s">
        <v>3316</v>
      </c>
      <c r="D15" s="9">
        <v>8340</v>
      </c>
    </row>
    <row r="16" spans="1:4" x14ac:dyDescent="0.25">
      <c r="A16" s="4" t="s">
        <v>1967</v>
      </c>
      <c r="B16" s="4">
        <v>412581</v>
      </c>
      <c r="C16" s="4" t="s">
        <v>3317</v>
      </c>
      <c r="D16" s="9">
        <v>8840</v>
      </c>
    </row>
    <row r="17" spans="1:4" x14ac:dyDescent="0.25">
      <c r="A17" s="4" t="s">
        <v>1967</v>
      </c>
      <c r="B17" s="4">
        <v>412582</v>
      </c>
      <c r="C17" s="4" t="s">
        <v>3318</v>
      </c>
      <c r="D17" s="9">
        <v>2915</v>
      </c>
    </row>
    <row r="18" spans="1:4" x14ac:dyDescent="0.25">
      <c r="A18" s="4" t="s">
        <v>1967</v>
      </c>
      <c r="B18" s="4">
        <v>412583</v>
      </c>
      <c r="C18" s="4" t="s">
        <v>3319</v>
      </c>
      <c r="D18" s="9">
        <v>2670</v>
      </c>
    </row>
    <row r="19" spans="1:4" x14ac:dyDescent="0.25">
      <c r="A19" s="4" t="s">
        <v>1967</v>
      </c>
      <c r="B19" s="4">
        <v>412587</v>
      </c>
      <c r="C19" s="4" t="s">
        <v>3320</v>
      </c>
      <c r="D19" s="9">
        <v>5105</v>
      </c>
    </row>
    <row r="20" spans="1:4" x14ac:dyDescent="0.25">
      <c r="A20" s="4" t="s">
        <v>1967</v>
      </c>
      <c r="B20" s="4">
        <v>412588</v>
      </c>
      <c r="C20" s="4" t="s">
        <v>3321</v>
      </c>
      <c r="D20" s="9">
        <v>8665</v>
      </c>
    </row>
    <row r="21" spans="1:4" x14ac:dyDescent="0.25">
      <c r="A21" s="4" t="s">
        <v>1967</v>
      </c>
      <c r="B21" s="4">
        <v>412589</v>
      </c>
      <c r="C21" s="4" t="s">
        <v>3322</v>
      </c>
      <c r="D21" s="9">
        <v>11820</v>
      </c>
    </row>
    <row r="22" spans="1:4" x14ac:dyDescent="0.25">
      <c r="A22" s="4" t="s">
        <v>98</v>
      </c>
      <c r="B22" s="4">
        <v>412511</v>
      </c>
      <c r="C22" s="4" t="s">
        <v>3323</v>
      </c>
      <c r="D22" s="9">
        <v>230</v>
      </c>
    </row>
    <row r="23" spans="1:4" x14ac:dyDescent="0.25">
      <c r="A23" s="4" t="s">
        <v>1775</v>
      </c>
      <c r="B23" s="4">
        <v>412468</v>
      </c>
      <c r="C23" s="4" t="s">
        <v>3324</v>
      </c>
      <c r="D23" s="9">
        <v>1580</v>
      </c>
    </row>
    <row r="24" spans="1:4" x14ac:dyDescent="0.25">
      <c r="A24" s="4" t="s">
        <v>1635</v>
      </c>
      <c r="B24" s="4">
        <v>411864</v>
      </c>
      <c r="C24" s="4" t="s">
        <v>3287</v>
      </c>
      <c r="D24" s="9">
        <v>695</v>
      </c>
    </row>
    <row r="25" spans="1:4" x14ac:dyDescent="0.25">
      <c r="A25" s="4" t="s">
        <v>180</v>
      </c>
      <c r="B25" s="4">
        <v>395648</v>
      </c>
      <c r="C25" s="4" t="s">
        <v>3141</v>
      </c>
      <c r="D25" s="9">
        <v>1800</v>
      </c>
    </row>
    <row r="26" spans="1:4" x14ac:dyDescent="0.25">
      <c r="A26" s="4" t="s">
        <v>180</v>
      </c>
      <c r="B26" s="4">
        <v>400388</v>
      </c>
      <c r="C26" s="4" t="s">
        <v>3142</v>
      </c>
      <c r="D26" s="9">
        <v>595</v>
      </c>
    </row>
    <row r="27" spans="1:4" x14ac:dyDescent="0.25">
      <c r="A27" s="4" t="s">
        <v>180</v>
      </c>
      <c r="B27" s="4">
        <v>411822</v>
      </c>
      <c r="C27" s="4" t="s">
        <v>3325</v>
      </c>
      <c r="D27" s="9">
        <v>1380</v>
      </c>
    </row>
    <row r="28" spans="1:4" x14ac:dyDescent="0.25">
      <c r="A28" s="4" t="s">
        <v>315</v>
      </c>
      <c r="B28" s="4">
        <v>403407</v>
      </c>
      <c r="C28" s="4" t="s">
        <v>3261</v>
      </c>
      <c r="D28" s="9">
        <v>2400</v>
      </c>
    </row>
    <row r="29" spans="1:4" x14ac:dyDescent="0.25">
      <c r="A29" s="4" t="s">
        <v>315</v>
      </c>
      <c r="B29" s="4">
        <v>405115</v>
      </c>
      <c r="C29" s="4" t="s">
        <v>3214</v>
      </c>
      <c r="D29" s="9">
        <v>66</v>
      </c>
    </row>
    <row r="30" spans="1:4" x14ac:dyDescent="0.25">
      <c r="A30" s="4" t="s">
        <v>315</v>
      </c>
      <c r="B30" s="4">
        <v>405114</v>
      </c>
      <c r="C30" s="4" t="s">
        <v>3215</v>
      </c>
      <c r="D30" s="9">
        <v>66</v>
      </c>
    </row>
    <row r="31" spans="1:4" x14ac:dyDescent="0.25">
      <c r="A31" s="4" t="s">
        <v>315</v>
      </c>
      <c r="B31" s="4">
        <v>411863</v>
      </c>
      <c r="C31" s="4" t="s">
        <v>3277</v>
      </c>
      <c r="D31" s="9">
        <v>83</v>
      </c>
    </row>
    <row r="32" spans="1:4" x14ac:dyDescent="0.25">
      <c r="A32" s="4" t="s">
        <v>315</v>
      </c>
      <c r="B32" s="4">
        <v>412193</v>
      </c>
      <c r="C32" s="4" t="s">
        <v>3326</v>
      </c>
      <c r="D32" s="9">
        <v>165</v>
      </c>
    </row>
    <row r="33" spans="1:4" x14ac:dyDescent="0.25">
      <c r="A33" s="4" t="s">
        <v>832</v>
      </c>
      <c r="B33" s="4">
        <v>408859</v>
      </c>
      <c r="C33" s="4" t="s">
        <v>3253</v>
      </c>
      <c r="D33" s="9">
        <v>1885</v>
      </c>
    </row>
    <row r="34" spans="1:4" x14ac:dyDescent="0.25">
      <c r="A34" s="4" t="s">
        <v>995</v>
      </c>
      <c r="B34" s="4">
        <v>410550</v>
      </c>
      <c r="C34" s="4" t="s">
        <v>3281</v>
      </c>
      <c r="D34" s="9">
        <v>8585</v>
      </c>
    </row>
    <row r="35" spans="1:4" x14ac:dyDescent="0.25">
      <c r="A35" s="4" t="s">
        <v>995</v>
      </c>
      <c r="B35" s="4">
        <v>405117</v>
      </c>
      <c r="C35" s="4" t="s">
        <v>3257</v>
      </c>
      <c r="D35" s="9">
        <v>1685</v>
      </c>
    </row>
    <row r="36" spans="1:4" x14ac:dyDescent="0.25">
      <c r="A36" s="4" t="s">
        <v>151</v>
      </c>
      <c r="B36" s="4">
        <v>412290</v>
      </c>
      <c r="C36" s="4" t="s">
        <v>3302</v>
      </c>
      <c r="D36" s="9">
        <v>1650</v>
      </c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SUM(D3:D35)</f>
        <v>162855</v>
      </c>
    </row>
    <row r="93" spans="1:4" x14ac:dyDescent="0.25">
      <c r="C93" s="31" t="s">
        <v>2501</v>
      </c>
      <c r="D93" s="32">
        <f>SUM(D2)</f>
        <v>12965</v>
      </c>
    </row>
    <row r="94" spans="1:4" x14ac:dyDescent="0.25">
      <c r="C94" s="31" t="s">
        <v>83</v>
      </c>
      <c r="D94" s="32">
        <f>SUM(D92:D93)</f>
        <v>175820</v>
      </c>
    </row>
  </sheetData>
  <printOptions horizontalCentered="1"/>
  <pageMargins left="0.7" right="0.7" top="1.25" bottom="0.75" header="0.3" footer="0.3"/>
  <pageSetup paperSize="5" scale="8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F3FE-6352-4D1C-8952-E68B107DFF63}">
  <dimension ref="A1:D94"/>
  <sheetViews>
    <sheetView view="pageBreakPreview" topLeftCell="A16" zoomScaleNormal="100" zoomScaleSheetLayoutView="100" workbookViewId="0">
      <selection activeCell="H44" sqref="H44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412511</v>
      </c>
      <c r="C2" s="4" t="s">
        <v>3323</v>
      </c>
      <c r="D2" s="9">
        <v>230</v>
      </c>
    </row>
    <row r="3" spans="1:4" x14ac:dyDescent="0.25">
      <c r="A3" s="4" t="s">
        <v>147</v>
      </c>
      <c r="B3" s="4">
        <v>414262</v>
      </c>
      <c r="C3" s="4" t="s">
        <v>3327</v>
      </c>
      <c r="D3" s="9">
        <v>695</v>
      </c>
    </row>
    <row r="4" spans="1:4" x14ac:dyDescent="0.25">
      <c r="A4" s="4" t="s">
        <v>500</v>
      </c>
      <c r="B4" s="4">
        <v>412708</v>
      </c>
      <c r="C4" s="4" t="s">
        <v>3328</v>
      </c>
      <c r="D4" s="9">
        <v>12841</v>
      </c>
    </row>
    <row r="5" spans="1:4" x14ac:dyDescent="0.25">
      <c r="A5" s="4" t="s">
        <v>500</v>
      </c>
      <c r="B5" s="4">
        <v>412736</v>
      </c>
      <c r="C5" s="4" t="s">
        <v>3329</v>
      </c>
      <c r="D5" s="9">
        <v>28417</v>
      </c>
    </row>
    <row r="6" spans="1:4" x14ac:dyDescent="0.25">
      <c r="A6" s="4" t="s">
        <v>500</v>
      </c>
      <c r="B6" s="4">
        <v>412695</v>
      </c>
      <c r="C6" s="4" t="s">
        <v>3330</v>
      </c>
      <c r="D6" s="9">
        <v>18463</v>
      </c>
    </row>
    <row r="7" spans="1:4" x14ac:dyDescent="0.25">
      <c r="A7" s="4" t="s">
        <v>500</v>
      </c>
      <c r="B7" s="4">
        <v>412794</v>
      </c>
      <c r="C7" s="4" t="s">
        <v>3331</v>
      </c>
      <c r="D7" s="9">
        <v>228</v>
      </c>
    </row>
    <row r="8" spans="1:4" x14ac:dyDescent="0.25">
      <c r="A8" s="4" t="s">
        <v>500</v>
      </c>
      <c r="B8" s="4">
        <v>412790</v>
      </c>
      <c r="C8" s="4" t="s">
        <v>3332</v>
      </c>
      <c r="D8" s="9">
        <v>13372</v>
      </c>
    </row>
    <row r="9" spans="1:4" x14ac:dyDescent="0.25">
      <c r="A9" s="4" t="s">
        <v>500</v>
      </c>
      <c r="B9" s="4">
        <v>412792</v>
      </c>
      <c r="C9" s="4" t="s">
        <v>3333</v>
      </c>
      <c r="D9" s="9">
        <v>5395</v>
      </c>
    </row>
    <row r="10" spans="1:4" x14ac:dyDescent="0.25">
      <c r="A10" s="4" t="s">
        <v>500</v>
      </c>
      <c r="B10" s="4">
        <v>412713</v>
      </c>
      <c r="C10" s="4" t="s">
        <v>3334</v>
      </c>
      <c r="D10" s="9">
        <v>988</v>
      </c>
    </row>
    <row r="11" spans="1:4" x14ac:dyDescent="0.25">
      <c r="A11" s="4" t="s">
        <v>500</v>
      </c>
      <c r="B11" s="4">
        <v>412791</v>
      </c>
      <c r="C11" s="4" t="s">
        <v>3335</v>
      </c>
      <c r="D11" s="9">
        <v>1520</v>
      </c>
    </row>
    <row r="12" spans="1:4" x14ac:dyDescent="0.25">
      <c r="A12" s="4" t="s">
        <v>500</v>
      </c>
      <c r="B12" s="4">
        <v>412704</v>
      </c>
      <c r="C12" s="4" t="s">
        <v>3336</v>
      </c>
      <c r="D12" s="9">
        <v>16260</v>
      </c>
    </row>
    <row r="13" spans="1:4" x14ac:dyDescent="0.25">
      <c r="A13" s="4" t="s">
        <v>1775</v>
      </c>
      <c r="B13" s="4">
        <v>412468</v>
      </c>
      <c r="C13" s="4" t="s">
        <v>3324</v>
      </c>
      <c r="D13" s="9">
        <v>1580</v>
      </c>
    </row>
    <row r="14" spans="1:4" x14ac:dyDescent="0.25">
      <c r="A14" s="4" t="s">
        <v>1635</v>
      </c>
      <c r="B14" s="4">
        <v>411864</v>
      </c>
      <c r="C14" s="4" t="s">
        <v>3287</v>
      </c>
      <c r="D14" s="9">
        <v>695</v>
      </c>
    </row>
    <row r="15" spans="1:4" x14ac:dyDescent="0.25">
      <c r="A15" s="4" t="s">
        <v>180</v>
      </c>
      <c r="B15" s="4">
        <v>395648</v>
      </c>
      <c r="C15" s="4" t="s">
        <v>3141</v>
      </c>
      <c r="D15" s="9">
        <v>1800</v>
      </c>
    </row>
    <row r="16" spans="1:4" x14ac:dyDescent="0.25">
      <c r="A16" s="4" t="s">
        <v>180</v>
      </c>
      <c r="B16" s="4">
        <v>400388</v>
      </c>
      <c r="C16" s="4" t="s">
        <v>3142</v>
      </c>
      <c r="D16" s="9">
        <v>595</v>
      </c>
    </row>
    <row r="17" spans="1:4" x14ac:dyDescent="0.25">
      <c r="A17" s="4" t="s">
        <v>180</v>
      </c>
      <c r="B17" s="4">
        <v>412487</v>
      </c>
      <c r="C17" s="4" t="s">
        <v>3337</v>
      </c>
      <c r="D17" s="9">
        <v>31345</v>
      </c>
    </row>
    <row r="18" spans="1:4" x14ac:dyDescent="0.25">
      <c r="A18" s="4" t="s">
        <v>180</v>
      </c>
      <c r="B18" s="4">
        <v>411822</v>
      </c>
      <c r="C18" s="4" t="s">
        <v>3325</v>
      </c>
      <c r="D18" s="9">
        <v>1380</v>
      </c>
    </row>
    <row r="19" spans="1:4" x14ac:dyDescent="0.25">
      <c r="A19" s="4" t="s">
        <v>1103</v>
      </c>
      <c r="B19" s="4">
        <v>402586</v>
      </c>
      <c r="C19" s="4" t="s">
        <v>3338</v>
      </c>
      <c r="D19" s="9">
        <v>3300</v>
      </c>
    </row>
    <row r="20" spans="1:4" x14ac:dyDescent="0.25">
      <c r="A20" s="4" t="s">
        <v>1103</v>
      </c>
      <c r="B20" s="4">
        <v>402586</v>
      </c>
      <c r="C20" s="4" t="s">
        <v>3339</v>
      </c>
      <c r="D20" s="9">
        <v>3300</v>
      </c>
    </row>
    <row r="21" spans="1:4" x14ac:dyDescent="0.25">
      <c r="A21" s="4" t="s">
        <v>315</v>
      </c>
      <c r="B21" s="4">
        <v>405115</v>
      </c>
      <c r="C21" s="4" t="s">
        <v>3214</v>
      </c>
      <c r="D21" s="9">
        <v>66</v>
      </c>
    </row>
    <row r="22" spans="1:4" x14ac:dyDescent="0.25">
      <c r="A22" s="4" t="s">
        <v>315</v>
      </c>
      <c r="B22" s="4">
        <v>405114</v>
      </c>
      <c r="C22" s="4" t="s">
        <v>3215</v>
      </c>
      <c r="D22" s="9">
        <v>66</v>
      </c>
    </row>
    <row r="23" spans="1:4" x14ac:dyDescent="0.25">
      <c r="A23" s="4" t="s">
        <v>315</v>
      </c>
      <c r="B23" s="4">
        <v>411863</v>
      </c>
      <c r="C23" s="4" t="s">
        <v>3277</v>
      </c>
      <c r="D23" s="9">
        <v>83</v>
      </c>
    </row>
    <row r="24" spans="1:4" x14ac:dyDescent="0.25">
      <c r="A24" s="4" t="s">
        <v>315</v>
      </c>
      <c r="B24" s="4">
        <v>404008</v>
      </c>
      <c r="C24" s="4" t="s">
        <v>3340</v>
      </c>
      <c r="D24" s="9">
        <v>9000</v>
      </c>
    </row>
    <row r="25" spans="1:4" x14ac:dyDescent="0.25">
      <c r="A25" s="4" t="s">
        <v>315</v>
      </c>
      <c r="B25" s="4">
        <v>412193</v>
      </c>
      <c r="C25" s="4" t="s">
        <v>3326</v>
      </c>
      <c r="D25" s="9">
        <v>165</v>
      </c>
    </row>
    <row r="26" spans="1:4" x14ac:dyDescent="0.25">
      <c r="A26" s="4" t="s">
        <v>315</v>
      </c>
      <c r="B26" s="4">
        <v>406527</v>
      </c>
      <c r="C26" s="4" t="s">
        <v>3341</v>
      </c>
      <c r="D26" s="9">
        <v>3805</v>
      </c>
    </row>
    <row r="27" spans="1:4" x14ac:dyDescent="0.25">
      <c r="A27" s="4" t="s">
        <v>315</v>
      </c>
      <c r="B27" s="4">
        <v>406527</v>
      </c>
      <c r="C27" s="4" t="s">
        <v>3342</v>
      </c>
      <c r="D27" s="9">
        <v>23035</v>
      </c>
    </row>
    <row r="28" spans="1:4" x14ac:dyDescent="0.25">
      <c r="A28" s="4" t="s">
        <v>315</v>
      </c>
      <c r="B28" s="4">
        <v>406527</v>
      </c>
      <c r="C28" s="4" t="s">
        <v>3343</v>
      </c>
      <c r="D28" s="9">
        <v>18052</v>
      </c>
    </row>
    <row r="29" spans="1:4" x14ac:dyDescent="0.25">
      <c r="A29" s="4" t="s">
        <v>315</v>
      </c>
      <c r="B29" s="4">
        <v>406527</v>
      </c>
      <c r="C29" s="4" t="s">
        <v>3344</v>
      </c>
      <c r="D29" s="9">
        <v>35465</v>
      </c>
    </row>
    <row r="30" spans="1:4" x14ac:dyDescent="0.25">
      <c r="A30" s="4" t="s">
        <v>315</v>
      </c>
      <c r="B30" s="4">
        <v>406527</v>
      </c>
      <c r="C30" s="4" t="s">
        <v>3345</v>
      </c>
      <c r="D30" s="9">
        <v>11823</v>
      </c>
    </row>
    <row r="31" spans="1:4" x14ac:dyDescent="0.25">
      <c r="A31" s="4" t="s">
        <v>315</v>
      </c>
      <c r="B31" s="4">
        <v>406527</v>
      </c>
      <c r="C31" s="4" t="s">
        <v>3346</v>
      </c>
      <c r="D31" s="9">
        <v>3805</v>
      </c>
    </row>
    <row r="32" spans="1:4" x14ac:dyDescent="0.25">
      <c r="A32" s="4" t="s">
        <v>315</v>
      </c>
      <c r="B32" s="4">
        <v>406527</v>
      </c>
      <c r="C32" s="4" t="s">
        <v>3347</v>
      </c>
      <c r="D32" s="9">
        <v>13085</v>
      </c>
    </row>
    <row r="33" spans="1:4" x14ac:dyDescent="0.25">
      <c r="A33" s="4" t="s">
        <v>315</v>
      </c>
      <c r="B33" s="4">
        <v>406527</v>
      </c>
      <c r="C33" s="4" t="s">
        <v>3348</v>
      </c>
      <c r="D33" s="9">
        <v>6881</v>
      </c>
    </row>
    <row r="34" spans="1:4" x14ac:dyDescent="0.25">
      <c r="A34" s="4" t="s">
        <v>315</v>
      </c>
      <c r="B34" s="4">
        <v>403407</v>
      </c>
      <c r="C34" s="4" t="s">
        <v>3349</v>
      </c>
      <c r="D34" s="9">
        <v>2400</v>
      </c>
    </row>
    <row r="35" spans="1:4" x14ac:dyDescent="0.25">
      <c r="A35" s="4" t="s">
        <v>832</v>
      </c>
      <c r="B35" s="4">
        <v>414224</v>
      </c>
      <c r="C35" s="4" t="s">
        <v>3350</v>
      </c>
      <c r="D35" s="9">
        <v>595</v>
      </c>
    </row>
    <row r="36" spans="1:4" x14ac:dyDescent="0.25">
      <c r="A36" s="4" t="s">
        <v>832</v>
      </c>
      <c r="B36" s="4">
        <v>408859</v>
      </c>
      <c r="C36" s="4" t="s">
        <v>3253</v>
      </c>
      <c r="D36" s="9">
        <v>1885</v>
      </c>
    </row>
    <row r="37" spans="1:4" x14ac:dyDescent="0.25">
      <c r="A37" s="4" t="s">
        <v>995</v>
      </c>
      <c r="B37" s="4">
        <v>414274</v>
      </c>
      <c r="C37" s="4" t="s">
        <v>3351</v>
      </c>
      <c r="D37" s="9">
        <v>1380</v>
      </c>
    </row>
    <row r="38" spans="1:4" x14ac:dyDescent="0.25">
      <c r="A38" s="4" t="s">
        <v>995</v>
      </c>
      <c r="B38" s="4">
        <v>412710</v>
      </c>
      <c r="C38" s="4" t="s">
        <v>3352</v>
      </c>
      <c r="D38" s="9">
        <v>195</v>
      </c>
    </row>
    <row r="39" spans="1:4" x14ac:dyDescent="0.25">
      <c r="A39" s="4" t="s">
        <v>995</v>
      </c>
      <c r="B39" s="4">
        <v>411673</v>
      </c>
      <c r="C39" s="4" t="s">
        <v>3353</v>
      </c>
      <c r="D39" s="9">
        <v>395</v>
      </c>
    </row>
    <row r="40" spans="1:4" x14ac:dyDescent="0.25">
      <c r="A40" s="4" t="s">
        <v>995</v>
      </c>
      <c r="B40" s="4">
        <v>412712</v>
      </c>
      <c r="C40" s="4" t="s">
        <v>3354</v>
      </c>
      <c r="D40" s="9">
        <v>3295</v>
      </c>
    </row>
    <row r="41" spans="1:4" x14ac:dyDescent="0.25">
      <c r="A41" s="4" t="s">
        <v>995</v>
      </c>
      <c r="B41" s="4">
        <v>410550</v>
      </c>
      <c r="C41" s="4" t="s">
        <v>3281</v>
      </c>
      <c r="D41" s="9">
        <v>8585</v>
      </c>
    </row>
    <row r="42" spans="1:4" x14ac:dyDescent="0.25">
      <c r="A42" s="4" t="s">
        <v>995</v>
      </c>
      <c r="B42" s="4">
        <v>412709</v>
      </c>
      <c r="C42" s="4" t="s">
        <v>3355</v>
      </c>
      <c r="D42" s="9">
        <v>9885</v>
      </c>
    </row>
    <row r="43" spans="1:4" x14ac:dyDescent="0.25">
      <c r="A43" s="4" t="s">
        <v>995</v>
      </c>
      <c r="B43" s="4">
        <v>412711</v>
      </c>
      <c r="C43" s="4" t="s">
        <v>3356</v>
      </c>
      <c r="D43" s="9">
        <v>8585</v>
      </c>
    </row>
    <row r="44" spans="1:4" x14ac:dyDescent="0.25">
      <c r="A44" s="4" t="s">
        <v>995</v>
      </c>
      <c r="B44" s="4">
        <v>405117</v>
      </c>
      <c r="C44" s="4" t="s">
        <v>3257</v>
      </c>
      <c r="D44" s="9">
        <v>1685</v>
      </c>
    </row>
    <row r="45" spans="1:4" x14ac:dyDescent="0.25">
      <c r="A45" s="4" t="s">
        <v>52</v>
      </c>
      <c r="B45" s="4">
        <v>411807</v>
      </c>
      <c r="C45" s="4" t="s">
        <v>3357</v>
      </c>
      <c r="D45" s="9">
        <v>1000</v>
      </c>
    </row>
    <row r="46" spans="1:4" x14ac:dyDescent="0.25">
      <c r="A46" s="4" t="s">
        <v>1106</v>
      </c>
      <c r="B46" s="4">
        <v>414351</v>
      </c>
      <c r="C46" s="4" t="s">
        <v>3358</v>
      </c>
      <c r="D46" s="9">
        <v>8200</v>
      </c>
    </row>
    <row r="47" spans="1:4" x14ac:dyDescent="0.25">
      <c r="A47" s="4" t="s">
        <v>151</v>
      </c>
      <c r="B47" s="4">
        <v>412290</v>
      </c>
      <c r="C47" s="4" t="s">
        <v>3302</v>
      </c>
      <c r="D47" s="9">
        <v>1650</v>
      </c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SUM(D2:D3,D13:D47)</f>
        <v>219986</v>
      </c>
    </row>
    <row r="93" spans="1:4" x14ac:dyDescent="0.25">
      <c r="C93" s="31" t="s">
        <v>2501</v>
      </c>
      <c r="D93" s="32">
        <f>SUM(D4:D12)</f>
        <v>97484</v>
      </c>
    </row>
    <row r="94" spans="1:4" x14ac:dyDescent="0.25">
      <c r="C94" s="31" t="s">
        <v>83</v>
      </c>
      <c r="D94" s="32">
        <f>SUM(D92:D93)</f>
        <v>317470</v>
      </c>
    </row>
  </sheetData>
  <printOptions horizontalCentered="1"/>
  <pageMargins left="0.7" right="0.7" top="1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BDED-18B1-46BF-8D02-B0D8DA14A8DC}">
  <dimension ref="A1:D94"/>
  <sheetViews>
    <sheetView view="pageBreakPreview" zoomScaleNormal="100" zoomScaleSheetLayoutView="100" workbookViewId="0">
      <selection activeCell="E93" sqref="E93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412580</v>
      </c>
      <c r="C2" s="4" t="s">
        <v>3359</v>
      </c>
      <c r="D2" s="9">
        <v>1100</v>
      </c>
    </row>
    <row r="3" spans="1:4" x14ac:dyDescent="0.25">
      <c r="A3" s="4" t="s">
        <v>98</v>
      </c>
      <c r="B3" s="4">
        <v>412511</v>
      </c>
      <c r="C3" s="4" t="s">
        <v>3323</v>
      </c>
      <c r="D3" s="9">
        <v>230</v>
      </c>
    </row>
    <row r="4" spans="1:4" x14ac:dyDescent="0.25">
      <c r="A4" s="4" t="s">
        <v>98</v>
      </c>
      <c r="B4" s="4">
        <v>412572</v>
      </c>
      <c r="C4" s="4" t="s">
        <v>3360</v>
      </c>
      <c r="D4" s="9">
        <v>1570</v>
      </c>
    </row>
    <row r="5" spans="1:4" x14ac:dyDescent="0.25">
      <c r="A5" s="4" t="s">
        <v>98</v>
      </c>
      <c r="B5" s="4">
        <v>412739</v>
      </c>
      <c r="C5" s="4" t="s">
        <v>3361</v>
      </c>
      <c r="D5" s="9">
        <v>1495</v>
      </c>
    </row>
    <row r="6" spans="1:4" x14ac:dyDescent="0.25">
      <c r="A6" s="4" t="s">
        <v>2888</v>
      </c>
      <c r="B6" s="4">
        <v>403208</v>
      </c>
      <c r="C6" s="4" t="s">
        <v>3362</v>
      </c>
      <c r="D6" s="9">
        <v>3420</v>
      </c>
    </row>
    <row r="7" spans="1:4" x14ac:dyDescent="0.25">
      <c r="A7" s="4" t="s">
        <v>180</v>
      </c>
      <c r="B7" s="4">
        <v>395648</v>
      </c>
      <c r="C7" s="4" t="s">
        <v>3141</v>
      </c>
      <c r="D7" s="9">
        <v>1800</v>
      </c>
    </row>
    <row r="8" spans="1:4" x14ac:dyDescent="0.25">
      <c r="A8" s="4" t="s">
        <v>180</v>
      </c>
      <c r="B8" s="4">
        <v>400388</v>
      </c>
      <c r="C8" s="4" t="s">
        <v>3142</v>
      </c>
      <c r="D8" s="9">
        <v>595</v>
      </c>
    </row>
    <row r="9" spans="1:4" x14ac:dyDescent="0.25">
      <c r="A9" s="4" t="s">
        <v>315</v>
      </c>
      <c r="B9" s="4">
        <v>414921</v>
      </c>
      <c r="C9" s="4" t="s">
        <v>3363</v>
      </c>
      <c r="D9" s="9">
        <v>405</v>
      </c>
    </row>
    <row r="10" spans="1:4" x14ac:dyDescent="0.25">
      <c r="A10" s="4" t="s">
        <v>315</v>
      </c>
      <c r="B10" s="4">
        <v>412249</v>
      </c>
      <c r="C10" s="4" t="s">
        <v>3364</v>
      </c>
      <c r="D10" s="9">
        <v>3375</v>
      </c>
    </row>
    <row r="11" spans="1:4" x14ac:dyDescent="0.25">
      <c r="A11" s="4" t="s">
        <v>315</v>
      </c>
      <c r="B11" s="4">
        <v>412193</v>
      </c>
      <c r="C11" s="4" t="s">
        <v>3365</v>
      </c>
      <c r="D11" s="9">
        <v>165</v>
      </c>
    </row>
    <row r="12" spans="1:4" x14ac:dyDescent="0.25">
      <c r="A12" s="4" t="s">
        <v>315</v>
      </c>
      <c r="B12" s="4">
        <v>411863</v>
      </c>
      <c r="C12" s="4" t="s">
        <v>3277</v>
      </c>
      <c r="D12" s="9">
        <v>83</v>
      </c>
    </row>
    <row r="13" spans="1:4" x14ac:dyDescent="0.25">
      <c r="A13" s="4" t="s">
        <v>2291</v>
      </c>
      <c r="B13" s="4">
        <v>410301</v>
      </c>
      <c r="C13" s="4" t="s">
        <v>3366</v>
      </c>
      <c r="D13" s="9">
        <v>5216</v>
      </c>
    </row>
    <row r="14" spans="1:4" x14ac:dyDescent="0.25">
      <c r="A14" s="4" t="s">
        <v>2291</v>
      </c>
      <c r="B14" s="4">
        <v>410301</v>
      </c>
      <c r="C14" s="4" t="s">
        <v>3367</v>
      </c>
      <c r="D14" s="9">
        <v>14079</v>
      </c>
    </row>
    <row r="15" spans="1:4" x14ac:dyDescent="0.25">
      <c r="A15" s="4" t="s">
        <v>2291</v>
      </c>
      <c r="B15" s="4">
        <v>403425</v>
      </c>
      <c r="C15" s="4" t="s">
        <v>3368</v>
      </c>
      <c r="D15" s="9">
        <v>7625</v>
      </c>
    </row>
    <row r="16" spans="1:4" x14ac:dyDescent="0.25">
      <c r="A16" s="4" t="s">
        <v>832</v>
      </c>
      <c r="B16" s="4">
        <v>402608</v>
      </c>
      <c r="C16" s="4" t="s">
        <v>3369</v>
      </c>
      <c r="D16" s="9">
        <v>9020</v>
      </c>
    </row>
    <row r="17" spans="1:4" x14ac:dyDescent="0.25">
      <c r="A17" s="4" t="s">
        <v>832</v>
      </c>
      <c r="B17" s="4">
        <v>402608</v>
      </c>
      <c r="C17" s="4" t="s">
        <v>3370</v>
      </c>
      <c r="D17" s="9">
        <v>2195</v>
      </c>
    </row>
    <row r="18" spans="1:4" x14ac:dyDescent="0.25">
      <c r="A18" s="4" t="s">
        <v>832</v>
      </c>
      <c r="B18" s="4">
        <v>412634</v>
      </c>
      <c r="C18" s="4" t="s">
        <v>3371</v>
      </c>
      <c r="D18" s="9">
        <v>595</v>
      </c>
    </row>
    <row r="19" spans="1:4" x14ac:dyDescent="0.25">
      <c r="A19" s="4" t="s">
        <v>832</v>
      </c>
      <c r="B19" s="4">
        <v>408859</v>
      </c>
      <c r="C19" s="4" t="s">
        <v>3253</v>
      </c>
      <c r="D19" s="9">
        <v>1885</v>
      </c>
    </row>
    <row r="20" spans="1:4" x14ac:dyDescent="0.25">
      <c r="A20" s="4" t="s">
        <v>832</v>
      </c>
      <c r="B20" s="4">
        <v>403140</v>
      </c>
      <c r="C20" s="4" t="s">
        <v>3372</v>
      </c>
      <c r="D20" s="9">
        <v>3765</v>
      </c>
    </row>
    <row r="21" spans="1:4" x14ac:dyDescent="0.25">
      <c r="A21" s="4" t="s">
        <v>832</v>
      </c>
      <c r="B21" s="4">
        <v>403417</v>
      </c>
      <c r="C21" s="4" t="s">
        <v>3373</v>
      </c>
      <c r="D21" s="9">
        <v>625</v>
      </c>
    </row>
    <row r="22" spans="1:4" x14ac:dyDescent="0.25">
      <c r="A22" s="4" t="s">
        <v>995</v>
      </c>
      <c r="B22" s="4">
        <v>415004</v>
      </c>
      <c r="C22" s="4" t="s">
        <v>3374</v>
      </c>
      <c r="D22" s="9">
        <v>5875</v>
      </c>
    </row>
    <row r="23" spans="1:4" x14ac:dyDescent="0.25">
      <c r="A23" s="4" t="s">
        <v>995</v>
      </c>
      <c r="B23" s="4">
        <v>410550</v>
      </c>
      <c r="C23" s="4" t="s">
        <v>3281</v>
      </c>
      <c r="D23" s="9">
        <v>8585</v>
      </c>
    </row>
    <row r="24" spans="1:4" x14ac:dyDescent="0.25">
      <c r="A24" s="4" t="s">
        <v>995</v>
      </c>
      <c r="B24" s="4">
        <v>405117</v>
      </c>
      <c r="C24" s="4" t="s">
        <v>3257</v>
      </c>
      <c r="D24" s="9">
        <v>1685</v>
      </c>
    </row>
    <row r="25" spans="1:4" x14ac:dyDescent="0.25">
      <c r="A25" s="4" t="s">
        <v>995</v>
      </c>
      <c r="B25" s="4">
        <v>412361</v>
      </c>
      <c r="C25" s="4" t="s">
        <v>3375</v>
      </c>
      <c r="D25" s="9">
        <v>595</v>
      </c>
    </row>
    <row r="26" spans="1:4" x14ac:dyDescent="0.25">
      <c r="A26" s="4" t="s">
        <v>995</v>
      </c>
      <c r="B26" s="4">
        <v>412221</v>
      </c>
      <c r="C26" s="4" t="s">
        <v>3376</v>
      </c>
      <c r="D26" s="9">
        <v>495</v>
      </c>
    </row>
    <row r="27" spans="1:4" x14ac:dyDescent="0.25">
      <c r="A27" s="4" t="s">
        <v>995</v>
      </c>
      <c r="B27" s="4">
        <v>412222</v>
      </c>
      <c r="C27" s="4" t="s">
        <v>3377</v>
      </c>
      <c r="D27" s="9">
        <v>495</v>
      </c>
    </row>
    <row r="28" spans="1:4" x14ac:dyDescent="0.25">
      <c r="A28" s="4" t="s">
        <v>995</v>
      </c>
      <c r="B28" s="4">
        <v>412357</v>
      </c>
      <c r="C28" s="4" t="s">
        <v>3378</v>
      </c>
      <c r="D28" s="9">
        <v>21780</v>
      </c>
    </row>
    <row r="29" spans="1:4" x14ac:dyDescent="0.25">
      <c r="A29" s="4" t="s">
        <v>52</v>
      </c>
      <c r="B29" s="4">
        <v>411931</v>
      </c>
      <c r="C29" s="4" t="s">
        <v>3379</v>
      </c>
      <c r="D29" s="9">
        <v>1042</v>
      </c>
    </row>
    <row r="30" spans="1:4" x14ac:dyDescent="0.25">
      <c r="A30" s="4" t="s">
        <v>206</v>
      </c>
      <c r="B30" s="4">
        <v>410228</v>
      </c>
      <c r="C30" s="4" t="s">
        <v>3380</v>
      </c>
      <c r="D30" s="9">
        <v>3375</v>
      </c>
    </row>
    <row r="31" spans="1:4" x14ac:dyDescent="0.25">
      <c r="A31" s="4" t="s">
        <v>151</v>
      </c>
      <c r="B31" s="4">
        <v>412290</v>
      </c>
      <c r="C31" s="4" t="s">
        <v>3302</v>
      </c>
      <c r="D31" s="9">
        <v>1650</v>
      </c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SUM(D2:D31)</f>
        <v>104820</v>
      </c>
    </row>
    <row r="93" spans="1:4" x14ac:dyDescent="0.25">
      <c r="C93" s="31" t="s">
        <v>2501</v>
      </c>
      <c r="D93" s="32">
        <v>0</v>
      </c>
    </row>
    <row r="94" spans="1:4" x14ac:dyDescent="0.25">
      <c r="C94" s="31" t="s">
        <v>83</v>
      </c>
      <c r="D94" s="32">
        <f>SUM(D92:D93)</f>
        <v>104820</v>
      </c>
    </row>
  </sheetData>
  <printOptions horizontalCentered="1"/>
  <pageMargins left="0.7" right="0.7" top="1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024E-E71E-4133-A1D6-BE92E7BCC6B2}">
  <dimension ref="A1:D94"/>
  <sheetViews>
    <sheetView view="pageBreakPreview" zoomScaleNormal="100" zoomScaleSheetLayoutView="100" workbookViewId="0">
      <selection activeCell="M94" sqref="M94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412511</v>
      </c>
      <c r="C2" s="4" t="s">
        <v>3323</v>
      </c>
      <c r="D2" s="9">
        <v>230</v>
      </c>
    </row>
    <row r="3" spans="1:4" x14ac:dyDescent="0.25">
      <c r="A3" s="4" t="s">
        <v>2888</v>
      </c>
      <c r="B3" s="4">
        <v>403208</v>
      </c>
      <c r="C3" s="4" t="s">
        <v>3362</v>
      </c>
      <c r="D3" s="9">
        <v>3420</v>
      </c>
    </row>
    <row r="4" spans="1:4" x14ac:dyDescent="0.25">
      <c r="A4" s="4" t="s">
        <v>24</v>
      </c>
      <c r="B4" s="4">
        <v>415082</v>
      </c>
      <c r="C4" s="4" t="s">
        <v>3381</v>
      </c>
      <c r="D4" s="9">
        <v>428</v>
      </c>
    </row>
    <row r="5" spans="1:4" x14ac:dyDescent="0.25">
      <c r="A5" s="4" t="s">
        <v>24</v>
      </c>
      <c r="B5" s="4">
        <v>415063</v>
      </c>
      <c r="C5" s="4" t="s">
        <v>3382</v>
      </c>
      <c r="D5" s="9">
        <v>5212</v>
      </c>
    </row>
    <row r="6" spans="1:4" x14ac:dyDescent="0.25">
      <c r="A6" s="4" t="s">
        <v>24</v>
      </c>
      <c r="B6" s="4">
        <v>415128</v>
      </c>
      <c r="C6" s="4" t="s">
        <v>3383</v>
      </c>
      <c r="D6" s="9">
        <v>650</v>
      </c>
    </row>
    <row r="7" spans="1:4" x14ac:dyDescent="0.25">
      <c r="A7" s="4" t="s">
        <v>180</v>
      </c>
      <c r="B7" s="4">
        <v>395648</v>
      </c>
      <c r="C7" s="4" t="s">
        <v>3141</v>
      </c>
      <c r="D7" s="9">
        <v>1800</v>
      </c>
    </row>
    <row r="8" spans="1:4" x14ac:dyDescent="0.25">
      <c r="A8" s="4" t="s">
        <v>180</v>
      </c>
      <c r="B8" s="4">
        <v>400388</v>
      </c>
      <c r="C8" s="4" t="s">
        <v>3142</v>
      </c>
      <c r="D8" s="9">
        <v>595</v>
      </c>
    </row>
    <row r="9" spans="1:4" x14ac:dyDescent="0.25">
      <c r="A9" s="4" t="s">
        <v>315</v>
      </c>
      <c r="B9" s="4">
        <v>411863</v>
      </c>
      <c r="C9" s="4" t="s">
        <v>3277</v>
      </c>
      <c r="D9" s="9">
        <v>83</v>
      </c>
    </row>
    <row r="10" spans="1:4" x14ac:dyDescent="0.25">
      <c r="A10" s="4" t="s">
        <v>315</v>
      </c>
      <c r="B10" s="4">
        <v>414921</v>
      </c>
      <c r="C10" s="4" t="s">
        <v>3384</v>
      </c>
      <c r="D10" s="9">
        <v>405</v>
      </c>
    </row>
    <row r="11" spans="1:4" x14ac:dyDescent="0.25">
      <c r="A11" s="4" t="s">
        <v>315</v>
      </c>
      <c r="B11" s="4">
        <v>412249</v>
      </c>
      <c r="C11" s="4" t="s">
        <v>3385</v>
      </c>
      <c r="D11" s="9">
        <v>3375</v>
      </c>
    </row>
    <row r="12" spans="1:4" x14ac:dyDescent="0.25">
      <c r="A12" s="4" t="s">
        <v>315</v>
      </c>
      <c r="B12" s="4">
        <v>412193</v>
      </c>
      <c r="C12" s="4" t="s">
        <v>3326</v>
      </c>
      <c r="D12" s="9">
        <v>165</v>
      </c>
    </row>
    <row r="13" spans="1:4" x14ac:dyDescent="0.25">
      <c r="A13" s="4" t="s">
        <v>2291</v>
      </c>
      <c r="B13" s="4">
        <v>410301</v>
      </c>
      <c r="C13" s="4" t="s">
        <v>3366</v>
      </c>
      <c r="D13" s="9">
        <v>5216</v>
      </c>
    </row>
    <row r="14" spans="1:4" x14ac:dyDescent="0.25">
      <c r="A14" s="4" t="s">
        <v>2291</v>
      </c>
      <c r="B14" s="4">
        <v>410301</v>
      </c>
      <c r="C14" s="4" t="s">
        <v>3367</v>
      </c>
      <c r="D14" s="9">
        <v>14079</v>
      </c>
    </row>
    <row r="15" spans="1:4" x14ac:dyDescent="0.25">
      <c r="A15" s="4" t="s">
        <v>2291</v>
      </c>
      <c r="B15" s="4">
        <v>403425</v>
      </c>
      <c r="C15" s="4" t="s">
        <v>3368</v>
      </c>
      <c r="D15" s="9">
        <v>7625</v>
      </c>
    </row>
    <row r="16" spans="1:4" x14ac:dyDescent="0.25">
      <c r="A16" s="4" t="s">
        <v>832</v>
      </c>
      <c r="B16" s="4">
        <v>402608</v>
      </c>
      <c r="C16" s="4" t="s">
        <v>3369</v>
      </c>
      <c r="D16" s="9">
        <v>9020</v>
      </c>
    </row>
    <row r="17" spans="1:4" x14ac:dyDescent="0.25">
      <c r="A17" s="4" t="s">
        <v>832</v>
      </c>
      <c r="B17" s="4">
        <v>402608</v>
      </c>
      <c r="C17" s="4" t="s">
        <v>3370</v>
      </c>
      <c r="D17" s="9">
        <v>2195</v>
      </c>
    </row>
    <row r="18" spans="1:4" x14ac:dyDescent="0.25">
      <c r="A18" s="4" t="s">
        <v>832</v>
      </c>
      <c r="B18" s="4">
        <v>412634</v>
      </c>
      <c r="C18" s="4" t="s">
        <v>3371</v>
      </c>
      <c r="D18" s="9">
        <v>595</v>
      </c>
    </row>
    <row r="19" spans="1:4" x14ac:dyDescent="0.25">
      <c r="A19" s="4" t="s">
        <v>832</v>
      </c>
      <c r="B19" s="4">
        <v>408859</v>
      </c>
      <c r="C19" s="4" t="s">
        <v>3253</v>
      </c>
      <c r="D19" s="9">
        <v>1885</v>
      </c>
    </row>
    <row r="20" spans="1:4" x14ac:dyDescent="0.25">
      <c r="A20" s="4" t="s">
        <v>832</v>
      </c>
      <c r="B20" s="4">
        <v>403140</v>
      </c>
      <c r="C20" s="4" t="s">
        <v>3372</v>
      </c>
      <c r="D20" s="9">
        <v>3765</v>
      </c>
    </row>
    <row r="21" spans="1:4" x14ac:dyDescent="0.25">
      <c r="A21" s="4" t="s">
        <v>832</v>
      </c>
      <c r="B21" s="4">
        <v>403417</v>
      </c>
      <c r="C21" s="4" t="s">
        <v>3373</v>
      </c>
      <c r="D21" s="9">
        <v>625</v>
      </c>
    </row>
    <row r="22" spans="1:4" x14ac:dyDescent="0.25">
      <c r="A22" s="4" t="s">
        <v>995</v>
      </c>
      <c r="B22" s="4">
        <v>410550</v>
      </c>
      <c r="C22" s="4" t="s">
        <v>3281</v>
      </c>
      <c r="D22" s="9">
        <v>8585</v>
      </c>
    </row>
    <row r="23" spans="1:4" x14ac:dyDescent="0.25">
      <c r="A23" s="4" t="s">
        <v>995</v>
      </c>
      <c r="B23" s="4">
        <v>405117</v>
      </c>
      <c r="C23" s="4" t="s">
        <v>3257</v>
      </c>
      <c r="D23" s="9">
        <v>1685</v>
      </c>
    </row>
    <row r="24" spans="1:4" x14ac:dyDescent="0.25">
      <c r="A24" s="4" t="s">
        <v>995</v>
      </c>
      <c r="B24" s="4">
        <v>412361</v>
      </c>
      <c r="C24" s="4" t="s">
        <v>3375</v>
      </c>
      <c r="D24" s="9">
        <v>595</v>
      </c>
    </row>
    <row r="25" spans="1:4" x14ac:dyDescent="0.25">
      <c r="A25" s="4" t="s">
        <v>995</v>
      </c>
      <c r="B25" s="4">
        <v>412221</v>
      </c>
      <c r="C25" s="4" t="s">
        <v>3376</v>
      </c>
      <c r="D25" s="9">
        <v>495</v>
      </c>
    </row>
    <row r="26" spans="1:4" x14ac:dyDescent="0.25">
      <c r="A26" s="4" t="s">
        <v>995</v>
      </c>
      <c r="B26" s="4">
        <v>412222</v>
      </c>
      <c r="C26" s="4" t="s">
        <v>3377</v>
      </c>
      <c r="D26" s="9">
        <v>495</v>
      </c>
    </row>
    <row r="27" spans="1:4" x14ac:dyDescent="0.25">
      <c r="A27" s="4" t="s">
        <v>995</v>
      </c>
      <c r="B27" s="4">
        <v>412357</v>
      </c>
      <c r="C27" s="4" t="s">
        <v>3378</v>
      </c>
      <c r="D27" s="9">
        <v>21780</v>
      </c>
    </row>
    <row r="28" spans="1:4" x14ac:dyDescent="0.25">
      <c r="A28" s="4" t="s">
        <v>151</v>
      </c>
      <c r="B28" s="4">
        <v>412290</v>
      </c>
      <c r="C28" s="4" t="s">
        <v>3302</v>
      </c>
      <c r="D28" s="9">
        <v>1650</v>
      </c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SUM(D2:D3,D7:D28)</f>
        <v>90363</v>
      </c>
    </row>
    <row r="93" spans="1:4" x14ac:dyDescent="0.25">
      <c r="C93" s="31" t="s">
        <v>2501</v>
      </c>
      <c r="D93" s="32">
        <f>SUM(D4:D6)</f>
        <v>6290</v>
      </c>
    </row>
    <row r="94" spans="1:4" x14ac:dyDescent="0.25">
      <c r="C94" s="31" t="s">
        <v>83</v>
      </c>
      <c r="D94" s="32">
        <f>SUM(D92:D93)</f>
        <v>96653</v>
      </c>
    </row>
  </sheetData>
  <printOptions horizontalCentered="1"/>
  <pageMargins left="0.7" right="0.7" top="1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52AF-8007-4E07-8DDA-192DC5EC9E32}">
  <dimension ref="A1:D94"/>
  <sheetViews>
    <sheetView view="pageBreakPreview" topLeftCell="A37" zoomScaleNormal="100" zoomScaleSheetLayoutView="100" workbookViewId="0">
      <selection activeCell="J93" sqref="J93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412511</v>
      </c>
      <c r="C2" s="4" t="s">
        <v>3323</v>
      </c>
      <c r="D2" s="9">
        <v>230</v>
      </c>
    </row>
    <row r="3" spans="1:4" x14ac:dyDescent="0.25">
      <c r="A3" s="4" t="s">
        <v>98</v>
      </c>
      <c r="B3" s="4">
        <v>412572</v>
      </c>
      <c r="C3" s="4" t="s">
        <v>3386</v>
      </c>
      <c r="D3" s="9">
        <v>1395</v>
      </c>
    </row>
    <row r="4" spans="1:4" x14ac:dyDescent="0.25">
      <c r="A4" s="4" t="s">
        <v>256</v>
      </c>
      <c r="B4" s="4">
        <v>414583</v>
      </c>
      <c r="C4" s="4" t="s">
        <v>3387</v>
      </c>
      <c r="D4" s="9">
        <v>24930</v>
      </c>
    </row>
    <row r="5" spans="1:4" x14ac:dyDescent="0.25">
      <c r="A5" s="4" t="s">
        <v>2888</v>
      </c>
      <c r="B5" s="4">
        <v>403208</v>
      </c>
      <c r="C5" s="4" t="s">
        <v>3362</v>
      </c>
      <c r="D5" s="9">
        <v>3420</v>
      </c>
    </row>
    <row r="6" spans="1:4" x14ac:dyDescent="0.25">
      <c r="A6" s="4" t="s">
        <v>735</v>
      </c>
      <c r="B6" s="4">
        <v>415474</v>
      </c>
      <c r="C6" s="4" t="s">
        <v>3388</v>
      </c>
      <c r="D6" s="9">
        <v>2395</v>
      </c>
    </row>
    <row r="7" spans="1:4" x14ac:dyDescent="0.25">
      <c r="A7" s="4" t="s">
        <v>735</v>
      </c>
      <c r="B7" s="4">
        <v>415476</v>
      </c>
      <c r="C7" s="4" t="s">
        <v>3389</v>
      </c>
      <c r="D7" s="9">
        <v>2385</v>
      </c>
    </row>
    <row r="8" spans="1:4" x14ac:dyDescent="0.25">
      <c r="A8" s="4" t="s">
        <v>282</v>
      </c>
      <c r="B8" s="4">
        <v>412055</v>
      </c>
      <c r="C8" s="4" t="s">
        <v>3390</v>
      </c>
      <c r="D8" s="9">
        <v>44600</v>
      </c>
    </row>
    <row r="9" spans="1:4" x14ac:dyDescent="0.25">
      <c r="A9" s="4" t="s">
        <v>200</v>
      </c>
      <c r="B9" s="4">
        <v>415416</v>
      </c>
      <c r="C9" s="4" t="s">
        <v>3391</v>
      </c>
      <c r="D9" s="9">
        <v>4975</v>
      </c>
    </row>
    <row r="10" spans="1:4" x14ac:dyDescent="0.25">
      <c r="A10" s="4" t="s">
        <v>26</v>
      </c>
      <c r="B10" s="4">
        <v>415243</v>
      </c>
      <c r="C10" s="4" t="s">
        <v>3392</v>
      </c>
      <c r="D10" s="9">
        <v>9695</v>
      </c>
    </row>
    <row r="11" spans="1:4" x14ac:dyDescent="0.25">
      <c r="A11" s="4" t="s">
        <v>1582</v>
      </c>
      <c r="B11" s="4">
        <v>403107</v>
      </c>
      <c r="C11" s="4" t="s">
        <v>3393</v>
      </c>
      <c r="D11" s="9">
        <v>27364</v>
      </c>
    </row>
    <row r="12" spans="1:4" x14ac:dyDescent="0.25">
      <c r="A12" s="4" t="s">
        <v>1582</v>
      </c>
      <c r="B12" s="4">
        <v>403105</v>
      </c>
      <c r="C12" s="4" t="s">
        <v>3394</v>
      </c>
      <c r="D12" s="9">
        <v>5351</v>
      </c>
    </row>
    <row r="13" spans="1:4" x14ac:dyDescent="0.25">
      <c r="A13" s="4" t="s">
        <v>180</v>
      </c>
      <c r="B13" s="4">
        <v>395648</v>
      </c>
      <c r="C13" s="4" t="s">
        <v>3141</v>
      </c>
      <c r="D13" s="9">
        <v>1800</v>
      </c>
    </row>
    <row r="14" spans="1:4" x14ac:dyDescent="0.25">
      <c r="A14" s="4" t="s">
        <v>180</v>
      </c>
      <c r="B14" s="4">
        <v>400388</v>
      </c>
      <c r="C14" s="4" t="s">
        <v>3142</v>
      </c>
      <c r="D14" s="9">
        <v>595</v>
      </c>
    </row>
    <row r="15" spans="1:4" x14ac:dyDescent="0.25">
      <c r="A15" s="4" t="s">
        <v>1997</v>
      </c>
      <c r="B15" s="4">
        <v>395561</v>
      </c>
      <c r="C15" s="4" t="s">
        <v>3395</v>
      </c>
      <c r="D15" s="9">
        <v>1990</v>
      </c>
    </row>
    <row r="16" spans="1:4" x14ac:dyDescent="0.25">
      <c r="A16" s="4" t="s">
        <v>1948</v>
      </c>
      <c r="B16" s="4">
        <v>414749</v>
      </c>
      <c r="C16" s="4" t="s">
        <v>3396</v>
      </c>
      <c r="D16" s="9">
        <v>12890</v>
      </c>
    </row>
    <row r="17" spans="1:4" x14ac:dyDescent="0.25">
      <c r="A17" s="4" t="s">
        <v>1047</v>
      </c>
      <c r="B17" s="4">
        <v>412807</v>
      </c>
      <c r="C17" s="4" t="s">
        <v>3397</v>
      </c>
      <c r="D17" s="9">
        <v>3105</v>
      </c>
    </row>
    <row r="18" spans="1:4" x14ac:dyDescent="0.25">
      <c r="A18" s="4" t="s">
        <v>1047</v>
      </c>
      <c r="B18" s="4">
        <v>412826</v>
      </c>
      <c r="C18" s="4" t="s">
        <v>3398</v>
      </c>
      <c r="D18" s="9">
        <v>5795</v>
      </c>
    </row>
    <row r="19" spans="1:4" x14ac:dyDescent="0.25">
      <c r="A19" s="4" t="s">
        <v>1047</v>
      </c>
      <c r="B19" s="4">
        <v>414858</v>
      </c>
      <c r="C19" s="4" t="s">
        <v>3399</v>
      </c>
      <c r="D19" s="9">
        <v>18035</v>
      </c>
    </row>
    <row r="20" spans="1:4" x14ac:dyDescent="0.25">
      <c r="A20" s="4" t="s">
        <v>1047</v>
      </c>
      <c r="B20" s="4">
        <v>414806</v>
      </c>
      <c r="C20" s="4" t="s">
        <v>3400</v>
      </c>
      <c r="D20" s="9">
        <v>6340</v>
      </c>
    </row>
    <row r="21" spans="1:4" x14ac:dyDescent="0.25">
      <c r="A21" s="4" t="s">
        <v>1047</v>
      </c>
      <c r="B21" s="4">
        <v>412822</v>
      </c>
      <c r="C21" s="4" t="s">
        <v>3401</v>
      </c>
      <c r="D21" s="9">
        <v>19375</v>
      </c>
    </row>
    <row r="22" spans="1:4" x14ac:dyDescent="0.25">
      <c r="A22" s="4" t="s">
        <v>1047</v>
      </c>
      <c r="B22" s="4">
        <v>414808</v>
      </c>
      <c r="C22" s="4" t="s">
        <v>3402</v>
      </c>
      <c r="D22" s="9">
        <v>19375</v>
      </c>
    </row>
    <row r="23" spans="1:4" x14ac:dyDescent="0.25">
      <c r="A23" s="4" t="s">
        <v>1047</v>
      </c>
      <c r="B23" s="4">
        <v>414808</v>
      </c>
      <c r="C23" s="4" t="s">
        <v>3403</v>
      </c>
      <c r="D23" s="9">
        <v>19375</v>
      </c>
    </row>
    <row r="24" spans="1:4" x14ac:dyDescent="0.25">
      <c r="A24" s="4" t="s">
        <v>315</v>
      </c>
      <c r="B24" s="4">
        <v>412788</v>
      </c>
      <c r="C24" s="4" t="s">
        <v>3404</v>
      </c>
      <c r="D24" s="9">
        <v>38215</v>
      </c>
    </row>
    <row r="25" spans="1:4" x14ac:dyDescent="0.25">
      <c r="A25" s="4" t="s">
        <v>315</v>
      </c>
      <c r="B25" s="4">
        <v>414823</v>
      </c>
      <c r="C25" s="4" t="s">
        <v>3405</v>
      </c>
      <c r="D25" s="9">
        <v>795</v>
      </c>
    </row>
    <row r="26" spans="1:4" x14ac:dyDescent="0.25">
      <c r="A26" s="4" t="s">
        <v>315</v>
      </c>
      <c r="B26" s="4">
        <v>415677</v>
      </c>
      <c r="C26" s="4" t="s">
        <v>3406</v>
      </c>
      <c r="D26" s="9">
        <v>1695</v>
      </c>
    </row>
    <row r="27" spans="1:4" x14ac:dyDescent="0.25">
      <c r="A27" s="4" t="s">
        <v>315</v>
      </c>
      <c r="B27" s="4">
        <v>414969</v>
      </c>
      <c r="C27" s="4" t="s">
        <v>3407</v>
      </c>
      <c r="D27" s="9">
        <v>13750</v>
      </c>
    </row>
    <row r="28" spans="1:4" x14ac:dyDescent="0.25">
      <c r="A28" s="4" t="s">
        <v>315</v>
      </c>
      <c r="B28" s="4">
        <v>414969</v>
      </c>
      <c r="C28" s="4" t="s">
        <v>3408</v>
      </c>
      <c r="D28" s="9">
        <v>58955</v>
      </c>
    </row>
    <row r="29" spans="1:4" x14ac:dyDescent="0.25">
      <c r="A29" s="4" t="s">
        <v>315</v>
      </c>
      <c r="B29" s="4">
        <v>414969</v>
      </c>
      <c r="C29" s="4" t="s">
        <v>3409</v>
      </c>
      <c r="D29" s="9">
        <v>16710</v>
      </c>
    </row>
    <row r="30" spans="1:4" x14ac:dyDescent="0.25">
      <c r="A30" s="4" t="s">
        <v>315</v>
      </c>
      <c r="B30" s="4">
        <v>414616</v>
      </c>
      <c r="C30" s="4" t="s">
        <v>3410</v>
      </c>
      <c r="D30" s="9">
        <v>9805</v>
      </c>
    </row>
    <row r="31" spans="1:4" x14ac:dyDescent="0.25">
      <c r="A31" s="4" t="s">
        <v>315</v>
      </c>
      <c r="B31" s="4">
        <v>411863</v>
      </c>
      <c r="C31" s="4" t="s">
        <v>3277</v>
      </c>
      <c r="D31" s="9">
        <v>83</v>
      </c>
    </row>
    <row r="32" spans="1:4" x14ac:dyDescent="0.25">
      <c r="A32" s="4" t="s">
        <v>315</v>
      </c>
      <c r="B32" s="4">
        <v>414921</v>
      </c>
      <c r="C32" s="4" t="s">
        <v>3384</v>
      </c>
      <c r="D32" s="9">
        <v>405</v>
      </c>
    </row>
    <row r="33" spans="1:4" x14ac:dyDescent="0.25">
      <c r="A33" s="4" t="s">
        <v>315</v>
      </c>
      <c r="B33" s="4">
        <v>414617</v>
      </c>
      <c r="C33" s="4" t="s">
        <v>3411</v>
      </c>
      <c r="D33" s="9">
        <v>1850</v>
      </c>
    </row>
    <row r="34" spans="1:4" x14ac:dyDescent="0.25">
      <c r="A34" s="4" t="s">
        <v>315</v>
      </c>
      <c r="B34" s="4">
        <v>412249</v>
      </c>
      <c r="C34" s="4" t="s">
        <v>3385</v>
      </c>
      <c r="D34" s="9">
        <v>3375</v>
      </c>
    </row>
    <row r="35" spans="1:4" x14ac:dyDescent="0.25">
      <c r="A35" s="4" t="s">
        <v>315</v>
      </c>
      <c r="B35" s="4">
        <v>407771</v>
      </c>
      <c r="C35" s="4" t="s">
        <v>3412</v>
      </c>
      <c r="D35" s="9">
        <v>450</v>
      </c>
    </row>
    <row r="36" spans="1:4" x14ac:dyDescent="0.25">
      <c r="A36" s="4" t="s">
        <v>315</v>
      </c>
      <c r="B36" s="4">
        <v>412193</v>
      </c>
      <c r="C36" s="4" t="s">
        <v>3326</v>
      </c>
      <c r="D36" s="9">
        <v>165</v>
      </c>
    </row>
    <row r="37" spans="1:4" x14ac:dyDescent="0.25">
      <c r="A37" s="4" t="s">
        <v>2291</v>
      </c>
      <c r="B37" s="4">
        <v>410301</v>
      </c>
      <c r="C37" s="4" t="s">
        <v>3366</v>
      </c>
      <c r="D37" s="9">
        <v>5216</v>
      </c>
    </row>
    <row r="38" spans="1:4" x14ac:dyDescent="0.25">
      <c r="A38" s="4" t="s">
        <v>2291</v>
      </c>
      <c r="B38" s="4">
        <v>403425</v>
      </c>
      <c r="C38" s="4" t="s">
        <v>3368</v>
      </c>
      <c r="D38" s="9">
        <v>7625</v>
      </c>
    </row>
    <row r="39" spans="1:4" x14ac:dyDescent="0.25">
      <c r="A39" s="4" t="s">
        <v>2291</v>
      </c>
      <c r="B39" s="4">
        <v>410306</v>
      </c>
      <c r="C39" s="4" t="s">
        <v>3413</v>
      </c>
      <c r="D39" s="9">
        <v>3535</v>
      </c>
    </row>
    <row r="40" spans="1:4" x14ac:dyDescent="0.25">
      <c r="A40" s="4" t="s">
        <v>2291</v>
      </c>
      <c r="B40" s="4">
        <v>410301</v>
      </c>
      <c r="C40" s="4" t="s">
        <v>3414</v>
      </c>
      <c r="D40" s="9">
        <v>14079</v>
      </c>
    </row>
    <row r="41" spans="1:4" x14ac:dyDescent="0.25">
      <c r="A41" s="4" t="s">
        <v>832</v>
      </c>
      <c r="B41" s="4">
        <v>412446</v>
      </c>
      <c r="C41" s="4" t="s">
        <v>3415</v>
      </c>
      <c r="D41" s="9">
        <v>20715</v>
      </c>
    </row>
    <row r="42" spans="1:4" x14ac:dyDescent="0.25">
      <c r="A42" s="4" t="s">
        <v>832</v>
      </c>
      <c r="B42" s="4">
        <v>414137</v>
      </c>
      <c r="C42" s="4" t="s">
        <v>3416</v>
      </c>
      <c r="D42" s="9">
        <v>16065</v>
      </c>
    </row>
    <row r="43" spans="1:4" x14ac:dyDescent="0.25">
      <c r="A43" s="4" t="s">
        <v>832</v>
      </c>
      <c r="B43" s="4">
        <v>402608</v>
      </c>
      <c r="C43" s="4" t="s">
        <v>3369</v>
      </c>
      <c r="D43" s="9">
        <v>9020</v>
      </c>
    </row>
    <row r="44" spans="1:4" x14ac:dyDescent="0.25">
      <c r="A44" s="4" t="s">
        <v>832</v>
      </c>
      <c r="B44" s="4">
        <v>402608</v>
      </c>
      <c r="C44" s="4" t="s">
        <v>3370</v>
      </c>
      <c r="D44" s="9">
        <v>2195</v>
      </c>
    </row>
    <row r="45" spans="1:4" x14ac:dyDescent="0.25">
      <c r="A45" s="4" t="s">
        <v>832</v>
      </c>
      <c r="B45" s="4">
        <v>412634</v>
      </c>
      <c r="C45" s="4" t="s">
        <v>3371</v>
      </c>
      <c r="D45" s="9">
        <v>595</v>
      </c>
    </row>
    <row r="46" spans="1:4" x14ac:dyDescent="0.25">
      <c r="A46" s="4" t="s">
        <v>832</v>
      </c>
      <c r="B46" s="4">
        <v>408859</v>
      </c>
      <c r="C46" s="4" t="s">
        <v>3253</v>
      </c>
      <c r="D46" s="9">
        <v>1885</v>
      </c>
    </row>
    <row r="47" spans="1:4" x14ac:dyDescent="0.25">
      <c r="A47" s="4" t="s">
        <v>832</v>
      </c>
      <c r="B47" s="4">
        <v>403140</v>
      </c>
      <c r="C47" s="4" t="s">
        <v>3372</v>
      </c>
      <c r="D47" s="9">
        <v>3765</v>
      </c>
    </row>
    <row r="48" spans="1:4" x14ac:dyDescent="0.25">
      <c r="A48" s="4" t="s">
        <v>1535</v>
      </c>
      <c r="B48" s="4">
        <v>415037</v>
      </c>
      <c r="C48" s="4" t="s">
        <v>3417</v>
      </c>
      <c r="D48" s="9">
        <v>27530</v>
      </c>
    </row>
    <row r="49" spans="1:4" x14ac:dyDescent="0.25">
      <c r="A49" s="4" t="s">
        <v>995</v>
      </c>
      <c r="B49" s="4">
        <v>410550</v>
      </c>
      <c r="C49" s="4" t="s">
        <v>3281</v>
      </c>
      <c r="D49" s="9">
        <v>8585</v>
      </c>
    </row>
    <row r="50" spans="1:4" x14ac:dyDescent="0.25">
      <c r="A50" s="4" t="s">
        <v>995</v>
      </c>
      <c r="B50" s="4">
        <v>405117</v>
      </c>
      <c r="C50" s="4" t="s">
        <v>3257</v>
      </c>
      <c r="D50" s="9">
        <v>1685</v>
      </c>
    </row>
    <row r="51" spans="1:4" x14ac:dyDescent="0.25">
      <c r="A51" s="4" t="s">
        <v>995</v>
      </c>
      <c r="B51" s="4">
        <v>412221</v>
      </c>
      <c r="C51" s="4" t="s">
        <v>3376</v>
      </c>
      <c r="D51" s="9">
        <v>495</v>
      </c>
    </row>
    <row r="52" spans="1:4" x14ac:dyDescent="0.25">
      <c r="A52" s="4" t="s">
        <v>995</v>
      </c>
      <c r="B52" s="4">
        <v>412222</v>
      </c>
      <c r="C52" s="4" t="s">
        <v>3377</v>
      </c>
      <c r="D52" s="9">
        <v>495</v>
      </c>
    </row>
    <row r="53" spans="1:4" x14ac:dyDescent="0.25">
      <c r="A53" s="4" t="s">
        <v>52</v>
      </c>
      <c r="B53" s="4">
        <v>410117</v>
      </c>
      <c r="C53" s="4" t="s">
        <v>3418</v>
      </c>
      <c r="D53" s="9">
        <v>7040</v>
      </c>
    </row>
    <row r="54" spans="1:4" x14ac:dyDescent="0.25">
      <c r="A54" s="4" t="s">
        <v>52</v>
      </c>
      <c r="B54" s="4">
        <v>411840</v>
      </c>
      <c r="C54" s="4" t="s">
        <v>3419</v>
      </c>
      <c r="D54" s="9">
        <v>3180</v>
      </c>
    </row>
    <row r="55" spans="1:4" x14ac:dyDescent="0.25">
      <c r="A55" s="4" t="s">
        <v>241</v>
      </c>
      <c r="B55" s="4">
        <v>412385</v>
      </c>
      <c r="C55" s="4" t="s">
        <v>3420</v>
      </c>
      <c r="D55" s="9">
        <v>700</v>
      </c>
    </row>
    <row r="56" spans="1:4" x14ac:dyDescent="0.25">
      <c r="A56" s="4" t="s">
        <v>151</v>
      </c>
      <c r="B56" s="4">
        <v>412290</v>
      </c>
      <c r="C56" s="4" t="s">
        <v>3302</v>
      </c>
      <c r="D56" s="9">
        <v>1650</v>
      </c>
    </row>
    <row r="57" spans="1:4" x14ac:dyDescent="0.25">
      <c r="A57" s="4" t="s">
        <v>61</v>
      </c>
      <c r="B57" s="4">
        <v>415792</v>
      </c>
      <c r="C57" s="4" t="s">
        <v>3421</v>
      </c>
      <c r="D57" s="9">
        <v>1290</v>
      </c>
    </row>
    <row r="58" spans="1:4" x14ac:dyDescent="0.25">
      <c r="A58" s="4" t="s">
        <v>2831</v>
      </c>
      <c r="B58" s="4">
        <v>415536</v>
      </c>
      <c r="C58" s="4" t="s">
        <v>3422</v>
      </c>
      <c r="D58" s="9">
        <v>825</v>
      </c>
    </row>
    <row r="59" spans="1:4" x14ac:dyDescent="0.25">
      <c r="A59" s="4" t="s">
        <v>2831</v>
      </c>
      <c r="B59" s="4">
        <v>415533</v>
      </c>
      <c r="C59" s="4" t="s">
        <v>3423</v>
      </c>
      <c r="D59" s="9">
        <v>537</v>
      </c>
    </row>
    <row r="60" spans="1:4" x14ac:dyDescent="0.25">
      <c r="A60" s="4" t="s">
        <v>2831</v>
      </c>
      <c r="B60" s="4">
        <v>415534</v>
      </c>
      <c r="C60" s="4" t="s">
        <v>3424</v>
      </c>
      <c r="D60" s="9">
        <v>220</v>
      </c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SUM(D2:D56)</f>
        <v>517723</v>
      </c>
    </row>
    <row r="93" spans="1:4" x14ac:dyDescent="0.25">
      <c r="C93" s="31" t="s">
        <v>2501</v>
      </c>
      <c r="D93" s="32">
        <f>SUM(D57:D60)</f>
        <v>2872</v>
      </c>
    </row>
    <row r="94" spans="1:4" x14ac:dyDescent="0.25">
      <c r="C94" s="31" t="s">
        <v>83</v>
      </c>
      <c r="D94" s="32">
        <f>SUM(D92:D93)</f>
        <v>520595</v>
      </c>
    </row>
  </sheetData>
  <printOptions horizontalCentered="1"/>
  <pageMargins left="0.7" right="0.7" top="1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B0B9-58B6-4742-9D2F-3CB973A5F350}">
  <dimension ref="A1:D94"/>
  <sheetViews>
    <sheetView view="pageBreakPreview" topLeftCell="A25" zoomScaleNormal="100" zoomScaleSheetLayoutView="100" workbookViewId="0">
      <selection activeCell="H46" sqref="H46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412511</v>
      </c>
      <c r="C2" s="4" t="s">
        <v>3323</v>
      </c>
      <c r="D2" s="9">
        <v>230</v>
      </c>
    </row>
    <row r="3" spans="1:4" x14ac:dyDescent="0.25">
      <c r="A3" s="4" t="s">
        <v>98</v>
      </c>
      <c r="B3" s="4">
        <v>412572</v>
      </c>
      <c r="C3" s="4" t="s">
        <v>3386</v>
      </c>
      <c r="D3" s="9">
        <v>1395</v>
      </c>
    </row>
    <row r="4" spans="1:4" x14ac:dyDescent="0.25">
      <c r="A4" s="4" t="s">
        <v>2888</v>
      </c>
      <c r="B4" s="4">
        <v>403208</v>
      </c>
      <c r="C4" s="4" t="s">
        <v>3362</v>
      </c>
      <c r="D4" s="9">
        <v>3420</v>
      </c>
    </row>
    <row r="5" spans="1:4" x14ac:dyDescent="0.25">
      <c r="A5" s="4" t="s">
        <v>500</v>
      </c>
      <c r="B5" s="4">
        <v>416402</v>
      </c>
      <c r="C5" s="4" t="s">
        <v>3425</v>
      </c>
      <c r="D5" s="9">
        <v>356</v>
      </c>
    </row>
    <row r="6" spans="1:4" x14ac:dyDescent="0.25">
      <c r="A6" s="4" t="s">
        <v>500</v>
      </c>
      <c r="B6" s="4">
        <v>416413</v>
      </c>
      <c r="C6" s="4" t="s">
        <v>3426</v>
      </c>
      <c r="D6" s="9">
        <v>2750</v>
      </c>
    </row>
    <row r="7" spans="1:4" x14ac:dyDescent="0.25">
      <c r="A7" s="4" t="s">
        <v>81</v>
      </c>
      <c r="B7" s="4">
        <v>415367</v>
      </c>
      <c r="C7" s="4" t="s">
        <v>3427</v>
      </c>
      <c r="D7" s="9">
        <v>27727</v>
      </c>
    </row>
    <row r="8" spans="1:4" x14ac:dyDescent="0.25">
      <c r="A8" s="4" t="s">
        <v>81</v>
      </c>
      <c r="B8" s="4">
        <v>415368</v>
      </c>
      <c r="C8" s="4" t="s">
        <v>3428</v>
      </c>
      <c r="D8" s="9">
        <v>3093</v>
      </c>
    </row>
    <row r="9" spans="1:4" x14ac:dyDescent="0.25">
      <c r="A9" s="4" t="s">
        <v>175</v>
      </c>
      <c r="B9" s="4">
        <v>415835</v>
      </c>
      <c r="C9" s="4" t="s">
        <v>3429</v>
      </c>
      <c r="D9" s="9">
        <v>1795</v>
      </c>
    </row>
    <row r="10" spans="1:4" x14ac:dyDescent="0.25">
      <c r="A10" s="4" t="s">
        <v>175</v>
      </c>
      <c r="B10" s="4">
        <v>414967</v>
      </c>
      <c r="C10" s="4" t="s">
        <v>3430</v>
      </c>
      <c r="D10" s="9">
        <v>32855</v>
      </c>
    </row>
    <row r="11" spans="1:4" x14ac:dyDescent="0.25">
      <c r="A11" s="4" t="s">
        <v>2591</v>
      </c>
      <c r="B11" s="4">
        <v>415890</v>
      </c>
      <c r="C11" s="4" t="s">
        <v>3431</v>
      </c>
      <c r="D11" s="9">
        <v>3803</v>
      </c>
    </row>
    <row r="12" spans="1:4" x14ac:dyDescent="0.25">
      <c r="A12" s="4" t="s">
        <v>200</v>
      </c>
      <c r="B12" s="4">
        <v>415416</v>
      </c>
      <c r="C12" s="4" t="s">
        <v>3391</v>
      </c>
      <c r="D12" s="9">
        <v>4975</v>
      </c>
    </row>
    <row r="13" spans="1:4" x14ac:dyDescent="0.25">
      <c r="A13" s="4" t="s">
        <v>26</v>
      </c>
      <c r="B13" s="4">
        <v>415579</v>
      </c>
      <c r="C13" s="4" t="s">
        <v>3432</v>
      </c>
      <c r="D13" s="9">
        <v>1495</v>
      </c>
    </row>
    <row r="14" spans="1:4" x14ac:dyDescent="0.25">
      <c r="A14" s="4" t="s">
        <v>26</v>
      </c>
      <c r="B14" s="4">
        <v>409981</v>
      </c>
      <c r="C14" s="4" t="s">
        <v>3433</v>
      </c>
      <c r="D14" s="9">
        <v>595</v>
      </c>
    </row>
    <row r="15" spans="1:4" x14ac:dyDescent="0.25">
      <c r="A15" s="4" t="s">
        <v>26</v>
      </c>
      <c r="B15" s="4">
        <v>401926</v>
      </c>
      <c r="C15" s="4" t="s">
        <v>3434</v>
      </c>
      <c r="D15" s="9">
        <v>1800</v>
      </c>
    </row>
    <row r="16" spans="1:4" x14ac:dyDescent="0.25">
      <c r="A16" s="4" t="s">
        <v>26</v>
      </c>
      <c r="B16" s="4">
        <v>415445</v>
      </c>
      <c r="C16" s="4" t="s">
        <v>3435</v>
      </c>
      <c r="D16" s="9">
        <v>5750</v>
      </c>
    </row>
    <row r="17" spans="1:4" x14ac:dyDescent="0.25">
      <c r="A17" s="4" t="s">
        <v>26</v>
      </c>
      <c r="B17" s="4">
        <v>389271</v>
      </c>
      <c r="C17" s="4" t="s">
        <v>3436</v>
      </c>
      <c r="D17" s="9">
        <v>3375</v>
      </c>
    </row>
    <row r="18" spans="1:4" x14ac:dyDescent="0.25">
      <c r="A18" s="4" t="s">
        <v>1419</v>
      </c>
      <c r="B18" s="4">
        <v>415919</v>
      </c>
      <c r="C18" s="4" t="s">
        <v>3437</v>
      </c>
      <c r="D18" s="9">
        <v>3120</v>
      </c>
    </row>
    <row r="19" spans="1:4" x14ac:dyDescent="0.25">
      <c r="A19" s="4" t="s">
        <v>1582</v>
      </c>
      <c r="B19" s="4">
        <v>403112</v>
      </c>
      <c r="C19" s="4" t="s">
        <v>3438</v>
      </c>
      <c r="D19" s="9">
        <v>60566</v>
      </c>
    </row>
    <row r="20" spans="1:4" x14ac:dyDescent="0.25">
      <c r="A20" s="4" t="s">
        <v>1582</v>
      </c>
      <c r="B20" s="4">
        <v>403105</v>
      </c>
      <c r="C20" s="4" t="s">
        <v>3394</v>
      </c>
      <c r="D20" s="9">
        <v>5351</v>
      </c>
    </row>
    <row r="21" spans="1:4" x14ac:dyDescent="0.25">
      <c r="A21" s="4" t="s">
        <v>180</v>
      </c>
      <c r="B21" s="4">
        <v>395648</v>
      </c>
      <c r="C21" s="4" t="s">
        <v>3141</v>
      </c>
      <c r="D21" s="9">
        <v>1800</v>
      </c>
    </row>
    <row r="22" spans="1:4" x14ac:dyDescent="0.25">
      <c r="A22" s="4" t="s">
        <v>180</v>
      </c>
      <c r="B22" s="4">
        <v>400388</v>
      </c>
      <c r="C22" s="4" t="s">
        <v>3142</v>
      </c>
      <c r="D22" s="9">
        <v>595</v>
      </c>
    </row>
    <row r="23" spans="1:4" x14ac:dyDescent="0.25">
      <c r="A23" s="4" t="s">
        <v>1047</v>
      </c>
      <c r="B23" s="4">
        <v>412807</v>
      </c>
      <c r="C23" s="4" t="s">
        <v>3397</v>
      </c>
      <c r="D23" s="9">
        <v>3105</v>
      </c>
    </row>
    <row r="24" spans="1:4" x14ac:dyDescent="0.25">
      <c r="A24" s="4" t="s">
        <v>1047</v>
      </c>
      <c r="B24" s="4">
        <v>412826</v>
      </c>
      <c r="C24" s="4" t="s">
        <v>3398</v>
      </c>
      <c r="D24" s="9">
        <v>5795</v>
      </c>
    </row>
    <row r="25" spans="1:4" x14ac:dyDescent="0.25">
      <c r="A25" s="4" t="s">
        <v>1047</v>
      </c>
      <c r="B25" s="4">
        <v>414858</v>
      </c>
      <c r="C25" s="4" t="s">
        <v>3399</v>
      </c>
      <c r="D25" s="9">
        <v>18035</v>
      </c>
    </row>
    <row r="26" spans="1:4" x14ac:dyDescent="0.25">
      <c r="A26" s="4" t="s">
        <v>1047</v>
      </c>
      <c r="B26" s="4">
        <v>414806</v>
      </c>
      <c r="C26" s="4" t="s">
        <v>3400</v>
      </c>
      <c r="D26" s="9">
        <v>6340</v>
      </c>
    </row>
    <row r="27" spans="1:4" x14ac:dyDescent="0.25">
      <c r="A27" s="4" t="s">
        <v>1047</v>
      </c>
      <c r="B27" s="4">
        <v>412822</v>
      </c>
      <c r="C27" s="4" t="s">
        <v>3401</v>
      </c>
      <c r="D27" s="9">
        <v>19375</v>
      </c>
    </row>
    <row r="28" spans="1:4" x14ac:dyDescent="0.25">
      <c r="A28" s="4" t="s">
        <v>1047</v>
      </c>
      <c r="B28" s="4">
        <v>414808</v>
      </c>
      <c r="C28" s="4" t="s">
        <v>3402</v>
      </c>
      <c r="D28" s="9">
        <v>19375</v>
      </c>
    </row>
    <row r="29" spans="1:4" x14ac:dyDescent="0.25">
      <c r="A29" s="4" t="s">
        <v>1047</v>
      </c>
      <c r="B29" s="4">
        <v>414808</v>
      </c>
      <c r="C29" s="4" t="s">
        <v>3403</v>
      </c>
      <c r="D29" s="9">
        <v>19375</v>
      </c>
    </row>
    <row r="30" spans="1:4" x14ac:dyDescent="0.25">
      <c r="A30" s="4" t="s">
        <v>315</v>
      </c>
      <c r="B30" s="4">
        <v>414616</v>
      </c>
      <c r="C30" s="4" t="s">
        <v>3410</v>
      </c>
      <c r="D30" s="9">
        <v>9805</v>
      </c>
    </row>
    <row r="31" spans="1:4" x14ac:dyDescent="0.25">
      <c r="A31" s="4" t="s">
        <v>315</v>
      </c>
      <c r="B31" s="4">
        <v>411863</v>
      </c>
      <c r="C31" s="4" t="s">
        <v>3277</v>
      </c>
      <c r="D31" s="9">
        <v>83</v>
      </c>
    </row>
    <row r="32" spans="1:4" x14ac:dyDescent="0.25">
      <c r="A32" s="4" t="s">
        <v>315</v>
      </c>
      <c r="B32" s="4">
        <v>414921</v>
      </c>
      <c r="C32" s="4" t="s">
        <v>3384</v>
      </c>
      <c r="D32" s="9">
        <v>405</v>
      </c>
    </row>
    <row r="33" spans="1:4" x14ac:dyDescent="0.25">
      <c r="A33" s="4" t="s">
        <v>315</v>
      </c>
      <c r="B33" s="4">
        <v>414617</v>
      </c>
      <c r="C33" s="4" t="s">
        <v>3411</v>
      </c>
      <c r="D33" s="9">
        <v>1850</v>
      </c>
    </row>
    <row r="34" spans="1:4" x14ac:dyDescent="0.25">
      <c r="A34" s="4" t="s">
        <v>315</v>
      </c>
      <c r="B34" s="4">
        <v>412249</v>
      </c>
      <c r="C34" s="4" t="s">
        <v>3385</v>
      </c>
      <c r="D34" s="9">
        <v>3375</v>
      </c>
    </row>
    <row r="35" spans="1:4" x14ac:dyDescent="0.25">
      <c r="A35" s="4" t="s">
        <v>315</v>
      </c>
      <c r="B35" s="4">
        <v>407771</v>
      </c>
      <c r="C35" s="4" t="s">
        <v>3412</v>
      </c>
      <c r="D35" s="9">
        <v>450</v>
      </c>
    </row>
    <row r="36" spans="1:4" x14ac:dyDescent="0.25">
      <c r="A36" s="4" t="s">
        <v>315</v>
      </c>
      <c r="B36" s="4">
        <v>412193</v>
      </c>
      <c r="C36" s="4" t="s">
        <v>3326</v>
      </c>
      <c r="D36" s="9">
        <v>165</v>
      </c>
    </row>
    <row r="37" spans="1:4" x14ac:dyDescent="0.25">
      <c r="A37" s="4" t="s">
        <v>2291</v>
      </c>
      <c r="B37" s="4">
        <v>415937</v>
      </c>
      <c r="C37" s="4" t="s">
        <v>3439</v>
      </c>
      <c r="D37" s="9">
        <v>14079</v>
      </c>
    </row>
    <row r="38" spans="1:4" x14ac:dyDescent="0.25">
      <c r="A38" s="4" t="s">
        <v>832</v>
      </c>
      <c r="B38" s="4">
        <v>415023</v>
      </c>
      <c r="C38" s="4" t="s">
        <v>3440</v>
      </c>
      <c r="D38" s="9">
        <v>7950</v>
      </c>
    </row>
    <row r="39" spans="1:4" x14ac:dyDescent="0.25">
      <c r="A39" s="4" t="s">
        <v>832</v>
      </c>
      <c r="B39" s="4">
        <v>414482</v>
      </c>
      <c r="C39" s="4" t="s">
        <v>3441</v>
      </c>
      <c r="D39" s="9">
        <v>7550</v>
      </c>
    </row>
    <row r="40" spans="1:4" x14ac:dyDescent="0.25">
      <c r="A40" s="4" t="s">
        <v>832</v>
      </c>
      <c r="B40" s="4">
        <v>411669</v>
      </c>
      <c r="C40" s="4" t="s">
        <v>3442</v>
      </c>
      <c r="D40" s="9">
        <v>2465</v>
      </c>
    </row>
    <row r="41" spans="1:4" x14ac:dyDescent="0.25">
      <c r="A41" s="4" t="s">
        <v>832</v>
      </c>
      <c r="B41" s="4">
        <v>415023</v>
      </c>
      <c r="C41" s="4" t="s">
        <v>3443</v>
      </c>
      <c r="D41" s="9">
        <v>10595</v>
      </c>
    </row>
    <row r="42" spans="1:4" x14ac:dyDescent="0.25">
      <c r="A42" s="4" t="s">
        <v>832</v>
      </c>
      <c r="B42" s="4">
        <v>412634</v>
      </c>
      <c r="C42" s="4" t="s">
        <v>3371</v>
      </c>
      <c r="D42" s="9">
        <v>595</v>
      </c>
    </row>
    <row r="43" spans="1:4" x14ac:dyDescent="0.25">
      <c r="A43" s="4" t="s">
        <v>832</v>
      </c>
      <c r="B43" s="4">
        <v>411661</v>
      </c>
      <c r="C43" s="4" t="s">
        <v>3444</v>
      </c>
      <c r="D43" s="9">
        <v>5135</v>
      </c>
    </row>
    <row r="44" spans="1:4" x14ac:dyDescent="0.25">
      <c r="A44" s="4" t="s">
        <v>832</v>
      </c>
      <c r="B44" s="4">
        <v>410553</v>
      </c>
      <c r="C44" s="4" t="s">
        <v>3445</v>
      </c>
      <c r="D44" s="9">
        <v>6545</v>
      </c>
    </row>
    <row r="45" spans="1:4" x14ac:dyDescent="0.25">
      <c r="A45" s="4" t="s">
        <v>832</v>
      </c>
      <c r="B45" s="4">
        <v>408859</v>
      </c>
      <c r="C45" s="4" t="s">
        <v>3253</v>
      </c>
      <c r="D45" s="9">
        <v>1885</v>
      </c>
    </row>
    <row r="46" spans="1:4" x14ac:dyDescent="0.25">
      <c r="A46" s="4" t="s">
        <v>832</v>
      </c>
      <c r="B46" s="4">
        <v>403140</v>
      </c>
      <c r="C46" s="4" t="s">
        <v>3372</v>
      </c>
      <c r="D46" s="9">
        <v>3765</v>
      </c>
    </row>
    <row r="47" spans="1:4" x14ac:dyDescent="0.25">
      <c r="A47" s="4" t="s">
        <v>995</v>
      </c>
      <c r="B47" s="4">
        <v>415137</v>
      </c>
      <c r="C47" s="4" t="s">
        <v>3446</v>
      </c>
      <c r="D47" s="9">
        <v>12760</v>
      </c>
    </row>
    <row r="48" spans="1:4" x14ac:dyDescent="0.25">
      <c r="A48" s="4" t="s">
        <v>995</v>
      </c>
      <c r="B48" s="4">
        <v>412221</v>
      </c>
      <c r="C48" s="4" t="s">
        <v>3376</v>
      </c>
      <c r="D48" s="9">
        <v>495</v>
      </c>
    </row>
    <row r="49" spans="1:4" x14ac:dyDescent="0.25">
      <c r="A49" s="4" t="s">
        <v>995</v>
      </c>
      <c r="B49" s="4">
        <v>412222</v>
      </c>
      <c r="C49" s="4" t="s">
        <v>3377</v>
      </c>
      <c r="D49" s="9">
        <v>495</v>
      </c>
    </row>
    <row r="50" spans="1:4" x14ac:dyDescent="0.25">
      <c r="A50" s="4" t="s">
        <v>995</v>
      </c>
      <c r="B50" s="4">
        <v>410550</v>
      </c>
      <c r="C50" s="4" t="s">
        <v>3447</v>
      </c>
      <c r="D50" s="9">
        <v>8585</v>
      </c>
    </row>
    <row r="51" spans="1:4" x14ac:dyDescent="0.25">
      <c r="A51" s="4" t="s">
        <v>52</v>
      </c>
      <c r="B51" s="4">
        <v>411886</v>
      </c>
      <c r="C51" s="4" t="s">
        <v>3448</v>
      </c>
      <c r="D51" s="9">
        <v>1345</v>
      </c>
    </row>
    <row r="52" spans="1:4" x14ac:dyDescent="0.25">
      <c r="A52" s="4" t="s">
        <v>52</v>
      </c>
      <c r="B52" s="4">
        <v>410117</v>
      </c>
      <c r="C52" s="4" t="s">
        <v>3418</v>
      </c>
      <c r="D52" s="9">
        <v>7040</v>
      </c>
    </row>
    <row r="53" spans="1:4" x14ac:dyDescent="0.25">
      <c r="A53" s="4" t="s">
        <v>241</v>
      </c>
      <c r="B53" s="4">
        <v>412385</v>
      </c>
      <c r="C53" s="4" t="s">
        <v>3420</v>
      </c>
      <c r="D53" s="9">
        <v>700</v>
      </c>
    </row>
    <row r="54" spans="1:4" x14ac:dyDescent="0.25">
      <c r="A54" s="4" t="s">
        <v>151</v>
      </c>
      <c r="B54" s="4">
        <v>412290</v>
      </c>
      <c r="C54" s="4" t="s">
        <v>3302</v>
      </c>
      <c r="D54" s="9">
        <v>1650</v>
      </c>
    </row>
    <row r="55" spans="1:4" x14ac:dyDescent="0.25">
      <c r="A55" s="4" t="s">
        <v>61</v>
      </c>
      <c r="B55" s="4">
        <v>415896</v>
      </c>
      <c r="C55" s="4" t="s">
        <v>3449</v>
      </c>
      <c r="D55" s="9">
        <v>14540</v>
      </c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SUM(D2:D4,D9:D54)</f>
        <v>334087</v>
      </c>
    </row>
    <row r="93" spans="1:4" x14ac:dyDescent="0.25">
      <c r="C93" s="31" t="s">
        <v>2501</v>
      </c>
      <c r="D93" s="32">
        <f>SUM(D5:D8,D55)</f>
        <v>48466</v>
      </c>
    </row>
    <row r="94" spans="1:4" x14ac:dyDescent="0.25">
      <c r="C94" s="31" t="s">
        <v>83</v>
      </c>
      <c r="D94" s="32">
        <f>SUM(D92:D93)</f>
        <v>382553</v>
      </c>
    </row>
  </sheetData>
  <printOptions horizontalCentered="1"/>
  <pageMargins left="0.7" right="0.7" top="1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5501-4742-4C21-84FB-96EB99DC7D5D}">
  <dimension ref="A1:D94"/>
  <sheetViews>
    <sheetView view="pageBreakPreview" zoomScaleNormal="100" zoomScaleSheetLayoutView="100" workbookViewId="0">
      <selection activeCell="F8" sqref="F8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416790</v>
      </c>
      <c r="C2" s="4" t="s">
        <v>3451</v>
      </c>
      <c r="D2" s="9">
        <v>8030</v>
      </c>
    </row>
    <row r="3" spans="1:4" x14ac:dyDescent="0.25">
      <c r="A3" s="4" t="s">
        <v>98</v>
      </c>
      <c r="B3" s="4">
        <v>412572</v>
      </c>
      <c r="C3" s="4" t="s">
        <v>3386</v>
      </c>
      <c r="D3" s="9">
        <v>1395</v>
      </c>
    </row>
    <row r="4" spans="1:4" x14ac:dyDescent="0.25">
      <c r="A4" s="4" t="s">
        <v>98</v>
      </c>
      <c r="B4" s="4">
        <v>416154</v>
      </c>
      <c r="C4" s="4" t="s">
        <v>3452</v>
      </c>
      <c r="D4" s="9">
        <v>6980</v>
      </c>
    </row>
    <row r="5" spans="1:4" x14ac:dyDescent="0.25">
      <c r="A5" s="4" t="s">
        <v>98</v>
      </c>
      <c r="B5" s="4">
        <v>416154</v>
      </c>
      <c r="C5" s="4" t="s">
        <v>3453</v>
      </c>
      <c r="D5" s="9">
        <v>8060</v>
      </c>
    </row>
    <row r="6" spans="1:4" x14ac:dyDescent="0.25">
      <c r="A6" s="4" t="s">
        <v>98</v>
      </c>
      <c r="B6" s="4">
        <v>416154</v>
      </c>
      <c r="C6" s="4" t="s">
        <v>3454</v>
      </c>
      <c r="D6" s="9">
        <v>79650</v>
      </c>
    </row>
    <row r="7" spans="1:4" x14ac:dyDescent="0.25">
      <c r="A7" s="4" t="s">
        <v>98</v>
      </c>
      <c r="B7" s="4">
        <v>416154</v>
      </c>
      <c r="C7" s="4" t="s">
        <v>3455</v>
      </c>
      <c r="D7" s="9">
        <v>33075</v>
      </c>
    </row>
    <row r="8" spans="1:4" x14ac:dyDescent="0.25">
      <c r="A8" s="4" t="s">
        <v>98</v>
      </c>
      <c r="B8" s="4">
        <v>416154</v>
      </c>
      <c r="C8" s="4" t="s">
        <v>3456</v>
      </c>
      <c r="D8" s="9">
        <v>86990</v>
      </c>
    </row>
    <row r="9" spans="1:4" x14ac:dyDescent="0.25">
      <c r="A9" s="4" t="s">
        <v>98</v>
      </c>
      <c r="B9" s="4">
        <v>416154</v>
      </c>
      <c r="C9" s="4" t="s">
        <v>3457</v>
      </c>
      <c r="D9" s="9">
        <v>13930</v>
      </c>
    </row>
    <row r="10" spans="1:4" x14ac:dyDescent="0.25">
      <c r="A10" s="4" t="s">
        <v>147</v>
      </c>
      <c r="B10" s="4">
        <v>417018</v>
      </c>
      <c r="C10" s="4" t="s">
        <v>3458</v>
      </c>
      <c r="D10" s="9">
        <v>590</v>
      </c>
    </row>
    <row r="11" spans="1:4" x14ac:dyDescent="0.25">
      <c r="A11" s="4" t="s">
        <v>61</v>
      </c>
      <c r="B11" s="4">
        <v>417112</v>
      </c>
      <c r="C11" s="4" t="s">
        <v>3459</v>
      </c>
      <c r="D11" s="9">
        <v>9235</v>
      </c>
    </row>
    <row r="12" spans="1:4" x14ac:dyDescent="0.25">
      <c r="A12" s="4" t="s">
        <v>175</v>
      </c>
      <c r="B12" s="4">
        <v>416635</v>
      </c>
      <c r="C12" s="4" t="s">
        <v>3460</v>
      </c>
      <c r="D12" s="9">
        <v>895</v>
      </c>
    </row>
    <row r="13" spans="1:4" x14ac:dyDescent="0.25">
      <c r="A13" s="4" t="s">
        <v>2591</v>
      </c>
      <c r="B13" s="4">
        <v>415890</v>
      </c>
      <c r="C13" s="4" t="s">
        <v>3431</v>
      </c>
      <c r="D13" s="9">
        <v>3803</v>
      </c>
    </row>
    <row r="14" spans="1:4" x14ac:dyDescent="0.25">
      <c r="A14" s="4" t="s">
        <v>1419</v>
      </c>
      <c r="B14" s="4">
        <v>415919</v>
      </c>
      <c r="C14" s="4" t="s">
        <v>3437</v>
      </c>
      <c r="D14" s="9">
        <v>3120</v>
      </c>
    </row>
    <row r="15" spans="1:4" x14ac:dyDescent="0.25">
      <c r="A15" s="4" t="s">
        <v>180</v>
      </c>
      <c r="B15" s="4">
        <v>414913</v>
      </c>
      <c r="C15" s="4" t="s">
        <v>3461</v>
      </c>
      <c r="D15" s="9">
        <v>21180</v>
      </c>
    </row>
    <row r="16" spans="1:4" x14ac:dyDescent="0.25">
      <c r="A16" s="4" t="s">
        <v>180</v>
      </c>
      <c r="B16" s="4">
        <v>414913</v>
      </c>
      <c r="C16" s="4" t="s">
        <v>3462</v>
      </c>
      <c r="D16" s="9">
        <v>2900</v>
      </c>
    </row>
    <row r="17" spans="1:4" x14ac:dyDescent="0.25">
      <c r="A17" s="4" t="s">
        <v>180</v>
      </c>
      <c r="B17" s="4">
        <v>414913</v>
      </c>
      <c r="C17" s="4" t="s">
        <v>3463</v>
      </c>
      <c r="D17" s="9">
        <v>21180</v>
      </c>
    </row>
    <row r="18" spans="1:4" x14ac:dyDescent="0.25">
      <c r="A18" s="4" t="s">
        <v>180</v>
      </c>
      <c r="B18" s="4">
        <v>414913</v>
      </c>
      <c r="C18" s="4" t="s">
        <v>3464</v>
      </c>
      <c r="D18" s="9">
        <v>2000</v>
      </c>
    </row>
    <row r="19" spans="1:4" x14ac:dyDescent="0.25">
      <c r="A19" s="4" t="s">
        <v>315</v>
      </c>
      <c r="B19" s="4">
        <v>413995</v>
      </c>
      <c r="C19" s="4" t="s">
        <v>3465</v>
      </c>
      <c r="D19" s="9">
        <v>2200</v>
      </c>
    </row>
    <row r="20" spans="1:4" x14ac:dyDescent="0.25">
      <c r="A20" s="4" t="s">
        <v>832</v>
      </c>
      <c r="B20" s="4">
        <v>415023</v>
      </c>
      <c r="C20" s="4" t="s">
        <v>3450</v>
      </c>
      <c r="D20" s="9">
        <v>7950</v>
      </c>
    </row>
    <row r="21" spans="1:4" x14ac:dyDescent="0.25">
      <c r="A21" s="4" t="s">
        <v>2970</v>
      </c>
      <c r="B21" s="4">
        <v>416031</v>
      </c>
      <c r="C21" s="4" t="s">
        <v>3466</v>
      </c>
      <c r="D21" s="9">
        <v>845</v>
      </c>
    </row>
    <row r="22" spans="1:4" x14ac:dyDescent="0.25">
      <c r="A22" s="4" t="s">
        <v>241</v>
      </c>
      <c r="B22" s="4">
        <v>415414</v>
      </c>
      <c r="C22" s="4" t="s">
        <v>3467</v>
      </c>
      <c r="D22" s="9">
        <v>2000</v>
      </c>
    </row>
    <row r="23" spans="1:4" x14ac:dyDescent="0.25">
      <c r="A23" s="4" t="s">
        <v>241</v>
      </c>
      <c r="B23" s="4">
        <v>412385</v>
      </c>
      <c r="C23" s="4" t="s">
        <v>3420</v>
      </c>
      <c r="D23" s="9">
        <v>700</v>
      </c>
    </row>
    <row r="24" spans="1:4" x14ac:dyDescent="0.25">
      <c r="A24" s="4" t="s">
        <v>61</v>
      </c>
      <c r="B24" s="4">
        <v>417121</v>
      </c>
      <c r="C24" s="4" t="s">
        <v>3468</v>
      </c>
      <c r="D24" s="9">
        <v>12319</v>
      </c>
    </row>
    <row r="25" spans="1:4" x14ac:dyDescent="0.25">
      <c r="A25" s="4" t="s">
        <v>61</v>
      </c>
      <c r="B25" s="4">
        <v>417125</v>
      </c>
      <c r="C25" s="4" t="s">
        <v>3469</v>
      </c>
      <c r="D25" s="9">
        <v>9561</v>
      </c>
    </row>
    <row r="26" spans="1:4" hidden="1" x14ac:dyDescent="0.25">
      <c r="A26" s="4"/>
      <c r="B26" s="4"/>
      <c r="C26" s="4"/>
      <c r="D26" s="9"/>
    </row>
    <row r="27" spans="1:4" hidden="1" x14ac:dyDescent="0.25">
      <c r="A27" s="4"/>
      <c r="B27" s="4"/>
      <c r="C27" s="4"/>
      <c r="D27" s="9"/>
    </row>
    <row r="28" spans="1:4" hidden="1" x14ac:dyDescent="0.25">
      <c r="A28" s="4"/>
      <c r="B28" s="4"/>
      <c r="C28" s="4"/>
      <c r="D28" s="9"/>
    </row>
    <row r="29" spans="1:4" hidden="1" x14ac:dyDescent="0.25">
      <c r="A29" s="4"/>
      <c r="B29" s="4"/>
      <c r="C29" s="4"/>
      <c r="D29" s="9"/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SUM(D2:D34)</f>
        <v>338588</v>
      </c>
    </row>
    <row r="93" spans="1:4" x14ac:dyDescent="0.25">
      <c r="C93" s="31" t="s">
        <v>2501</v>
      </c>
      <c r="D93" s="32">
        <v>0</v>
      </c>
    </row>
    <row r="94" spans="1:4" x14ac:dyDescent="0.25">
      <c r="C94" s="31" t="s">
        <v>83</v>
      </c>
      <c r="D94" s="32">
        <f>SUM(D92:D93)</f>
        <v>338588</v>
      </c>
    </row>
  </sheetData>
  <printOptions horizontalCentered="1"/>
  <pageMargins left="0.7" right="0.7" top="1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4135-6C34-4305-BDAC-7D31818793F2}">
  <dimension ref="A1:D94"/>
  <sheetViews>
    <sheetView view="pageBreakPreview" zoomScaleNormal="100" zoomScaleSheetLayoutView="100" workbookViewId="0">
      <selection activeCell="M19" sqref="M19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416790</v>
      </c>
      <c r="C2" s="4" t="s">
        <v>3451</v>
      </c>
      <c r="D2" s="9">
        <v>8030</v>
      </c>
    </row>
    <row r="3" spans="1:4" x14ac:dyDescent="0.25">
      <c r="A3" s="4" t="s">
        <v>98</v>
      </c>
      <c r="B3" s="4">
        <v>412572</v>
      </c>
      <c r="C3" s="4" t="s">
        <v>3386</v>
      </c>
      <c r="D3" s="9">
        <v>1395</v>
      </c>
    </row>
    <row r="4" spans="1:4" x14ac:dyDescent="0.25">
      <c r="A4" s="4" t="s">
        <v>98</v>
      </c>
      <c r="B4" s="4">
        <v>416154</v>
      </c>
      <c r="C4" s="4" t="s">
        <v>3452</v>
      </c>
      <c r="D4" s="9">
        <v>6980</v>
      </c>
    </row>
    <row r="5" spans="1:4" x14ac:dyDescent="0.25">
      <c r="A5" s="4" t="s">
        <v>98</v>
      </c>
      <c r="B5" s="4">
        <v>416154</v>
      </c>
      <c r="C5" s="4" t="s">
        <v>3453</v>
      </c>
      <c r="D5" s="9">
        <v>8060</v>
      </c>
    </row>
    <row r="6" spans="1:4" x14ac:dyDescent="0.25">
      <c r="A6" s="4" t="s">
        <v>98</v>
      </c>
      <c r="B6" s="4">
        <v>416154</v>
      </c>
      <c r="C6" s="4" t="s">
        <v>3454</v>
      </c>
      <c r="D6" s="9">
        <v>79650</v>
      </c>
    </row>
    <row r="7" spans="1:4" x14ac:dyDescent="0.25">
      <c r="A7" s="4" t="s">
        <v>98</v>
      </c>
      <c r="B7" s="4">
        <v>416154</v>
      </c>
      <c r="C7" s="4" t="s">
        <v>3455</v>
      </c>
      <c r="D7" s="9">
        <v>33075</v>
      </c>
    </row>
    <row r="8" spans="1:4" x14ac:dyDescent="0.25">
      <c r="A8" s="4" t="s">
        <v>98</v>
      </c>
      <c r="B8" s="4">
        <v>416154</v>
      </c>
      <c r="C8" s="4" t="s">
        <v>3456</v>
      </c>
      <c r="D8" s="9">
        <v>86990</v>
      </c>
    </row>
    <row r="9" spans="1:4" x14ac:dyDescent="0.25">
      <c r="A9" s="4" t="s">
        <v>98</v>
      </c>
      <c r="B9" s="4">
        <v>416154</v>
      </c>
      <c r="C9" s="4" t="s">
        <v>3457</v>
      </c>
      <c r="D9" s="9">
        <v>13930</v>
      </c>
    </row>
    <row r="10" spans="1:4" x14ac:dyDescent="0.25">
      <c r="A10" s="4" t="s">
        <v>81</v>
      </c>
      <c r="B10" s="4">
        <v>417259</v>
      </c>
      <c r="C10" s="4" t="s">
        <v>3470</v>
      </c>
      <c r="D10" s="9">
        <v>5624</v>
      </c>
    </row>
    <row r="11" spans="1:4" x14ac:dyDescent="0.25">
      <c r="A11" s="4" t="s">
        <v>175</v>
      </c>
      <c r="B11" s="4">
        <v>416635</v>
      </c>
      <c r="C11" s="4" t="s">
        <v>3460</v>
      </c>
      <c r="D11" s="9">
        <v>895</v>
      </c>
    </row>
    <row r="12" spans="1:4" x14ac:dyDescent="0.25">
      <c r="A12" s="4" t="s">
        <v>2591</v>
      </c>
      <c r="B12" s="4">
        <v>415890</v>
      </c>
      <c r="C12" s="4" t="s">
        <v>3431</v>
      </c>
      <c r="D12" s="9">
        <v>3803</v>
      </c>
    </row>
    <row r="13" spans="1:4" x14ac:dyDescent="0.25">
      <c r="A13" s="4" t="s">
        <v>1419</v>
      </c>
      <c r="B13" s="4">
        <v>415919</v>
      </c>
      <c r="C13" s="4" t="s">
        <v>3437</v>
      </c>
      <c r="D13" s="9">
        <v>3120</v>
      </c>
    </row>
    <row r="14" spans="1:4" x14ac:dyDescent="0.25">
      <c r="A14" s="4" t="s">
        <v>180</v>
      </c>
      <c r="B14" s="4">
        <v>414913</v>
      </c>
      <c r="C14" s="4" t="s">
        <v>3461</v>
      </c>
      <c r="D14" s="9">
        <v>21180</v>
      </c>
    </row>
    <row r="15" spans="1:4" x14ac:dyDescent="0.25">
      <c r="A15" s="4" t="s">
        <v>180</v>
      </c>
      <c r="B15" s="4">
        <v>414913</v>
      </c>
      <c r="C15" s="4" t="s">
        <v>3462</v>
      </c>
      <c r="D15" s="9">
        <v>2900</v>
      </c>
    </row>
    <row r="16" spans="1:4" x14ac:dyDescent="0.25">
      <c r="A16" s="4" t="s">
        <v>180</v>
      </c>
      <c r="B16" s="4">
        <v>414913</v>
      </c>
      <c r="C16" s="4" t="s">
        <v>3463</v>
      </c>
      <c r="D16" s="9">
        <v>21180</v>
      </c>
    </row>
    <row r="17" spans="1:4" x14ac:dyDescent="0.25">
      <c r="A17" s="4" t="s">
        <v>180</v>
      </c>
      <c r="B17" s="4">
        <v>414913</v>
      </c>
      <c r="C17" s="4" t="s">
        <v>3464</v>
      </c>
      <c r="D17" s="9">
        <v>2000</v>
      </c>
    </row>
    <row r="18" spans="1:4" x14ac:dyDescent="0.25">
      <c r="A18" s="4" t="s">
        <v>315</v>
      </c>
      <c r="B18" s="4">
        <v>413995</v>
      </c>
      <c r="C18" s="4" t="s">
        <v>3465</v>
      </c>
      <c r="D18" s="9">
        <v>2200</v>
      </c>
    </row>
    <row r="19" spans="1:4" x14ac:dyDescent="0.25">
      <c r="A19" s="4" t="s">
        <v>832</v>
      </c>
      <c r="B19" s="4">
        <v>414905</v>
      </c>
      <c r="C19" s="4" t="s">
        <v>3471</v>
      </c>
      <c r="D19" s="9">
        <v>11323</v>
      </c>
    </row>
    <row r="20" spans="1:4" x14ac:dyDescent="0.25">
      <c r="A20" s="4" t="s">
        <v>832</v>
      </c>
      <c r="B20" s="4">
        <v>414904</v>
      </c>
      <c r="C20" s="4" t="s">
        <v>3472</v>
      </c>
      <c r="D20" s="9">
        <v>9410</v>
      </c>
    </row>
    <row r="21" spans="1:4" x14ac:dyDescent="0.25">
      <c r="A21" s="4" t="s">
        <v>832</v>
      </c>
      <c r="B21" s="4">
        <v>415023</v>
      </c>
      <c r="C21" s="4" t="s">
        <v>3450</v>
      </c>
      <c r="D21" s="9">
        <v>7950</v>
      </c>
    </row>
    <row r="22" spans="1:4" x14ac:dyDescent="0.25">
      <c r="A22" s="4" t="s">
        <v>832</v>
      </c>
      <c r="B22" s="4">
        <v>414904</v>
      </c>
      <c r="C22" s="4" t="s">
        <v>3473</v>
      </c>
      <c r="D22" s="9">
        <v>5298</v>
      </c>
    </row>
    <row r="23" spans="1:4" x14ac:dyDescent="0.25">
      <c r="A23" s="4" t="s">
        <v>832</v>
      </c>
      <c r="B23" s="4">
        <v>414904</v>
      </c>
      <c r="C23" s="4" t="s">
        <v>3474</v>
      </c>
      <c r="D23" s="9">
        <v>4310</v>
      </c>
    </row>
    <row r="24" spans="1:4" x14ac:dyDescent="0.25">
      <c r="A24" s="4" t="s">
        <v>832</v>
      </c>
      <c r="B24" s="4">
        <v>414904</v>
      </c>
      <c r="C24" s="4" t="s">
        <v>3475</v>
      </c>
      <c r="D24" s="9">
        <v>588</v>
      </c>
    </row>
    <row r="25" spans="1:4" x14ac:dyDescent="0.25">
      <c r="A25" s="4" t="s">
        <v>832</v>
      </c>
      <c r="B25" s="4">
        <v>414904</v>
      </c>
      <c r="C25" s="4" t="s">
        <v>3476</v>
      </c>
      <c r="D25" s="9">
        <v>3450</v>
      </c>
    </row>
    <row r="26" spans="1:4" x14ac:dyDescent="0.25">
      <c r="A26" s="4" t="s">
        <v>832</v>
      </c>
      <c r="B26" s="4">
        <v>414904</v>
      </c>
      <c r="C26" s="4" t="s">
        <v>3477</v>
      </c>
      <c r="D26" s="9">
        <v>4163</v>
      </c>
    </row>
    <row r="27" spans="1:4" x14ac:dyDescent="0.25">
      <c r="A27" s="4" t="s">
        <v>832</v>
      </c>
      <c r="B27" s="4">
        <v>414904</v>
      </c>
      <c r="C27" s="4" t="s">
        <v>3478</v>
      </c>
      <c r="D27" s="9">
        <v>8044</v>
      </c>
    </row>
    <row r="28" spans="1:4" x14ac:dyDescent="0.25">
      <c r="A28" s="4" t="s">
        <v>832</v>
      </c>
      <c r="B28" s="4">
        <v>414904</v>
      </c>
      <c r="C28" s="4" t="s">
        <v>3479</v>
      </c>
      <c r="D28" s="9">
        <v>588</v>
      </c>
    </row>
    <row r="29" spans="1:4" x14ac:dyDescent="0.25">
      <c r="A29" s="4" t="s">
        <v>2970</v>
      </c>
      <c r="B29" s="4">
        <v>416031</v>
      </c>
      <c r="C29" s="4" t="s">
        <v>3480</v>
      </c>
      <c r="D29" s="9">
        <v>845</v>
      </c>
    </row>
    <row r="30" spans="1:4" x14ac:dyDescent="0.25">
      <c r="A30" s="4" t="s">
        <v>241</v>
      </c>
      <c r="B30" s="4">
        <v>415414</v>
      </c>
      <c r="C30" s="4" t="s">
        <v>3467</v>
      </c>
      <c r="D30" s="9">
        <v>2000</v>
      </c>
    </row>
    <row r="31" spans="1:4" x14ac:dyDescent="0.25">
      <c r="A31" s="4" t="s">
        <v>241</v>
      </c>
      <c r="B31" s="4">
        <v>412385</v>
      </c>
      <c r="C31" s="4" t="s">
        <v>3420</v>
      </c>
      <c r="D31" s="9">
        <v>700</v>
      </c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SUM(D2:D9,D11:D31)</f>
        <v>354057</v>
      </c>
    </row>
    <row r="93" spans="1:4" x14ac:dyDescent="0.25">
      <c r="C93" s="31" t="s">
        <v>2501</v>
      </c>
      <c r="D93" s="32">
        <f>SUM(D10)</f>
        <v>5624</v>
      </c>
    </row>
    <row r="94" spans="1:4" x14ac:dyDescent="0.25">
      <c r="C94" s="31" t="s">
        <v>83</v>
      </c>
      <c r="D94" s="32">
        <f>SUM(D92:D93)</f>
        <v>359681</v>
      </c>
    </row>
  </sheetData>
  <printOptions horizontalCentered="1"/>
  <pageMargins left="0.7" right="0.7" top="1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E392-084B-4DE6-8861-42A72501290F}">
  <dimension ref="A1:D94"/>
  <sheetViews>
    <sheetView view="pageBreakPreview" zoomScaleNormal="100" zoomScaleSheetLayoutView="100" workbookViewId="0">
      <selection activeCell="H37" sqref="H37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416790</v>
      </c>
      <c r="C2" s="4" t="s">
        <v>3451</v>
      </c>
      <c r="D2" s="9">
        <v>8030</v>
      </c>
    </row>
    <row r="3" spans="1:4" x14ac:dyDescent="0.25">
      <c r="A3" s="4" t="s">
        <v>98</v>
      </c>
      <c r="B3" s="4">
        <v>412572</v>
      </c>
      <c r="C3" s="4" t="s">
        <v>3386</v>
      </c>
      <c r="D3" s="9">
        <v>1395</v>
      </c>
    </row>
    <row r="4" spans="1:4" x14ac:dyDescent="0.25">
      <c r="A4" s="4" t="s">
        <v>98</v>
      </c>
      <c r="B4" s="4">
        <v>416154</v>
      </c>
      <c r="C4" s="4" t="s">
        <v>3452</v>
      </c>
      <c r="D4" s="9">
        <v>6980</v>
      </c>
    </row>
    <row r="5" spans="1:4" x14ac:dyDescent="0.25">
      <c r="A5" s="4" t="s">
        <v>98</v>
      </c>
      <c r="B5" s="4">
        <v>415846</v>
      </c>
      <c r="C5" s="4" t="s">
        <v>3481</v>
      </c>
      <c r="D5" s="9">
        <v>4545</v>
      </c>
    </row>
    <row r="6" spans="1:4" x14ac:dyDescent="0.25">
      <c r="A6" s="4" t="s">
        <v>98</v>
      </c>
      <c r="B6" s="4">
        <v>415846</v>
      </c>
      <c r="C6" s="4" t="s">
        <v>3482</v>
      </c>
      <c r="D6" s="9">
        <v>6515</v>
      </c>
    </row>
    <row r="7" spans="1:4" x14ac:dyDescent="0.25">
      <c r="A7" s="4" t="s">
        <v>98</v>
      </c>
      <c r="B7" s="4">
        <v>416154</v>
      </c>
      <c r="C7" s="4" t="s">
        <v>3453</v>
      </c>
      <c r="D7" s="9">
        <v>8060</v>
      </c>
    </row>
    <row r="8" spans="1:4" x14ac:dyDescent="0.25">
      <c r="A8" s="4" t="s">
        <v>98</v>
      </c>
      <c r="B8" s="4">
        <v>416154</v>
      </c>
      <c r="C8" s="4" t="s">
        <v>3454</v>
      </c>
      <c r="D8" s="9">
        <v>79650</v>
      </c>
    </row>
    <row r="9" spans="1:4" x14ac:dyDescent="0.25">
      <c r="A9" s="4" t="s">
        <v>98</v>
      </c>
      <c r="B9" s="4">
        <v>415846</v>
      </c>
      <c r="C9" s="4" t="s">
        <v>3483</v>
      </c>
      <c r="D9" s="9">
        <v>4910</v>
      </c>
    </row>
    <row r="10" spans="1:4" x14ac:dyDescent="0.25">
      <c r="A10" s="4" t="s">
        <v>98</v>
      </c>
      <c r="B10" s="4">
        <v>416154</v>
      </c>
      <c r="C10" s="4" t="s">
        <v>3455</v>
      </c>
      <c r="D10" s="9">
        <v>33075</v>
      </c>
    </row>
    <row r="11" spans="1:4" x14ac:dyDescent="0.25">
      <c r="A11" s="4" t="s">
        <v>98</v>
      </c>
      <c r="B11" s="4">
        <v>416154</v>
      </c>
      <c r="C11" s="4" t="s">
        <v>3456</v>
      </c>
      <c r="D11" s="9">
        <v>86990</v>
      </c>
    </row>
    <row r="12" spans="1:4" x14ac:dyDescent="0.25">
      <c r="A12" s="4" t="s">
        <v>98</v>
      </c>
      <c r="B12" s="4">
        <v>415846</v>
      </c>
      <c r="C12" s="4" t="s">
        <v>3484</v>
      </c>
      <c r="D12" s="9">
        <v>3670</v>
      </c>
    </row>
    <row r="13" spans="1:4" x14ac:dyDescent="0.25">
      <c r="A13" s="4" t="s">
        <v>98</v>
      </c>
      <c r="B13" s="4">
        <v>416154</v>
      </c>
      <c r="C13" s="4" t="s">
        <v>3457</v>
      </c>
      <c r="D13" s="9">
        <v>13930</v>
      </c>
    </row>
    <row r="14" spans="1:4" x14ac:dyDescent="0.25">
      <c r="A14" s="4" t="s">
        <v>98</v>
      </c>
      <c r="B14" s="4">
        <v>415846</v>
      </c>
      <c r="C14" s="4" t="s">
        <v>3485</v>
      </c>
      <c r="D14" s="9">
        <v>3380</v>
      </c>
    </row>
    <row r="15" spans="1:4" x14ac:dyDescent="0.25">
      <c r="A15" s="4" t="s">
        <v>3486</v>
      </c>
      <c r="B15" s="4">
        <v>416781</v>
      </c>
      <c r="C15" s="4" t="s">
        <v>3487</v>
      </c>
      <c r="D15" s="9">
        <v>7265</v>
      </c>
    </row>
    <row r="16" spans="1:4" x14ac:dyDescent="0.25">
      <c r="A16" s="4" t="s">
        <v>3486</v>
      </c>
      <c r="B16" s="4">
        <v>416781</v>
      </c>
      <c r="C16" s="4" t="s">
        <v>3488</v>
      </c>
      <c r="D16" s="9">
        <v>7415</v>
      </c>
    </row>
    <row r="17" spans="1:4" x14ac:dyDescent="0.25">
      <c r="A17" s="4" t="s">
        <v>3486</v>
      </c>
      <c r="B17" s="4">
        <v>416781</v>
      </c>
      <c r="C17" s="4" t="s">
        <v>3489</v>
      </c>
      <c r="D17" s="9">
        <v>7265</v>
      </c>
    </row>
    <row r="18" spans="1:4" x14ac:dyDescent="0.25">
      <c r="A18" s="4" t="s">
        <v>147</v>
      </c>
      <c r="B18" s="4">
        <v>415577</v>
      </c>
      <c r="C18" s="4" t="s">
        <v>3490</v>
      </c>
      <c r="D18" s="9">
        <v>5975</v>
      </c>
    </row>
    <row r="19" spans="1:4" x14ac:dyDescent="0.25">
      <c r="A19" s="4" t="s">
        <v>24</v>
      </c>
      <c r="B19" s="4">
        <v>417330</v>
      </c>
      <c r="C19" s="4" t="s">
        <v>3491</v>
      </c>
      <c r="D19" s="9">
        <v>2436</v>
      </c>
    </row>
    <row r="20" spans="1:4" x14ac:dyDescent="0.25">
      <c r="A20" s="4" t="s">
        <v>2160</v>
      </c>
      <c r="B20" s="4">
        <v>411597</v>
      </c>
      <c r="C20" s="4" t="s">
        <v>3492</v>
      </c>
      <c r="D20" s="9">
        <v>150</v>
      </c>
    </row>
    <row r="21" spans="1:4" x14ac:dyDescent="0.25">
      <c r="A21" s="4" t="s">
        <v>2160</v>
      </c>
      <c r="B21" s="4">
        <v>411597</v>
      </c>
      <c r="C21" s="4" t="s">
        <v>3493</v>
      </c>
      <c r="D21" s="9">
        <v>150</v>
      </c>
    </row>
    <row r="22" spans="1:4" x14ac:dyDescent="0.25">
      <c r="A22" s="4" t="s">
        <v>2160</v>
      </c>
      <c r="B22" s="4">
        <v>411597</v>
      </c>
      <c r="C22" s="4" t="s">
        <v>3494</v>
      </c>
      <c r="D22" s="9">
        <v>150</v>
      </c>
    </row>
    <row r="23" spans="1:4" x14ac:dyDescent="0.25">
      <c r="A23" s="4" t="s">
        <v>175</v>
      </c>
      <c r="B23" s="4">
        <v>416635</v>
      </c>
      <c r="C23" s="4" t="s">
        <v>3460</v>
      </c>
      <c r="D23" s="9">
        <v>895</v>
      </c>
    </row>
    <row r="24" spans="1:4" x14ac:dyDescent="0.25">
      <c r="A24" s="4" t="s">
        <v>175</v>
      </c>
      <c r="B24" s="4">
        <v>416785</v>
      </c>
      <c r="C24" s="4" t="s">
        <v>3495</v>
      </c>
      <c r="D24" s="9">
        <v>12165</v>
      </c>
    </row>
    <row r="25" spans="1:4" x14ac:dyDescent="0.25">
      <c r="A25" s="4" t="s">
        <v>175</v>
      </c>
      <c r="B25" s="4">
        <v>416887</v>
      </c>
      <c r="C25" s="4" t="s">
        <v>3496</v>
      </c>
      <c r="D25" s="9">
        <v>30065</v>
      </c>
    </row>
    <row r="26" spans="1:4" x14ac:dyDescent="0.25">
      <c r="A26" s="4" t="s">
        <v>175</v>
      </c>
      <c r="B26" s="4">
        <v>416888</v>
      </c>
      <c r="C26" s="4" t="s">
        <v>3497</v>
      </c>
      <c r="D26" s="9">
        <v>14285</v>
      </c>
    </row>
    <row r="27" spans="1:4" x14ac:dyDescent="0.25">
      <c r="A27" s="4" t="s">
        <v>2591</v>
      </c>
      <c r="B27" s="4">
        <v>415890</v>
      </c>
      <c r="C27" s="4" t="s">
        <v>3431</v>
      </c>
      <c r="D27" s="9">
        <v>3803</v>
      </c>
    </row>
    <row r="28" spans="1:4" x14ac:dyDescent="0.25">
      <c r="A28" s="4" t="s">
        <v>180</v>
      </c>
      <c r="B28" s="4">
        <v>414913</v>
      </c>
      <c r="C28" s="4" t="s">
        <v>3461</v>
      </c>
      <c r="D28" s="9">
        <v>21180</v>
      </c>
    </row>
    <row r="29" spans="1:4" x14ac:dyDescent="0.25">
      <c r="A29" s="4" t="s">
        <v>180</v>
      </c>
      <c r="B29" s="4">
        <v>414913</v>
      </c>
      <c r="C29" s="4" t="s">
        <v>3462</v>
      </c>
      <c r="D29" s="9">
        <v>2900</v>
      </c>
    </row>
    <row r="30" spans="1:4" x14ac:dyDescent="0.25">
      <c r="A30" s="4" t="s">
        <v>180</v>
      </c>
      <c r="B30" s="4">
        <v>414913</v>
      </c>
      <c r="C30" s="4" t="s">
        <v>3463</v>
      </c>
      <c r="D30" s="9">
        <v>21180</v>
      </c>
    </row>
    <row r="31" spans="1:4" x14ac:dyDescent="0.25">
      <c r="A31" s="4" t="s">
        <v>180</v>
      </c>
      <c r="B31" s="4">
        <v>414913</v>
      </c>
      <c r="C31" s="4" t="s">
        <v>3464</v>
      </c>
      <c r="D31" s="9">
        <v>2000</v>
      </c>
    </row>
    <row r="32" spans="1:4" x14ac:dyDescent="0.25">
      <c r="A32" s="4" t="s">
        <v>180</v>
      </c>
      <c r="B32" s="4">
        <v>416843</v>
      </c>
      <c r="C32" s="4" t="s">
        <v>3498</v>
      </c>
      <c r="D32" s="9">
        <v>860</v>
      </c>
    </row>
    <row r="33" spans="1:4" x14ac:dyDescent="0.25">
      <c r="A33" s="4" t="s">
        <v>315</v>
      </c>
      <c r="B33" s="4">
        <v>417131</v>
      </c>
      <c r="C33" s="4" t="s">
        <v>3499</v>
      </c>
      <c r="D33" s="9">
        <v>1995</v>
      </c>
    </row>
    <row r="34" spans="1:4" x14ac:dyDescent="0.25">
      <c r="A34" s="4" t="s">
        <v>315</v>
      </c>
      <c r="B34" s="4">
        <v>413995</v>
      </c>
      <c r="C34" s="4" t="s">
        <v>3465</v>
      </c>
      <c r="D34" s="9">
        <v>2200</v>
      </c>
    </row>
    <row r="35" spans="1:4" x14ac:dyDescent="0.25">
      <c r="A35" s="4" t="s">
        <v>832</v>
      </c>
      <c r="B35" s="4">
        <v>414904</v>
      </c>
      <c r="C35" s="4" t="s">
        <v>3472</v>
      </c>
      <c r="D35" s="9">
        <v>9410</v>
      </c>
    </row>
    <row r="36" spans="1:4" x14ac:dyDescent="0.25">
      <c r="A36" s="4" t="s">
        <v>832</v>
      </c>
      <c r="B36" s="4">
        <v>415023</v>
      </c>
      <c r="C36" s="4" t="s">
        <v>3450</v>
      </c>
      <c r="D36" s="9">
        <v>7950</v>
      </c>
    </row>
    <row r="37" spans="1:4" x14ac:dyDescent="0.25">
      <c r="A37" s="4" t="s">
        <v>832</v>
      </c>
      <c r="B37" s="4">
        <v>414904</v>
      </c>
      <c r="C37" s="4" t="s">
        <v>3473</v>
      </c>
      <c r="D37" s="9">
        <v>5298</v>
      </c>
    </row>
    <row r="38" spans="1:4" x14ac:dyDescent="0.25">
      <c r="A38" s="4" t="s">
        <v>832</v>
      </c>
      <c r="B38" s="4">
        <v>414904</v>
      </c>
      <c r="C38" s="4" t="s">
        <v>3475</v>
      </c>
      <c r="D38" s="9">
        <v>588</v>
      </c>
    </row>
    <row r="39" spans="1:4" x14ac:dyDescent="0.25">
      <c r="A39" s="4" t="s">
        <v>832</v>
      </c>
      <c r="B39" s="4">
        <v>414904</v>
      </c>
      <c r="C39" s="4" t="s">
        <v>3476</v>
      </c>
      <c r="D39" s="9">
        <v>3450</v>
      </c>
    </row>
    <row r="40" spans="1:4" x14ac:dyDescent="0.25">
      <c r="A40" s="4" t="s">
        <v>832</v>
      </c>
      <c r="B40" s="4">
        <v>414904</v>
      </c>
      <c r="C40" s="4" t="s">
        <v>3477</v>
      </c>
      <c r="D40" s="9">
        <v>4163</v>
      </c>
    </row>
    <row r="41" spans="1:4" x14ac:dyDescent="0.25">
      <c r="A41" s="4" t="s">
        <v>832</v>
      </c>
      <c r="B41" s="4">
        <v>414904</v>
      </c>
      <c r="C41" s="4" t="s">
        <v>3478</v>
      </c>
      <c r="D41" s="9">
        <v>8044</v>
      </c>
    </row>
    <row r="42" spans="1:4" x14ac:dyDescent="0.25">
      <c r="A42" s="4" t="s">
        <v>832</v>
      </c>
      <c r="B42" s="4">
        <v>414904</v>
      </c>
      <c r="C42" s="4" t="s">
        <v>3479</v>
      </c>
      <c r="D42" s="9">
        <v>588</v>
      </c>
    </row>
    <row r="43" spans="1:4" x14ac:dyDescent="0.25">
      <c r="A43" s="4" t="s">
        <v>52</v>
      </c>
      <c r="B43" s="4">
        <v>414933</v>
      </c>
      <c r="C43" s="4" t="s">
        <v>3500</v>
      </c>
      <c r="D43" s="9">
        <v>2970</v>
      </c>
    </row>
    <row r="44" spans="1:4" x14ac:dyDescent="0.25">
      <c r="A44" s="4" t="s">
        <v>241</v>
      </c>
      <c r="B44" s="4">
        <v>415414</v>
      </c>
      <c r="C44" s="4" t="s">
        <v>3467</v>
      </c>
      <c r="D44" s="9">
        <v>2000</v>
      </c>
    </row>
    <row r="45" spans="1:4" x14ac:dyDescent="0.25">
      <c r="A45" s="4" t="s">
        <v>241</v>
      </c>
      <c r="B45" s="4">
        <v>412385</v>
      </c>
      <c r="C45" s="4" t="s">
        <v>3420</v>
      </c>
      <c r="D45" s="9">
        <v>700</v>
      </c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SUM(D2:D18,D20:D45)</f>
        <v>448189</v>
      </c>
    </row>
    <row r="93" spans="1:4" x14ac:dyDescent="0.25">
      <c r="C93" s="31" t="s">
        <v>2501</v>
      </c>
      <c r="D93" s="32">
        <f>SUM(D19)</f>
        <v>2436</v>
      </c>
    </row>
    <row r="94" spans="1:4" x14ac:dyDescent="0.25">
      <c r="C94" s="31" t="s">
        <v>83</v>
      </c>
      <c r="D94" s="32">
        <f>SUM(D92:D93)</f>
        <v>450625</v>
      </c>
    </row>
  </sheetData>
  <printOptions horizontalCentered="1"/>
  <pageMargins left="0.7" right="0.7" top="1" bottom="0.75" header="0.3" footer="0.3"/>
  <pageSetup paperSize="5" scale="96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E363-E00E-429F-B147-5CC58601A1CA}">
  <dimension ref="A1:D94"/>
  <sheetViews>
    <sheetView view="pageBreakPreview" zoomScaleNormal="100" zoomScaleSheetLayoutView="100" workbookViewId="0">
      <selection activeCell="K31" sqref="K31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416620</v>
      </c>
      <c r="C2" s="4" t="s">
        <v>3501</v>
      </c>
      <c r="D2" s="9">
        <v>2764</v>
      </c>
    </row>
    <row r="3" spans="1:4" x14ac:dyDescent="0.25">
      <c r="A3" s="4" t="s">
        <v>98</v>
      </c>
      <c r="B3" s="4">
        <v>416790</v>
      </c>
      <c r="C3" s="4" t="s">
        <v>3502</v>
      </c>
      <c r="D3" s="9">
        <v>1040</v>
      </c>
    </row>
    <row r="4" spans="1:4" x14ac:dyDescent="0.25">
      <c r="A4" s="4" t="s">
        <v>98</v>
      </c>
      <c r="B4" s="4">
        <v>412572</v>
      </c>
      <c r="C4" s="4" t="s">
        <v>3386</v>
      </c>
      <c r="D4" s="9">
        <v>1395</v>
      </c>
    </row>
    <row r="5" spans="1:4" x14ac:dyDescent="0.25">
      <c r="A5" s="4" t="s">
        <v>98</v>
      </c>
      <c r="B5" s="4">
        <v>416790</v>
      </c>
      <c r="C5" s="4" t="s">
        <v>3503</v>
      </c>
      <c r="D5" s="9">
        <v>6990</v>
      </c>
    </row>
    <row r="6" spans="1:4" x14ac:dyDescent="0.25">
      <c r="A6" s="4" t="s">
        <v>98</v>
      </c>
      <c r="B6" s="4">
        <v>415846</v>
      </c>
      <c r="C6" s="4" t="s">
        <v>3481</v>
      </c>
      <c r="D6" s="9">
        <v>4545</v>
      </c>
    </row>
    <row r="7" spans="1:4" x14ac:dyDescent="0.25">
      <c r="A7" s="4" t="s">
        <v>98</v>
      </c>
      <c r="B7" s="4">
        <v>415846</v>
      </c>
      <c r="C7" s="4" t="s">
        <v>3482</v>
      </c>
      <c r="D7" s="9">
        <v>6515</v>
      </c>
    </row>
    <row r="8" spans="1:4" x14ac:dyDescent="0.25">
      <c r="A8" s="4" t="s">
        <v>98</v>
      </c>
      <c r="B8" s="4">
        <v>415846</v>
      </c>
      <c r="C8" s="4" t="s">
        <v>3483</v>
      </c>
      <c r="D8" s="9">
        <v>4910</v>
      </c>
    </row>
    <row r="9" spans="1:4" x14ac:dyDescent="0.25">
      <c r="A9" s="4" t="s">
        <v>98</v>
      </c>
      <c r="B9" s="4">
        <v>415846</v>
      </c>
      <c r="C9" s="4" t="s">
        <v>3484</v>
      </c>
      <c r="D9" s="9">
        <v>3670</v>
      </c>
    </row>
    <row r="10" spans="1:4" x14ac:dyDescent="0.25">
      <c r="A10" s="4" t="s">
        <v>98</v>
      </c>
      <c r="B10" s="4">
        <v>415846</v>
      </c>
      <c r="C10" s="4" t="s">
        <v>3485</v>
      </c>
      <c r="D10" s="9">
        <v>3380</v>
      </c>
    </row>
    <row r="11" spans="1:4" x14ac:dyDescent="0.25">
      <c r="A11" s="4" t="s">
        <v>3486</v>
      </c>
      <c r="B11" s="4">
        <v>416781</v>
      </c>
      <c r="C11" s="4" t="s">
        <v>3487</v>
      </c>
      <c r="D11" s="9">
        <v>7265</v>
      </c>
    </row>
    <row r="12" spans="1:4" x14ac:dyDescent="0.25">
      <c r="A12" s="4" t="s">
        <v>3486</v>
      </c>
      <c r="B12" s="4">
        <v>416781</v>
      </c>
      <c r="C12" s="4" t="s">
        <v>3488</v>
      </c>
      <c r="D12" s="9">
        <v>7415</v>
      </c>
    </row>
    <row r="13" spans="1:4" x14ac:dyDescent="0.25">
      <c r="A13" s="4" t="s">
        <v>3486</v>
      </c>
      <c r="B13" s="4">
        <v>416781</v>
      </c>
      <c r="C13" s="4" t="s">
        <v>3489</v>
      </c>
      <c r="D13" s="9">
        <v>7265</v>
      </c>
    </row>
    <row r="14" spans="1:4" x14ac:dyDescent="0.25">
      <c r="A14" s="4" t="s">
        <v>147</v>
      </c>
      <c r="B14" s="4">
        <v>415577</v>
      </c>
      <c r="C14" s="4" t="s">
        <v>3490</v>
      </c>
      <c r="D14" s="9">
        <v>5975</v>
      </c>
    </row>
    <row r="15" spans="1:4" x14ac:dyDescent="0.25">
      <c r="A15" s="4" t="s">
        <v>13</v>
      </c>
      <c r="B15" s="4">
        <v>418166</v>
      </c>
      <c r="C15" s="4" t="s">
        <v>3504</v>
      </c>
      <c r="D15" s="9">
        <v>6412</v>
      </c>
    </row>
    <row r="16" spans="1:4" x14ac:dyDescent="0.25">
      <c r="A16" s="4" t="s">
        <v>2160</v>
      </c>
      <c r="B16" s="4">
        <v>411597</v>
      </c>
      <c r="C16" s="4" t="s">
        <v>3492</v>
      </c>
      <c r="D16" s="9">
        <v>150</v>
      </c>
    </row>
    <row r="17" spans="1:4" x14ac:dyDescent="0.25">
      <c r="A17" s="4" t="s">
        <v>2160</v>
      </c>
      <c r="B17" s="4">
        <v>411597</v>
      </c>
      <c r="C17" s="4" t="s">
        <v>3493</v>
      </c>
      <c r="D17" s="9">
        <v>150</v>
      </c>
    </row>
    <row r="18" spans="1:4" x14ac:dyDescent="0.25">
      <c r="A18" s="4" t="s">
        <v>2160</v>
      </c>
      <c r="B18" s="4">
        <v>411597</v>
      </c>
      <c r="C18" s="4" t="s">
        <v>3494</v>
      </c>
      <c r="D18" s="9">
        <v>150</v>
      </c>
    </row>
    <row r="19" spans="1:4" x14ac:dyDescent="0.25">
      <c r="A19" s="4" t="s">
        <v>175</v>
      </c>
      <c r="B19" s="4">
        <v>416635</v>
      </c>
      <c r="C19" s="4" t="s">
        <v>3460</v>
      </c>
      <c r="D19" s="9">
        <v>895</v>
      </c>
    </row>
    <row r="20" spans="1:4" x14ac:dyDescent="0.25">
      <c r="A20" s="4" t="s">
        <v>175</v>
      </c>
      <c r="B20" s="4">
        <v>416785</v>
      </c>
      <c r="C20" s="4" t="s">
        <v>3495</v>
      </c>
      <c r="D20" s="9">
        <v>12165</v>
      </c>
    </row>
    <row r="21" spans="1:4" x14ac:dyDescent="0.25">
      <c r="A21" s="4" t="s">
        <v>175</v>
      </c>
      <c r="B21" s="4">
        <v>416887</v>
      </c>
      <c r="C21" s="4" t="s">
        <v>3496</v>
      </c>
      <c r="D21" s="9">
        <v>30065</v>
      </c>
    </row>
    <row r="22" spans="1:4" x14ac:dyDescent="0.25">
      <c r="A22" s="4" t="s">
        <v>175</v>
      </c>
      <c r="B22" s="4">
        <v>416888</v>
      </c>
      <c r="C22" s="4" t="s">
        <v>3497</v>
      </c>
      <c r="D22" s="9">
        <v>14285</v>
      </c>
    </row>
    <row r="23" spans="1:4" x14ac:dyDescent="0.25">
      <c r="A23" s="4" t="s">
        <v>2591</v>
      </c>
      <c r="B23" s="4">
        <v>415890</v>
      </c>
      <c r="C23" s="4" t="s">
        <v>3431</v>
      </c>
      <c r="D23" s="9">
        <v>3803</v>
      </c>
    </row>
    <row r="24" spans="1:4" x14ac:dyDescent="0.25">
      <c r="A24" s="4" t="s">
        <v>180</v>
      </c>
      <c r="B24" s="4">
        <v>414913</v>
      </c>
      <c r="C24" s="4" t="s">
        <v>3461</v>
      </c>
      <c r="D24" s="9">
        <v>21180</v>
      </c>
    </row>
    <row r="25" spans="1:4" x14ac:dyDescent="0.25">
      <c r="A25" s="4" t="s">
        <v>180</v>
      </c>
      <c r="B25" s="4">
        <v>416843</v>
      </c>
      <c r="C25" s="4" t="s">
        <v>3498</v>
      </c>
      <c r="D25" s="9">
        <v>860</v>
      </c>
    </row>
    <row r="26" spans="1:4" x14ac:dyDescent="0.25">
      <c r="A26" s="4" t="s">
        <v>315</v>
      </c>
      <c r="B26" s="4">
        <v>413995</v>
      </c>
      <c r="C26" s="4" t="s">
        <v>3465</v>
      </c>
      <c r="D26" s="9">
        <v>2200</v>
      </c>
    </row>
    <row r="27" spans="1:4" x14ac:dyDescent="0.25">
      <c r="A27" s="4" t="s">
        <v>832</v>
      </c>
      <c r="B27" s="4">
        <v>416818</v>
      </c>
      <c r="C27" s="4" t="s">
        <v>3505</v>
      </c>
      <c r="D27" s="9">
        <v>5600</v>
      </c>
    </row>
    <row r="28" spans="1:4" x14ac:dyDescent="0.25">
      <c r="A28" s="4" t="s">
        <v>832</v>
      </c>
      <c r="B28" s="4">
        <v>381845</v>
      </c>
      <c r="C28" s="4" t="s">
        <v>3506</v>
      </c>
      <c r="D28" s="9">
        <v>5742</v>
      </c>
    </row>
    <row r="29" spans="1:4" x14ac:dyDescent="0.25">
      <c r="A29" s="4" t="s">
        <v>832</v>
      </c>
      <c r="B29" s="4">
        <v>415852</v>
      </c>
      <c r="C29" s="4" t="s">
        <v>3507</v>
      </c>
      <c r="D29" s="9">
        <v>4890</v>
      </c>
    </row>
    <row r="30" spans="1:4" x14ac:dyDescent="0.25">
      <c r="A30" s="4" t="s">
        <v>832</v>
      </c>
      <c r="B30" s="4">
        <v>415023</v>
      </c>
      <c r="C30" s="4" t="s">
        <v>3450</v>
      </c>
      <c r="D30" s="9">
        <v>7950</v>
      </c>
    </row>
    <row r="31" spans="1:4" x14ac:dyDescent="0.25">
      <c r="A31" s="4" t="s">
        <v>832</v>
      </c>
      <c r="B31" s="4">
        <v>414904</v>
      </c>
      <c r="C31" s="4" t="s">
        <v>3478</v>
      </c>
      <c r="D31" s="9">
        <v>8044</v>
      </c>
    </row>
    <row r="32" spans="1:4" x14ac:dyDescent="0.25">
      <c r="A32" s="4" t="s">
        <v>832</v>
      </c>
      <c r="B32" s="4">
        <v>414904</v>
      </c>
      <c r="C32" s="4" t="s">
        <v>3479</v>
      </c>
      <c r="D32" s="9">
        <v>588</v>
      </c>
    </row>
    <row r="33" spans="1:4" x14ac:dyDescent="0.25">
      <c r="A33" s="4" t="s">
        <v>241</v>
      </c>
      <c r="B33" s="4">
        <v>415414</v>
      </c>
      <c r="C33" s="4" t="s">
        <v>3467</v>
      </c>
      <c r="D33" s="9">
        <v>2000</v>
      </c>
    </row>
    <row r="34" spans="1:4" x14ac:dyDescent="0.25">
      <c r="A34" s="4" t="s">
        <v>241</v>
      </c>
      <c r="B34" s="4">
        <v>412385</v>
      </c>
      <c r="C34" s="4" t="s">
        <v>3420</v>
      </c>
      <c r="D34" s="9">
        <v>700</v>
      </c>
    </row>
    <row r="35" spans="1:4" x14ac:dyDescent="0.25">
      <c r="A35" s="4" t="s">
        <v>3508</v>
      </c>
      <c r="B35" s="4">
        <v>377074</v>
      </c>
      <c r="C35" s="4" t="s">
        <v>3509</v>
      </c>
      <c r="D35" s="9">
        <v>900</v>
      </c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SUM(D2:D14,D16:D34)</f>
        <v>184546</v>
      </c>
    </row>
    <row r="93" spans="1:4" x14ac:dyDescent="0.25">
      <c r="C93" s="31" t="s">
        <v>2501</v>
      </c>
      <c r="D93" s="32">
        <f>SUM(D35,D15)</f>
        <v>7312</v>
      </c>
    </row>
    <row r="94" spans="1:4" x14ac:dyDescent="0.25">
      <c r="C94" s="31" t="s">
        <v>83</v>
      </c>
      <c r="D94" s="32">
        <f>SUM(D92:D93)</f>
        <v>191858</v>
      </c>
    </row>
  </sheetData>
  <printOptions horizontalCentered="1"/>
  <pageMargins left="0.7" right="0.7" top="1" bottom="0.75" header="0.3" footer="0.3"/>
  <pageSetup paperSize="5" scale="85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A6F4-A644-48C6-B967-C6B06C79E7B0}">
  <dimension ref="A1:D94"/>
  <sheetViews>
    <sheetView view="pageBreakPreview" zoomScaleNormal="100" zoomScaleSheetLayoutView="100" workbookViewId="0">
      <selection activeCell="J94" sqref="J94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415846</v>
      </c>
      <c r="C2" s="4" t="s">
        <v>3481</v>
      </c>
      <c r="D2" s="9">
        <v>4545</v>
      </c>
    </row>
    <row r="3" spans="1:4" x14ac:dyDescent="0.25">
      <c r="A3" s="4" t="s">
        <v>98</v>
      </c>
      <c r="B3" s="4">
        <v>415846</v>
      </c>
      <c r="C3" s="4" t="s">
        <v>3482</v>
      </c>
      <c r="D3" s="9">
        <v>6515</v>
      </c>
    </row>
    <row r="4" spans="1:4" x14ac:dyDescent="0.25">
      <c r="A4" s="4" t="s">
        <v>98</v>
      </c>
      <c r="B4" s="4">
        <v>415846</v>
      </c>
      <c r="C4" s="4" t="s">
        <v>3483</v>
      </c>
      <c r="D4" s="9">
        <v>4910</v>
      </c>
    </row>
    <row r="5" spans="1:4" x14ac:dyDescent="0.25">
      <c r="A5" s="4" t="s">
        <v>98</v>
      </c>
      <c r="B5" s="4">
        <v>415846</v>
      </c>
      <c r="C5" s="4" t="s">
        <v>3484</v>
      </c>
      <c r="D5" s="9">
        <v>3670</v>
      </c>
    </row>
    <row r="6" spans="1:4" x14ac:dyDescent="0.25">
      <c r="A6" s="4" t="s">
        <v>98</v>
      </c>
      <c r="B6" s="4">
        <v>415846</v>
      </c>
      <c r="C6" s="4" t="s">
        <v>3485</v>
      </c>
      <c r="D6" s="9">
        <v>3380</v>
      </c>
    </row>
    <row r="7" spans="1:4" x14ac:dyDescent="0.25">
      <c r="A7" s="4" t="s">
        <v>3486</v>
      </c>
      <c r="B7" s="4">
        <v>416781</v>
      </c>
      <c r="C7" s="4" t="s">
        <v>3487</v>
      </c>
      <c r="D7" s="9">
        <v>7265</v>
      </c>
    </row>
    <row r="8" spans="1:4" x14ac:dyDescent="0.25">
      <c r="A8" s="4" t="s">
        <v>3486</v>
      </c>
      <c r="B8" s="4">
        <v>416781</v>
      </c>
      <c r="C8" s="4" t="s">
        <v>3488</v>
      </c>
      <c r="D8" s="9">
        <v>7415</v>
      </c>
    </row>
    <row r="9" spans="1:4" x14ac:dyDescent="0.25">
      <c r="A9" s="4" t="s">
        <v>3486</v>
      </c>
      <c r="B9" s="4">
        <v>416781</v>
      </c>
      <c r="C9" s="4" t="s">
        <v>3489</v>
      </c>
      <c r="D9" s="9">
        <v>7265</v>
      </c>
    </row>
    <row r="10" spans="1:4" x14ac:dyDescent="0.25">
      <c r="A10" s="4" t="s">
        <v>282</v>
      </c>
      <c r="B10" s="4">
        <v>415921</v>
      </c>
      <c r="C10" s="4" t="s">
        <v>3510</v>
      </c>
      <c r="D10" s="9">
        <v>16020</v>
      </c>
    </row>
    <row r="11" spans="1:4" x14ac:dyDescent="0.25">
      <c r="A11" s="4" t="s">
        <v>147</v>
      </c>
      <c r="B11" s="4">
        <v>415208</v>
      </c>
      <c r="C11" s="4" t="s">
        <v>3511</v>
      </c>
      <c r="D11" s="9">
        <v>2755</v>
      </c>
    </row>
    <row r="12" spans="1:4" x14ac:dyDescent="0.25">
      <c r="A12" s="4" t="s">
        <v>2160</v>
      </c>
      <c r="B12" s="4">
        <v>411597</v>
      </c>
      <c r="C12" s="4" t="s">
        <v>3492</v>
      </c>
      <c r="D12" s="9">
        <v>150</v>
      </c>
    </row>
    <row r="13" spans="1:4" x14ac:dyDescent="0.25">
      <c r="A13" s="4" t="s">
        <v>2160</v>
      </c>
      <c r="B13" s="4">
        <v>411597</v>
      </c>
      <c r="C13" s="4" t="s">
        <v>3493</v>
      </c>
      <c r="D13" s="9">
        <v>150</v>
      </c>
    </row>
    <row r="14" spans="1:4" x14ac:dyDescent="0.25">
      <c r="A14" s="4" t="s">
        <v>2160</v>
      </c>
      <c r="B14" s="4">
        <v>411597</v>
      </c>
      <c r="C14" s="4" t="s">
        <v>3494</v>
      </c>
      <c r="D14" s="9">
        <v>150</v>
      </c>
    </row>
    <row r="15" spans="1:4" x14ac:dyDescent="0.25">
      <c r="A15" s="4" t="s">
        <v>175</v>
      </c>
      <c r="B15" s="4">
        <v>416635</v>
      </c>
      <c r="C15" s="4" t="s">
        <v>3460</v>
      </c>
      <c r="D15" s="9">
        <v>895</v>
      </c>
    </row>
    <row r="16" spans="1:4" x14ac:dyDescent="0.25">
      <c r="A16" s="4" t="s">
        <v>175</v>
      </c>
      <c r="B16" s="4">
        <v>417943</v>
      </c>
      <c r="C16" s="4" t="s">
        <v>3512</v>
      </c>
      <c r="D16" s="9">
        <v>90</v>
      </c>
    </row>
    <row r="17" spans="1:4" x14ac:dyDescent="0.25">
      <c r="A17" s="4" t="s">
        <v>175</v>
      </c>
      <c r="B17" s="4">
        <v>416785</v>
      </c>
      <c r="C17" s="4" t="s">
        <v>3495</v>
      </c>
      <c r="D17" s="9">
        <v>12165</v>
      </c>
    </row>
    <row r="18" spans="1:4" x14ac:dyDescent="0.25">
      <c r="A18" s="4" t="s">
        <v>175</v>
      </c>
      <c r="B18" s="4">
        <v>417944</v>
      </c>
      <c r="C18" s="4" t="s">
        <v>3513</v>
      </c>
      <c r="D18" s="9">
        <v>2795</v>
      </c>
    </row>
    <row r="19" spans="1:4" x14ac:dyDescent="0.25">
      <c r="A19" s="4" t="s">
        <v>175</v>
      </c>
      <c r="B19" s="4">
        <v>416887</v>
      </c>
      <c r="C19" s="4" t="s">
        <v>3496</v>
      </c>
      <c r="D19" s="9">
        <v>30065</v>
      </c>
    </row>
    <row r="20" spans="1:4" x14ac:dyDescent="0.25">
      <c r="A20" s="4" t="s">
        <v>175</v>
      </c>
      <c r="B20" s="4">
        <v>416888</v>
      </c>
      <c r="C20" s="4" t="s">
        <v>3497</v>
      </c>
      <c r="D20" s="9">
        <v>14285</v>
      </c>
    </row>
    <row r="21" spans="1:4" x14ac:dyDescent="0.25">
      <c r="A21" s="4" t="s">
        <v>2591</v>
      </c>
      <c r="B21" s="4">
        <v>415890</v>
      </c>
      <c r="C21" s="4" t="s">
        <v>3431</v>
      </c>
      <c r="D21" s="9">
        <v>3803</v>
      </c>
    </row>
    <row r="22" spans="1:4" x14ac:dyDescent="0.25">
      <c r="A22" s="4" t="s">
        <v>26</v>
      </c>
      <c r="B22" s="4">
        <v>415945</v>
      </c>
      <c r="C22" s="4" t="s">
        <v>3514</v>
      </c>
      <c r="D22" s="9">
        <v>5450</v>
      </c>
    </row>
    <row r="23" spans="1:4" x14ac:dyDescent="0.25">
      <c r="A23" s="4" t="s">
        <v>26</v>
      </c>
      <c r="B23" s="4">
        <v>415945</v>
      </c>
      <c r="C23" s="4" t="s">
        <v>3515</v>
      </c>
      <c r="D23" s="9">
        <v>10415</v>
      </c>
    </row>
    <row r="24" spans="1:4" x14ac:dyDescent="0.25">
      <c r="A24" s="4" t="s">
        <v>180</v>
      </c>
      <c r="B24" s="4">
        <v>414913</v>
      </c>
      <c r="C24" s="4" t="s">
        <v>3461</v>
      </c>
      <c r="D24" s="9">
        <v>21180</v>
      </c>
    </row>
    <row r="25" spans="1:4" x14ac:dyDescent="0.25">
      <c r="A25" s="4" t="s">
        <v>180</v>
      </c>
      <c r="B25" s="4">
        <v>416843</v>
      </c>
      <c r="C25" s="4" t="s">
        <v>3498</v>
      </c>
      <c r="D25" s="9">
        <v>860</v>
      </c>
    </row>
    <row r="26" spans="1:4" x14ac:dyDescent="0.25">
      <c r="A26" s="4" t="s">
        <v>1103</v>
      </c>
      <c r="B26" s="4">
        <v>417587</v>
      </c>
      <c r="C26" s="4" t="s">
        <v>3516</v>
      </c>
      <c r="D26" s="9">
        <v>68276</v>
      </c>
    </row>
    <row r="27" spans="1:4" x14ac:dyDescent="0.25">
      <c r="A27" s="4" t="s">
        <v>315</v>
      </c>
      <c r="B27" s="4">
        <v>412522</v>
      </c>
      <c r="C27" s="4" t="s">
        <v>3517</v>
      </c>
      <c r="D27" s="9">
        <v>1090</v>
      </c>
    </row>
    <row r="28" spans="1:4" x14ac:dyDescent="0.25">
      <c r="A28" s="4" t="s">
        <v>315</v>
      </c>
      <c r="B28" s="4">
        <v>417451</v>
      </c>
      <c r="C28" s="4" t="s">
        <v>3518</v>
      </c>
      <c r="D28" s="9">
        <v>9015</v>
      </c>
    </row>
    <row r="29" spans="1:4" x14ac:dyDescent="0.25">
      <c r="A29" s="4" t="s">
        <v>315</v>
      </c>
      <c r="B29" s="4">
        <v>416166</v>
      </c>
      <c r="C29" s="4" t="s">
        <v>3519</v>
      </c>
      <c r="D29" s="9">
        <v>150</v>
      </c>
    </row>
    <row r="30" spans="1:4" x14ac:dyDescent="0.25">
      <c r="A30" s="4" t="s">
        <v>315</v>
      </c>
      <c r="B30" s="4">
        <v>413995</v>
      </c>
      <c r="C30" s="4" t="s">
        <v>3465</v>
      </c>
      <c r="D30" s="9">
        <v>2200</v>
      </c>
    </row>
    <row r="31" spans="1:4" x14ac:dyDescent="0.25">
      <c r="A31" s="4" t="s">
        <v>832</v>
      </c>
      <c r="B31" s="4">
        <v>416818</v>
      </c>
      <c r="C31" s="4" t="s">
        <v>3505</v>
      </c>
      <c r="D31" s="9">
        <v>5600</v>
      </c>
    </row>
    <row r="32" spans="1:4" x14ac:dyDescent="0.25">
      <c r="A32" s="4" t="s">
        <v>832</v>
      </c>
      <c r="B32" s="4">
        <v>416981</v>
      </c>
      <c r="C32" s="4" t="s">
        <v>3520</v>
      </c>
      <c r="D32" s="9">
        <v>2500</v>
      </c>
    </row>
    <row r="33" spans="1:4" x14ac:dyDescent="0.25">
      <c r="A33" s="4" t="s">
        <v>832</v>
      </c>
      <c r="B33" s="4">
        <v>416146</v>
      </c>
      <c r="C33" s="4" t="s">
        <v>3521</v>
      </c>
      <c r="D33" s="9">
        <v>6360</v>
      </c>
    </row>
    <row r="34" spans="1:4" x14ac:dyDescent="0.25">
      <c r="A34" s="4" t="s">
        <v>832</v>
      </c>
      <c r="B34" s="4">
        <v>415023</v>
      </c>
      <c r="C34" s="4" t="s">
        <v>3450</v>
      </c>
      <c r="D34" s="9">
        <v>7950</v>
      </c>
    </row>
    <row r="35" spans="1:4" x14ac:dyDescent="0.25">
      <c r="A35" s="4" t="s">
        <v>832</v>
      </c>
      <c r="B35" s="4">
        <v>415611</v>
      </c>
      <c r="C35" s="4" t="s">
        <v>3522</v>
      </c>
      <c r="D35" s="9">
        <v>4767</v>
      </c>
    </row>
    <row r="36" spans="1:4" x14ac:dyDescent="0.25">
      <c r="A36" s="4" t="s">
        <v>832</v>
      </c>
      <c r="B36" s="4">
        <v>416146</v>
      </c>
      <c r="C36" s="4" t="s">
        <v>3523</v>
      </c>
      <c r="D36" s="9">
        <v>14440</v>
      </c>
    </row>
    <row r="37" spans="1:4" x14ac:dyDescent="0.25">
      <c r="A37" s="4" t="s">
        <v>832</v>
      </c>
      <c r="B37" s="4">
        <v>416146</v>
      </c>
      <c r="C37" s="4" t="s">
        <v>3524</v>
      </c>
      <c r="D37" s="9">
        <v>83575</v>
      </c>
    </row>
    <row r="38" spans="1:4" x14ac:dyDescent="0.25">
      <c r="A38" s="4" t="s">
        <v>832</v>
      </c>
      <c r="B38" s="4">
        <v>415611</v>
      </c>
      <c r="C38" s="4" t="s">
        <v>3525</v>
      </c>
      <c r="D38" s="9">
        <v>28716</v>
      </c>
    </row>
    <row r="39" spans="1:4" x14ac:dyDescent="0.25">
      <c r="A39" s="4" t="s">
        <v>832</v>
      </c>
      <c r="B39" s="4">
        <v>415611</v>
      </c>
      <c r="C39" s="4" t="s">
        <v>3526</v>
      </c>
      <c r="D39" s="9">
        <v>17339</v>
      </c>
    </row>
    <row r="40" spans="1:4" x14ac:dyDescent="0.25">
      <c r="A40" s="4" t="s">
        <v>832</v>
      </c>
      <c r="B40" s="4">
        <v>414904</v>
      </c>
      <c r="C40" s="4" t="s">
        <v>3478</v>
      </c>
      <c r="D40" s="9">
        <v>8044</v>
      </c>
    </row>
    <row r="41" spans="1:4" x14ac:dyDescent="0.25">
      <c r="A41" s="4" t="s">
        <v>832</v>
      </c>
      <c r="B41" s="4">
        <v>414904</v>
      </c>
      <c r="C41" s="4" t="s">
        <v>3479</v>
      </c>
      <c r="D41" s="9">
        <v>588</v>
      </c>
    </row>
    <row r="42" spans="1:4" x14ac:dyDescent="0.25">
      <c r="A42" s="4" t="s">
        <v>832</v>
      </c>
      <c r="B42" s="4">
        <v>415611</v>
      </c>
      <c r="C42" s="4" t="s">
        <v>3527</v>
      </c>
      <c r="D42" s="9">
        <v>10573</v>
      </c>
    </row>
    <row r="43" spans="1:4" x14ac:dyDescent="0.25">
      <c r="A43" s="4" t="s">
        <v>832</v>
      </c>
      <c r="B43" s="4">
        <v>415611</v>
      </c>
      <c r="C43" s="4" t="s">
        <v>3528</v>
      </c>
      <c r="D43" s="9">
        <v>20945</v>
      </c>
    </row>
    <row r="44" spans="1:4" x14ac:dyDescent="0.25">
      <c r="A44" s="4" t="s">
        <v>832</v>
      </c>
      <c r="B44" s="4">
        <v>415611</v>
      </c>
      <c r="C44" s="4" t="s">
        <v>3529</v>
      </c>
      <c r="D44" s="9">
        <v>40009</v>
      </c>
    </row>
    <row r="45" spans="1:4" x14ac:dyDescent="0.25">
      <c r="A45" s="4" t="s">
        <v>832</v>
      </c>
      <c r="B45" s="4">
        <v>415611</v>
      </c>
      <c r="C45" s="4" t="s">
        <v>3530</v>
      </c>
      <c r="D45" s="9">
        <v>4417</v>
      </c>
    </row>
    <row r="46" spans="1:4" x14ac:dyDescent="0.25">
      <c r="A46" s="4" t="s">
        <v>241</v>
      </c>
      <c r="B46" s="4">
        <v>415414</v>
      </c>
      <c r="C46" s="4" t="s">
        <v>3467</v>
      </c>
      <c r="D46" s="9">
        <v>2000</v>
      </c>
    </row>
    <row r="47" spans="1:4" x14ac:dyDescent="0.25">
      <c r="A47" s="4" t="s">
        <v>241</v>
      </c>
      <c r="B47" s="4">
        <v>418393</v>
      </c>
      <c r="C47" s="4" t="s">
        <v>3531</v>
      </c>
      <c r="D47" s="9">
        <v>12025</v>
      </c>
    </row>
    <row r="48" spans="1:4" x14ac:dyDescent="0.25">
      <c r="A48" s="4" t="s">
        <v>241</v>
      </c>
      <c r="B48" s="4">
        <v>412385</v>
      </c>
      <c r="C48" s="4" t="s">
        <v>3420</v>
      </c>
      <c r="D48" s="9">
        <v>700</v>
      </c>
    </row>
    <row r="49" spans="1:4" x14ac:dyDescent="0.25">
      <c r="A49" s="4" t="s">
        <v>2499</v>
      </c>
      <c r="B49" s="4">
        <v>415994</v>
      </c>
      <c r="C49" s="4" t="s">
        <v>3532</v>
      </c>
      <c r="D49" s="9">
        <v>1575</v>
      </c>
    </row>
    <row r="50" spans="1:4" x14ac:dyDescent="0.25">
      <c r="A50" s="4" t="s">
        <v>2499</v>
      </c>
      <c r="B50" s="4">
        <v>417810</v>
      </c>
      <c r="C50" s="4" t="s">
        <v>3533</v>
      </c>
      <c r="D50" s="9">
        <v>2270</v>
      </c>
    </row>
    <row r="51" spans="1:4" x14ac:dyDescent="0.25">
      <c r="A51" s="4" t="s">
        <v>2499</v>
      </c>
      <c r="B51" s="4">
        <v>415993</v>
      </c>
      <c r="C51" s="4" t="s">
        <v>3534</v>
      </c>
      <c r="D51" s="9">
        <v>2540</v>
      </c>
    </row>
    <row r="52" spans="1:4" x14ac:dyDescent="0.25">
      <c r="A52" s="4" t="s">
        <v>2499</v>
      </c>
      <c r="B52" s="4">
        <v>415992</v>
      </c>
      <c r="C52" s="4" t="s">
        <v>3535</v>
      </c>
      <c r="D52" s="9">
        <v>2595</v>
      </c>
    </row>
    <row r="53" spans="1:4" x14ac:dyDescent="0.25">
      <c r="A53" s="4" t="s">
        <v>3508</v>
      </c>
      <c r="B53" s="4">
        <v>377076</v>
      </c>
      <c r="C53" s="4" t="s">
        <v>3536</v>
      </c>
      <c r="D53" s="9">
        <v>900</v>
      </c>
    </row>
    <row r="54" spans="1:4" x14ac:dyDescent="0.25">
      <c r="A54" s="4" t="s">
        <v>3508</v>
      </c>
      <c r="B54" s="4">
        <v>377074</v>
      </c>
      <c r="C54" s="4" t="s">
        <v>3509</v>
      </c>
      <c r="D54" s="9">
        <v>900</v>
      </c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SUM(D2:D52)</f>
        <v>526452</v>
      </c>
    </row>
    <row r="93" spans="1:4" x14ac:dyDescent="0.25">
      <c r="C93" s="31" t="s">
        <v>2501</v>
      </c>
      <c r="D93" s="32">
        <f>SUM(D53:D54)</f>
        <v>1800</v>
      </c>
    </row>
    <row r="94" spans="1:4" x14ac:dyDescent="0.25">
      <c r="C94" s="31" t="s">
        <v>83</v>
      </c>
      <c r="D94" s="32">
        <f>SUM(D92:D93)</f>
        <v>528252</v>
      </c>
    </row>
  </sheetData>
  <printOptions horizontalCentered="1"/>
  <pageMargins left="0.7" right="0.7" top="1" bottom="0.75" header="0.3" footer="0.3"/>
  <pageSetup paperSize="5" scale="85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07BA-C8A7-43E0-9B86-14B789A60590}">
  <dimension ref="A1:D94"/>
  <sheetViews>
    <sheetView view="pageBreakPreview" topLeftCell="A20" zoomScaleNormal="100" zoomScaleSheetLayoutView="100" workbookViewId="0">
      <selection activeCell="D92" sqref="D92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1.710937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416329</v>
      </c>
      <c r="C2" s="4" t="s">
        <v>3537</v>
      </c>
      <c r="D2" s="9">
        <v>2940</v>
      </c>
    </row>
    <row r="3" spans="1:4" x14ac:dyDescent="0.25">
      <c r="A3" s="4" t="s">
        <v>5</v>
      </c>
      <c r="B3" s="4">
        <v>416329</v>
      </c>
      <c r="C3" s="4" t="s">
        <v>3538</v>
      </c>
      <c r="D3" s="9">
        <v>27950</v>
      </c>
    </row>
    <row r="4" spans="1:4" x14ac:dyDescent="0.25">
      <c r="A4" s="4" t="s">
        <v>98</v>
      </c>
      <c r="B4" s="4">
        <v>415846</v>
      </c>
      <c r="C4" s="4" t="s">
        <v>3481</v>
      </c>
      <c r="D4" s="9">
        <v>4545</v>
      </c>
    </row>
    <row r="5" spans="1:4" x14ac:dyDescent="0.25">
      <c r="A5" s="4" t="s">
        <v>98</v>
      </c>
      <c r="B5" s="4">
        <v>415846</v>
      </c>
      <c r="C5" s="4" t="s">
        <v>3482</v>
      </c>
      <c r="D5" s="9">
        <v>6515</v>
      </c>
    </row>
    <row r="6" spans="1:4" x14ac:dyDescent="0.25">
      <c r="A6" s="4" t="s">
        <v>98</v>
      </c>
      <c r="B6" s="4">
        <v>415846</v>
      </c>
      <c r="C6" s="4" t="s">
        <v>3483</v>
      </c>
      <c r="D6" s="9">
        <v>4910</v>
      </c>
    </row>
    <row r="7" spans="1:4" x14ac:dyDescent="0.25">
      <c r="A7" s="4" t="s">
        <v>98</v>
      </c>
      <c r="B7" s="4">
        <v>415846</v>
      </c>
      <c r="C7" s="4" t="s">
        <v>3484</v>
      </c>
      <c r="D7" s="9">
        <v>3670</v>
      </c>
    </row>
    <row r="8" spans="1:4" x14ac:dyDescent="0.25">
      <c r="A8" s="4" t="s">
        <v>98</v>
      </c>
      <c r="B8" s="4">
        <v>415846</v>
      </c>
      <c r="C8" s="4" t="s">
        <v>3485</v>
      </c>
      <c r="D8" s="9">
        <v>3380</v>
      </c>
    </row>
    <row r="9" spans="1:4" x14ac:dyDescent="0.25">
      <c r="A9" s="4" t="s">
        <v>3486</v>
      </c>
      <c r="B9" s="4">
        <v>416781</v>
      </c>
      <c r="C9" s="4" t="s">
        <v>3487</v>
      </c>
      <c r="D9" s="9">
        <v>7265</v>
      </c>
    </row>
    <row r="10" spans="1:4" x14ac:dyDescent="0.25">
      <c r="A10" s="4" t="s">
        <v>3486</v>
      </c>
      <c r="B10" s="4">
        <v>416781</v>
      </c>
      <c r="C10" s="4" t="s">
        <v>3488</v>
      </c>
      <c r="D10" s="9">
        <v>7415</v>
      </c>
    </row>
    <row r="11" spans="1:4" x14ac:dyDescent="0.25">
      <c r="A11" s="4" t="s">
        <v>3486</v>
      </c>
      <c r="B11" s="4">
        <v>416781</v>
      </c>
      <c r="C11" s="4" t="s">
        <v>3489</v>
      </c>
      <c r="D11" s="9">
        <v>7265</v>
      </c>
    </row>
    <row r="12" spans="1:4" x14ac:dyDescent="0.25">
      <c r="A12" s="4" t="s">
        <v>282</v>
      </c>
      <c r="B12" s="4">
        <v>415921</v>
      </c>
      <c r="C12" s="4" t="s">
        <v>3510</v>
      </c>
      <c r="D12" s="9">
        <v>16020</v>
      </c>
    </row>
    <row r="13" spans="1:4" x14ac:dyDescent="0.25">
      <c r="A13" s="4" t="s">
        <v>147</v>
      </c>
      <c r="B13" s="4">
        <v>415208</v>
      </c>
      <c r="C13" s="4" t="s">
        <v>3511</v>
      </c>
      <c r="D13" s="9">
        <v>2755</v>
      </c>
    </row>
    <row r="14" spans="1:4" x14ac:dyDescent="0.25">
      <c r="A14" s="4" t="s">
        <v>24</v>
      </c>
      <c r="B14" s="4">
        <v>418707</v>
      </c>
      <c r="C14" s="4" t="s">
        <v>3539</v>
      </c>
      <c r="D14" s="9">
        <v>2242</v>
      </c>
    </row>
    <row r="15" spans="1:4" x14ac:dyDescent="0.25">
      <c r="A15" s="4" t="s">
        <v>24</v>
      </c>
      <c r="B15" s="4">
        <v>418908</v>
      </c>
      <c r="C15" s="4" t="s">
        <v>3540</v>
      </c>
      <c r="D15" s="9">
        <v>4485</v>
      </c>
    </row>
    <row r="16" spans="1:4" x14ac:dyDescent="0.25">
      <c r="A16" s="4" t="s">
        <v>24</v>
      </c>
      <c r="B16" s="4">
        <v>418905</v>
      </c>
      <c r="C16" s="4" t="s">
        <v>3541</v>
      </c>
      <c r="D16" s="9">
        <v>6727</v>
      </c>
    </row>
    <row r="17" spans="1:4" x14ac:dyDescent="0.25">
      <c r="A17" s="4" t="s">
        <v>111</v>
      </c>
      <c r="B17" s="4">
        <v>418939</v>
      </c>
      <c r="C17" s="4" t="s">
        <v>3542</v>
      </c>
      <c r="D17" s="9">
        <v>126053</v>
      </c>
    </row>
    <row r="18" spans="1:4" x14ac:dyDescent="0.25">
      <c r="A18" s="4" t="s">
        <v>2160</v>
      </c>
      <c r="B18" s="4">
        <v>411597</v>
      </c>
      <c r="C18" s="4" t="s">
        <v>3492</v>
      </c>
      <c r="D18" s="9">
        <v>150</v>
      </c>
    </row>
    <row r="19" spans="1:4" x14ac:dyDescent="0.25">
      <c r="A19" s="4" t="s">
        <v>2160</v>
      </c>
      <c r="B19" s="4">
        <v>411597</v>
      </c>
      <c r="C19" s="4" t="s">
        <v>3493</v>
      </c>
      <c r="D19" s="9">
        <v>150</v>
      </c>
    </row>
    <row r="20" spans="1:4" x14ac:dyDescent="0.25">
      <c r="A20" s="4" t="s">
        <v>2160</v>
      </c>
      <c r="B20" s="4">
        <v>411597</v>
      </c>
      <c r="C20" s="4" t="s">
        <v>3494</v>
      </c>
      <c r="D20" s="9">
        <v>150</v>
      </c>
    </row>
    <row r="21" spans="1:4" x14ac:dyDescent="0.25">
      <c r="A21" s="4" t="s">
        <v>175</v>
      </c>
      <c r="B21" s="4">
        <v>417943</v>
      </c>
      <c r="C21" s="4" t="s">
        <v>3512</v>
      </c>
      <c r="D21" s="9">
        <v>90</v>
      </c>
    </row>
    <row r="22" spans="1:4" x14ac:dyDescent="0.25">
      <c r="A22" s="4" t="s">
        <v>175</v>
      </c>
      <c r="B22" s="4">
        <v>416785</v>
      </c>
      <c r="C22" s="4" t="s">
        <v>3495</v>
      </c>
      <c r="D22" s="9">
        <v>12165</v>
      </c>
    </row>
    <row r="23" spans="1:4" x14ac:dyDescent="0.25">
      <c r="A23" s="4" t="s">
        <v>175</v>
      </c>
      <c r="B23" s="4">
        <v>417944</v>
      </c>
      <c r="C23" s="4" t="s">
        <v>3513</v>
      </c>
      <c r="D23" s="9">
        <v>2795</v>
      </c>
    </row>
    <row r="24" spans="1:4" x14ac:dyDescent="0.25">
      <c r="A24" s="4" t="s">
        <v>175</v>
      </c>
      <c r="B24" s="4">
        <v>416887</v>
      </c>
      <c r="C24" s="4" t="s">
        <v>3496</v>
      </c>
      <c r="D24" s="9">
        <v>30065</v>
      </c>
    </row>
    <row r="25" spans="1:4" x14ac:dyDescent="0.25">
      <c r="A25" s="4" t="s">
        <v>175</v>
      </c>
      <c r="B25" s="4">
        <v>416888</v>
      </c>
      <c r="C25" s="4" t="s">
        <v>3497</v>
      </c>
      <c r="D25" s="9">
        <v>14285</v>
      </c>
    </row>
    <row r="26" spans="1:4" x14ac:dyDescent="0.25">
      <c r="A26" s="4" t="s">
        <v>180</v>
      </c>
      <c r="B26" s="4">
        <v>416843</v>
      </c>
      <c r="C26" s="4" t="s">
        <v>3498</v>
      </c>
      <c r="D26" s="9">
        <v>860</v>
      </c>
    </row>
    <row r="27" spans="1:4" x14ac:dyDescent="0.25">
      <c r="A27" s="4" t="s">
        <v>315</v>
      </c>
      <c r="B27" s="4">
        <v>414302</v>
      </c>
      <c r="C27" s="4" t="s">
        <v>3543</v>
      </c>
      <c r="D27" s="9">
        <v>345</v>
      </c>
    </row>
    <row r="28" spans="1:4" x14ac:dyDescent="0.25">
      <c r="A28" s="4" t="s">
        <v>315</v>
      </c>
      <c r="B28" s="4">
        <v>416899</v>
      </c>
      <c r="C28" s="4" t="s">
        <v>3544</v>
      </c>
      <c r="D28" s="9">
        <v>2995</v>
      </c>
    </row>
    <row r="29" spans="1:4" x14ac:dyDescent="0.25">
      <c r="A29" s="4" t="s">
        <v>315</v>
      </c>
      <c r="B29" s="4">
        <v>417096</v>
      </c>
      <c r="C29" s="4" t="s">
        <v>3545</v>
      </c>
      <c r="D29" s="9">
        <v>2500</v>
      </c>
    </row>
    <row r="30" spans="1:4" x14ac:dyDescent="0.25">
      <c r="A30" s="4" t="s">
        <v>832</v>
      </c>
      <c r="B30" s="4">
        <v>415023</v>
      </c>
      <c r="C30" s="4" t="s">
        <v>3450</v>
      </c>
      <c r="D30" s="9">
        <v>7950</v>
      </c>
    </row>
    <row r="31" spans="1:4" x14ac:dyDescent="0.25">
      <c r="A31" s="4" t="s">
        <v>832</v>
      </c>
      <c r="B31" s="4">
        <v>414904</v>
      </c>
      <c r="C31" s="4" t="s">
        <v>3478</v>
      </c>
      <c r="D31" s="9">
        <v>8044</v>
      </c>
    </row>
    <row r="32" spans="1:4" x14ac:dyDescent="0.25">
      <c r="A32" s="4" t="s">
        <v>832</v>
      </c>
      <c r="B32" s="4">
        <v>414904</v>
      </c>
      <c r="C32" s="4" t="s">
        <v>3479</v>
      </c>
      <c r="D32" s="9">
        <v>588</v>
      </c>
    </row>
    <row r="33" spans="1:4" x14ac:dyDescent="0.25">
      <c r="A33" s="4" t="s">
        <v>1387</v>
      </c>
      <c r="B33" s="4">
        <v>389296</v>
      </c>
      <c r="C33" s="4" t="s">
        <v>3546</v>
      </c>
      <c r="D33" s="9">
        <v>14119</v>
      </c>
    </row>
    <row r="34" spans="1:4" x14ac:dyDescent="0.25">
      <c r="A34" s="4" t="s">
        <v>241</v>
      </c>
      <c r="B34" s="4">
        <v>412385</v>
      </c>
      <c r="C34" s="4" t="s">
        <v>3420</v>
      </c>
      <c r="D34" s="9">
        <v>700</v>
      </c>
    </row>
    <row r="35" spans="1:4" x14ac:dyDescent="0.25">
      <c r="A35" s="4" t="s">
        <v>3508</v>
      </c>
      <c r="B35" s="4">
        <v>377076</v>
      </c>
      <c r="C35" s="4" t="s">
        <v>3536</v>
      </c>
      <c r="D35" s="9">
        <v>900</v>
      </c>
    </row>
    <row r="36" spans="1:4" x14ac:dyDescent="0.25">
      <c r="A36" s="4" t="s">
        <v>500</v>
      </c>
      <c r="B36" s="4">
        <v>412736</v>
      </c>
      <c r="C36" s="4" t="s">
        <v>3329</v>
      </c>
      <c r="D36" s="9">
        <v>28417</v>
      </c>
    </row>
    <row r="37" spans="1:4" x14ac:dyDescent="0.25">
      <c r="A37" s="4" t="s">
        <v>175</v>
      </c>
      <c r="B37" s="4">
        <v>416635</v>
      </c>
      <c r="C37" s="4" t="s">
        <v>3547</v>
      </c>
      <c r="D37" s="9">
        <v>895</v>
      </c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SUM(D2:D13,D18:D34,D37)</f>
        <v>193476</v>
      </c>
    </row>
    <row r="93" spans="1:4" x14ac:dyDescent="0.25">
      <c r="C93" s="31" t="s">
        <v>2501</v>
      </c>
      <c r="D93" s="32">
        <f>SUM(D35:D36,D14:D17)</f>
        <v>168824</v>
      </c>
    </row>
    <row r="94" spans="1:4" x14ac:dyDescent="0.25">
      <c r="C94" s="31" t="s">
        <v>83</v>
      </c>
      <c r="D94" s="32">
        <f>SUM(D92:D93)</f>
        <v>362300</v>
      </c>
    </row>
  </sheetData>
  <printOptions horizontalCentered="1"/>
  <pageMargins left="0.7" right="0.7" top="1" bottom="0.75" header="0.3" footer="0.3"/>
  <pageSetup paperSize="5" scale="81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A850-7C4D-4D0E-8FB0-62B7C350C821}">
  <dimension ref="A1:D94"/>
  <sheetViews>
    <sheetView view="pageBreakPreview" topLeftCell="A45" zoomScaleNormal="100" zoomScaleSheetLayoutView="100" workbookViewId="0">
      <selection activeCell="F63" sqref="F63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3.4257812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419395</v>
      </c>
      <c r="C2" s="4" t="s">
        <v>3548</v>
      </c>
      <c r="D2" s="9">
        <v>2195</v>
      </c>
    </row>
    <row r="3" spans="1:4" x14ac:dyDescent="0.25">
      <c r="A3" s="4" t="s">
        <v>282</v>
      </c>
      <c r="B3" s="4">
        <v>415921</v>
      </c>
      <c r="C3" s="4" t="s">
        <v>3510</v>
      </c>
      <c r="D3" s="9">
        <v>16020</v>
      </c>
    </row>
    <row r="4" spans="1:4" x14ac:dyDescent="0.25">
      <c r="A4" s="4" t="s">
        <v>147</v>
      </c>
      <c r="B4" s="4">
        <v>415208</v>
      </c>
      <c r="C4" s="4" t="s">
        <v>3511</v>
      </c>
      <c r="D4" s="9">
        <v>2755</v>
      </c>
    </row>
    <row r="5" spans="1:4" x14ac:dyDescent="0.25">
      <c r="A5" s="4" t="s">
        <v>147</v>
      </c>
      <c r="B5" s="4">
        <v>416939</v>
      </c>
      <c r="C5" s="4" t="s">
        <v>3549</v>
      </c>
      <c r="D5" s="9">
        <v>18980</v>
      </c>
    </row>
    <row r="6" spans="1:4" x14ac:dyDescent="0.25">
      <c r="A6" s="4" t="s">
        <v>13</v>
      </c>
      <c r="B6" s="4">
        <v>418875</v>
      </c>
      <c r="C6" s="4" t="s">
        <v>3550</v>
      </c>
      <c r="D6" s="9">
        <v>18408</v>
      </c>
    </row>
    <row r="7" spans="1:4" x14ac:dyDescent="0.25">
      <c r="A7" s="4" t="s">
        <v>111</v>
      </c>
      <c r="B7" s="4">
        <v>418939</v>
      </c>
      <c r="C7" s="4" t="s">
        <v>3542</v>
      </c>
      <c r="D7" s="9">
        <v>126053</v>
      </c>
    </row>
    <row r="8" spans="1:4" x14ac:dyDescent="0.25">
      <c r="A8" s="4" t="s">
        <v>111</v>
      </c>
      <c r="B8" s="4">
        <v>419347</v>
      </c>
      <c r="C8" s="4" t="s">
        <v>3551</v>
      </c>
      <c r="D8" s="9">
        <v>190</v>
      </c>
    </row>
    <row r="9" spans="1:4" x14ac:dyDescent="0.25">
      <c r="A9" s="4" t="s">
        <v>111</v>
      </c>
      <c r="B9" s="4">
        <v>419336</v>
      </c>
      <c r="C9" s="4" t="s">
        <v>3552</v>
      </c>
      <c r="D9" s="9">
        <v>190</v>
      </c>
    </row>
    <row r="10" spans="1:4" x14ac:dyDescent="0.25">
      <c r="A10" s="4" t="s">
        <v>111</v>
      </c>
      <c r="B10" s="4">
        <v>419359</v>
      </c>
      <c r="C10" s="4" t="s">
        <v>3553</v>
      </c>
      <c r="D10" s="9">
        <v>760</v>
      </c>
    </row>
    <row r="11" spans="1:4" x14ac:dyDescent="0.25">
      <c r="A11" s="4" t="s">
        <v>111</v>
      </c>
      <c r="B11" s="4">
        <v>419200</v>
      </c>
      <c r="C11" s="4" t="s">
        <v>3554</v>
      </c>
      <c r="D11" s="9">
        <v>156</v>
      </c>
    </row>
    <row r="12" spans="1:4" x14ac:dyDescent="0.25">
      <c r="A12" s="4" t="s">
        <v>111</v>
      </c>
      <c r="B12" s="4">
        <v>418959</v>
      </c>
      <c r="C12" s="4" t="s">
        <v>3555</v>
      </c>
      <c r="D12" s="9">
        <v>324</v>
      </c>
    </row>
    <row r="13" spans="1:4" x14ac:dyDescent="0.25">
      <c r="A13" s="4" t="s">
        <v>2160</v>
      </c>
      <c r="B13" s="4">
        <v>411597</v>
      </c>
      <c r="C13" s="4" t="s">
        <v>3492</v>
      </c>
      <c r="D13" s="9">
        <v>150</v>
      </c>
    </row>
    <row r="14" spans="1:4" x14ac:dyDescent="0.25">
      <c r="A14" s="4" t="s">
        <v>2160</v>
      </c>
      <c r="B14" s="4">
        <v>411597</v>
      </c>
      <c r="C14" s="4" t="s">
        <v>3493</v>
      </c>
      <c r="D14" s="9">
        <v>150</v>
      </c>
    </row>
    <row r="15" spans="1:4" x14ac:dyDescent="0.25">
      <c r="A15" s="4" t="s">
        <v>2160</v>
      </c>
      <c r="B15" s="4">
        <v>411597</v>
      </c>
      <c r="C15" s="4" t="s">
        <v>3494</v>
      </c>
      <c r="D15" s="9">
        <v>150</v>
      </c>
    </row>
    <row r="16" spans="1:4" x14ac:dyDescent="0.25">
      <c r="A16" s="4" t="s">
        <v>175</v>
      </c>
      <c r="B16" s="4">
        <v>416785</v>
      </c>
      <c r="C16" s="4" t="s">
        <v>3495</v>
      </c>
      <c r="D16" s="9">
        <v>12165</v>
      </c>
    </row>
    <row r="17" spans="1:4" x14ac:dyDescent="0.25">
      <c r="A17" s="4" t="s">
        <v>26</v>
      </c>
      <c r="B17" s="4">
        <v>417134</v>
      </c>
      <c r="C17" s="4" t="s">
        <v>3556</v>
      </c>
      <c r="D17" s="9">
        <v>500</v>
      </c>
    </row>
    <row r="18" spans="1:4" x14ac:dyDescent="0.25">
      <c r="A18" s="4" t="s">
        <v>26</v>
      </c>
      <c r="B18" s="4">
        <v>419266</v>
      </c>
      <c r="C18" s="4" t="s">
        <v>3557</v>
      </c>
      <c r="D18" s="9">
        <v>350</v>
      </c>
    </row>
    <row r="19" spans="1:4" x14ac:dyDescent="0.25">
      <c r="A19" s="4" t="s">
        <v>26</v>
      </c>
      <c r="B19" s="4">
        <v>419265</v>
      </c>
      <c r="C19" s="4" t="s">
        <v>3558</v>
      </c>
      <c r="D19" s="9">
        <v>1570</v>
      </c>
    </row>
    <row r="20" spans="1:4" x14ac:dyDescent="0.25">
      <c r="A20" s="4" t="s">
        <v>1419</v>
      </c>
      <c r="B20" s="4">
        <v>418721</v>
      </c>
      <c r="C20" s="4" t="s">
        <v>3559</v>
      </c>
      <c r="D20" s="9">
        <v>1570</v>
      </c>
    </row>
    <row r="21" spans="1:4" x14ac:dyDescent="0.25">
      <c r="A21" s="4" t="s">
        <v>1419</v>
      </c>
      <c r="B21" s="4">
        <v>418794</v>
      </c>
      <c r="C21" s="4" t="s">
        <v>3560</v>
      </c>
      <c r="D21" s="9">
        <v>1425</v>
      </c>
    </row>
    <row r="22" spans="1:4" x14ac:dyDescent="0.25">
      <c r="A22" s="4" t="s">
        <v>1419</v>
      </c>
      <c r="B22" s="4">
        <v>418723</v>
      </c>
      <c r="C22" s="4" t="s">
        <v>3561</v>
      </c>
      <c r="D22" s="9">
        <v>27790</v>
      </c>
    </row>
    <row r="23" spans="1:4" x14ac:dyDescent="0.25">
      <c r="A23" s="4" t="s">
        <v>1419</v>
      </c>
      <c r="B23" s="4">
        <v>418791</v>
      </c>
      <c r="C23" s="4" t="s">
        <v>3562</v>
      </c>
      <c r="D23" s="9">
        <v>1350</v>
      </c>
    </row>
    <row r="24" spans="1:4" x14ac:dyDescent="0.25">
      <c r="A24" s="4" t="s">
        <v>1419</v>
      </c>
      <c r="B24" s="4">
        <v>418725</v>
      </c>
      <c r="C24" s="4" t="s">
        <v>3563</v>
      </c>
      <c r="D24" s="9">
        <v>5305</v>
      </c>
    </row>
    <row r="25" spans="1:4" x14ac:dyDescent="0.25">
      <c r="A25" s="4" t="s">
        <v>1419</v>
      </c>
      <c r="B25" s="4">
        <v>418748</v>
      </c>
      <c r="C25" s="4" t="s">
        <v>3564</v>
      </c>
      <c r="D25" s="9">
        <v>8500</v>
      </c>
    </row>
    <row r="26" spans="1:4" x14ac:dyDescent="0.25">
      <c r="A26" s="4" t="s">
        <v>1419</v>
      </c>
      <c r="B26" s="4">
        <v>418744</v>
      </c>
      <c r="C26" s="4" t="s">
        <v>3565</v>
      </c>
      <c r="D26" s="9">
        <v>4175</v>
      </c>
    </row>
    <row r="27" spans="1:4" x14ac:dyDescent="0.25">
      <c r="A27" s="4" t="s">
        <v>1419</v>
      </c>
      <c r="B27" s="4">
        <v>418715</v>
      </c>
      <c r="C27" s="4" t="s">
        <v>3566</v>
      </c>
      <c r="D27" s="9">
        <v>2120</v>
      </c>
    </row>
    <row r="28" spans="1:4" x14ac:dyDescent="0.25">
      <c r="A28" s="4" t="s">
        <v>1419</v>
      </c>
      <c r="B28" s="4">
        <v>418720</v>
      </c>
      <c r="C28" s="4" t="s">
        <v>3567</v>
      </c>
      <c r="D28" s="9">
        <v>2010</v>
      </c>
    </row>
    <row r="29" spans="1:4" x14ac:dyDescent="0.25">
      <c r="A29" s="4" t="s">
        <v>1419</v>
      </c>
      <c r="B29" s="4">
        <v>418716</v>
      </c>
      <c r="C29" s="4" t="s">
        <v>3568</v>
      </c>
      <c r="D29" s="9">
        <v>21905</v>
      </c>
    </row>
    <row r="30" spans="1:4" x14ac:dyDescent="0.25">
      <c r="A30" s="4" t="s">
        <v>180</v>
      </c>
      <c r="B30" s="4">
        <v>416843</v>
      </c>
      <c r="C30" s="4" t="s">
        <v>3498</v>
      </c>
      <c r="D30" s="9">
        <v>860</v>
      </c>
    </row>
    <row r="31" spans="1:4" x14ac:dyDescent="0.25">
      <c r="A31" s="4" t="s">
        <v>269</v>
      </c>
      <c r="B31" s="4">
        <v>419468</v>
      </c>
      <c r="C31" s="4" t="s">
        <v>3569</v>
      </c>
      <c r="D31" s="9">
        <v>32308</v>
      </c>
    </row>
    <row r="32" spans="1:4" x14ac:dyDescent="0.25">
      <c r="A32" s="4" t="s">
        <v>269</v>
      </c>
      <c r="B32" s="4">
        <v>419468</v>
      </c>
      <c r="C32" s="4" t="s">
        <v>3570</v>
      </c>
      <c r="D32" s="9">
        <v>4650</v>
      </c>
    </row>
    <row r="33" spans="1:4" x14ac:dyDescent="0.25">
      <c r="A33" s="4" t="s">
        <v>315</v>
      </c>
      <c r="B33" s="4">
        <v>417683</v>
      </c>
      <c r="C33" s="4" t="s">
        <v>3571</v>
      </c>
      <c r="D33" s="9">
        <v>4625</v>
      </c>
    </row>
    <row r="34" spans="1:4" x14ac:dyDescent="0.25">
      <c r="A34" s="4" t="s">
        <v>315</v>
      </c>
      <c r="B34" s="4">
        <v>417683</v>
      </c>
      <c r="C34" s="4" t="s">
        <v>3572</v>
      </c>
      <c r="D34" s="9">
        <v>2225</v>
      </c>
    </row>
    <row r="35" spans="1:4" x14ac:dyDescent="0.25">
      <c r="A35" s="4" t="s">
        <v>315</v>
      </c>
      <c r="B35" s="4">
        <v>417683</v>
      </c>
      <c r="C35" s="4" t="s">
        <v>3573</v>
      </c>
      <c r="D35" s="9">
        <v>13500</v>
      </c>
    </row>
    <row r="36" spans="1:4" x14ac:dyDescent="0.25">
      <c r="A36" s="4" t="s">
        <v>315</v>
      </c>
      <c r="B36" s="4">
        <v>417683</v>
      </c>
      <c r="C36" s="4" t="s">
        <v>3574</v>
      </c>
      <c r="D36" s="9">
        <v>13550</v>
      </c>
    </row>
    <row r="37" spans="1:4" x14ac:dyDescent="0.25">
      <c r="A37" s="4" t="s">
        <v>315</v>
      </c>
      <c r="B37" s="4">
        <v>418217</v>
      </c>
      <c r="C37" s="4" t="s">
        <v>3575</v>
      </c>
      <c r="D37" s="9">
        <v>495</v>
      </c>
    </row>
    <row r="38" spans="1:4" x14ac:dyDescent="0.25">
      <c r="A38" s="4" t="s">
        <v>315</v>
      </c>
      <c r="B38" s="4">
        <v>418326</v>
      </c>
      <c r="C38" s="4" t="s">
        <v>3576</v>
      </c>
      <c r="D38" s="9">
        <v>575</v>
      </c>
    </row>
    <row r="39" spans="1:4" x14ac:dyDescent="0.25">
      <c r="A39" s="4" t="s">
        <v>315</v>
      </c>
      <c r="B39" s="4">
        <v>416655</v>
      </c>
      <c r="C39" s="4" t="s">
        <v>3577</v>
      </c>
      <c r="D39" s="9">
        <v>4500</v>
      </c>
    </row>
    <row r="40" spans="1:4" x14ac:dyDescent="0.25">
      <c r="A40" s="4" t="s">
        <v>315</v>
      </c>
      <c r="B40" s="4">
        <v>417963</v>
      </c>
      <c r="C40" s="4" t="s">
        <v>3578</v>
      </c>
      <c r="D40" s="9">
        <v>790</v>
      </c>
    </row>
    <row r="41" spans="1:4" x14ac:dyDescent="0.25">
      <c r="A41" s="4" t="s">
        <v>2291</v>
      </c>
      <c r="B41" s="4">
        <v>419000</v>
      </c>
      <c r="C41" s="4" t="s">
        <v>3579</v>
      </c>
      <c r="D41" s="9">
        <v>795</v>
      </c>
    </row>
    <row r="42" spans="1:4" x14ac:dyDescent="0.25">
      <c r="A42" s="4" t="s">
        <v>2291</v>
      </c>
      <c r="B42" s="4">
        <v>419002</v>
      </c>
      <c r="C42" s="4" t="s">
        <v>3580</v>
      </c>
      <c r="D42" s="9">
        <v>890</v>
      </c>
    </row>
    <row r="43" spans="1:4" x14ac:dyDescent="0.25">
      <c r="A43" s="4" t="s">
        <v>832</v>
      </c>
      <c r="B43" s="4">
        <v>419202</v>
      </c>
      <c r="C43" s="4" t="s">
        <v>3581</v>
      </c>
      <c r="D43" s="9">
        <v>2000</v>
      </c>
    </row>
    <row r="44" spans="1:4" x14ac:dyDescent="0.25">
      <c r="A44" s="4" t="s">
        <v>832</v>
      </c>
      <c r="B44" s="4">
        <v>419202</v>
      </c>
      <c r="C44" s="4" t="s">
        <v>3582</v>
      </c>
      <c r="D44" s="9">
        <v>8924</v>
      </c>
    </row>
    <row r="45" spans="1:4" x14ac:dyDescent="0.25">
      <c r="A45" s="4" t="s">
        <v>832</v>
      </c>
      <c r="B45" s="4">
        <v>419055</v>
      </c>
      <c r="C45" s="4" t="s">
        <v>3583</v>
      </c>
      <c r="D45" s="9">
        <v>300</v>
      </c>
    </row>
    <row r="46" spans="1:4" x14ac:dyDescent="0.25">
      <c r="A46" s="4" t="s">
        <v>443</v>
      </c>
      <c r="B46" s="4">
        <v>419109</v>
      </c>
      <c r="C46" s="4" t="s">
        <v>3584</v>
      </c>
      <c r="D46" s="9">
        <v>270</v>
      </c>
    </row>
    <row r="47" spans="1:4" x14ac:dyDescent="0.25">
      <c r="A47" s="4" t="s">
        <v>241</v>
      </c>
      <c r="B47" s="4">
        <v>412385</v>
      </c>
      <c r="C47" s="4" t="s">
        <v>3420</v>
      </c>
      <c r="D47" s="9">
        <v>700</v>
      </c>
    </row>
    <row r="48" spans="1:4" x14ac:dyDescent="0.25">
      <c r="A48" s="4" t="s">
        <v>3177</v>
      </c>
      <c r="B48" s="4">
        <v>415514</v>
      </c>
      <c r="C48" s="4" t="s">
        <v>3585</v>
      </c>
      <c r="D48" s="9">
        <v>55896</v>
      </c>
    </row>
    <row r="49" spans="1:4" x14ac:dyDescent="0.25">
      <c r="A49" s="4" t="s">
        <v>3177</v>
      </c>
      <c r="B49" s="4">
        <v>415514</v>
      </c>
      <c r="C49" s="4" t="s">
        <v>3586</v>
      </c>
      <c r="D49" s="9">
        <v>69266</v>
      </c>
    </row>
    <row r="50" spans="1:4" x14ac:dyDescent="0.25">
      <c r="A50" s="4" t="s">
        <v>3177</v>
      </c>
      <c r="B50" s="4">
        <v>415514</v>
      </c>
      <c r="C50" s="4" t="s">
        <v>3587</v>
      </c>
      <c r="D50" s="9">
        <v>53946</v>
      </c>
    </row>
    <row r="51" spans="1:4" x14ac:dyDescent="0.25">
      <c r="A51" s="4" t="s">
        <v>3177</v>
      </c>
      <c r="B51" s="4">
        <v>415514</v>
      </c>
      <c r="C51" s="4" t="s">
        <v>3588</v>
      </c>
      <c r="D51" s="9">
        <v>89274</v>
      </c>
    </row>
    <row r="52" spans="1:4" x14ac:dyDescent="0.25">
      <c r="A52" s="4" t="s">
        <v>3177</v>
      </c>
      <c r="B52" s="4">
        <v>415514</v>
      </c>
      <c r="C52" s="4" t="s">
        <v>3589</v>
      </c>
      <c r="D52" s="9">
        <v>66488</v>
      </c>
    </row>
    <row r="53" spans="1:4" x14ac:dyDescent="0.25">
      <c r="A53" s="4" t="s">
        <v>3177</v>
      </c>
      <c r="B53" s="4">
        <v>415514</v>
      </c>
      <c r="C53" s="4" t="s">
        <v>3590</v>
      </c>
      <c r="D53" s="9">
        <v>57371</v>
      </c>
    </row>
    <row r="54" spans="1:4" x14ac:dyDescent="0.25">
      <c r="A54" s="4" t="s">
        <v>61</v>
      </c>
      <c r="B54" s="4">
        <v>419443</v>
      </c>
      <c r="C54" s="4" t="s">
        <v>3591</v>
      </c>
      <c r="D54" s="9">
        <v>111934</v>
      </c>
    </row>
    <row r="55" spans="1:4" x14ac:dyDescent="0.25">
      <c r="A55" s="4" t="s">
        <v>61</v>
      </c>
      <c r="B55" s="4">
        <v>419472</v>
      </c>
      <c r="C55" s="4" t="s">
        <v>3592</v>
      </c>
      <c r="D55" s="9">
        <v>2385</v>
      </c>
    </row>
    <row r="56" spans="1:4" x14ac:dyDescent="0.25">
      <c r="A56" s="4" t="s">
        <v>61</v>
      </c>
      <c r="B56" s="4">
        <v>419471</v>
      </c>
      <c r="C56" s="4" t="s">
        <v>3593</v>
      </c>
      <c r="D56" s="9">
        <v>365</v>
      </c>
    </row>
    <row r="57" spans="1:4" x14ac:dyDescent="0.25">
      <c r="A57" s="4" t="s">
        <v>61</v>
      </c>
      <c r="B57" s="4">
        <v>419148</v>
      </c>
      <c r="C57" s="4" t="s">
        <v>3594</v>
      </c>
      <c r="D57" s="9">
        <v>6389</v>
      </c>
    </row>
    <row r="58" spans="1:4" x14ac:dyDescent="0.25">
      <c r="A58" s="4" t="s">
        <v>61</v>
      </c>
      <c r="B58" s="4">
        <v>419160</v>
      </c>
      <c r="C58" s="4" t="s">
        <v>3595</v>
      </c>
      <c r="D58" s="9">
        <v>5474</v>
      </c>
    </row>
    <row r="59" spans="1:4" x14ac:dyDescent="0.25">
      <c r="A59" s="4" t="s">
        <v>61</v>
      </c>
      <c r="B59" s="4">
        <v>419025</v>
      </c>
      <c r="C59" s="4" t="s">
        <v>3596</v>
      </c>
      <c r="D59" s="9">
        <v>13236</v>
      </c>
    </row>
    <row r="60" spans="1:4" x14ac:dyDescent="0.25">
      <c r="A60" s="4" t="s">
        <v>61</v>
      </c>
      <c r="B60" s="4">
        <v>419015</v>
      </c>
      <c r="C60" s="4" t="s">
        <v>3597</v>
      </c>
      <c r="D60" s="9">
        <v>3655</v>
      </c>
    </row>
    <row r="61" spans="1:4" x14ac:dyDescent="0.25">
      <c r="A61" s="4" t="s">
        <v>61</v>
      </c>
      <c r="B61" s="4">
        <v>419010</v>
      </c>
      <c r="C61" s="4" t="s">
        <v>3598</v>
      </c>
      <c r="D61" s="9">
        <v>7837</v>
      </c>
    </row>
    <row r="62" spans="1:4" x14ac:dyDescent="0.25">
      <c r="A62" s="4" t="s">
        <v>61</v>
      </c>
      <c r="B62" s="4">
        <v>419114</v>
      </c>
      <c r="C62" s="4" t="s">
        <v>3599</v>
      </c>
      <c r="D62" s="9">
        <v>5659</v>
      </c>
    </row>
    <row r="63" spans="1:4" x14ac:dyDescent="0.25">
      <c r="A63" s="4" t="s">
        <v>61</v>
      </c>
      <c r="B63" s="4">
        <v>419101</v>
      </c>
      <c r="C63" s="4" t="s">
        <v>3600</v>
      </c>
      <c r="D63" s="9">
        <v>11011</v>
      </c>
    </row>
    <row r="64" spans="1:4" x14ac:dyDescent="0.25">
      <c r="A64" s="4" t="s">
        <v>61</v>
      </c>
      <c r="B64" s="4">
        <v>419104</v>
      </c>
      <c r="C64" s="4" t="s">
        <v>3601</v>
      </c>
      <c r="D64" s="9">
        <v>13423</v>
      </c>
    </row>
    <row r="65" spans="1:4" x14ac:dyDescent="0.25">
      <c r="A65" s="4" t="s">
        <v>61</v>
      </c>
      <c r="B65" s="4">
        <v>419029</v>
      </c>
      <c r="C65" s="4" t="s">
        <v>3602</v>
      </c>
      <c r="D65" s="9">
        <v>25029</v>
      </c>
    </row>
    <row r="66" spans="1:4" x14ac:dyDescent="0.25">
      <c r="A66" s="4" t="s">
        <v>61</v>
      </c>
      <c r="B66" s="4">
        <v>419004</v>
      </c>
      <c r="C66" s="4" t="s">
        <v>3603</v>
      </c>
      <c r="D66" s="9">
        <v>10810</v>
      </c>
    </row>
    <row r="67" spans="1:4" x14ac:dyDescent="0.25">
      <c r="A67" s="4" t="s">
        <v>61</v>
      </c>
      <c r="B67" s="4">
        <v>418994</v>
      </c>
      <c r="C67" s="4" t="s">
        <v>3604</v>
      </c>
      <c r="D67" s="9">
        <v>4001</v>
      </c>
    </row>
    <row r="68" spans="1:4" x14ac:dyDescent="0.25">
      <c r="A68" s="4" t="s">
        <v>61</v>
      </c>
      <c r="B68" s="4">
        <v>418990</v>
      </c>
      <c r="C68" s="4" t="s">
        <v>3605</v>
      </c>
      <c r="D68" s="9">
        <v>11167</v>
      </c>
    </row>
    <row r="69" spans="1:4" x14ac:dyDescent="0.25">
      <c r="A69" s="4" t="s">
        <v>61</v>
      </c>
      <c r="B69" s="4">
        <v>419098</v>
      </c>
      <c r="C69" s="4" t="s">
        <v>3606</v>
      </c>
      <c r="D69" s="9">
        <v>5055</v>
      </c>
    </row>
    <row r="70" spans="1:4" x14ac:dyDescent="0.25">
      <c r="A70" s="4" t="s">
        <v>61</v>
      </c>
      <c r="B70" s="4">
        <v>419093</v>
      </c>
      <c r="C70" s="4" t="s">
        <v>3607</v>
      </c>
      <c r="D70" s="9">
        <v>11645</v>
      </c>
    </row>
    <row r="71" spans="1:4" x14ac:dyDescent="0.25">
      <c r="A71" s="4" t="s">
        <v>61</v>
      </c>
      <c r="B71" s="4">
        <v>419188</v>
      </c>
      <c r="C71" s="4" t="s">
        <v>3608</v>
      </c>
      <c r="D71" s="9">
        <v>1184</v>
      </c>
    </row>
    <row r="72" spans="1:4" x14ac:dyDescent="0.25">
      <c r="A72" s="4" t="s">
        <v>81</v>
      </c>
      <c r="B72" s="4">
        <v>415367</v>
      </c>
      <c r="C72" s="4" t="s">
        <v>3609</v>
      </c>
      <c r="D72" s="9">
        <v>27727</v>
      </c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SUM(D2:D5,D13:D53)</f>
        <v>615333</v>
      </c>
    </row>
    <row r="93" spans="1:4" x14ac:dyDescent="0.25">
      <c r="C93" s="31" t="s">
        <v>2501</v>
      </c>
      <c r="D93" s="32">
        <f>SUM(D6:D12,D54:D72)</f>
        <v>424067</v>
      </c>
    </row>
    <row r="94" spans="1:4" x14ac:dyDescent="0.25">
      <c r="C94" s="31" t="s">
        <v>83</v>
      </c>
      <c r="D94" s="32">
        <f>SUM(D92:D93)</f>
        <v>1039400</v>
      </c>
    </row>
  </sheetData>
  <printOptions horizontalCentered="1"/>
  <pageMargins left="0.7" right="0.7" top="1" bottom="0.75" header="0.3" footer="0.3"/>
  <pageSetup paperSize="5" scale="81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7916-8E40-4A91-BC95-C39A854F237D}">
  <dimension ref="A1:D94"/>
  <sheetViews>
    <sheetView view="pageBreakPreview" zoomScaleNormal="100" zoomScaleSheetLayoutView="100" workbookViewId="0">
      <selection activeCell="E51" sqref="E51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3.4257812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419395</v>
      </c>
      <c r="C2" s="4" t="s">
        <v>3548</v>
      </c>
      <c r="D2" s="9">
        <v>2195</v>
      </c>
    </row>
    <row r="3" spans="1:4" x14ac:dyDescent="0.25">
      <c r="A3" s="4" t="s">
        <v>282</v>
      </c>
      <c r="B3" s="4">
        <v>415921</v>
      </c>
      <c r="C3" s="4" t="s">
        <v>3510</v>
      </c>
      <c r="D3" s="9">
        <v>16020</v>
      </c>
    </row>
    <row r="4" spans="1:4" x14ac:dyDescent="0.25">
      <c r="A4" s="4" t="s">
        <v>147</v>
      </c>
      <c r="B4" s="4">
        <v>415208</v>
      </c>
      <c r="C4" s="4" t="s">
        <v>3511</v>
      </c>
      <c r="D4" s="9">
        <v>2755</v>
      </c>
    </row>
    <row r="5" spans="1:4" x14ac:dyDescent="0.25">
      <c r="A5" s="4" t="s">
        <v>147</v>
      </c>
      <c r="B5" s="4">
        <v>416939</v>
      </c>
      <c r="C5" s="4" t="s">
        <v>3549</v>
      </c>
      <c r="D5" s="9">
        <v>18980</v>
      </c>
    </row>
    <row r="6" spans="1:4" x14ac:dyDescent="0.25">
      <c r="A6" s="4" t="s">
        <v>13</v>
      </c>
      <c r="B6" s="4">
        <v>418872</v>
      </c>
      <c r="C6" s="4" t="s">
        <v>3610</v>
      </c>
      <c r="D6" s="9">
        <v>2714</v>
      </c>
    </row>
    <row r="7" spans="1:4" x14ac:dyDescent="0.25">
      <c r="A7" s="4" t="s">
        <v>111</v>
      </c>
      <c r="B7" s="4">
        <v>419617</v>
      </c>
      <c r="C7" s="4" t="s">
        <v>3611</v>
      </c>
      <c r="D7" s="9">
        <v>190</v>
      </c>
    </row>
    <row r="8" spans="1:4" x14ac:dyDescent="0.25">
      <c r="A8" s="4" t="s">
        <v>111</v>
      </c>
      <c r="B8" s="4">
        <v>419336</v>
      </c>
      <c r="C8" s="4" t="s">
        <v>3552</v>
      </c>
      <c r="D8" s="9">
        <v>190</v>
      </c>
    </row>
    <row r="9" spans="1:4" x14ac:dyDescent="0.25">
      <c r="A9" s="4" t="s">
        <v>111</v>
      </c>
      <c r="B9" s="4">
        <v>419359</v>
      </c>
      <c r="C9" s="4" t="s">
        <v>3553</v>
      </c>
      <c r="D9" s="9">
        <v>760</v>
      </c>
    </row>
    <row r="10" spans="1:4" x14ac:dyDescent="0.25">
      <c r="A10" s="4" t="s">
        <v>111</v>
      </c>
      <c r="B10" s="4">
        <v>419200</v>
      </c>
      <c r="C10" s="4" t="s">
        <v>3554</v>
      </c>
      <c r="D10" s="9">
        <v>156</v>
      </c>
    </row>
    <row r="11" spans="1:4" x14ac:dyDescent="0.25">
      <c r="A11" s="4" t="s">
        <v>111</v>
      </c>
      <c r="B11" s="4">
        <v>418959</v>
      </c>
      <c r="C11" s="4" t="s">
        <v>3555</v>
      </c>
      <c r="D11" s="9">
        <v>324</v>
      </c>
    </row>
    <row r="12" spans="1:4" x14ac:dyDescent="0.25">
      <c r="A12" s="4" t="s">
        <v>3170</v>
      </c>
      <c r="B12" s="4">
        <v>419058</v>
      </c>
      <c r="C12" s="4" t="s">
        <v>3612</v>
      </c>
      <c r="D12" s="9">
        <v>2083</v>
      </c>
    </row>
    <row r="13" spans="1:4" x14ac:dyDescent="0.25">
      <c r="A13" s="4" t="s">
        <v>2160</v>
      </c>
      <c r="B13" s="4">
        <v>411597</v>
      </c>
      <c r="C13" s="4" t="s">
        <v>3492</v>
      </c>
      <c r="D13" s="9">
        <v>150</v>
      </c>
    </row>
    <row r="14" spans="1:4" x14ac:dyDescent="0.25">
      <c r="A14" s="4" t="s">
        <v>2160</v>
      </c>
      <c r="B14" s="4">
        <v>411597</v>
      </c>
      <c r="C14" s="4" t="s">
        <v>3493</v>
      </c>
      <c r="D14" s="9">
        <v>150</v>
      </c>
    </row>
    <row r="15" spans="1:4" x14ac:dyDescent="0.25">
      <c r="A15" s="4" t="s">
        <v>2160</v>
      </c>
      <c r="B15" s="4">
        <v>411597</v>
      </c>
      <c r="C15" s="4" t="s">
        <v>3494</v>
      </c>
      <c r="D15" s="9">
        <v>150</v>
      </c>
    </row>
    <row r="16" spans="1:4" x14ac:dyDescent="0.25">
      <c r="A16" s="4" t="s">
        <v>2160</v>
      </c>
      <c r="B16" s="4">
        <v>416415</v>
      </c>
      <c r="C16" s="4" t="s">
        <v>3613</v>
      </c>
      <c r="D16" s="9">
        <v>2975</v>
      </c>
    </row>
    <row r="17" spans="1:4" x14ac:dyDescent="0.25">
      <c r="A17" s="4" t="s">
        <v>2160</v>
      </c>
      <c r="B17" s="4">
        <v>417415</v>
      </c>
      <c r="C17" s="4" t="s">
        <v>3614</v>
      </c>
      <c r="D17" s="9">
        <v>790</v>
      </c>
    </row>
    <row r="18" spans="1:4" x14ac:dyDescent="0.25">
      <c r="A18" s="4" t="s">
        <v>2160</v>
      </c>
      <c r="B18" s="4">
        <v>416415</v>
      </c>
      <c r="C18" s="4" t="s">
        <v>3615</v>
      </c>
      <c r="D18" s="9">
        <v>17005</v>
      </c>
    </row>
    <row r="19" spans="1:4" x14ac:dyDescent="0.25">
      <c r="A19" s="4" t="s">
        <v>2160</v>
      </c>
      <c r="B19" s="4">
        <v>416337</v>
      </c>
      <c r="C19" s="4" t="s">
        <v>3616</v>
      </c>
      <c r="D19" s="9">
        <v>175</v>
      </c>
    </row>
    <row r="20" spans="1:4" x14ac:dyDescent="0.25">
      <c r="A20" s="4" t="s">
        <v>2160</v>
      </c>
      <c r="B20" s="4">
        <v>416380</v>
      </c>
      <c r="C20" s="4" t="s">
        <v>3617</v>
      </c>
      <c r="D20" s="9">
        <v>10235</v>
      </c>
    </row>
    <row r="21" spans="1:4" x14ac:dyDescent="0.25">
      <c r="A21" s="4" t="s">
        <v>2160</v>
      </c>
      <c r="B21" s="4">
        <v>416340</v>
      </c>
      <c r="C21" s="4" t="s">
        <v>3618</v>
      </c>
      <c r="D21" s="9">
        <v>150</v>
      </c>
    </row>
    <row r="22" spans="1:4" x14ac:dyDescent="0.25">
      <c r="A22" s="4" t="s">
        <v>175</v>
      </c>
      <c r="B22" s="4">
        <v>416785</v>
      </c>
      <c r="C22" s="4" t="s">
        <v>3495</v>
      </c>
      <c r="D22" s="9">
        <v>12165</v>
      </c>
    </row>
    <row r="23" spans="1:4" x14ac:dyDescent="0.25">
      <c r="A23" s="4" t="s">
        <v>175</v>
      </c>
      <c r="B23" s="4">
        <v>419523</v>
      </c>
      <c r="C23" s="4" t="s">
        <v>3619</v>
      </c>
      <c r="D23" s="9">
        <v>196486</v>
      </c>
    </row>
    <row r="24" spans="1:4" x14ac:dyDescent="0.25">
      <c r="A24" s="4" t="s">
        <v>175</v>
      </c>
      <c r="B24" s="4">
        <v>419523</v>
      </c>
      <c r="C24" s="4" t="s">
        <v>3620</v>
      </c>
      <c r="D24" s="9">
        <v>9513</v>
      </c>
    </row>
    <row r="25" spans="1:4" x14ac:dyDescent="0.25">
      <c r="A25" s="4" t="s">
        <v>175</v>
      </c>
      <c r="B25" s="4">
        <v>419523</v>
      </c>
      <c r="C25" s="4" t="s">
        <v>3621</v>
      </c>
      <c r="D25" s="9">
        <v>6758</v>
      </c>
    </row>
    <row r="26" spans="1:4" x14ac:dyDescent="0.25">
      <c r="A26" s="4" t="s">
        <v>175</v>
      </c>
      <c r="B26" s="4">
        <v>419523</v>
      </c>
      <c r="C26" s="4" t="s">
        <v>3622</v>
      </c>
      <c r="D26" s="9">
        <v>9503</v>
      </c>
    </row>
    <row r="27" spans="1:4" x14ac:dyDescent="0.25">
      <c r="A27" s="4" t="s">
        <v>175</v>
      </c>
      <c r="B27" s="4">
        <v>419409</v>
      </c>
      <c r="C27" s="4" t="s">
        <v>3623</v>
      </c>
      <c r="D27" s="9">
        <v>170</v>
      </c>
    </row>
    <row r="28" spans="1:4" x14ac:dyDescent="0.25">
      <c r="A28" s="4" t="s">
        <v>26</v>
      </c>
      <c r="B28" s="4">
        <v>417134</v>
      </c>
      <c r="C28" s="4" t="s">
        <v>3556</v>
      </c>
      <c r="D28" s="9">
        <v>500</v>
      </c>
    </row>
    <row r="29" spans="1:4" x14ac:dyDescent="0.25">
      <c r="A29" s="4" t="s">
        <v>26</v>
      </c>
      <c r="B29" s="4">
        <v>419266</v>
      </c>
      <c r="C29" s="4" t="s">
        <v>3557</v>
      </c>
      <c r="D29" s="9">
        <v>350</v>
      </c>
    </row>
    <row r="30" spans="1:4" x14ac:dyDescent="0.25">
      <c r="A30" s="4" t="s">
        <v>26</v>
      </c>
      <c r="B30" s="4">
        <v>419265</v>
      </c>
      <c r="C30" s="4" t="s">
        <v>3558</v>
      </c>
      <c r="D30" s="9">
        <v>1570</v>
      </c>
    </row>
    <row r="31" spans="1:4" x14ac:dyDescent="0.25">
      <c r="A31" s="4" t="s">
        <v>180</v>
      </c>
      <c r="B31" s="4">
        <v>419732</v>
      </c>
      <c r="C31" s="4" t="s">
        <v>3624</v>
      </c>
      <c r="D31" s="9">
        <v>1049</v>
      </c>
    </row>
    <row r="32" spans="1:4" x14ac:dyDescent="0.25">
      <c r="A32" s="4" t="s">
        <v>180</v>
      </c>
      <c r="B32" s="4">
        <v>419388</v>
      </c>
      <c r="C32" s="4" t="s">
        <v>3625</v>
      </c>
      <c r="D32" s="9">
        <v>1390</v>
      </c>
    </row>
    <row r="33" spans="1:4" x14ac:dyDescent="0.25">
      <c r="A33" s="4" t="s">
        <v>180</v>
      </c>
      <c r="B33" s="4">
        <v>416843</v>
      </c>
      <c r="C33" s="4" t="s">
        <v>3498</v>
      </c>
      <c r="D33" s="9">
        <v>860</v>
      </c>
    </row>
    <row r="34" spans="1:4" x14ac:dyDescent="0.25">
      <c r="A34" s="4" t="s">
        <v>86</v>
      </c>
      <c r="B34" s="4">
        <v>417728</v>
      </c>
      <c r="C34" s="4" t="s">
        <v>3626</v>
      </c>
      <c r="D34" s="9">
        <v>8275</v>
      </c>
    </row>
    <row r="35" spans="1:4" x14ac:dyDescent="0.25">
      <c r="A35" s="4" t="s">
        <v>269</v>
      </c>
      <c r="B35" s="4">
        <v>419468</v>
      </c>
      <c r="C35" s="4" t="s">
        <v>3569</v>
      </c>
      <c r="D35" s="9">
        <v>32308</v>
      </c>
    </row>
    <row r="36" spans="1:4" x14ac:dyDescent="0.25">
      <c r="A36" s="4" t="s">
        <v>315</v>
      </c>
      <c r="B36" s="4">
        <v>417683</v>
      </c>
      <c r="C36" s="4" t="s">
        <v>3571</v>
      </c>
      <c r="D36" s="9">
        <v>4625</v>
      </c>
    </row>
    <row r="37" spans="1:4" x14ac:dyDescent="0.25">
      <c r="A37" s="4" t="s">
        <v>315</v>
      </c>
      <c r="B37" s="4">
        <v>417683</v>
      </c>
      <c r="C37" s="4" t="s">
        <v>3572</v>
      </c>
      <c r="D37" s="9">
        <v>2225</v>
      </c>
    </row>
    <row r="38" spans="1:4" x14ac:dyDescent="0.25">
      <c r="A38" s="4" t="s">
        <v>315</v>
      </c>
      <c r="B38" s="4">
        <v>417683</v>
      </c>
      <c r="C38" s="4" t="s">
        <v>3573</v>
      </c>
      <c r="D38" s="9">
        <v>13500</v>
      </c>
    </row>
    <row r="39" spans="1:4" x14ac:dyDescent="0.25">
      <c r="A39" s="4" t="s">
        <v>315</v>
      </c>
      <c r="B39" s="4">
        <v>417683</v>
      </c>
      <c r="C39" s="4" t="s">
        <v>3574</v>
      </c>
      <c r="D39" s="9">
        <v>13550</v>
      </c>
    </row>
    <row r="40" spans="1:4" x14ac:dyDescent="0.25">
      <c r="A40" s="4" t="s">
        <v>315</v>
      </c>
      <c r="B40" s="4">
        <v>418217</v>
      </c>
      <c r="C40" s="4" t="s">
        <v>3575</v>
      </c>
      <c r="D40" s="9">
        <v>495</v>
      </c>
    </row>
    <row r="41" spans="1:4" x14ac:dyDescent="0.25">
      <c r="A41" s="4" t="s">
        <v>315</v>
      </c>
      <c r="B41" s="4">
        <v>418326</v>
      </c>
      <c r="C41" s="4" t="s">
        <v>3576</v>
      </c>
      <c r="D41" s="9">
        <v>575</v>
      </c>
    </row>
    <row r="42" spans="1:4" x14ac:dyDescent="0.25">
      <c r="A42" s="4" t="s">
        <v>315</v>
      </c>
      <c r="B42" s="4">
        <v>416655</v>
      </c>
      <c r="C42" s="4" t="s">
        <v>3577</v>
      </c>
      <c r="D42" s="9">
        <v>4500</v>
      </c>
    </row>
    <row r="43" spans="1:4" x14ac:dyDescent="0.25">
      <c r="A43" s="4" t="s">
        <v>2291</v>
      </c>
      <c r="B43" s="4">
        <v>419000</v>
      </c>
      <c r="C43" s="4" t="s">
        <v>3579</v>
      </c>
      <c r="D43" s="9">
        <v>795</v>
      </c>
    </row>
    <row r="44" spans="1:4" x14ac:dyDescent="0.25">
      <c r="A44" s="4" t="s">
        <v>2291</v>
      </c>
      <c r="B44" s="4">
        <v>419002</v>
      </c>
      <c r="C44" s="4" t="s">
        <v>3580</v>
      </c>
      <c r="D44" s="9">
        <v>890</v>
      </c>
    </row>
    <row r="45" spans="1:4" x14ac:dyDescent="0.25">
      <c r="A45" s="4" t="s">
        <v>832</v>
      </c>
      <c r="B45" s="4">
        <v>419202</v>
      </c>
      <c r="C45" s="4" t="s">
        <v>3581</v>
      </c>
      <c r="D45" s="9">
        <v>2000</v>
      </c>
    </row>
    <row r="46" spans="1:4" x14ac:dyDescent="0.25">
      <c r="A46" s="4" t="s">
        <v>832</v>
      </c>
      <c r="B46" s="4">
        <v>419202</v>
      </c>
      <c r="C46" s="4" t="s">
        <v>3582</v>
      </c>
      <c r="D46" s="9">
        <v>8924</v>
      </c>
    </row>
    <row r="47" spans="1:4" x14ac:dyDescent="0.25">
      <c r="A47" s="4" t="s">
        <v>832</v>
      </c>
      <c r="B47" s="4">
        <v>419055</v>
      </c>
      <c r="C47" s="4" t="s">
        <v>3583</v>
      </c>
      <c r="D47" s="9">
        <v>300</v>
      </c>
    </row>
    <row r="48" spans="1:4" x14ac:dyDescent="0.25">
      <c r="A48" s="4" t="s">
        <v>832</v>
      </c>
      <c r="B48" s="4">
        <v>418099</v>
      </c>
      <c r="C48" s="4" t="s">
        <v>3627</v>
      </c>
      <c r="D48" s="9">
        <v>1500</v>
      </c>
    </row>
    <row r="49" spans="1:4" x14ac:dyDescent="0.25">
      <c r="A49" s="4" t="s">
        <v>832</v>
      </c>
      <c r="B49" s="4">
        <v>419398</v>
      </c>
      <c r="C49" s="4" t="s">
        <v>3628</v>
      </c>
      <c r="D49" s="9">
        <v>13165</v>
      </c>
    </row>
    <row r="50" spans="1:4" x14ac:dyDescent="0.25">
      <c r="A50" s="4" t="s">
        <v>995</v>
      </c>
      <c r="B50" s="4">
        <v>418589</v>
      </c>
      <c r="C50" s="4" t="s">
        <v>3629</v>
      </c>
      <c r="D50" s="9">
        <v>21804</v>
      </c>
    </row>
    <row r="51" spans="1:4" x14ac:dyDescent="0.25">
      <c r="A51" s="4" t="s">
        <v>995</v>
      </c>
      <c r="B51" s="4">
        <v>418589</v>
      </c>
      <c r="C51" s="4" t="s">
        <v>3630</v>
      </c>
      <c r="D51" s="9">
        <v>13282</v>
      </c>
    </row>
    <row r="52" spans="1:4" x14ac:dyDescent="0.25">
      <c r="A52" s="4" t="s">
        <v>995</v>
      </c>
      <c r="B52" s="4">
        <v>418589</v>
      </c>
      <c r="C52" s="4" t="s">
        <v>3631</v>
      </c>
      <c r="D52" s="9">
        <v>13169</v>
      </c>
    </row>
    <row r="53" spans="1:4" x14ac:dyDescent="0.25">
      <c r="A53" s="4" t="s">
        <v>995</v>
      </c>
      <c r="B53" s="4">
        <v>418589</v>
      </c>
      <c r="C53" s="4" t="s">
        <v>3632</v>
      </c>
      <c r="D53" s="9">
        <v>21414</v>
      </c>
    </row>
    <row r="54" spans="1:4" x14ac:dyDescent="0.25">
      <c r="A54" s="4" t="s">
        <v>995</v>
      </c>
      <c r="B54" s="4">
        <v>418589</v>
      </c>
      <c r="C54" s="4" t="s">
        <v>3633</v>
      </c>
      <c r="D54" s="9">
        <v>8650</v>
      </c>
    </row>
    <row r="55" spans="1:4" x14ac:dyDescent="0.25">
      <c r="A55" s="4" t="s">
        <v>995</v>
      </c>
      <c r="B55" s="4">
        <v>419401</v>
      </c>
      <c r="C55" s="4" t="s">
        <v>3634</v>
      </c>
      <c r="D55" s="9">
        <v>5090</v>
      </c>
    </row>
    <row r="56" spans="1:4" x14ac:dyDescent="0.25">
      <c r="A56" s="4" t="s">
        <v>995</v>
      </c>
      <c r="B56" s="4">
        <v>418592</v>
      </c>
      <c r="C56" s="4" t="s">
        <v>3635</v>
      </c>
      <c r="D56" s="9">
        <v>5695</v>
      </c>
    </row>
    <row r="57" spans="1:4" x14ac:dyDescent="0.25">
      <c r="A57" s="4" t="s">
        <v>995</v>
      </c>
      <c r="B57" s="4">
        <v>418591</v>
      </c>
      <c r="C57" s="4" t="s">
        <v>3636</v>
      </c>
      <c r="D57" s="9">
        <v>4200</v>
      </c>
    </row>
    <row r="58" spans="1:4" x14ac:dyDescent="0.25">
      <c r="A58" s="4" t="s">
        <v>995</v>
      </c>
      <c r="B58" s="4">
        <v>418589</v>
      </c>
      <c r="C58" s="4" t="s">
        <v>3637</v>
      </c>
      <c r="D58" s="9">
        <v>15811</v>
      </c>
    </row>
    <row r="59" spans="1:4" x14ac:dyDescent="0.25">
      <c r="A59" s="4" t="s">
        <v>443</v>
      </c>
      <c r="B59" s="4">
        <v>419109</v>
      </c>
      <c r="C59" s="4" t="s">
        <v>3584</v>
      </c>
      <c r="D59" s="9">
        <v>270</v>
      </c>
    </row>
    <row r="60" spans="1:4" x14ac:dyDescent="0.25">
      <c r="A60" s="4" t="s">
        <v>241</v>
      </c>
      <c r="B60" s="4">
        <v>412385</v>
      </c>
      <c r="C60" s="4" t="s">
        <v>3420</v>
      </c>
      <c r="D60" s="9">
        <v>700</v>
      </c>
    </row>
    <row r="61" spans="1:4" x14ac:dyDescent="0.25">
      <c r="A61" s="4" t="s">
        <v>206</v>
      </c>
      <c r="B61" s="4">
        <v>418472</v>
      </c>
      <c r="C61" s="4" t="s">
        <v>3638</v>
      </c>
      <c r="D61" s="9">
        <v>5600</v>
      </c>
    </row>
    <row r="62" spans="1:4" x14ac:dyDescent="0.25">
      <c r="A62" s="4" t="s">
        <v>206</v>
      </c>
      <c r="B62" s="4">
        <v>419624</v>
      </c>
      <c r="C62" s="4" t="s">
        <v>3639</v>
      </c>
      <c r="D62" s="9">
        <v>55</v>
      </c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SUM(D2:D5,D12:D62)</f>
        <v>537494</v>
      </c>
    </row>
    <row r="93" spans="1:4" x14ac:dyDescent="0.25">
      <c r="C93" s="31" t="s">
        <v>2501</v>
      </c>
      <c r="D93" s="32">
        <f>SUM(D6:D11)</f>
        <v>4334</v>
      </c>
    </row>
    <row r="94" spans="1:4" x14ac:dyDescent="0.25">
      <c r="C94" s="31" t="s">
        <v>83</v>
      </c>
      <c r="D94" s="32">
        <f>SUM(D92:D93)</f>
        <v>541828</v>
      </c>
    </row>
  </sheetData>
  <printOptions horizontalCentered="1"/>
  <pageMargins left="0.7" right="0.7" top="1" bottom="0.75" header="0.3" footer="0.3"/>
  <pageSetup paperSize="5" scale="81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108D-5ED0-4CFC-80F2-BF07D7679631}">
  <dimension ref="A1:D94"/>
  <sheetViews>
    <sheetView view="pageBreakPreview" zoomScaleNormal="100" zoomScaleSheetLayoutView="100" workbookViewId="0">
      <selection activeCell="D94" sqref="D94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3.4257812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98</v>
      </c>
      <c r="B2" s="4">
        <v>419395</v>
      </c>
      <c r="C2" s="4" t="s">
        <v>3548</v>
      </c>
      <c r="D2" s="9">
        <v>2195</v>
      </c>
    </row>
    <row r="3" spans="1:4" x14ac:dyDescent="0.25">
      <c r="A3" s="4" t="s">
        <v>282</v>
      </c>
      <c r="B3" s="4">
        <v>415921</v>
      </c>
      <c r="C3" s="4" t="s">
        <v>3510</v>
      </c>
      <c r="D3" s="9">
        <v>16020</v>
      </c>
    </row>
    <row r="4" spans="1:4" x14ac:dyDescent="0.25">
      <c r="A4" s="4" t="s">
        <v>147</v>
      </c>
      <c r="B4" s="4">
        <v>415208</v>
      </c>
      <c r="C4" s="4" t="s">
        <v>3511</v>
      </c>
      <c r="D4" s="9">
        <v>2755</v>
      </c>
    </row>
    <row r="5" spans="1:4" x14ac:dyDescent="0.25">
      <c r="A5" s="4" t="s">
        <v>147</v>
      </c>
      <c r="B5" s="4">
        <v>416939</v>
      </c>
      <c r="C5" s="4" t="s">
        <v>3549</v>
      </c>
      <c r="D5" s="9">
        <v>18980</v>
      </c>
    </row>
    <row r="6" spans="1:4" x14ac:dyDescent="0.25">
      <c r="A6" s="4" t="s">
        <v>147</v>
      </c>
      <c r="B6" s="4">
        <v>415511</v>
      </c>
      <c r="C6" s="4" t="s">
        <v>3640</v>
      </c>
      <c r="D6" s="9">
        <v>15380</v>
      </c>
    </row>
    <row r="7" spans="1:4" x14ac:dyDescent="0.25">
      <c r="A7" s="4" t="s">
        <v>143</v>
      </c>
      <c r="B7" s="4">
        <v>420062</v>
      </c>
      <c r="C7" s="4" t="s">
        <v>3641</v>
      </c>
      <c r="D7" s="9">
        <v>8630</v>
      </c>
    </row>
    <row r="8" spans="1:4" x14ac:dyDescent="0.25">
      <c r="A8" s="4" t="s">
        <v>24</v>
      </c>
      <c r="B8" s="4">
        <v>420191</v>
      </c>
      <c r="C8" s="4" t="s">
        <v>3642</v>
      </c>
      <c r="D8" s="9">
        <v>1424</v>
      </c>
    </row>
    <row r="9" spans="1:4" x14ac:dyDescent="0.25">
      <c r="A9" s="4" t="s">
        <v>24</v>
      </c>
      <c r="B9" s="4">
        <v>420179</v>
      </c>
      <c r="C9" s="4" t="s">
        <v>3643</v>
      </c>
      <c r="D9" s="9">
        <v>1602</v>
      </c>
    </row>
    <row r="10" spans="1:4" x14ac:dyDescent="0.25">
      <c r="A10" s="4" t="s">
        <v>111</v>
      </c>
      <c r="B10" s="4">
        <v>419988</v>
      </c>
      <c r="C10" s="4" t="s">
        <v>3644</v>
      </c>
      <c r="D10" s="9">
        <v>22410</v>
      </c>
    </row>
    <row r="11" spans="1:4" x14ac:dyDescent="0.25">
      <c r="A11" s="4" t="s">
        <v>111</v>
      </c>
      <c r="B11" s="4">
        <v>420014</v>
      </c>
      <c r="C11" s="4" t="s">
        <v>3645</v>
      </c>
      <c r="D11" s="9">
        <v>36207</v>
      </c>
    </row>
    <row r="12" spans="1:4" x14ac:dyDescent="0.25">
      <c r="A12" s="4" t="s">
        <v>111</v>
      </c>
      <c r="B12" s="4">
        <v>420039</v>
      </c>
      <c r="C12" s="4" t="s">
        <v>3646</v>
      </c>
      <c r="D12" s="9">
        <v>570</v>
      </c>
    </row>
    <row r="13" spans="1:4" x14ac:dyDescent="0.25">
      <c r="A13" s="4" t="s">
        <v>111</v>
      </c>
      <c r="B13" s="4">
        <v>419359</v>
      </c>
      <c r="C13" s="4" t="s">
        <v>3553</v>
      </c>
      <c r="D13" s="9">
        <v>760</v>
      </c>
    </row>
    <row r="14" spans="1:4" x14ac:dyDescent="0.25">
      <c r="A14" s="4" t="s">
        <v>111</v>
      </c>
      <c r="B14" s="4">
        <v>419200</v>
      </c>
      <c r="C14" s="4" t="s">
        <v>3554</v>
      </c>
      <c r="D14" s="9">
        <v>156</v>
      </c>
    </row>
    <row r="15" spans="1:4" x14ac:dyDescent="0.25">
      <c r="A15" s="4" t="s">
        <v>111</v>
      </c>
      <c r="B15" s="4">
        <v>418959</v>
      </c>
      <c r="C15" s="4" t="s">
        <v>3555</v>
      </c>
      <c r="D15" s="9">
        <v>324</v>
      </c>
    </row>
    <row r="16" spans="1:4" x14ac:dyDescent="0.25">
      <c r="A16" s="4" t="s">
        <v>3170</v>
      </c>
      <c r="B16" s="4">
        <v>419058</v>
      </c>
      <c r="C16" s="4" t="s">
        <v>3612</v>
      </c>
      <c r="D16" s="9">
        <v>2083</v>
      </c>
    </row>
    <row r="17" spans="1:4" x14ac:dyDescent="0.25">
      <c r="A17" s="4" t="s">
        <v>2160</v>
      </c>
      <c r="B17" s="4">
        <v>411597</v>
      </c>
      <c r="C17" s="4" t="s">
        <v>3492</v>
      </c>
      <c r="D17" s="9">
        <v>150</v>
      </c>
    </row>
    <row r="18" spans="1:4" x14ac:dyDescent="0.25">
      <c r="A18" s="4" t="s">
        <v>2160</v>
      </c>
      <c r="B18" s="4">
        <v>411597</v>
      </c>
      <c r="C18" s="4" t="s">
        <v>3493</v>
      </c>
      <c r="D18" s="9">
        <v>150</v>
      </c>
    </row>
    <row r="19" spans="1:4" x14ac:dyDescent="0.25">
      <c r="A19" s="4" t="s">
        <v>2160</v>
      </c>
      <c r="B19" s="4">
        <v>411597</v>
      </c>
      <c r="C19" s="4" t="s">
        <v>3494</v>
      </c>
      <c r="D19" s="9">
        <v>150</v>
      </c>
    </row>
    <row r="20" spans="1:4" x14ac:dyDescent="0.25">
      <c r="A20" s="4" t="s">
        <v>2160</v>
      </c>
      <c r="B20" s="4">
        <v>416337</v>
      </c>
      <c r="C20" s="4" t="s">
        <v>3616</v>
      </c>
      <c r="D20" s="9">
        <v>175</v>
      </c>
    </row>
    <row r="21" spans="1:4" x14ac:dyDescent="0.25">
      <c r="A21" s="4" t="s">
        <v>175</v>
      </c>
      <c r="B21" s="4">
        <v>420120</v>
      </c>
      <c r="C21" s="4" t="s">
        <v>3647</v>
      </c>
      <c r="D21" s="9">
        <v>196403</v>
      </c>
    </row>
    <row r="22" spans="1:4" x14ac:dyDescent="0.25">
      <c r="A22" s="4" t="s">
        <v>175</v>
      </c>
      <c r="B22" s="4">
        <v>420121</v>
      </c>
      <c r="C22" s="4" t="s">
        <v>3648</v>
      </c>
      <c r="D22" s="9">
        <v>611</v>
      </c>
    </row>
    <row r="23" spans="1:4" x14ac:dyDescent="0.25">
      <c r="A23" s="4" t="s">
        <v>180</v>
      </c>
      <c r="B23" s="4">
        <v>416843</v>
      </c>
      <c r="C23" s="4" t="s">
        <v>3498</v>
      </c>
      <c r="D23" s="9">
        <v>860</v>
      </c>
    </row>
    <row r="24" spans="1:4" x14ac:dyDescent="0.25">
      <c r="A24" s="4" t="s">
        <v>1047</v>
      </c>
      <c r="B24" s="4">
        <v>420067</v>
      </c>
      <c r="C24" s="4" t="s">
        <v>3649</v>
      </c>
      <c r="D24" s="9">
        <v>75800</v>
      </c>
    </row>
    <row r="25" spans="1:4" x14ac:dyDescent="0.25">
      <c r="A25" s="4" t="s">
        <v>1047</v>
      </c>
      <c r="B25" s="4">
        <v>420067</v>
      </c>
      <c r="C25" s="4" t="s">
        <v>3650</v>
      </c>
      <c r="D25" s="9">
        <v>63400</v>
      </c>
    </row>
    <row r="26" spans="1:4" x14ac:dyDescent="0.25">
      <c r="A26" s="4" t="s">
        <v>2720</v>
      </c>
      <c r="B26" s="4">
        <v>419856</v>
      </c>
      <c r="C26" s="4" t="s">
        <v>3651</v>
      </c>
      <c r="D26" s="9">
        <v>595</v>
      </c>
    </row>
    <row r="27" spans="1:4" x14ac:dyDescent="0.25">
      <c r="A27" s="4" t="s">
        <v>315</v>
      </c>
      <c r="B27" s="4">
        <v>418326</v>
      </c>
      <c r="C27" s="4" t="s">
        <v>3576</v>
      </c>
      <c r="D27" s="9">
        <v>575</v>
      </c>
    </row>
    <row r="28" spans="1:4" x14ac:dyDescent="0.25">
      <c r="A28" s="4" t="s">
        <v>315</v>
      </c>
      <c r="B28" s="4">
        <v>416655</v>
      </c>
      <c r="C28" s="4" t="s">
        <v>3577</v>
      </c>
      <c r="D28" s="9">
        <v>4500</v>
      </c>
    </row>
    <row r="29" spans="1:4" x14ac:dyDescent="0.25">
      <c r="A29" s="4" t="s">
        <v>832</v>
      </c>
      <c r="B29" s="4">
        <v>419202</v>
      </c>
      <c r="C29" s="4" t="s">
        <v>3581</v>
      </c>
      <c r="D29" s="9">
        <v>2000</v>
      </c>
    </row>
    <row r="30" spans="1:4" x14ac:dyDescent="0.25">
      <c r="A30" s="4" t="s">
        <v>832</v>
      </c>
      <c r="B30" s="4">
        <v>419202</v>
      </c>
      <c r="C30" s="4" t="s">
        <v>3582</v>
      </c>
      <c r="D30" s="9">
        <v>8924</v>
      </c>
    </row>
    <row r="31" spans="1:4" x14ac:dyDescent="0.25">
      <c r="A31" s="4" t="s">
        <v>832</v>
      </c>
      <c r="B31" s="4">
        <v>420100</v>
      </c>
      <c r="C31" s="4" t="s">
        <v>3652</v>
      </c>
      <c r="D31" s="9">
        <v>2850</v>
      </c>
    </row>
    <row r="32" spans="1:4" x14ac:dyDescent="0.25">
      <c r="A32" s="4" t="s">
        <v>832</v>
      </c>
      <c r="B32" s="4">
        <v>417473</v>
      </c>
      <c r="C32" s="4" t="s">
        <v>3653</v>
      </c>
      <c r="D32" s="9">
        <v>964</v>
      </c>
    </row>
    <row r="33" spans="1:4" x14ac:dyDescent="0.25">
      <c r="A33" s="4" t="s">
        <v>832</v>
      </c>
      <c r="B33" s="4">
        <v>418099</v>
      </c>
      <c r="C33" s="4" t="s">
        <v>3627</v>
      </c>
      <c r="D33" s="9">
        <v>1500</v>
      </c>
    </row>
    <row r="34" spans="1:4" x14ac:dyDescent="0.25">
      <c r="A34" s="4" t="s">
        <v>1387</v>
      </c>
      <c r="B34" s="4">
        <v>417345</v>
      </c>
      <c r="C34" s="4" t="s">
        <v>3654</v>
      </c>
      <c r="D34" s="9">
        <v>150</v>
      </c>
    </row>
    <row r="35" spans="1:4" x14ac:dyDescent="0.25">
      <c r="A35" s="4" t="s">
        <v>995</v>
      </c>
      <c r="B35" s="4">
        <v>419401</v>
      </c>
      <c r="C35" s="4" t="s">
        <v>3634</v>
      </c>
      <c r="D35" s="9">
        <v>5090</v>
      </c>
    </row>
    <row r="36" spans="1:4" x14ac:dyDescent="0.25">
      <c r="A36" s="4" t="s">
        <v>995</v>
      </c>
      <c r="B36" s="4">
        <v>418796</v>
      </c>
      <c r="C36" s="4" t="s">
        <v>3655</v>
      </c>
      <c r="D36" s="9">
        <v>9095</v>
      </c>
    </row>
    <row r="37" spans="1:4" x14ac:dyDescent="0.25">
      <c r="A37" s="4" t="s">
        <v>995</v>
      </c>
      <c r="B37" s="4">
        <v>418592</v>
      </c>
      <c r="C37" s="4" t="s">
        <v>3635</v>
      </c>
      <c r="D37" s="9">
        <v>5695</v>
      </c>
    </row>
    <row r="38" spans="1:4" x14ac:dyDescent="0.25">
      <c r="A38" s="4" t="s">
        <v>995</v>
      </c>
      <c r="B38" s="4">
        <v>419917</v>
      </c>
      <c r="C38" s="4" t="s">
        <v>3656</v>
      </c>
      <c r="D38" s="9">
        <v>1155</v>
      </c>
    </row>
    <row r="39" spans="1:4" x14ac:dyDescent="0.25">
      <c r="A39" s="4" t="s">
        <v>241</v>
      </c>
      <c r="B39" s="4">
        <v>412385</v>
      </c>
      <c r="C39" s="4" t="s">
        <v>3420</v>
      </c>
      <c r="D39" s="9">
        <v>700</v>
      </c>
    </row>
    <row r="40" spans="1:4" x14ac:dyDescent="0.25">
      <c r="A40" s="4" t="s">
        <v>206</v>
      </c>
      <c r="B40" s="4">
        <v>418472</v>
      </c>
      <c r="C40" s="4" t="s">
        <v>3638</v>
      </c>
      <c r="D40" s="9">
        <v>5600</v>
      </c>
    </row>
    <row r="41" spans="1:4" x14ac:dyDescent="0.25">
      <c r="A41" s="4" t="s">
        <v>61</v>
      </c>
      <c r="B41" s="4">
        <v>420092</v>
      </c>
      <c r="C41" s="4" t="s">
        <v>3657</v>
      </c>
      <c r="D41" s="9">
        <v>15830</v>
      </c>
    </row>
    <row r="42" spans="1:4" x14ac:dyDescent="0.25">
      <c r="A42" s="4" t="s">
        <v>111</v>
      </c>
      <c r="B42" s="4">
        <v>420064</v>
      </c>
      <c r="C42" s="4" t="s">
        <v>3658</v>
      </c>
      <c r="D42" s="9">
        <v>12237</v>
      </c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SUM(D2:D7,D16:D40)</f>
        <v>453135</v>
      </c>
    </row>
    <row r="93" spans="1:4" x14ac:dyDescent="0.25">
      <c r="C93" s="31" t="s">
        <v>2501</v>
      </c>
      <c r="D93" s="32">
        <f>SUM(D8:D15,D41:D42)</f>
        <v>91520</v>
      </c>
    </row>
    <row r="94" spans="1:4" x14ac:dyDescent="0.25">
      <c r="C94" s="31" t="s">
        <v>83</v>
      </c>
      <c r="D94" s="32">
        <f>SUM(D92:D93)</f>
        <v>544655</v>
      </c>
    </row>
  </sheetData>
  <printOptions horizontalCentered="1"/>
  <pageMargins left="0.7" right="0.7" top="1" bottom="0.75" header="0.3" footer="0.3"/>
  <pageSetup paperSize="5" scale="7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B516-0607-4252-8019-35495382EE0C}">
  <dimension ref="A1:D94"/>
  <sheetViews>
    <sheetView view="pageBreakPreview" zoomScaleNormal="100" zoomScaleSheetLayoutView="100" workbookViewId="0">
      <selection activeCell="F33" sqref="F33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3.4257812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282</v>
      </c>
      <c r="B2" s="4">
        <v>415921</v>
      </c>
      <c r="C2" s="4" t="s">
        <v>3510</v>
      </c>
      <c r="D2" s="9">
        <v>16020</v>
      </c>
    </row>
    <row r="3" spans="1:4" x14ac:dyDescent="0.25">
      <c r="A3" s="4" t="s">
        <v>147</v>
      </c>
      <c r="B3" s="4">
        <v>415208</v>
      </c>
      <c r="C3" s="4" t="s">
        <v>3511</v>
      </c>
      <c r="D3" s="9">
        <v>2755</v>
      </c>
    </row>
    <row r="4" spans="1:4" x14ac:dyDescent="0.25">
      <c r="A4" s="4" t="s">
        <v>147</v>
      </c>
      <c r="B4" s="4">
        <v>416939</v>
      </c>
      <c r="C4" s="4" t="s">
        <v>3549</v>
      </c>
      <c r="D4" s="9">
        <v>18980</v>
      </c>
    </row>
    <row r="5" spans="1:4" x14ac:dyDescent="0.25">
      <c r="A5" s="4" t="s">
        <v>108</v>
      </c>
      <c r="B5" s="4">
        <v>420539</v>
      </c>
      <c r="C5" s="4" t="s">
        <v>3659</v>
      </c>
      <c r="D5" s="9">
        <v>12625</v>
      </c>
    </row>
    <row r="6" spans="1:4" x14ac:dyDescent="0.25">
      <c r="A6" s="4" t="s">
        <v>108</v>
      </c>
      <c r="B6" s="4">
        <v>420549</v>
      </c>
      <c r="C6" s="4" t="s">
        <v>3660</v>
      </c>
      <c r="D6" s="9">
        <v>625</v>
      </c>
    </row>
    <row r="7" spans="1:4" x14ac:dyDescent="0.25">
      <c r="A7" s="4" t="s">
        <v>111</v>
      </c>
      <c r="B7" s="4">
        <v>420324</v>
      </c>
      <c r="C7" s="4" t="s">
        <v>3661</v>
      </c>
      <c r="D7" s="9">
        <v>137515</v>
      </c>
    </row>
    <row r="8" spans="1:4" x14ac:dyDescent="0.25">
      <c r="A8" s="4" t="s">
        <v>111</v>
      </c>
      <c r="B8" s="4">
        <v>420014</v>
      </c>
      <c r="C8" s="4" t="s">
        <v>3645</v>
      </c>
      <c r="D8" s="9">
        <v>36207</v>
      </c>
    </row>
    <row r="9" spans="1:4" x14ac:dyDescent="0.25">
      <c r="A9" s="4" t="s">
        <v>111</v>
      </c>
      <c r="B9" s="4">
        <v>420340</v>
      </c>
      <c r="C9" s="4" t="s">
        <v>3662</v>
      </c>
      <c r="D9" s="9">
        <v>380</v>
      </c>
    </row>
    <row r="10" spans="1:4" x14ac:dyDescent="0.25">
      <c r="A10" s="4" t="s">
        <v>111</v>
      </c>
      <c r="B10" s="4">
        <v>419200</v>
      </c>
      <c r="C10" s="4" t="s">
        <v>3554</v>
      </c>
      <c r="D10" s="9">
        <v>156</v>
      </c>
    </row>
    <row r="11" spans="1:4" x14ac:dyDescent="0.25">
      <c r="A11" s="4" t="s">
        <v>3170</v>
      </c>
      <c r="B11" s="4">
        <v>419058</v>
      </c>
      <c r="C11" s="4" t="s">
        <v>3612</v>
      </c>
      <c r="D11" s="9">
        <v>2083</v>
      </c>
    </row>
    <row r="12" spans="1:4" x14ac:dyDescent="0.25">
      <c r="A12" s="4" t="s">
        <v>2160</v>
      </c>
      <c r="B12" s="4">
        <v>411597</v>
      </c>
      <c r="C12" s="4" t="s">
        <v>3492</v>
      </c>
      <c r="D12" s="9">
        <v>150</v>
      </c>
    </row>
    <row r="13" spans="1:4" x14ac:dyDescent="0.25">
      <c r="A13" s="4" t="s">
        <v>2160</v>
      </c>
      <c r="B13" s="4">
        <v>411597</v>
      </c>
      <c r="C13" s="4" t="s">
        <v>3493</v>
      </c>
      <c r="D13" s="9">
        <v>150</v>
      </c>
    </row>
    <row r="14" spans="1:4" x14ac:dyDescent="0.25">
      <c r="A14" s="4" t="s">
        <v>2160</v>
      </c>
      <c r="B14" s="4">
        <v>411597</v>
      </c>
      <c r="C14" s="4" t="s">
        <v>3494</v>
      </c>
      <c r="D14" s="9">
        <v>150</v>
      </c>
    </row>
    <row r="15" spans="1:4" x14ac:dyDescent="0.25">
      <c r="A15" s="4" t="s">
        <v>2160</v>
      </c>
      <c r="B15" s="4">
        <v>416337</v>
      </c>
      <c r="C15" s="4" t="s">
        <v>3616</v>
      </c>
      <c r="D15" s="9">
        <v>175</v>
      </c>
    </row>
    <row r="16" spans="1:4" x14ac:dyDescent="0.25">
      <c r="A16" s="4" t="s">
        <v>175</v>
      </c>
      <c r="B16" s="4">
        <v>420120</v>
      </c>
      <c r="C16" s="4" t="s">
        <v>3647</v>
      </c>
      <c r="D16" s="9">
        <v>196403</v>
      </c>
    </row>
    <row r="17" spans="1:4" x14ac:dyDescent="0.25">
      <c r="A17" s="4" t="s">
        <v>26</v>
      </c>
      <c r="B17" s="4">
        <v>410006</v>
      </c>
      <c r="C17" s="4" t="s">
        <v>3663</v>
      </c>
      <c r="D17" s="9">
        <v>3740</v>
      </c>
    </row>
    <row r="18" spans="1:4" x14ac:dyDescent="0.25">
      <c r="A18" s="4" t="s">
        <v>180</v>
      </c>
      <c r="B18" s="4">
        <v>420510</v>
      </c>
      <c r="C18" s="4" t="s">
        <v>3664</v>
      </c>
      <c r="D18" s="9">
        <v>13810</v>
      </c>
    </row>
    <row r="19" spans="1:4" x14ac:dyDescent="0.25">
      <c r="A19" s="4" t="s">
        <v>180</v>
      </c>
      <c r="B19" s="4">
        <v>420510</v>
      </c>
      <c r="C19" s="4" t="s">
        <v>3665</v>
      </c>
      <c r="D19" s="9">
        <v>12760</v>
      </c>
    </row>
    <row r="20" spans="1:4" x14ac:dyDescent="0.25">
      <c r="A20" s="4" t="s">
        <v>180</v>
      </c>
      <c r="B20" s="4">
        <v>420510</v>
      </c>
      <c r="C20" s="4" t="s">
        <v>3666</v>
      </c>
      <c r="D20" s="9">
        <v>27185</v>
      </c>
    </row>
    <row r="21" spans="1:4" x14ac:dyDescent="0.25">
      <c r="A21" s="4" t="s">
        <v>180</v>
      </c>
      <c r="B21" s="4">
        <v>420512</v>
      </c>
      <c r="C21" s="4" t="s">
        <v>3667</v>
      </c>
      <c r="D21" s="9">
        <v>895</v>
      </c>
    </row>
    <row r="22" spans="1:4" x14ac:dyDescent="0.25">
      <c r="A22" s="4" t="s">
        <v>180</v>
      </c>
      <c r="B22" s="4">
        <v>416843</v>
      </c>
      <c r="C22" s="4" t="s">
        <v>3498</v>
      </c>
      <c r="D22" s="9">
        <v>860</v>
      </c>
    </row>
    <row r="23" spans="1:4" x14ac:dyDescent="0.25">
      <c r="A23" s="4" t="s">
        <v>1047</v>
      </c>
      <c r="B23" s="4">
        <v>420067</v>
      </c>
      <c r="C23" s="4" t="s">
        <v>3649</v>
      </c>
      <c r="D23" s="9">
        <v>75800</v>
      </c>
    </row>
    <row r="24" spans="1:4" x14ac:dyDescent="0.25">
      <c r="A24" s="4" t="s">
        <v>1047</v>
      </c>
      <c r="B24" s="4">
        <v>420067</v>
      </c>
      <c r="C24" s="4" t="s">
        <v>3650</v>
      </c>
      <c r="D24" s="9">
        <v>63400</v>
      </c>
    </row>
    <row r="25" spans="1:4" x14ac:dyDescent="0.25">
      <c r="A25" s="4" t="s">
        <v>3668</v>
      </c>
      <c r="B25" s="4">
        <v>420522</v>
      </c>
      <c r="C25" s="4" t="s">
        <v>3669</v>
      </c>
      <c r="D25" s="9">
        <v>279</v>
      </c>
    </row>
    <row r="26" spans="1:4" x14ac:dyDescent="0.25">
      <c r="A26" s="4" t="s">
        <v>315</v>
      </c>
      <c r="B26" s="4">
        <v>419688</v>
      </c>
      <c r="C26" s="4" t="s">
        <v>3670</v>
      </c>
      <c r="D26" s="9">
        <v>6000</v>
      </c>
    </row>
    <row r="27" spans="1:4" x14ac:dyDescent="0.25">
      <c r="A27" s="4" t="s">
        <v>315</v>
      </c>
      <c r="B27" s="4">
        <v>420556</v>
      </c>
      <c r="C27" s="4" t="s">
        <v>3671</v>
      </c>
      <c r="D27" s="9">
        <v>20448</v>
      </c>
    </row>
    <row r="28" spans="1:4" x14ac:dyDescent="0.25">
      <c r="A28" s="4" t="s">
        <v>315</v>
      </c>
      <c r="B28" s="4">
        <v>412051</v>
      </c>
      <c r="C28" s="4" t="s">
        <v>3672</v>
      </c>
      <c r="D28" s="9">
        <v>1590</v>
      </c>
    </row>
    <row r="29" spans="1:4" x14ac:dyDescent="0.25">
      <c r="A29" s="4" t="s">
        <v>315</v>
      </c>
      <c r="B29" s="4">
        <v>418326</v>
      </c>
      <c r="C29" s="4" t="s">
        <v>3576</v>
      </c>
      <c r="D29" s="9">
        <v>575</v>
      </c>
    </row>
    <row r="30" spans="1:4" x14ac:dyDescent="0.25">
      <c r="A30" s="4" t="s">
        <v>315</v>
      </c>
      <c r="B30" s="4">
        <v>416744</v>
      </c>
      <c r="C30" s="4" t="s">
        <v>3673</v>
      </c>
      <c r="D30" s="9">
        <v>1000</v>
      </c>
    </row>
    <row r="31" spans="1:4" x14ac:dyDescent="0.25">
      <c r="A31" s="4" t="s">
        <v>832</v>
      </c>
      <c r="B31" s="4">
        <v>419202</v>
      </c>
      <c r="C31" s="4" t="s">
        <v>3581</v>
      </c>
      <c r="D31" s="9">
        <v>2000</v>
      </c>
    </row>
    <row r="32" spans="1:4" x14ac:dyDescent="0.25">
      <c r="A32" s="4" t="s">
        <v>832</v>
      </c>
      <c r="B32" s="4">
        <v>419202</v>
      </c>
      <c r="C32" s="4" t="s">
        <v>3582</v>
      </c>
      <c r="D32" s="9">
        <v>8924</v>
      </c>
    </row>
    <row r="33" spans="1:4" x14ac:dyDescent="0.25">
      <c r="A33" s="4" t="s">
        <v>832</v>
      </c>
      <c r="B33" s="4">
        <v>417473</v>
      </c>
      <c r="C33" s="4" t="s">
        <v>3653</v>
      </c>
      <c r="D33" s="9">
        <v>964</v>
      </c>
    </row>
    <row r="34" spans="1:4" x14ac:dyDescent="0.25">
      <c r="A34" s="4" t="s">
        <v>995</v>
      </c>
      <c r="B34" s="4">
        <v>417875</v>
      </c>
      <c r="C34" s="4" t="s">
        <v>3674</v>
      </c>
      <c r="D34" s="9">
        <v>31470</v>
      </c>
    </row>
    <row r="35" spans="1:4" x14ac:dyDescent="0.25">
      <c r="A35" s="4" t="s">
        <v>995</v>
      </c>
      <c r="B35" s="4">
        <v>419401</v>
      </c>
      <c r="C35" s="4" t="s">
        <v>3634</v>
      </c>
      <c r="D35" s="9">
        <v>5090</v>
      </c>
    </row>
    <row r="36" spans="1:4" x14ac:dyDescent="0.25">
      <c r="A36" s="4" t="s">
        <v>995</v>
      </c>
      <c r="B36" s="4">
        <v>418592</v>
      </c>
      <c r="C36" s="4" t="s">
        <v>3635</v>
      </c>
      <c r="D36" s="9">
        <v>5695</v>
      </c>
    </row>
    <row r="37" spans="1:4" x14ac:dyDescent="0.25">
      <c r="A37" s="4" t="s">
        <v>241</v>
      </c>
      <c r="B37" s="4">
        <v>412385</v>
      </c>
      <c r="C37" s="4" t="s">
        <v>3420</v>
      </c>
      <c r="D37" s="9">
        <v>700</v>
      </c>
    </row>
    <row r="38" spans="1:4" x14ac:dyDescent="0.25">
      <c r="A38" s="4" t="s">
        <v>61</v>
      </c>
      <c r="B38" s="4">
        <v>420092</v>
      </c>
      <c r="C38" s="4" t="s">
        <v>3657</v>
      </c>
      <c r="D38" s="9">
        <v>15830</v>
      </c>
    </row>
    <row r="39" spans="1:4" x14ac:dyDescent="0.25">
      <c r="A39" s="4" t="s">
        <v>61</v>
      </c>
      <c r="B39" s="4">
        <v>420573</v>
      </c>
      <c r="C39" s="4" t="s">
        <v>3675</v>
      </c>
      <c r="D39" s="9">
        <v>7260</v>
      </c>
    </row>
    <row r="40" spans="1:4" x14ac:dyDescent="0.25">
      <c r="A40" s="4" t="s">
        <v>61</v>
      </c>
      <c r="B40" s="4">
        <v>420580</v>
      </c>
      <c r="C40" s="4" t="s">
        <v>3676</v>
      </c>
      <c r="D40" s="9">
        <v>799</v>
      </c>
    </row>
    <row r="41" spans="1:4" x14ac:dyDescent="0.25">
      <c r="A41" s="4" t="s">
        <v>111</v>
      </c>
      <c r="B41" s="4">
        <v>420064</v>
      </c>
      <c r="C41" s="4" t="s">
        <v>3658</v>
      </c>
      <c r="D41" s="9">
        <v>12237</v>
      </c>
    </row>
    <row r="42" spans="1:4" x14ac:dyDescent="0.25">
      <c r="A42" s="4" t="s">
        <v>111</v>
      </c>
      <c r="B42" s="4">
        <v>420032</v>
      </c>
      <c r="C42" s="4" t="s">
        <v>3677</v>
      </c>
      <c r="D42" s="9">
        <v>2191</v>
      </c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SUM(D2:D4,D11:D37)</f>
        <v>520051</v>
      </c>
    </row>
    <row r="93" spans="1:4" x14ac:dyDescent="0.25">
      <c r="C93" s="31" t="s">
        <v>2501</v>
      </c>
      <c r="D93" s="32">
        <f>SUM(D5:D10,D38:D42)</f>
        <v>225825</v>
      </c>
    </row>
    <row r="94" spans="1:4" x14ac:dyDescent="0.25">
      <c r="C94" s="31" t="s">
        <v>83</v>
      </c>
      <c r="D94" s="32">
        <f>SUM(D92:D93)</f>
        <v>745876</v>
      </c>
    </row>
  </sheetData>
  <printOptions horizontalCentered="1"/>
  <pageMargins left="0.7" right="0.7" top="1" bottom="0.75" header="0.3" footer="0.3"/>
  <pageSetup paperSize="5" scale="7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56B2-6D22-44F0-8DDE-B06634193540}">
  <dimension ref="A1:D94"/>
  <sheetViews>
    <sheetView view="pageBreakPreview" zoomScaleNormal="100" zoomScaleSheetLayoutView="100" workbookViewId="0">
      <selection activeCell="M32" sqref="M32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3.4257812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1322</v>
      </c>
      <c r="B2" s="4">
        <v>419244</v>
      </c>
      <c r="C2" s="4" t="s">
        <v>3678</v>
      </c>
      <c r="D2" s="9">
        <v>550</v>
      </c>
    </row>
    <row r="3" spans="1:4" x14ac:dyDescent="0.25">
      <c r="A3" s="4" t="s">
        <v>282</v>
      </c>
      <c r="B3" s="4">
        <v>415921</v>
      </c>
      <c r="C3" s="4" t="s">
        <v>3510</v>
      </c>
      <c r="D3" s="9">
        <v>16020</v>
      </c>
    </row>
    <row r="4" spans="1:4" x14ac:dyDescent="0.25">
      <c r="A4" s="4" t="s">
        <v>147</v>
      </c>
      <c r="B4" s="4">
        <v>415208</v>
      </c>
      <c r="C4" s="4" t="s">
        <v>3511</v>
      </c>
      <c r="D4" s="9">
        <v>2755</v>
      </c>
    </row>
    <row r="5" spans="1:4" x14ac:dyDescent="0.25">
      <c r="A5" s="4" t="s">
        <v>147</v>
      </c>
      <c r="B5" s="4">
        <v>416939</v>
      </c>
      <c r="C5" s="4" t="s">
        <v>3549</v>
      </c>
      <c r="D5" s="9">
        <v>18980</v>
      </c>
    </row>
    <row r="6" spans="1:4" x14ac:dyDescent="0.25">
      <c r="A6" s="4" t="s">
        <v>147</v>
      </c>
      <c r="B6" s="4">
        <v>418696</v>
      </c>
      <c r="C6" s="4" t="s">
        <v>3679</v>
      </c>
      <c r="D6" s="9">
        <v>1200</v>
      </c>
    </row>
    <row r="7" spans="1:4" x14ac:dyDescent="0.25">
      <c r="A7" s="4" t="s">
        <v>108</v>
      </c>
      <c r="B7" s="4">
        <v>420549</v>
      </c>
      <c r="C7" s="4" t="s">
        <v>3660</v>
      </c>
      <c r="D7" s="9">
        <v>625</v>
      </c>
    </row>
    <row r="8" spans="1:4" x14ac:dyDescent="0.25">
      <c r="A8" s="4" t="s">
        <v>111</v>
      </c>
      <c r="B8" s="4">
        <v>420710</v>
      </c>
      <c r="C8" s="4" t="s">
        <v>3680</v>
      </c>
      <c r="D8" s="9">
        <v>570</v>
      </c>
    </row>
    <row r="9" spans="1:4" x14ac:dyDescent="0.25">
      <c r="A9" s="4" t="s">
        <v>3170</v>
      </c>
      <c r="B9" s="4">
        <v>419058</v>
      </c>
      <c r="C9" s="4" t="s">
        <v>3612</v>
      </c>
      <c r="D9" s="9">
        <v>2083</v>
      </c>
    </row>
    <row r="10" spans="1:4" x14ac:dyDescent="0.25">
      <c r="A10" s="4" t="s">
        <v>2160</v>
      </c>
      <c r="B10" s="4">
        <v>411597</v>
      </c>
      <c r="C10" s="4" t="s">
        <v>3492</v>
      </c>
      <c r="D10" s="9">
        <v>150</v>
      </c>
    </row>
    <row r="11" spans="1:4" x14ac:dyDescent="0.25">
      <c r="A11" s="4" t="s">
        <v>2160</v>
      </c>
      <c r="B11" s="4">
        <v>411597</v>
      </c>
      <c r="C11" s="4" t="s">
        <v>3493</v>
      </c>
      <c r="D11" s="9">
        <v>150</v>
      </c>
    </row>
    <row r="12" spans="1:4" x14ac:dyDescent="0.25">
      <c r="A12" s="4" t="s">
        <v>2160</v>
      </c>
      <c r="B12" s="4">
        <v>411597</v>
      </c>
      <c r="C12" s="4" t="s">
        <v>3494</v>
      </c>
      <c r="D12" s="9">
        <v>150</v>
      </c>
    </row>
    <row r="13" spans="1:4" x14ac:dyDescent="0.25">
      <c r="A13" s="4" t="s">
        <v>2160</v>
      </c>
      <c r="B13" s="4">
        <v>416337</v>
      </c>
      <c r="C13" s="4" t="s">
        <v>3616</v>
      </c>
      <c r="D13" s="9">
        <v>175</v>
      </c>
    </row>
    <row r="14" spans="1:4" x14ac:dyDescent="0.25">
      <c r="A14" s="4" t="s">
        <v>175</v>
      </c>
      <c r="B14" s="4">
        <v>420120</v>
      </c>
      <c r="C14" s="4" t="s">
        <v>3647</v>
      </c>
      <c r="D14" s="9">
        <v>196403</v>
      </c>
    </row>
    <row r="15" spans="1:4" x14ac:dyDescent="0.25">
      <c r="A15" s="4" t="s">
        <v>1419</v>
      </c>
      <c r="B15" s="4">
        <v>420980</v>
      </c>
      <c r="C15" s="4" t="s">
        <v>3681</v>
      </c>
      <c r="D15" s="9">
        <v>274</v>
      </c>
    </row>
    <row r="16" spans="1:4" x14ac:dyDescent="0.25">
      <c r="A16" s="4" t="s">
        <v>180</v>
      </c>
      <c r="B16" s="4">
        <v>416843</v>
      </c>
      <c r="C16" s="4" t="s">
        <v>3498</v>
      </c>
      <c r="D16" s="9">
        <v>860</v>
      </c>
    </row>
    <row r="17" spans="1:4" x14ac:dyDescent="0.25">
      <c r="A17" s="4" t="s">
        <v>1047</v>
      </c>
      <c r="B17" s="4">
        <v>420067</v>
      </c>
      <c r="C17" s="4" t="s">
        <v>3649</v>
      </c>
      <c r="D17" s="9">
        <v>75800</v>
      </c>
    </row>
    <row r="18" spans="1:4" x14ac:dyDescent="0.25">
      <c r="A18" s="4" t="s">
        <v>1047</v>
      </c>
      <c r="B18" s="4">
        <v>420067</v>
      </c>
      <c r="C18" s="4" t="s">
        <v>3650</v>
      </c>
      <c r="D18" s="9">
        <v>63400</v>
      </c>
    </row>
    <row r="19" spans="1:4" x14ac:dyDescent="0.25">
      <c r="A19" s="4" t="s">
        <v>315</v>
      </c>
      <c r="B19" s="4">
        <v>419688</v>
      </c>
      <c r="C19" s="4" t="s">
        <v>3670</v>
      </c>
      <c r="D19" s="9">
        <v>6000</v>
      </c>
    </row>
    <row r="20" spans="1:4" x14ac:dyDescent="0.25">
      <c r="A20" s="4" t="s">
        <v>315</v>
      </c>
      <c r="B20" s="4">
        <v>420758</v>
      </c>
      <c r="C20" s="4" t="s">
        <v>3682</v>
      </c>
      <c r="D20" s="9">
        <v>2848</v>
      </c>
    </row>
    <row r="21" spans="1:4" x14ac:dyDescent="0.25">
      <c r="A21" s="4" t="s">
        <v>315</v>
      </c>
      <c r="B21" s="4">
        <v>420835</v>
      </c>
      <c r="C21" s="4" t="s">
        <v>3683</v>
      </c>
      <c r="D21" s="9">
        <v>705</v>
      </c>
    </row>
    <row r="22" spans="1:4" x14ac:dyDescent="0.25">
      <c r="A22" s="4" t="s">
        <v>315</v>
      </c>
      <c r="B22" s="4">
        <v>420514</v>
      </c>
      <c r="C22" s="4" t="s">
        <v>3684</v>
      </c>
      <c r="D22" s="9">
        <v>300</v>
      </c>
    </row>
    <row r="23" spans="1:4" x14ac:dyDescent="0.25">
      <c r="A23" s="4" t="s">
        <v>832</v>
      </c>
      <c r="B23" s="4">
        <v>415072</v>
      </c>
      <c r="C23" s="4" t="s">
        <v>3685</v>
      </c>
      <c r="D23" s="9">
        <v>18238</v>
      </c>
    </row>
    <row r="24" spans="1:4" x14ac:dyDescent="0.25">
      <c r="A24" s="4" t="s">
        <v>832</v>
      </c>
      <c r="B24" s="4">
        <v>415072</v>
      </c>
      <c r="C24" s="4" t="s">
        <v>3686</v>
      </c>
      <c r="D24" s="9">
        <v>23185</v>
      </c>
    </row>
    <row r="25" spans="1:4" x14ac:dyDescent="0.25">
      <c r="A25" s="4" t="s">
        <v>832</v>
      </c>
      <c r="B25" s="4">
        <v>415072</v>
      </c>
      <c r="C25" s="4" t="s">
        <v>3687</v>
      </c>
      <c r="D25" s="9">
        <v>14873</v>
      </c>
    </row>
    <row r="26" spans="1:4" x14ac:dyDescent="0.25">
      <c r="A26" s="4" t="s">
        <v>832</v>
      </c>
      <c r="B26" s="4">
        <v>415072</v>
      </c>
      <c r="C26" s="4" t="s">
        <v>3688</v>
      </c>
      <c r="D26" s="9">
        <v>22477</v>
      </c>
    </row>
    <row r="27" spans="1:4" x14ac:dyDescent="0.25">
      <c r="A27" s="4" t="s">
        <v>832</v>
      </c>
      <c r="B27" s="4">
        <v>419202</v>
      </c>
      <c r="C27" s="4" t="s">
        <v>3581</v>
      </c>
      <c r="D27" s="9">
        <v>2000</v>
      </c>
    </row>
    <row r="28" spans="1:4" x14ac:dyDescent="0.25">
      <c r="A28" s="4" t="s">
        <v>832</v>
      </c>
      <c r="B28" s="4">
        <v>415072</v>
      </c>
      <c r="C28" s="4" t="s">
        <v>3689</v>
      </c>
      <c r="D28" s="9">
        <v>14823</v>
      </c>
    </row>
    <row r="29" spans="1:4" x14ac:dyDescent="0.25">
      <c r="A29" s="4" t="s">
        <v>832</v>
      </c>
      <c r="B29" s="4">
        <v>418937</v>
      </c>
      <c r="C29" s="4" t="s">
        <v>3690</v>
      </c>
      <c r="D29" s="9">
        <v>10080</v>
      </c>
    </row>
    <row r="30" spans="1:4" x14ac:dyDescent="0.25">
      <c r="A30" s="4" t="s">
        <v>832</v>
      </c>
      <c r="B30" s="4">
        <v>417473</v>
      </c>
      <c r="C30" s="4" t="s">
        <v>3653</v>
      </c>
      <c r="D30" s="9">
        <v>964</v>
      </c>
    </row>
    <row r="31" spans="1:4" x14ac:dyDescent="0.25">
      <c r="A31" s="4" t="s">
        <v>995</v>
      </c>
      <c r="B31" s="4">
        <v>420719</v>
      </c>
      <c r="C31" s="4" t="s">
        <v>3691</v>
      </c>
      <c r="D31" s="9">
        <v>375</v>
      </c>
    </row>
    <row r="32" spans="1:4" x14ac:dyDescent="0.25">
      <c r="A32" s="4" t="s">
        <v>995</v>
      </c>
      <c r="B32" s="4">
        <v>417875</v>
      </c>
      <c r="C32" s="4" t="s">
        <v>3674</v>
      </c>
      <c r="D32" s="9">
        <v>31470</v>
      </c>
    </row>
    <row r="33" spans="1:4" x14ac:dyDescent="0.25">
      <c r="A33" s="4" t="s">
        <v>995</v>
      </c>
      <c r="B33" s="4">
        <v>419705</v>
      </c>
      <c r="C33" s="4" t="s">
        <v>3692</v>
      </c>
      <c r="D33" s="9">
        <v>2500</v>
      </c>
    </row>
    <row r="34" spans="1:4" x14ac:dyDescent="0.25">
      <c r="A34" s="4" t="s">
        <v>995</v>
      </c>
      <c r="B34" s="4">
        <v>418592</v>
      </c>
      <c r="C34" s="4" t="s">
        <v>3635</v>
      </c>
      <c r="D34" s="9">
        <v>5695</v>
      </c>
    </row>
    <row r="35" spans="1:4" x14ac:dyDescent="0.25">
      <c r="A35" s="4" t="s">
        <v>241</v>
      </c>
      <c r="B35" s="4">
        <v>412385</v>
      </c>
      <c r="C35" s="4" t="s">
        <v>3420</v>
      </c>
      <c r="D35" s="9">
        <v>700</v>
      </c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SUM(D2:D6,D9:D35)</f>
        <v>536183</v>
      </c>
    </row>
    <row r="93" spans="1:4" x14ac:dyDescent="0.25">
      <c r="C93" s="31" t="s">
        <v>2501</v>
      </c>
      <c r="D93" s="32">
        <f>SUM(D7:D8)</f>
        <v>1195</v>
      </c>
    </row>
    <row r="94" spans="1:4" x14ac:dyDescent="0.25">
      <c r="C94" s="31" t="s">
        <v>83</v>
      </c>
      <c r="D94" s="32">
        <f>SUM(D92:D93)</f>
        <v>537378</v>
      </c>
    </row>
  </sheetData>
  <printOptions horizontalCentered="1"/>
  <pageMargins left="0.7" right="0.7" top="1" bottom="0.75" header="0.3" footer="0.3"/>
  <pageSetup paperSize="5" scale="7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A5BC-E0E6-4B37-8F42-019FAD5A4C56}">
  <dimension ref="A1:D94"/>
  <sheetViews>
    <sheetView view="pageBreakPreview" zoomScaleNormal="100" zoomScaleSheetLayoutView="100" workbookViewId="0">
      <selection activeCell="L23" sqref="L23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3.4257812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420603</v>
      </c>
      <c r="C2" s="4" t="s">
        <v>3693</v>
      </c>
      <c r="D2" s="9">
        <v>350</v>
      </c>
    </row>
    <row r="3" spans="1:4" x14ac:dyDescent="0.25">
      <c r="A3" s="4" t="s">
        <v>1322</v>
      </c>
      <c r="B3" s="4">
        <v>419244</v>
      </c>
      <c r="C3" s="4" t="s">
        <v>3678</v>
      </c>
      <c r="D3" s="9">
        <v>550</v>
      </c>
    </row>
    <row r="4" spans="1:4" x14ac:dyDescent="0.25">
      <c r="A4" s="4" t="s">
        <v>147</v>
      </c>
      <c r="B4" s="4">
        <v>415208</v>
      </c>
      <c r="C4" s="4" t="s">
        <v>3511</v>
      </c>
      <c r="D4" s="9">
        <v>2755</v>
      </c>
    </row>
    <row r="5" spans="1:4" x14ac:dyDescent="0.25">
      <c r="A5" s="4" t="s">
        <v>143</v>
      </c>
      <c r="B5" s="4">
        <v>406359</v>
      </c>
      <c r="C5" s="4" t="s">
        <v>3694</v>
      </c>
      <c r="D5" s="9">
        <v>135699</v>
      </c>
    </row>
    <row r="6" spans="1:4" x14ac:dyDescent="0.25">
      <c r="A6" s="4" t="s">
        <v>143</v>
      </c>
      <c r="B6" s="4">
        <v>406357</v>
      </c>
      <c r="C6" s="4" t="s">
        <v>3695</v>
      </c>
      <c r="D6" s="9">
        <v>121730</v>
      </c>
    </row>
    <row r="7" spans="1:4" x14ac:dyDescent="0.25">
      <c r="A7" s="4" t="s">
        <v>108</v>
      </c>
      <c r="B7" s="4">
        <v>420549</v>
      </c>
      <c r="C7" s="4" t="s">
        <v>3660</v>
      </c>
      <c r="D7" s="9">
        <v>625</v>
      </c>
    </row>
    <row r="8" spans="1:4" x14ac:dyDescent="0.25">
      <c r="A8" s="4" t="s">
        <v>500</v>
      </c>
      <c r="B8" s="4">
        <v>419731</v>
      </c>
      <c r="C8" s="4" t="s">
        <v>3696</v>
      </c>
      <c r="D8" s="9">
        <v>12721</v>
      </c>
    </row>
    <row r="9" spans="1:4" x14ac:dyDescent="0.25">
      <c r="A9" s="4" t="s">
        <v>24</v>
      </c>
      <c r="B9" s="4">
        <v>421168</v>
      </c>
      <c r="C9" s="4" t="s">
        <v>3697</v>
      </c>
      <c r="D9" s="9">
        <v>2912</v>
      </c>
    </row>
    <row r="10" spans="1:4" x14ac:dyDescent="0.25">
      <c r="A10" s="4" t="s">
        <v>24</v>
      </c>
      <c r="B10" s="4">
        <v>421483</v>
      </c>
      <c r="C10" s="4" t="s">
        <v>3698</v>
      </c>
      <c r="D10" s="9">
        <v>2242</v>
      </c>
    </row>
    <row r="11" spans="1:4" x14ac:dyDescent="0.25">
      <c r="A11" s="4" t="s">
        <v>111</v>
      </c>
      <c r="B11" s="4">
        <v>421012</v>
      </c>
      <c r="C11" s="4" t="s">
        <v>3699</v>
      </c>
      <c r="D11" s="9">
        <v>570</v>
      </c>
    </row>
    <row r="12" spans="1:4" x14ac:dyDescent="0.25">
      <c r="A12" s="4" t="s">
        <v>111</v>
      </c>
      <c r="B12" s="4">
        <v>421322</v>
      </c>
      <c r="C12" s="4" t="s">
        <v>3700</v>
      </c>
      <c r="D12" s="9">
        <v>950</v>
      </c>
    </row>
    <row r="13" spans="1:4" x14ac:dyDescent="0.25">
      <c r="A13" s="4" t="s">
        <v>2160</v>
      </c>
      <c r="B13" s="4">
        <v>411597</v>
      </c>
      <c r="C13" s="4" t="s">
        <v>3492</v>
      </c>
      <c r="D13" s="9">
        <v>150</v>
      </c>
    </row>
    <row r="14" spans="1:4" x14ac:dyDescent="0.25">
      <c r="A14" s="4" t="s">
        <v>2160</v>
      </c>
      <c r="B14" s="4">
        <v>411597</v>
      </c>
      <c r="C14" s="4" t="s">
        <v>3493</v>
      </c>
      <c r="D14" s="9">
        <v>150</v>
      </c>
    </row>
    <row r="15" spans="1:4" x14ac:dyDescent="0.25">
      <c r="A15" s="4" t="s">
        <v>2160</v>
      </c>
      <c r="B15" s="4">
        <v>411597</v>
      </c>
      <c r="C15" s="4" t="s">
        <v>3494</v>
      </c>
      <c r="D15" s="9">
        <v>150</v>
      </c>
    </row>
    <row r="16" spans="1:4" x14ac:dyDescent="0.25">
      <c r="A16" s="4" t="s">
        <v>2160</v>
      </c>
      <c r="B16" s="4">
        <v>416337</v>
      </c>
      <c r="C16" s="4" t="s">
        <v>3616</v>
      </c>
      <c r="D16" s="9">
        <v>175</v>
      </c>
    </row>
    <row r="17" spans="1:4" x14ac:dyDescent="0.25">
      <c r="A17" s="4" t="s">
        <v>175</v>
      </c>
      <c r="B17" s="4">
        <v>420120</v>
      </c>
      <c r="C17" s="4" t="s">
        <v>3647</v>
      </c>
      <c r="D17" s="9">
        <v>196403</v>
      </c>
    </row>
    <row r="18" spans="1:4" x14ac:dyDescent="0.25">
      <c r="A18" s="4" t="s">
        <v>180</v>
      </c>
      <c r="B18" s="4">
        <v>416843</v>
      </c>
      <c r="C18" s="4" t="s">
        <v>3498</v>
      </c>
      <c r="D18" s="9">
        <v>860</v>
      </c>
    </row>
    <row r="19" spans="1:4" x14ac:dyDescent="0.25">
      <c r="A19" s="4" t="s">
        <v>1047</v>
      </c>
      <c r="B19" s="4">
        <v>420067</v>
      </c>
      <c r="C19" s="4" t="s">
        <v>3649</v>
      </c>
      <c r="D19" s="9">
        <v>75800</v>
      </c>
    </row>
    <row r="20" spans="1:4" x14ac:dyDescent="0.25">
      <c r="A20" s="4" t="s">
        <v>1047</v>
      </c>
      <c r="B20" s="4">
        <v>420067</v>
      </c>
      <c r="C20" s="4" t="s">
        <v>3650</v>
      </c>
      <c r="D20" s="9">
        <v>63400</v>
      </c>
    </row>
    <row r="21" spans="1:4" x14ac:dyDescent="0.25">
      <c r="A21" s="4" t="s">
        <v>315</v>
      </c>
      <c r="B21" s="4">
        <v>417683</v>
      </c>
      <c r="C21" s="4" t="s">
        <v>3701</v>
      </c>
      <c r="D21" s="9">
        <v>10550</v>
      </c>
    </row>
    <row r="22" spans="1:4" x14ac:dyDescent="0.25">
      <c r="A22" s="4" t="s">
        <v>315</v>
      </c>
      <c r="B22" s="4">
        <v>417683</v>
      </c>
      <c r="C22" s="4" t="s">
        <v>3702</v>
      </c>
      <c r="D22" s="9">
        <v>4325</v>
      </c>
    </row>
    <row r="23" spans="1:4" x14ac:dyDescent="0.25">
      <c r="A23" s="4" t="s">
        <v>315</v>
      </c>
      <c r="B23" s="4">
        <v>417683</v>
      </c>
      <c r="C23" s="4" t="s">
        <v>3703</v>
      </c>
      <c r="D23" s="9">
        <v>2225</v>
      </c>
    </row>
    <row r="24" spans="1:4" x14ac:dyDescent="0.25">
      <c r="A24" s="4" t="s">
        <v>315</v>
      </c>
      <c r="B24" s="4">
        <v>417683</v>
      </c>
      <c r="C24" s="4" t="s">
        <v>3704</v>
      </c>
      <c r="D24" s="9">
        <v>13200</v>
      </c>
    </row>
    <row r="25" spans="1:4" x14ac:dyDescent="0.25">
      <c r="A25" s="4" t="s">
        <v>832</v>
      </c>
      <c r="B25" s="4">
        <v>419202</v>
      </c>
      <c r="C25" s="4" t="s">
        <v>3581</v>
      </c>
      <c r="D25" s="9">
        <v>2000</v>
      </c>
    </row>
    <row r="26" spans="1:4" x14ac:dyDescent="0.25">
      <c r="A26" s="4" t="s">
        <v>610</v>
      </c>
      <c r="B26" s="4">
        <v>418882</v>
      </c>
      <c r="C26" s="4" t="s">
        <v>3705</v>
      </c>
      <c r="D26" s="9">
        <v>24890</v>
      </c>
    </row>
    <row r="27" spans="1:4" x14ac:dyDescent="0.25">
      <c r="A27" s="4" t="s">
        <v>610</v>
      </c>
      <c r="B27" s="4">
        <v>418883</v>
      </c>
      <c r="C27" s="4" t="s">
        <v>3706</v>
      </c>
      <c r="D27" s="9">
        <v>7760</v>
      </c>
    </row>
    <row r="28" spans="1:4" x14ac:dyDescent="0.25">
      <c r="A28" s="4" t="s">
        <v>241</v>
      </c>
      <c r="B28" s="4">
        <v>412385</v>
      </c>
      <c r="C28" s="4" t="s">
        <v>3420</v>
      </c>
      <c r="D28" s="9">
        <v>700</v>
      </c>
    </row>
    <row r="29" spans="1:4" x14ac:dyDescent="0.25">
      <c r="A29" s="4" t="s">
        <v>208</v>
      </c>
      <c r="B29" s="4">
        <v>421135</v>
      </c>
      <c r="C29" s="4" t="s">
        <v>3707</v>
      </c>
      <c r="D29" s="9">
        <v>26800</v>
      </c>
    </row>
    <row r="30" spans="1:4" hidden="1" x14ac:dyDescent="0.25">
      <c r="A30" s="4"/>
      <c r="B30" s="4"/>
      <c r="C30" s="4"/>
      <c r="D30" s="9"/>
    </row>
    <row r="31" spans="1:4" hidden="1" x14ac:dyDescent="0.25">
      <c r="A31" s="4"/>
      <c r="B31" s="4"/>
      <c r="C31" s="4"/>
      <c r="D31" s="9"/>
    </row>
    <row r="32" spans="1:4" hidden="1" x14ac:dyDescent="0.25">
      <c r="A32" s="4"/>
      <c r="B32" s="4"/>
      <c r="C32" s="4"/>
      <c r="D32" s="9"/>
    </row>
    <row r="33" spans="1:4" hidden="1" x14ac:dyDescent="0.25">
      <c r="A33" s="4"/>
      <c r="B33" s="4"/>
      <c r="C33" s="4"/>
      <c r="D33" s="9"/>
    </row>
    <row r="34" spans="1:4" hidden="1" x14ac:dyDescent="0.25">
      <c r="A34" s="4"/>
      <c r="B34" s="4"/>
      <c r="C34" s="4"/>
      <c r="D34" s="9"/>
    </row>
    <row r="35" spans="1:4" hidden="1" x14ac:dyDescent="0.25">
      <c r="A35" s="4"/>
      <c r="B35" s="4"/>
      <c r="C35" s="4"/>
      <c r="D35" s="9"/>
    </row>
    <row r="36" spans="1:4" hidden="1" x14ac:dyDescent="0.25">
      <c r="A36" s="4"/>
      <c r="B36" s="4"/>
      <c r="C36" s="4"/>
      <c r="D36" s="9"/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SUM(D2:D6,D13:D29)</f>
        <v>690622</v>
      </c>
    </row>
    <row r="93" spans="1:4" x14ac:dyDescent="0.25">
      <c r="C93" s="31" t="s">
        <v>2501</v>
      </c>
      <c r="D93" s="32">
        <f>SUM(D7:D12)</f>
        <v>20020</v>
      </c>
    </row>
    <row r="94" spans="1:4" x14ac:dyDescent="0.25">
      <c r="C94" s="31" t="s">
        <v>83</v>
      </c>
      <c r="D94" s="32">
        <f>SUM(D92:D93)</f>
        <v>710642</v>
      </c>
    </row>
  </sheetData>
  <printOptions horizontalCentered="1"/>
  <pageMargins left="0.7" right="0.7" top="1" bottom="0.75" header="0.3" footer="0.3"/>
  <pageSetup paperSize="5" scale="7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C737-C14B-4095-B352-A6F65D59FDFC}">
  <dimension ref="A1:D94"/>
  <sheetViews>
    <sheetView view="pageBreakPreview" zoomScaleNormal="100" zoomScaleSheetLayoutView="100" workbookViewId="0">
      <selection activeCell="C97" sqref="C97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3.4257812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420603</v>
      </c>
      <c r="C2" s="4" t="s">
        <v>3693</v>
      </c>
      <c r="D2" s="9">
        <v>350</v>
      </c>
    </row>
    <row r="3" spans="1:4" x14ac:dyDescent="0.25">
      <c r="A3" s="4" t="s">
        <v>1322</v>
      </c>
      <c r="B3" s="4">
        <v>419244</v>
      </c>
      <c r="C3" s="4" t="s">
        <v>3678</v>
      </c>
      <c r="D3" s="9">
        <v>550</v>
      </c>
    </row>
    <row r="4" spans="1:4" x14ac:dyDescent="0.25">
      <c r="A4" s="4" t="s">
        <v>256</v>
      </c>
      <c r="B4" s="4">
        <v>421683</v>
      </c>
      <c r="C4" s="4" t="s">
        <v>3708</v>
      </c>
      <c r="D4" s="9">
        <v>17600</v>
      </c>
    </row>
    <row r="5" spans="1:4" x14ac:dyDescent="0.25">
      <c r="A5" s="4" t="s">
        <v>256</v>
      </c>
      <c r="B5" s="4">
        <v>421683</v>
      </c>
      <c r="C5" s="4" t="s">
        <v>3709</v>
      </c>
      <c r="D5" s="9">
        <v>17894</v>
      </c>
    </row>
    <row r="6" spans="1:4" x14ac:dyDescent="0.25">
      <c r="A6" s="4" t="s">
        <v>256</v>
      </c>
      <c r="B6" s="4">
        <v>421683</v>
      </c>
      <c r="C6" s="4" t="s">
        <v>3710</v>
      </c>
      <c r="D6" s="9">
        <v>18995</v>
      </c>
    </row>
    <row r="7" spans="1:4" x14ac:dyDescent="0.25">
      <c r="A7" s="4" t="s">
        <v>256</v>
      </c>
      <c r="B7" s="4">
        <v>421688</v>
      </c>
      <c r="C7" s="4" t="s">
        <v>3711</v>
      </c>
      <c r="D7" s="9">
        <v>2348</v>
      </c>
    </row>
    <row r="8" spans="1:4" x14ac:dyDescent="0.25">
      <c r="A8" s="4" t="s">
        <v>256</v>
      </c>
      <c r="B8" s="4">
        <v>421688</v>
      </c>
      <c r="C8" s="4" t="s">
        <v>3712</v>
      </c>
      <c r="D8" s="9">
        <v>1342</v>
      </c>
    </row>
    <row r="9" spans="1:4" x14ac:dyDescent="0.25">
      <c r="A9" s="4" t="s">
        <v>256</v>
      </c>
      <c r="B9" s="4">
        <v>421684</v>
      </c>
      <c r="C9" s="4" t="s">
        <v>3713</v>
      </c>
      <c r="D9" s="9">
        <v>600</v>
      </c>
    </row>
    <row r="10" spans="1:4" x14ac:dyDescent="0.25">
      <c r="A10" s="4" t="s">
        <v>147</v>
      </c>
      <c r="B10" s="4">
        <v>415208</v>
      </c>
      <c r="C10" s="4" t="s">
        <v>3511</v>
      </c>
      <c r="D10" s="9">
        <v>2755</v>
      </c>
    </row>
    <row r="11" spans="1:4" x14ac:dyDescent="0.25">
      <c r="A11" s="4" t="s">
        <v>143</v>
      </c>
      <c r="B11" s="4">
        <v>406359</v>
      </c>
      <c r="C11" s="4" t="s">
        <v>3694</v>
      </c>
      <c r="D11" s="9">
        <v>135699</v>
      </c>
    </row>
    <row r="12" spans="1:4" x14ac:dyDescent="0.25">
      <c r="A12" s="4" t="s">
        <v>143</v>
      </c>
      <c r="B12" s="4">
        <v>406357</v>
      </c>
      <c r="C12" s="4" t="s">
        <v>3695</v>
      </c>
      <c r="D12" s="9">
        <v>121730</v>
      </c>
    </row>
    <row r="13" spans="1:4" x14ac:dyDescent="0.25">
      <c r="A13" s="4" t="s">
        <v>108</v>
      </c>
      <c r="B13" s="4">
        <v>420549</v>
      </c>
      <c r="C13" s="4" t="s">
        <v>3660</v>
      </c>
      <c r="D13" s="9">
        <v>625</v>
      </c>
    </row>
    <row r="14" spans="1:4" x14ac:dyDescent="0.25">
      <c r="A14" s="4" t="s">
        <v>108</v>
      </c>
      <c r="B14" s="4">
        <v>421224</v>
      </c>
      <c r="C14" s="4" t="s">
        <v>3714</v>
      </c>
      <c r="D14" s="9">
        <v>2905</v>
      </c>
    </row>
    <row r="15" spans="1:4" x14ac:dyDescent="0.25">
      <c r="A15" s="4" t="s">
        <v>500</v>
      </c>
      <c r="B15" s="4">
        <v>419731</v>
      </c>
      <c r="C15" s="4" t="s">
        <v>3696</v>
      </c>
      <c r="D15" s="9">
        <v>12721</v>
      </c>
    </row>
    <row r="16" spans="1:4" x14ac:dyDescent="0.25">
      <c r="A16" s="4" t="s">
        <v>3715</v>
      </c>
      <c r="B16" s="4">
        <v>420472</v>
      </c>
      <c r="C16" s="4" t="s">
        <v>3716</v>
      </c>
      <c r="D16" s="9">
        <v>301867</v>
      </c>
    </row>
    <row r="17" spans="1:4" x14ac:dyDescent="0.25">
      <c r="A17" s="4" t="s">
        <v>24</v>
      </c>
      <c r="B17" s="4">
        <v>421168</v>
      </c>
      <c r="C17" s="4" t="s">
        <v>3697</v>
      </c>
      <c r="D17" s="9">
        <v>2912</v>
      </c>
    </row>
    <row r="18" spans="1:4" x14ac:dyDescent="0.25">
      <c r="A18" s="4" t="s">
        <v>24</v>
      </c>
      <c r="B18" s="4">
        <v>421483</v>
      </c>
      <c r="C18" s="4" t="s">
        <v>3698</v>
      </c>
      <c r="D18" s="9">
        <v>2242</v>
      </c>
    </row>
    <row r="19" spans="1:4" x14ac:dyDescent="0.25">
      <c r="A19" s="4" t="s">
        <v>24</v>
      </c>
      <c r="B19" s="4">
        <v>421620</v>
      </c>
      <c r="C19" s="4" t="s">
        <v>3717</v>
      </c>
      <c r="D19" s="9">
        <v>6727</v>
      </c>
    </row>
    <row r="20" spans="1:4" x14ac:dyDescent="0.25">
      <c r="A20" s="4" t="s">
        <v>111</v>
      </c>
      <c r="B20" s="4">
        <v>421551</v>
      </c>
      <c r="C20" s="4" t="s">
        <v>3718</v>
      </c>
      <c r="D20" s="9">
        <v>380</v>
      </c>
    </row>
    <row r="21" spans="1:4" x14ac:dyDescent="0.25">
      <c r="A21" s="4" t="s">
        <v>111</v>
      </c>
      <c r="B21" s="4">
        <v>421012</v>
      </c>
      <c r="C21" s="4" t="s">
        <v>3699</v>
      </c>
      <c r="D21" s="9">
        <v>570</v>
      </c>
    </row>
    <row r="22" spans="1:4" x14ac:dyDescent="0.25">
      <c r="A22" s="4" t="s">
        <v>111</v>
      </c>
      <c r="B22" s="4">
        <v>421322</v>
      </c>
      <c r="C22" s="4" t="s">
        <v>3700</v>
      </c>
      <c r="D22" s="9">
        <v>950</v>
      </c>
    </row>
    <row r="23" spans="1:4" x14ac:dyDescent="0.25">
      <c r="A23" s="4" t="s">
        <v>2160</v>
      </c>
      <c r="B23" s="4">
        <v>411597</v>
      </c>
      <c r="C23" s="4" t="s">
        <v>3492</v>
      </c>
      <c r="D23" s="9">
        <v>150</v>
      </c>
    </row>
    <row r="24" spans="1:4" x14ac:dyDescent="0.25">
      <c r="A24" s="4" t="s">
        <v>2160</v>
      </c>
      <c r="B24" s="4">
        <v>411597</v>
      </c>
      <c r="C24" s="4" t="s">
        <v>3493</v>
      </c>
      <c r="D24" s="9">
        <v>150</v>
      </c>
    </row>
    <row r="25" spans="1:4" x14ac:dyDescent="0.25">
      <c r="A25" s="4" t="s">
        <v>2160</v>
      </c>
      <c r="B25" s="4">
        <v>411597</v>
      </c>
      <c r="C25" s="4" t="s">
        <v>3494</v>
      </c>
      <c r="D25" s="9">
        <v>150</v>
      </c>
    </row>
    <row r="26" spans="1:4" x14ac:dyDescent="0.25">
      <c r="A26" s="4" t="s">
        <v>2160</v>
      </c>
      <c r="B26" s="4">
        <v>416337</v>
      </c>
      <c r="C26" s="4" t="s">
        <v>3616</v>
      </c>
      <c r="D26" s="9">
        <v>175</v>
      </c>
    </row>
    <row r="27" spans="1:4" x14ac:dyDescent="0.25">
      <c r="A27" s="4" t="s">
        <v>175</v>
      </c>
      <c r="B27" s="4">
        <v>420120</v>
      </c>
      <c r="C27" s="4" t="s">
        <v>3647</v>
      </c>
      <c r="D27" s="9">
        <v>196403</v>
      </c>
    </row>
    <row r="28" spans="1:4" x14ac:dyDescent="0.25">
      <c r="A28" s="4" t="s">
        <v>26</v>
      </c>
      <c r="B28" s="4">
        <v>420721</v>
      </c>
      <c r="C28" s="4" t="s">
        <v>3719</v>
      </c>
      <c r="D28" s="9">
        <v>695</v>
      </c>
    </row>
    <row r="29" spans="1:4" x14ac:dyDescent="0.25">
      <c r="A29" s="4" t="s">
        <v>180</v>
      </c>
      <c r="B29" s="4">
        <v>416843</v>
      </c>
      <c r="C29" s="4" t="s">
        <v>3498</v>
      </c>
      <c r="D29" s="9">
        <v>860</v>
      </c>
    </row>
    <row r="30" spans="1:4" x14ac:dyDescent="0.25">
      <c r="A30" s="4" t="s">
        <v>1047</v>
      </c>
      <c r="B30" s="4">
        <v>420067</v>
      </c>
      <c r="C30" s="4" t="s">
        <v>3649</v>
      </c>
      <c r="D30" s="9">
        <v>75800</v>
      </c>
    </row>
    <row r="31" spans="1:4" x14ac:dyDescent="0.25">
      <c r="A31" s="4" t="s">
        <v>1047</v>
      </c>
      <c r="B31" s="4">
        <v>420067</v>
      </c>
      <c r="C31" s="4" t="s">
        <v>3650</v>
      </c>
      <c r="D31" s="9">
        <v>63400</v>
      </c>
    </row>
    <row r="32" spans="1:4" x14ac:dyDescent="0.25">
      <c r="A32" s="4" t="s">
        <v>832</v>
      </c>
      <c r="B32" s="4">
        <v>419202</v>
      </c>
      <c r="C32" s="4" t="s">
        <v>3581</v>
      </c>
      <c r="D32" s="9">
        <v>2000</v>
      </c>
    </row>
    <row r="33" spans="1:4" x14ac:dyDescent="0.25">
      <c r="A33" s="4" t="s">
        <v>832</v>
      </c>
      <c r="B33" s="4">
        <v>421680</v>
      </c>
      <c r="C33" s="4" t="s">
        <v>3720</v>
      </c>
      <c r="D33" s="9">
        <v>19175</v>
      </c>
    </row>
    <row r="34" spans="1:4" x14ac:dyDescent="0.25">
      <c r="A34" s="4" t="s">
        <v>832</v>
      </c>
      <c r="B34" s="4">
        <v>421680</v>
      </c>
      <c r="C34" s="4" t="s">
        <v>3721</v>
      </c>
      <c r="D34" s="9">
        <v>8525</v>
      </c>
    </row>
    <row r="35" spans="1:4" x14ac:dyDescent="0.25">
      <c r="A35" s="4" t="s">
        <v>241</v>
      </c>
      <c r="B35" s="4">
        <v>412385</v>
      </c>
      <c r="C35" s="4" t="s">
        <v>3420</v>
      </c>
      <c r="D35" s="9">
        <v>700</v>
      </c>
    </row>
    <row r="36" spans="1:4" x14ac:dyDescent="0.25">
      <c r="A36" s="4" t="s">
        <v>315</v>
      </c>
      <c r="B36" s="4">
        <v>389418</v>
      </c>
      <c r="C36" s="4" t="s">
        <v>3722</v>
      </c>
      <c r="D36" s="9">
        <v>6257</v>
      </c>
    </row>
    <row r="37" spans="1:4" hidden="1" x14ac:dyDescent="0.25">
      <c r="A37" s="4"/>
      <c r="B37" s="4"/>
      <c r="C37" s="4"/>
      <c r="D37" s="9"/>
    </row>
    <row r="38" spans="1:4" hidden="1" x14ac:dyDescent="0.25">
      <c r="A38" s="4"/>
      <c r="B38" s="4"/>
      <c r="C38" s="4"/>
      <c r="D38" s="9"/>
    </row>
    <row r="39" spans="1:4" hidden="1" x14ac:dyDescent="0.25">
      <c r="A39" s="4"/>
      <c r="B39" s="4"/>
      <c r="C39" s="4"/>
      <c r="D39" s="9"/>
    </row>
    <row r="40" spans="1:4" hidden="1" x14ac:dyDescent="0.25">
      <c r="A40" s="4"/>
      <c r="B40" s="4"/>
      <c r="C40" s="4"/>
      <c r="D40" s="9"/>
    </row>
    <row r="41" spans="1:4" hidden="1" x14ac:dyDescent="0.25">
      <c r="A41" s="4"/>
      <c r="B41" s="4"/>
      <c r="C41" s="4"/>
      <c r="D41" s="9"/>
    </row>
    <row r="42" spans="1:4" hidden="1" x14ac:dyDescent="0.25">
      <c r="A42" s="4"/>
      <c r="B42" s="4"/>
      <c r="C42" s="4"/>
      <c r="D42" s="9"/>
    </row>
    <row r="43" spans="1:4" hidden="1" x14ac:dyDescent="0.25">
      <c r="A43" s="4"/>
      <c r="B43" s="4"/>
      <c r="C43" s="4"/>
      <c r="D43" s="9"/>
    </row>
    <row r="44" spans="1:4" hidden="1" x14ac:dyDescent="0.25">
      <c r="A44" s="4"/>
      <c r="B44" s="4"/>
      <c r="C44" s="4"/>
      <c r="D44" s="9"/>
    </row>
    <row r="45" spans="1:4" hidden="1" x14ac:dyDescent="0.25">
      <c r="A45" s="4"/>
      <c r="B45" s="4"/>
      <c r="C45" s="4"/>
      <c r="D45" s="9"/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SUM(D2:D12,D23:D36)</f>
        <v>694303</v>
      </c>
    </row>
    <row r="93" spans="1:4" x14ac:dyDescent="0.25">
      <c r="C93" s="31" t="s">
        <v>2501</v>
      </c>
      <c r="D93" s="32">
        <f>SUM(D13:D22)</f>
        <v>331899</v>
      </c>
    </row>
    <row r="94" spans="1:4" x14ac:dyDescent="0.25">
      <c r="C94" s="31" t="s">
        <v>83</v>
      </c>
      <c r="D94" s="32">
        <f>SUM(D92:D93)</f>
        <v>1026202</v>
      </c>
    </row>
  </sheetData>
  <printOptions horizontalCentered="1"/>
  <pageMargins left="0.7" right="0.7" top="1" bottom="0.75" header="0.3" footer="0.3"/>
  <pageSetup paperSize="5" scale="7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50AB-2666-49C1-9914-26A2113A80F1}">
  <dimension ref="A1:D94"/>
  <sheetViews>
    <sheetView view="pageBreakPreview" topLeftCell="A27" zoomScaleNormal="100" zoomScaleSheetLayoutView="100" workbookViewId="0">
      <selection activeCell="F44" sqref="F44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3.4257812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420603</v>
      </c>
      <c r="C2" s="4" t="s">
        <v>3693</v>
      </c>
      <c r="D2" s="9">
        <v>350</v>
      </c>
    </row>
    <row r="3" spans="1:4" x14ac:dyDescent="0.25">
      <c r="A3" s="4" t="s">
        <v>256</v>
      </c>
      <c r="B3" s="4">
        <v>422075</v>
      </c>
      <c r="C3" s="4" t="s">
        <v>3723</v>
      </c>
      <c r="D3" s="9">
        <v>4533</v>
      </c>
    </row>
    <row r="4" spans="1:4" x14ac:dyDescent="0.25">
      <c r="A4" s="4" t="s">
        <v>256</v>
      </c>
      <c r="B4" s="4">
        <v>421688</v>
      </c>
      <c r="C4" s="4" t="s">
        <v>3711</v>
      </c>
      <c r="D4" s="9">
        <v>2348</v>
      </c>
    </row>
    <row r="5" spans="1:4" x14ac:dyDescent="0.25">
      <c r="A5" s="4" t="s">
        <v>256</v>
      </c>
      <c r="B5" s="4">
        <v>421688</v>
      </c>
      <c r="C5" s="4" t="s">
        <v>3712</v>
      </c>
      <c r="D5" s="9">
        <v>1342</v>
      </c>
    </row>
    <row r="6" spans="1:4" x14ac:dyDescent="0.25">
      <c r="A6" s="4" t="s">
        <v>256</v>
      </c>
      <c r="B6" s="4">
        <v>422075</v>
      </c>
      <c r="C6" s="4" t="s">
        <v>3724</v>
      </c>
      <c r="D6" s="9">
        <v>4113</v>
      </c>
    </row>
    <row r="7" spans="1:4" x14ac:dyDescent="0.25">
      <c r="A7" s="4" t="s">
        <v>256</v>
      </c>
      <c r="B7" s="4">
        <v>422075</v>
      </c>
      <c r="C7" s="4" t="s">
        <v>3725</v>
      </c>
      <c r="D7" s="9">
        <v>4383</v>
      </c>
    </row>
    <row r="8" spans="1:4" x14ac:dyDescent="0.25">
      <c r="A8" s="4" t="s">
        <v>147</v>
      </c>
      <c r="B8" s="4">
        <v>415208</v>
      </c>
      <c r="C8" s="4" t="s">
        <v>3511</v>
      </c>
      <c r="D8" s="9">
        <v>2755</v>
      </c>
    </row>
    <row r="9" spans="1:4" x14ac:dyDescent="0.25">
      <c r="A9" s="4" t="s">
        <v>192</v>
      </c>
      <c r="B9" s="4">
        <v>421672</v>
      </c>
      <c r="C9" s="4" t="s">
        <v>3726</v>
      </c>
      <c r="D9" s="9">
        <v>3565</v>
      </c>
    </row>
    <row r="10" spans="1:4" x14ac:dyDescent="0.25">
      <c r="A10" s="4" t="s">
        <v>108</v>
      </c>
      <c r="B10" s="4">
        <v>421224</v>
      </c>
      <c r="C10" s="4" t="s">
        <v>3714</v>
      </c>
      <c r="D10" s="9">
        <v>2905</v>
      </c>
    </row>
    <row r="11" spans="1:4" x14ac:dyDescent="0.25">
      <c r="A11" s="4" t="s">
        <v>500</v>
      </c>
      <c r="B11" s="4">
        <v>419731</v>
      </c>
      <c r="C11" s="4" t="s">
        <v>3696</v>
      </c>
      <c r="D11" s="9">
        <v>12721</v>
      </c>
    </row>
    <row r="12" spans="1:4" x14ac:dyDescent="0.25">
      <c r="A12" s="4" t="s">
        <v>24</v>
      </c>
      <c r="B12" s="4">
        <v>421168</v>
      </c>
      <c r="C12" s="4" t="s">
        <v>3697</v>
      </c>
      <c r="D12" s="9">
        <v>2912</v>
      </c>
    </row>
    <row r="13" spans="1:4" x14ac:dyDescent="0.25">
      <c r="A13" s="4" t="s">
        <v>24</v>
      </c>
      <c r="B13" s="4">
        <v>421483</v>
      </c>
      <c r="C13" s="4" t="s">
        <v>3698</v>
      </c>
      <c r="D13" s="9">
        <v>2242</v>
      </c>
    </row>
    <row r="14" spans="1:4" x14ac:dyDescent="0.25">
      <c r="A14" s="4" t="s">
        <v>111</v>
      </c>
      <c r="B14" s="4">
        <v>422232</v>
      </c>
      <c r="C14" s="4" t="s">
        <v>3727</v>
      </c>
      <c r="D14" s="9">
        <v>142353</v>
      </c>
    </row>
    <row r="15" spans="1:4" x14ac:dyDescent="0.25">
      <c r="A15" s="4" t="s">
        <v>111</v>
      </c>
      <c r="B15" s="4">
        <v>422135</v>
      </c>
      <c r="C15" s="4" t="s">
        <v>3728</v>
      </c>
      <c r="D15" s="9">
        <v>145321</v>
      </c>
    </row>
    <row r="16" spans="1:4" x14ac:dyDescent="0.25">
      <c r="A16" s="4" t="s">
        <v>111</v>
      </c>
      <c r="B16" s="4">
        <v>422221</v>
      </c>
      <c r="C16" s="4" t="s">
        <v>3729</v>
      </c>
      <c r="D16" s="9">
        <v>5439</v>
      </c>
    </row>
    <row r="17" spans="1:4" x14ac:dyDescent="0.25">
      <c r="A17" s="4" t="s">
        <v>111</v>
      </c>
      <c r="B17" s="4">
        <v>422114</v>
      </c>
      <c r="C17" s="4" t="s">
        <v>3730</v>
      </c>
      <c r="D17" s="9">
        <v>760</v>
      </c>
    </row>
    <row r="18" spans="1:4" x14ac:dyDescent="0.25">
      <c r="A18" s="4" t="s">
        <v>111</v>
      </c>
      <c r="B18" s="4">
        <v>421551</v>
      </c>
      <c r="C18" s="4" t="s">
        <v>3718</v>
      </c>
      <c r="D18" s="9">
        <v>380</v>
      </c>
    </row>
    <row r="19" spans="1:4" x14ac:dyDescent="0.25">
      <c r="A19" s="4" t="s">
        <v>111</v>
      </c>
      <c r="B19" s="4">
        <v>422220</v>
      </c>
      <c r="C19" s="4" t="s">
        <v>3731</v>
      </c>
      <c r="D19" s="9">
        <v>121</v>
      </c>
    </row>
    <row r="20" spans="1:4" x14ac:dyDescent="0.25">
      <c r="A20" s="4" t="s">
        <v>111</v>
      </c>
      <c r="B20" s="4">
        <v>422111</v>
      </c>
      <c r="C20" s="4" t="s">
        <v>3732</v>
      </c>
      <c r="D20" s="9">
        <v>233</v>
      </c>
    </row>
    <row r="21" spans="1:4" x14ac:dyDescent="0.25">
      <c r="A21" s="4" t="s">
        <v>111</v>
      </c>
      <c r="B21" s="4">
        <v>422116</v>
      </c>
      <c r="C21" s="4" t="s">
        <v>3733</v>
      </c>
      <c r="D21" s="9">
        <v>156</v>
      </c>
    </row>
    <row r="22" spans="1:4" x14ac:dyDescent="0.25">
      <c r="A22" s="4" t="s">
        <v>2160</v>
      </c>
      <c r="B22" s="4">
        <v>411597</v>
      </c>
      <c r="C22" s="4" t="s">
        <v>3492</v>
      </c>
      <c r="D22" s="9">
        <v>150</v>
      </c>
    </row>
    <row r="23" spans="1:4" x14ac:dyDescent="0.25">
      <c r="A23" s="4" t="s">
        <v>2160</v>
      </c>
      <c r="B23" s="4">
        <v>411597</v>
      </c>
      <c r="C23" s="4" t="s">
        <v>3493</v>
      </c>
      <c r="D23" s="9">
        <v>150</v>
      </c>
    </row>
    <row r="24" spans="1:4" x14ac:dyDescent="0.25">
      <c r="A24" s="4" t="s">
        <v>180</v>
      </c>
      <c r="B24" s="4">
        <v>422107</v>
      </c>
      <c r="C24" s="4" t="s">
        <v>3734</v>
      </c>
      <c r="D24" s="9">
        <v>825</v>
      </c>
    </row>
    <row r="25" spans="1:4" x14ac:dyDescent="0.25">
      <c r="A25" s="4" t="s">
        <v>180</v>
      </c>
      <c r="B25" s="4">
        <v>416843</v>
      </c>
      <c r="C25" s="4" t="s">
        <v>3498</v>
      </c>
      <c r="D25" s="9">
        <v>860</v>
      </c>
    </row>
    <row r="26" spans="1:4" x14ac:dyDescent="0.25">
      <c r="A26" s="4" t="s">
        <v>1047</v>
      </c>
      <c r="B26" s="4">
        <v>420067</v>
      </c>
      <c r="C26" s="4" t="s">
        <v>3649</v>
      </c>
      <c r="D26" s="9">
        <v>75800</v>
      </c>
    </row>
    <row r="27" spans="1:4" x14ac:dyDescent="0.25">
      <c r="A27" s="4" t="s">
        <v>1047</v>
      </c>
      <c r="B27" s="4">
        <v>420067</v>
      </c>
      <c r="C27" s="4" t="s">
        <v>3650</v>
      </c>
      <c r="D27" s="9">
        <v>63400</v>
      </c>
    </row>
    <row r="28" spans="1:4" x14ac:dyDescent="0.25">
      <c r="A28" s="4" t="s">
        <v>1591</v>
      </c>
      <c r="B28" s="4">
        <v>421942</v>
      </c>
      <c r="C28" s="4" t="s">
        <v>3735</v>
      </c>
      <c r="D28" s="9">
        <v>500</v>
      </c>
    </row>
    <row r="29" spans="1:4" x14ac:dyDescent="0.25">
      <c r="A29" s="4" t="s">
        <v>1591</v>
      </c>
      <c r="B29" s="4">
        <v>421942</v>
      </c>
      <c r="C29" s="4" t="s">
        <v>3736</v>
      </c>
      <c r="D29" s="9">
        <v>9940</v>
      </c>
    </row>
    <row r="30" spans="1:4" x14ac:dyDescent="0.25">
      <c r="A30" s="4" t="s">
        <v>1591</v>
      </c>
      <c r="B30" s="4">
        <v>421943</v>
      </c>
      <c r="C30" s="4" t="s">
        <v>3737</v>
      </c>
      <c r="D30" s="9">
        <v>975</v>
      </c>
    </row>
    <row r="31" spans="1:4" x14ac:dyDescent="0.25">
      <c r="A31" s="4" t="s">
        <v>315</v>
      </c>
      <c r="B31" s="4">
        <v>417847</v>
      </c>
      <c r="C31" s="4" t="s">
        <v>3738</v>
      </c>
      <c r="D31" s="9">
        <v>250</v>
      </c>
    </row>
    <row r="32" spans="1:4" x14ac:dyDescent="0.25">
      <c r="A32" s="4" t="s">
        <v>315</v>
      </c>
      <c r="B32" s="4">
        <v>419119</v>
      </c>
      <c r="C32" s="4" t="s">
        <v>3739</v>
      </c>
      <c r="D32" s="9">
        <v>1500</v>
      </c>
    </row>
    <row r="33" spans="1:4" x14ac:dyDescent="0.25">
      <c r="A33" s="4" t="s">
        <v>315</v>
      </c>
      <c r="B33" s="4">
        <v>421606</v>
      </c>
      <c r="C33" s="4" t="s">
        <v>3740</v>
      </c>
      <c r="D33" s="9">
        <v>1095</v>
      </c>
    </row>
    <row r="34" spans="1:4" x14ac:dyDescent="0.25">
      <c r="A34" s="4" t="s">
        <v>315</v>
      </c>
      <c r="B34" s="4">
        <v>421146</v>
      </c>
      <c r="C34" s="4" t="s">
        <v>3741</v>
      </c>
      <c r="D34" s="9">
        <v>1850</v>
      </c>
    </row>
    <row r="35" spans="1:4" x14ac:dyDescent="0.25">
      <c r="A35" s="4" t="s">
        <v>832</v>
      </c>
      <c r="B35" s="4">
        <v>422126</v>
      </c>
      <c r="C35" s="4" t="s">
        <v>3742</v>
      </c>
      <c r="D35" s="9">
        <v>15055</v>
      </c>
    </row>
    <row r="36" spans="1:4" x14ac:dyDescent="0.25">
      <c r="A36" s="4" t="s">
        <v>832</v>
      </c>
      <c r="B36" s="4">
        <v>419202</v>
      </c>
      <c r="C36" s="4" t="s">
        <v>3581</v>
      </c>
      <c r="D36" s="9">
        <v>2000</v>
      </c>
    </row>
    <row r="37" spans="1:4" x14ac:dyDescent="0.25">
      <c r="A37" s="4" t="s">
        <v>832</v>
      </c>
      <c r="B37" s="4">
        <v>421680</v>
      </c>
      <c r="C37" s="4" t="s">
        <v>3720</v>
      </c>
      <c r="D37" s="9">
        <v>19175</v>
      </c>
    </row>
    <row r="38" spans="1:4" x14ac:dyDescent="0.25">
      <c r="A38" s="4" t="s">
        <v>832</v>
      </c>
      <c r="B38" s="4">
        <v>421680</v>
      </c>
      <c r="C38" s="4" t="s">
        <v>3721</v>
      </c>
      <c r="D38" s="9">
        <v>8525</v>
      </c>
    </row>
    <row r="39" spans="1:4" x14ac:dyDescent="0.25">
      <c r="A39" s="4" t="s">
        <v>832</v>
      </c>
      <c r="B39" s="4">
        <v>421292</v>
      </c>
      <c r="C39" s="4" t="s">
        <v>3743</v>
      </c>
      <c r="D39" s="9">
        <v>375</v>
      </c>
    </row>
    <row r="40" spans="1:4" x14ac:dyDescent="0.25">
      <c r="A40" s="4" t="s">
        <v>832</v>
      </c>
      <c r="B40" s="4">
        <v>422052</v>
      </c>
      <c r="C40" s="4" t="s">
        <v>3744</v>
      </c>
      <c r="D40" s="9">
        <v>11690</v>
      </c>
    </row>
    <row r="41" spans="1:4" x14ac:dyDescent="0.25">
      <c r="A41" s="4" t="s">
        <v>558</v>
      </c>
      <c r="B41" s="4">
        <v>422201</v>
      </c>
      <c r="C41" s="4" t="s">
        <v>3745</v>
      </c>
      <c r="D41" s="9">
        <v>0</v>
      </c>
    </row>
    <row r="42" spans="1:4" x14ac:dyDescent="0.25">
      <c r="A42" s="4" t="s">
        <v>995</v>
      </c>
      <c r="B42" s="4">
        <v>420013</v>
      </c>
      <c r="C42" s="4" t="s">
        <v>3746</v>
      </c>
      <c r="D42" s="9">
        <v>1500</v>
      </c>
    </row>
    <row r="43" spans="1:4" x14ac:dyDescent="0.25">
      <c r="A43" s="4" t="s">
        <v>241</v>
      </c>
      <c r="B43" s="4">
        <v>412385</v>
      </c>
      <c r="C43" s="4" t="s">
        <v>3420</v>
      </c>
      <c r="D43" s="9">
        <v>700</v>
      </c>
    </row>
    <row r="44" spans="1:4" x14ac:dyDescent="0.25">
      <c r="A44" s="4" t="s">
        <v>241</v>
      </c>
      <c r="B44" s="4">
        <v>418039</v>
      </c>
      <c r="C44" s="4" t="s">
        <v>3747</v>
      </c>
      <c r="D44" s="9">
        <v>37091</v>
      </c>
    </row>
    <row r="45" spans="1:4" x14ac:dyDescent="0.25">
      <c r="A45" s="4" t="s">
        <v>680</v>
      </c>
      <c r="B45" s="4">
        <v>421747</v>
      </c>
      <c r="C45" s="4" t="s">
        <v>3748</v>
      </c>
      <c r="D45" s="9">
        <v>3140</v>
      </c>
    </row>
    <row r="46" spans="1:4" x14ac:dyDescent="0.25">
      <c r="A46" s="4" t="s">
        <v>61</v>
      </c>
      <c r="B46" s="4">
        <v>421967</v>
      </c>
      <c r="C46" s="4" t="s">
        <v>3749</v>
      </c>
      <c r="D46" s="9">
        <v>8760</v>
      </c>
    </row>
    <row r="47" spans="1:4" x14ac:dyDescent="0.25">
      <c r="A47" s="4" t="s">
        <v>61</v>
      </c>
      <c r="B47" s="4">
        <v>421955</v>
      </c>
      <c r="C47" s="4" t="s">
        <v>3750</v>
      </c>
      <c r="D47" s="9">
        <v>6850</v>
      </c>
    </row>
    <row r="48" spans="1:4" x14ac:dyDescent="0.25">
      <c r="A48" s="4" t="s">
        <v>2831</v>
      </c>
      <c r="B48" s="4">
        <v>422206</v>
      </c>
      <c r="C48" s="4" t="s">
        <v>3751</v>
      </c>
      <c r="D48" s="9">
        <v>714</v>
      </c>
    </row>
    <row r="49" spans="1:4" x14ac:dyDescent="0.25">
      <c r="A49" s="4" t="s">
        <v>2831</v>
      </c>
      <c r="B49" s="4">
        <v>422113</v>
      </c>
      <c r="C49" s="4" t="s">
        <v>3752</v>
      </c>
      <c r="D49" s="9">
        <v>1742</v>
      </c>
    </row>
    <row r="50" spans="1:4" x14ac:dyDescent="0.25">
      <c r="A50" s="4" t="s">
        <v>2831</v>
      </c>
      <c r="B50" s="4">
        <v>422112</v>
      </c>
      <c r="C50" s="4" t="s">
        <v>3753</v>
      </c>
      <c r="D50" s="9">
        <v>9578</v>
      </c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hidden="1" x14ac:dyDescent="0.25">
      <c r="A89" s="4"/>
      <c r="B89" s="4"/>
      <c r="C89" s="4"/>
      <c r="D89" s="9"/>
    </row>
    <row r="90" spans="1:4" hidden="1" x14ac:dyDescent="0.25">
      <c r="A90" s="4"/>
      <c r="B90" s="4"/>
      <c r="C90" s="4"/>
      <c r="D90" s="9"/>
    </row>
    <row r="91" spans="1:4" hidden="1" x14ac:dyDescent="0.25">
      <c r="A91" s="4"/>
      <c r="B91" s="4"/>
      <c r="C91" s="4"/>
      <c r="D91" s="9"/>
    </row>
    <row r="92" spans="1:4" x14ac:dyDescent="0.25">
      <c r="C92" s="31" t="s">
        <v>2502</v>
      </c>
      <c r="D92" s="32">
        <f>SUM(D2:D9,D22:D44)</f>
        <v>276795</v>
      </c>
    </row>
    <row r="93" spans="1:4" x14ac:dyDescent="0.25">
      <c r="C93" s="31" t="s">
        <v>2501</v>
      </c>
      <c r="D93" s="32">
        <f>SUM(D45:D50,D10:D21)</f>
        <v>346327</v>
      </c>
    </row>
    <row r="94" spans="1:4" x14ac:dyDescent="0.25">
      <c r="C94" s="31" t="s">
        <v>83</v>
      </c>
      <c r="D94" s="32">
        <f>SUM(D92:D93)</f>
        <v>623122</v>
      </c>
    </row>
  </sheetData>
  <printOptions horizontalCentered="1"/>
  <pageMargins left="0.7" right="0.7" top="1" bottom="0.75" header="0.3" footer="0.3"/>
  <pageSetup paperSize="5" scale="72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EC03-75DC-47E3-BFBB-B6BB656E90C3}">
  <dimension ref="A1:D91"/>
  <sheetViews>
    <sheetView view="pageBreakPreview" zoomScaleNormal="100" zoomScaleSheetLayoutView="100" workbookViewId="0">
      <selection activeCell="C96" sqref="C96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3.4257812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s="4" t="s">
        <v>5</v>
      </c>
      <c r="B2" s="4">
        <v>417900</v>
      </c>
      <c r="C2" s="4" t="s">
        <v>3754</v>
      </c>
      <c r="D2" s="9">
        <v>2765</v>
      </c>
    </row>
    <row r="3" spans="1:4" x14ac:dyDescent="0.25">
      <c r="A3" s="4" t="s">
        <v>5</v>
      </c>
      <c r="B3" s="4">
        <v>420603</v>
      </c>
      <c r="C3" s="4" t="s">
        <v>3693</v>
      </c>
      <c r="D3" s="9">
        <v>350</v>
      </c>
    </row>
    <row r="4" spans="1:4" x14ac:dyDescent="0.25">
      <c r="A4" s="4" t="s">
        <v>5</v>
      </c>
      <c r="B4" s="4">
        <v>417900</v>
      </c>
      <c r="C4" s="4" t="s">
        <v>3755</v>
      </c>
      <c r="D4" s="9">
        <v>4948</v>
      </c>
    </row>
    <row r="5" spans="1:4" x14ac:dyDescent="0.25">
      <c r="A5" s="4" t="s">
        <v>256</v>
      </c>
      <c r="B5" s="4">
        <v>421688</v>
      </c>
      <c r="C5" s="4" t="s">
        <v>3711</v>
      </c>
      <c r="D5" s="9">
        <v>2348</v>
      </c>
    </row>
    <row r="6" spans="1:4" x14ac:dyDescent="0.25">
      <c r="A6" s="4" t="s">
        <v>256</v>
      </c>
      <c r="B6" s="4">
        <v>421688</v>
      </c>
      <c r="C6" s="4" t="s">
        <v>3712</v>
      </c>
      <c r="D6" s="9">
        <v>1342</v>
      </c>
    </row>
    <row r="7" spans="1:4" x14ac:dyDescent="0.25">
      <c r="A7" s="4" t="s">
        <v>13</v>
      </c>
      <c r="B7" s="4">
        <v>422390</v>
      </c>
      <c r="C7" s="4" t="s">
        <v>3756</v>
      </c>
      <c r="D7" s="9">
        <v>3623</v>
      </c>
    </row>
    <row r="8" spans="1:4" x14ac:dyDescent="0.25">
      <c r="A8" s="4" t="s">
        <v>13</v>
      </c>
      <c r="B8" s="4">
        <v>422541</v>
      </c>
      <c r="C8" s="4" t="s">
        <v>3757</v>
      </c>
      <c r="D8" s="9">
        <v>38462</v>
      </c>
    </row>
    <row r="9" spans="1:4" x14ac:dyDescent="0.25">
      <c r="A9" s="4" t="s">
        <v>108</v>
      </c>
      <c r="B9" s="4">
        <v>421476</v>
      </c>
      <c r="C9" s="4" t="s">
        <v>3758</v>
      </c>
      <c r="D9" s="9">
        <v>6789</v>
      </c>
    </row>
    <row r="10" spans="1:4" x14ac:dyDescent="0.25">
      <c r="A10" s="4" t="s">
        <v>500</v>
      </c>
      <c r="B10" s="4">
        <v>419731</v>
      </c>
      <c r="C10" s="4" t="s">
        <v>3696</v>
      </c>
      <c r="D10" s="9">
        <v>12721</v>
      </c>
    </row>
    <row r="11" spans="1:4" x14ac:dyDescent="0.25">
      <c r="A11" s="4" t="s">
        <v>24</v>
      </c>
      <c r="B11" s="4">
        <v>421168</v>
      </c>
      <c r="C11" s="4" t="s">
        <v>3697</v>
      </c>
      <c r="D11" s="9">
        <v>2912</v>
      </c>
    </row>
    <row r="12" spans="1:4" x14ac:dyDescent="0.25">
      <c r="A12" s="4" t="s">
        <v>24</v>
      </c>
      <c r="B12" s="4">
        <v>422558</v>
      </c>
      <c r="C12" s="4" t="s">
        <v>3759</v>
      </c>
      <c r="D12" s="9">
        <v>390</v>
      </c>
    </row>
    <row r="13" spans="1:4" x14ac:dyDescent="0.25">
      <c r="A13" s="4" t="s">
        <v>111</v>
      </c>
      <c r="B13" s="4">
        <v>422232</v>
      </c>
      <c r="C13" s="4" t="s">
        <v>3727</v>
      </c>
      <c r="D13" s="9">
        <v>142353</v>
      </c>
    </row>
    <row r="14" spans="1:4" x14ac:dyDescent="0.25">
      <c r="A14" s="4" t="s">
        <v>111</v>
      </c>
      <c r="B14" s="4">
        <v>422135</v>
      </c>
      <c r="C14" s="4" t="s">
        <v>3728</v>
      </c>
      <c r="D14" s="9">
        <v>145321</v>
      </c>
    </row>
    <row r="15" spans="1:4" x14ac:dyDescent="0.25">
      <c r="A15" s="4" t="s">
        <v>111</v>
      </c>
      <c r="B15" s="4">
        <v>422431</v>
      </c>
      <c r="C15" s="4" t="s">
        <v>3760</v>
      </c>
      <c r="D15" s="9">
        <v>380</v>
      </c>
    </row>
    <row r="16" spans="1:4" x14ac:dyDescent="0.25">
      <c r="A16" s="4" t="s">
        <v>111</v>
      </c>
      <c r="B16" s="4">
        <v>422811</v>
      </c>
      <c r="C16" s="4" t="s">
        <v>3761</v>
      </c>
      <c r="D16" s="9">
        <v>190</v>
      </c>
    </row>
    <row r="17" spans="1:4" x14ac:dyDescent="0.25">
      <c r="A17" s="4" t="s">
        <v>111</v>
      </c>
      <c r="B17" s="4">
        <v>422111</v>
      </c>
      <c r="C17" s="4" t="s">
        <v>3732</v>
      </c>
      <c r="D17" s="9">
        <v>233</v>
      </c>
    </row>
    <row r="18" spans="1:4" x14ac:dyDescent="0.25">
      <c r="A18" s="4" t="s">
        <v>111</v>
      </c>
      <c r="B18" s="4">
        <v>422116</v>
      </c>
      <c r="C18" s="4" t="s">
        <v>3733</v>
      </c>
      <c r="D18" s="9">
        <v>156</v>
      </c>
    </row>
    <row r="19" spans="1:4" x14ac:dyDescent="0.25">
      <c r="A19" s="4" t="s">
        <v>2160</v>
      </c>
      <c r="B19" s="4">
        <v>411597</v>
      </c>
      <c r="C19" s="4" t="s">
        <v>3492</v>
      </c>
      <c r="D19" s="9">
        <v>150</v>
      </c>
    </row>
    <row r="20" spans="1:4" x14ac:dyDescent="0.25">
      <c r="A20" s="4" t="s">
        <v>2160</v>
      </c>
      <c r="B20" s="4">
        <v>411597</v>
      </c>
      <c r="C20" s="4" t="s">
        <v>3493</v>
      </c>
      <c r="D20" s="9">
        <v>150</v>
      </c>
    </row>
    <row r="21" spans="1:4" x14ac:dyDescent="0.25">
      <c r="A21" s="4" t="s">
        <v>567</v>
      </c>
      <c r="B21" s="4">
        <v>421575</v>
      </c>
      <c r="C21" s="4" t="s">
        <v>3762</v>
      </c>
      <c r="D21" s="9">
        <v>510</v>
      </c>
    </row>
    <row r="22" spans="1:4" x14ac:dyDescent="0.25">
      <c r="A22" s="4" t="s">
        <v>3763</v>
      </c>
      <c r="B22" s="4">
        <v>422735</v>
      </c>
      <c r="C22" s="4" t="s">
        <v>3764</v>
      </c>
      <c r="D22" s="9">
        <v>10495</v>
      </c>
    </row>
    <row r="23" spans="1:4" x14ac:dyDescent="0.25">
      <c r="A23" s="4" t="s">
        <v>3763</v>
      </c>
      <c r="B23" s="4">
        <v>422555</v>
      </c>
      <c r="C23" s="4" t="s">
        <v>3765</v>
      </c>
      <c r="D23" s="9">
        <v>11960</v>
      </c>
    </row>
    <row r="24" spans="1:4" x14ac:dyDescent="0.25">
      <c r="A24" s="4" t="s">
        <v>3763</v>
      </c>
      <c r="B24" s="4">
        <v>422741</v>
      </c>
      <c r="C24" s="4" t="s">
        <v>3766</v>
      </c>
      <c r="D24" s="9">
        <v>11680</v>
      </c>
    </row>
    <row r="25" spans="1:4" x14ac:dyDescent="0.25">
      <c r="A25" s="4" t="s">
        <v>1419</v>
      </c>
      <c r="B25" s="4">
        <v>422814</v>
      </c>
      <c r="C25" s="4" t="s">
        <v>3767</v>
      </c>
      <c r="D25" s="9">
        <v>754</v>
      </c>
    </row>
    <row r="26" spans="1:4" x14ac:dyDescent="0.25">
      <c r="A26" s="4" t="s">
        <v>180</v>
      </c>
      <c r="B26" s="4">
        <v>418948</v>
      </c>
      <c r="C26" s="4" t="s">
        <v>3771</v>
      </c>
      <c r="D26" s="9">
        <v>1495</v>
      </c>
    </row>
    <row r="27" spans="1:4" x14ac:dyDescent="0.25">
      <c r="A27" s="4" t="s">
        <v>180</v>
      </c>
      <c r="B27" s="4">
        <v>416843</v>
      </c>
      <c r="C27" s="4" t="s">
        <v>3498</v>
      </c>
      <c r="D27" s="9">
        <v>860</v>
      </c>
    </row>
    <row r="28" spans="1:4" x14ac:dyDescent="0.25">
      <c r="A28" s="4" t="s">
        <v>1047</v>
      </c>
      <c r="B28" s="4">
        <v>420067</v>
      </c>
      <c r="C28" s="4" t="s">
        <v>3649</v>
      </c>
      <c r="D28" s="9">
        <v>75800</v>
      </c>
    </row>
    <row r="29" spans="1:4" x14ac:dyDescent="0.25">
      <c r="A29" s="4" t="s">
        <v>1047</v>
      </c>
      <c r="B29" s="4">
        <v>420067</v>
      </c>
      <c r="C29" s="4" t="s">
        <v>3650</v>
      </c>
      <c r="D29" s="9">
        <v>63400</v>
      </c>
    </row>
    <row r="30" spans="1:4" x14ac:dyDescent="0.25">
      <c r="A30" s="4" t="s">
        <v>1591</v>
      </c>
      <c r="B30" s="4">
        <v>421942</v>
      </c>
      <c r="C30" s="4" t="s">
        <v>3735</v>
      </c>
      <c r="D30" s="9">
        <v>500</v>
      </c>
    </row>
    <row r="31" spans="1:4" x14ac:dyDescent="0.25">
      <c r="A31" s="4" t="s">
        <v>1591</v>
      </c>
      <c r="B31" s="4">
        <v>421942</v>
      </c>
      <c r="C31" s="4" t="s">
        <v>3736</v>
      </c>
      <c r="D31" s="9">
        <v>9940</v>
      </c>
    </row>
    <row r="32" spans="1:4" x14ac:dyDescent="0.25">
      <c r="A32" s="4" t="s">
        <v>1591</v>
      </c>
      <c r="B32" s="4">
        <v>421943</v>
      </c>
      <c r="C32" s="4" t="s">
        <v>3737</v>
      </c>
      <c r="D32" s="9">
        <v>975</v>
      </c>
    </row>
    <row r="33" spans="1:4" x14ac:dyDescent="0.25">
      <c r="A33" s="4" t="s">
        <v>315</v>
      </c>
      <c r="B33" s="4">
        <v>420950</v>
      </c>
      <c r="C33" s="4" t="s">
        <v>3772</v>
      </c>
      <c r="D33" s="9">
        <v>1710</v>
      </c>
    </row>
    <row r="34" spans="1:4" x14ac:dyDescent="0.25">
      <c r="A34" s="4" t="s">
        <v>832</v>
      </c>
      <c r="B34" s="4">
        <v>422126</v>
      </c>
      <c r="C34" s="4" t="s">
        <v>3742</v>
      </c>
      <c r="D34" s="9">
        <v>15055</v>
      </c>
    </row>
    <row r="35" spans="1:4" x14ac:dyDescent="0.25">
      <c r="A35" s="4" t="s">
        <v>832</v>
      </c>
      <c r="B35" s="4">
        <v>419202</v>
      </c>
      <c r="C35" s="4" t="s">
        <v>3581</v>
      </c>
      <c r="D35" s="9">
        <v>2000</v>
      </c>
    </row>
    <row r="36" spans="1:4" x14ac:dyDescent="0.25">
      <c r="A36" s="4" t="s">
        <v>832</v>
      </c>
      <c r="B36" s="4">
        <v>421680</v>
      </c>
      <c r="C36" s="4" t="s">
        <v>3720</v>
      </c>
      <c r="D36" s="9">
        <v>19175</v>
      </c>
    </row>
    <row r="37" spans="1:4" x14ac:dyDescent="0.25">
      <c r="A37" s="4" t="s">
        <v>832</v>
      </c>
      <c r="B37" s="4">
        <v>421680</v>
      </c>
      <c r="C37" s="4" t="s">
        <v>3721</v>
      </c>
      <c r="D37" s="9">
        <v>8525</v>
      </c>
    </row>
    <row r="38" spans="1:4" x14ac:dyDescent="0.25">
      <c r="A38" s="4" t="s">
        <v>832</v>
      </c>
      <c r="B38" s="4">
        <v>421292</v>
      </c>
      <c r="C38" s="4" t="s">
        <v>3743</v>
      </c>
      <c r="D38" s="9">
        <v>375</v>
      </c>
    </row>
    <row r="39" spans="1:4" x14ac:dyDescent="0.25">
      <c r="A39" s="4" t="s">
        <v>832</v>
      </c>
      <c r="B39" s="4">
        <v>422052</v>
      </c>
      <c r="C39" s="4" t="s">
        <v>3744</v>
      </c>
      <c r="D39" s="9">
        <v>11690</v>
      </c>
    </row>
    <row r="40" spans="1:4" x14ac:dyDescent="0.25">
      <c r="A40" s="4" t="s">
        <v>558</v>
      </c>
      <c r="B40" s="4">
        <v>422201</v>
      </c>
      <c r="C40" s="4" t="s">
        <v>3745</v>
      </c>
      <c r="D40" s="9">
        <v>0</v>
      </c>
    </row>
    <row r="41" spans="1:4" x14ac:dyDescent="0.25">
      <c r="A41" s="4" t="s">
        <v>995</v>
      </c>
      <c r="B41" s="4">
        <v>420013</v>
      </c>
      <c r="C41" s="4" t="s">
        <v>3746</v>
      </c>
      <c r="D41" s="9">
        <v>1500</v>
      </c>
    </row>
    <row r="42" spans="1:4" x14ac:dyDescent="0.25">
      <c r="A42" s="4" t="s">
        <v>241</v>
      </c>
      <c r="B42" s="4">
        <v>412385</v>
      </c>
      <c r="C42" s="4" t="s">
        <v>3420</v>
      </c>
      <c r="D42" s="9">
        <v>700</v>
      </c>
    </row>
    <row r="43" spans="1:4" x14ac:dyDescent="0.25">
      <c r="A43" s="4" t="s">
        <v>2831</v>
      </c>
      <c r="B43" s="4">
        <v>422206</v>
      </c>
      <c r="C43" s="4" t="s">
        <v>3751</v>
      </c>
      <c r="D43" s="9">
        <v>714</v>
      </c>
    </row>
    <row r="44" spans="1:4" x14ac:dyDescent="0.25">
      <c r="A44" s="4" t="s">
        <v>2831</v>
      </c>
      <c r="B44" s="4">
        <v>422113</v>
      </c>
      <c r="C44" s="4" t="s">
        <v>3752</v>
      </c>
      <c r="D44" s="9">
        <v>1742</v>
      </c>
    </row>
    <row r="45" spans="1:4" x14ac:dyDescent="0.25">
      <c r="A45" s="4" t="s">
        <v>2831</v>
      </c>
      <c r="B45" s="4">
        <v>422112</v>
      </c>
      <c r="C45" s="4" t="s">
        <v>3753</v>
      </c>
      <c r="D45" s="9">
        <v>9578</v>
      </c>
    </row>
    <row r="46" spans="1:4" hidden="1" x14ac:dyDescent="0.25">
      <c r="A46" s="4"/>
      <c r="B46" s="4"/>
      <c r="C46" s="4"/>
      <c r="D46" s="9"/>
    </row>
    <row r="47" spans="1:4" hidden="1" x14ac:dyDescent="0.25">
      <c r="A47" s="4"/>
      <c r="B47" s="4"/>
      <c r="C47" s="4"/>
      <c r="D47" s="9"/>
    </row>
    <row r="48" spans="1:4" hidden="1" x14ac:dyDescent="0.25">
      <c r="A48" s="4"/>
      <c r="B48" s="4"/>
      <c r="C48" s="4"/>
      <c r="D48" s="9"/>
    </row>
    <row r="49" spans="1:4" hidden="1" x14ac:dyDescent="0.25">
      <c r="A49" s="4"/>
      <c r="B49" s="4"/>
      <c r="C49" s="4"/>
      <c r="D49" s="9"/>
    </row>
    <row r="50" spans="1:4" hidden="1" x14ac:dyDescent="0.25">
      <c r="A50" s="4"/>
      <c r="B50" s="4"/>
      <c r="C50" s="4"/>
      <c r="D50" s="9"/>
    </row>
    <row r="51" spans="1:4" hidden="1" x14ac:dyDescent="0.25">
      <c r="A51" s="4"/>
      <c r="B51" s="4"/>
      <c r="C51" s="4"/>
      <c r="D51" s="9"/>
    </row>
    <row r="52" spans="1:4" hidden="1" x14ac:dyDescent="0.25">
      <c r="A52" s="4"/>
      <c r="B52" s="4"/>
      <c r="C52" s="4"/>
      <c r="D52" s="9"/>
    </row>
    <row r="53" spans="1:4" hidden="1" x14ac:dyDescent="0.25">
      <c r="A53" s="4"/>
      <c r="B53" s="4"/>
      <c r="C53" s="4"/>
      <c r="D53" s="9"/>
    </row>
    <row r="54" spans="1:4" hidden="1" x14ac:dyDescent="0.25">
      <c r="A54" s="4"/>
      <c r="B54" s="4"/>
      <c r="C54" s="4"/>
      <c r="D54" s="9"/>
    </row>
    <row r="55" spans="1:4" hidden="1" x14ac:dyDescent="0.25">
      <c r="A55" s="4"/>
      <c r="B55" s="4"/>
      <c r="C55" s="4"/>
      <c r="D55" s="9"/>
    </row>
    <row r="56" spans="1:4" hidden="1" x14ac:dyDescent="0.25">
      <c r="A56" s="4"/>
      <c r="B56" s="4"/>
      <c r="C56" s="4"/>
      <c r="D56" s="9"/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x14ac:dyDescent="0.25">
      <c r="C89" s="31" t="s">
        <v>2502</v>
      </c>
      <c r="D89" s="32">
        <f>SUM(D2:D6,D19:D42)</f>
        <v>261152</v>
      </c>
    </row>
    <row r="90" spans="1:4" x14ac:dyDescent="0.25">
      <c r="C90" s="31" t="s">
        <v>2501</v>
      </c>
      <c r="D90" s="32">
        <f>SUM(D7:D18,D43:D45)</f>
        <v>365564</v>
      </c>
    </row>
    <row r="91" spans="1:4" x14ac:dyDescent="0.25">
      <c r="C91" s="31" t="s">
        <v>83</v>
      </c>
      <c r="D91" s="32">
        <f>SUM(D89:D90)</f>
        <v>626716</v>
      </c>
    </row>
  </sheetData>
  <printOptions horizontalCentered="1"/>
  <pageMargins left="0.7" right="0.7" top="1" bottom="0.75" header="0.3" footer="0.3"/>
  <pageSetup paperSize="5" scale="6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31B6-ED27-455A-81CD-032A7866128C}">
  <dimension ref="A1:D92"/>
  <sheetViews>
    <sheetView view="pageBreakPreview" zoomScaleNormal="100" zoomScaleSheetLayoutView="100" workbookViewId="0">
      <selection activeCell="C89" sqref="C89:C91"/>
    </sheetView>
  </sheetViews>
  <sheetFormatPr defaultRowHeight="15" x14ac:dyDescent="0.25"/>
  <cols>
    <col min="1" max="1" width="44" bestFit="1" customWidth="1"/>
    <col min="2" max="2" width="8.7109375" bestFit="1" customWidth="1"/>
    <col min="3" max="3" width="102" bestFit="1" customWidth="1"/>
    <col min="4" max="4" width="13.42578125" style="3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8" t="s">
        <v>4</v>
      </c>
    </row>
    <row r="2" spans="1:4" x14ac:dyDescent="0.25">
      <c r="A2" t="s">
        <v>5</v>
      </c>
      <c r="B2">
        <v>417900</v>
      </c>
      <c r="C2" t="s">
        <v>3754</v>
      </c>
      <c r="D2" s="42">
        <v>2765</v>
      </c>
    </row>
    <row r="3" spans="1:4" x14ac:dyDescent="0.25">
      <c r="A3" t="s">
        <v>5</v>
      </c>
      <c r="B3">
        <v>420603</v>
      </c>
      <c r="C3" t="s">
        <v>3693</v>
      </c>
      <c r="D3" s="42">
        <v>350</v>
      </c>
    </row>
    <row r="4" spans="1:4" x14ac:dyDescent="0.25">
      <c r="A4" t="s">
        <v>5</v>
      </c>
      <c r="B4">
        <v>417900</v>
      </c>
      <c r="C4" t="s">
        <v>3755</v>
      </c>
      <c r="D4" s="42">
        <v>4948</v>
      </c>
    </row>
    <row r="5" spans="1:4" x14ac:dyDescent="0.25">
      <c r="A5" t="s">
        <v>256</v>
      </c>
      <c r="B5">
        <v>421688</v>
      </c>
      <c r="C5" t="s">
        <v>3711</v>
      </c>
      <c r="D5" s="42">
        <v>2348</v>
      </c>
    </row>
    <row r="6" spans="1:4" x14ac:dyDescent="0.25">
      <c r="A6" t="s">
        <v>256</v>
      </c>
      <c r="B6">
        <v>421688</v>
      </c>
      <c r="C6" t="s">
        <v>3712</v>
      </c>
      <c r="D6" s="42">
        <v>1342</v>
      </c>
    </row>
    <row r="7" spans="1:4" x14ac:dyDescent="0.25">
      <c r="A7" t="s">
        <v>256</v>
      </c>
      <c r="B7">
        <v>421517</v>
      </c>
      <c r="C7" t="s">
        <v>3773</v>
      </c>
      <c r="D7" s="42">
        <v>1650</v>
      </c>
    </row>
    <row r="8" spans="1:4" x14ac:dyDescent="0.25">
      <c r="A8" t="s">
        <v>282</v>
      </c>
      <c r="B8">
        <v>422969</v>
      </c>
      <c r="C8" t="s">
        <v>3774</v>
      </c>
      <c r="D8" s="42">
        <v>3995</v>
      </c>
    </row>
    <row r="9" spans="1:4" x14ac:dyDescent="0.25">
      <c r="A9" t="s">
        <v>500</v>
      </c>
      <c r="B9">
        <v>419731</v>
      </c>
      <c r="C9" t="s">
        <v>3696</v>
      </c>
      <c r="D9" s="42">
        <v>12721</v>
      </c>
    </row>
    <row r="10" spans="1:4" x14ac:dyDescent="0.25">
      <c r="A10" t="s">
        <v>3715</v>
      </c>
      <c r="B10">
        <v>423437</v>
      </c>
      <c r="C10" t="s">
        <v>3775</v>
      </c>
      <c r="D10" s="42">
        <v>498</v>
      </c>
    </row>
    <row r="11" spans="1:4" x14ac:dyDescent="0.25">
      <c r="A11" t="s">
        <v>24</v>
      </c>
      <c r="B11">
        <v>422861</v>
      </c>
      <c r="C11" t="s">
        <v>3776</v>
      </c>
      <c r="D11" s="42">
        <v>9880</v>
      </c>
    </row>
    <row r="12" spans="1:4" x14ac:dyDescent="0.25">
      <c r="A12" t="s">
        <v>24</v>
      </c>
      <c r="B12">
        <v>421168</v>
      </c>
      <c r="C12" t="s">
        <v>3697</v>
      </c>
      <c r="D12" s="42">
        <v>2912</v>
      </c>
    </row>
    <row r="13" spans="1:4" x14ac:dyDescent="0.25">
      <c r="A13" t="s">
        <v>111</v>
      </c>
      <c r="B13">
        <v>423270</v>
      </c>
      <c r="C13" t="s">
        <v>3777</v>
      </c>
      <c r="D13" s="42">
        <v>2072</v>
      </c>
    </row>
    <row r="14" spans="1:4" x14ac:dyDescent="0.25">
      <c r="A14" t="s">
        <v>111</v>
      </c>
      <c r="B14">
        <v>422232</v>
      </c>
      <c r="C14" t="s">
        <v>3727</v>
      </c>
      <c r="D14" s="42">
        <v>142353</v>
      </c>
    </row>
    <row r="15" spans="1:4" x14ac:dyDescent="0.25">
      <c r="A15" t="s">
        <v>111</v>
      </c>
      <c r="B15">
        <v>423152</v>
      </c>
      <c r="C15" t="s">
        <v>3778</v>
      </c>
      <c r="D15" s="42">
        <v>570</v>
      </c>
    </row>
    <row r="16" spans="1:4" x14ac:dyDescent="0.25">
      <c r="A16" t="s">
        <v>111</v>
      </c>
      <c r="B16">
        <v>423530</v>
      </c>
      <c r="C16" t="s">
        <v>3779</v>
      </c>
      <c r="D16" s="42">
        <v>380</v>
      </c>
    </row>
    <row r="17" spans="1:4" x14ac:dyDescent="0.25">
      <c r="A17" t="s">
        <v>111</v>
      </c>
      <c r="B17">
        <v>423526</v>
      </c>
      <c r="C17" t="s">
        <v>3780</v>
      </c>
      <c r="D17" s="42">
        <v>190</v>
      </c>
    </row>
    <row r="18" spans="1:4" x14ac:dyDescent="0.25">
      <c r="A18" t="s">
        <v>111</v>
      </c>
      <c r="B18">
        <v>423388</v>
      </c>
      <c r="C18" t="s">
        <v>3781</v>
      </c>
      <c r="D18" s="42">
        <v>37870</v>
      </c>
    </row>
    <row r="19" spans="1:4" x14ac:dyDescent="0.25">
      <c r="A19" t="s">
        <v>2831</v>
      </c>
      <c r="B19">
        <v>422206</v>
      </c>
      <c r="C19" t="s">
        <v>3751</v>
      </c>
      <c r="D19" s="42">
        <v>714</v>
      </c>
    </row>
    <row r="20" spans="1:4" x14ac:dyDescent="0.25">
      <c r="A20" t="s">
        <v>2831</v>
      </c>
      <c r="B20">
        <v>423494</v>
      </c>
      <c r="C20" t="s">
        <v>3800</v>
      </c>
      <c r="D20" s="42">
        <v>5684</v>
      </c>
    </row>
    <row r="21" spans="1:4" x14ac:dyDescent="0.25">
      <c r="A21" t="s">
        <v>2831</v>
      </c>
      <c r="B21">
        <v>422113</v>
      </c>
      <c r="C21" t="s">
        <v>3752</v>
      </c>
      <c r="D21" s="42">
        <v>1742</v>
      </c>
    </row>
    <row r="22" spans="1:4" x14ac:dyDescent="0.25">
      <c r="A22" t="s">
        <v>2831</v>
      </c>
      <c r="B22">
        <v>422112</v>
      </c>
      <c r="C22" t="s">
        <v>3753</v>
      </c>
      <c r="D22" s="42">
        <v>9578</v>
      </c>
    </row>
    <row r="23" spans="1:4" x14ac:dyDescent="0.25">
      <c r="A23" t="s">
        <v>1419</v>
      </c>
      <c r="B23">
        <v>423477</v>
      </c>
      <c r="C23" t="s">
        <v>3782</v>
      </c>
      <c r="D23" s="42">
        <v>1056</v>
      </c>
    </row>
    <row r="24" spans="1:4" x14ac:dyDescent="0.25">
      <c r="A24" t="s">
        <v>1419</v>
      </c>
      <c r="B24">
        <v>423423</v>
      </c>
      <c r="C24" t="s">
        <v>3783</v>
      </c>
      <c r="D24" s="42">
        <v>660</v>
      </c>
    </row>
    <row r="25" spans="1:4" x14ac:dyDescent="0.25">
      <c r="A25" t="s">
        <v>1419</v>
      </c>
      <c r="B25">
        <v>423486</v>
      </c>
      <c r="C25" t="s">
        <v>3784</v>
      </c>
      <c r="D25" s="42">
        <v>5236</v>
      </c>
    </row>
    <row r="26" spans="1:4" x14ac:dyDescent="0.25">
      <c r="A26" t="s">
        <v>1419</v>
      </c>
      <c r="B26">
        <v>423320</v>
      </c>
      <c r="C26" t="s">
        <v>3785</v>
      </c>
      <c r="D26" s="42">
        <v>1381</v>
      </c>
    </row>
    <row r="27" spans="1:4" x14ac:dyDescent="0.25">
      <c r="A27" t="s">
        <v>1419</v>
      </c>
      <c r="B27">
        <v>423393</v>
      </c>
      <c r="C27" t="s">
        <v>3786</v>
      </c>
      <c r="D27" s="42">
        <v>693</v>
      </c>
    </row>
    <row r="28" spans="1:4" x14ac:dyDescent="0.25">
      <c r="A28" t="s">
        <v>1419</v>
      </c>
      <c r="B28">
        <v>423400</v>
      </c>
      <c r="C28" t="s">
        <v>3787</v>
      </c>
      <c r="D28" s="42">
        <v>1287</v>
      </c>
    </row>
    <row r="29" spans="1:4" x14ac:dyDescent="0.25">
      <c r="A29" t="s">
        <v>1419</v>
      </c>
      <c r="B29">
        <v>423464</v>
      </c>
      <c r="C29" t="s">
        <v>3788</v>
      </c>
      <c r="D29" s="42">
        <v>3476</v>
      </c>
    </row>
    <row r="30" spans="1:4" x14ac:dyDescent="0.25">
      <c r="A30" t="s">
        <v>1419</v>
      </c>
      <c r="B30">
        <v>423488</v>
      </c>
      <c r="C30" t="s">
        <v>3789</v>
      </c>
      <c r="D30" s="42">
        <v>2228</v>
      </c>
    </row>
    <row r="31" spans="1:4" x14ac:dyDescent="0.25">
      <c r="A31" t="s">
        <v>1419</v>
      </c>
      <c r="B31">
        <v>423490</v>
      </c>
      <c r="C31" t="s">
        <v>3790</v>
      </c>
      <c r="D31" s="42">
        <v>19030</v>
      </c>
    </row>
    <row r="32" spans="1:4" x14ac:dyDescent="0.25">
      <c r="A32" t="s">
        <v>1419</v>
      </c>
      <c r="B32">
        <v>422806</v>
      </c>
      <c r="C32" t="s">
        <v>3768</v>
      </c>
      <c r="D32" s="42">
        <v>204311</v>
      </c>
    </row>
    <row r="33" spans="1:4" x14ac:dyDescent="0.25">
      <c r="A33" t="s">
        <v>1419</v>
      </c>
      <c r="B33">
        <v>422806</v>
      </c>
      <c r="C33" t="s">
        <v>3769</v>
      </c>
      <c r="D33" s="42">
        <v>186763</v>
      </c>
    </row>
    <row r="34" spans="1:4" x14ac:dyDescent="0.25">
      <c r="A34" t="s">
        <v>1419</v>
      </c>
      <c r="B34">
        <v>422806</v>
      </c>
      <c r="C34" t="s">
        <v>3770</v>
      </c>
      <c r="D34" s="42">
        <v>467882</v>
      </c>
    </row>
    <row r="35" spans="1:4" x14ac:dyDescent="0.25">
      <c r="A35" t="s">
        <v>180</v>
      </c>
      <c r="B35">
        <v>416843</v>
      </c>
      <c r="C35" t="s">
        <v>3498</v>
      </c>
      <c r="D35" s="42">
        <v>860</v>
      </c>
    </row>
    <row r="36" spans="1:4" x14ac:dyDescent="0.25">
      <c r="A36" t="s">
        <v>1047</v>
      </c>
      <c r="B36">
        <v>420067</v>
      </c>
      <c r="C36" t="s">
        <v>3649</v>
      </c>
      <c r="D36" s="42">
        <v>75800</v>
      </c>
    </row>
    <row r="37" spans="1:4" x14ac:dyDescent="0.25">
      <c r="A37" t="s">
        <v>1047</v>
      </c>
      <c r="B37">
        <v>420067</v>
      </c>
      <c r="C37" t="s">
        <v>3650</v>
      </c>
      <c r="D37" s="42">
        <v>63400</v>
      </c>
    </row>
    <row r="38" spans="1:4" x14ac:dyDescent="0.25">
      <c r="A38" t="s">
        <v>1591</v>
      </c>
      <c r="B38">
        <v>421942</v>
      </c>
      <c r="C38" t="s">
        <v>3735</v>
      </c>
      <c r="D38" s="42">
        <v>500</v>
      </c>
    </row>
    <row r="39" spans="1:4" x14ac:dyDescent="0.25">
      <c r="A39" t="s">
        <v>1591</v>
      </c>
      <c r="B39">
        <v>421942</v>
      </c>
      <c r="C39" t="s">
        <v>3736</v>
      </c>
      <c r="D39" s="42">
        <v>9940</v>
      </c>
    </row>
    <row r="40" spans="1:4" x14ac:dyDescent="0.25">
      <c r="A40" t="s">
        <v>1591</v>
      </c>
      <c r="B40">
        <v>421943</v>
      </c>
      <c r="C40" t="s">
        <v>3737</v>
      </c>
      <c r="D40" s="42">
        <v>975</v>
      </c>
    </row>
    <row r="41" spans="1:4" x14ac:dyDescent="0.25">
      <c r="A41" t="s">
        <v>315</v>
      </c>
      <c r="B41">
        <v>419547</v>
      </c>
      <c r="C41" t="s">
        <v>3791</v>
      </c>
      <c r="D41" s="42">
        <v>9885</v>
      </c>
    </row>
    <row r="42" spans="1:4" x14ac:dyDescent="0.25">
      <c r="A42" t="s">
        <v>315</v>
      </c>
      <c r="B42">
        <v>420136</v>
      </c>
      <c r="C42" t="s">
        <v>3792</v>
      </c>
      <c r="D42" s="42">
        <v>1375</v>
      </c>
    </row>
    <row r="43" spans="1:4" x14ac:dyDescent="0.25">
      <c r="A43" t="s">
        <v>832</v>
      </c>
      <c r="B43">
        <v>422126</v>
      </c>
      <c r="C43" t="s">
        <v>3742</v>
      </c>
      <c r="D43" s="42">
        <v>15055</v>
      </c>
    </row>
    <row r="44" spans="1:4" x14ac:dyDescent="0.25">
      <c r="A44" t="s">
        <v>832</v>
      </c>
      <c r="B44">
        <v>421680</v>
      </c>
      <c r="C44" t="s">
        <v>3721</v>
      </c>
      <c r="D44" s="42">
        <v>8525</v>
      </c>
    </row>
    <row r="45" spans="1:4" x14ac:dyDescent="0.25">
      <c r="A45" t="s">
        <v>832</v>
      </c>
      <c r="B45">
        <v>421292</v>
      </c>
      <c r="C45" t="s">
        <v>3743</v>
      </c>
      <c r="D45" s="42">
        <v>375</v>
      </c>
    </row>
    <row r="46" spans="1:4" x14ac:dyDescent="0.25">
      <c r="A46" t="s">
        <v>832</v>
      </c>
      <c r="B46">
        <v>422510</v>
      </c>
      <c r="C46" t="s">
        <v>3793</v>
      </c>
      <c r="D46" s="42">
        <v>1800</v>
      </c>
    </row>
    <row r="47" spans="1:4" x14ac:dyDescent="0.25">
      <c r="A47" t="s">
        <v>832</v>
      </c>
      <c r="B47">
        <v>422052</v>
      </c>
      <c r="C47" t="s">
        <v>3744</v>
      </c>
      <c r="D47" s="42">
        <v>11690</v>
      </c>
    </row>
    <row r="48" spans="1:4" x14ac:dyDescent="0.25">
      <c r="A48" t="s">
        <v>832</v>
      </c>
      <c r="B48">
        <v>423431</v>
      </c>
      <c r="C48" t="s">
        <v>3794</v>
      </c>
      <c r="D48" s="42">
        <v>435</v>
      </c>
    </row>
    <row r="49" spans="1:4" x14ac:dyDescent="0.25">
      <c r="A49" t="s">
        <v>1891</v>
      </c>
      <c r="B49">
        <v>422166</v>
      </c>
      <c r="C49" t="s">
        <v>3801</v>
      </c>
      <c r="D49" s="42">
        <v>12955</v>
      </c>
    </row>
    <row r="50" spans="1:4" x14ac:dyDescent="0.25">
      <c r="A50" t="s">
        <v>995</v>
      </c>
      <c r="B50">
        <v>415164</v>
      </c>
      <c r="C50" t="s">
        <v>3795</v>
      </c>
      <c r="D50" s="42">
        <v>9665</v>
      </c>
    </row>
    <row r="51" spans="1:4" x14ac:dyDescent="0.25">
      <c r="A51" t="s">
        <v>995</v>
      </c>
      <c r="B51">
        <v>415164</v>
      </c>
      <c r="C51" t="s">
        <v>3796</v>
      </c>
      <c r="D51" s="42">
        <v>13370</v>
      </c>
    </row>
    <row r="52" spans="1:4" x14ac:dyDescent="0.25">
      <c r="A52" t="s">
        <v>995</v>
      </c>
      <c r="B52">
        <v>420013</v>
      </c>
      <c r="C52" t="s">
        <v>3746</v>
      </c>
      <c r="D52" s="42">
        <v>1500</v>
      </c>
    </row>
    <row r="53" spans="1:4" x14ac:dyDescent="0.25">
      <c r="A53" t="s">
        <v>995</v>
      </c>
      <c r="B53">
        <v>422150</v>
      </c>
      <c r="C53" t="s">
        <v>3802</v>
      </c>
      <c r="D53" s="42">
        <v>6669</v>
      </c>
    </row>
    <row r="54" spans="1:4" x14ac:dyDescent="0.25">
      <c r="A54" t="s">
        <v>50</v>
      </c>
      <c r="B54">
        <v>421217</v>
      </c>
      <c r="C54" t="s">
        <v>3797</v>
      </c>
      <c r="D54" s="42">
        <v>2385</v>
      </c>
    </row>
    <row r="55" spans="1:4" x14ac:dyDescent="0.25">
      <c r="A55" t="s">
        <v>1920</v>
      </c>
      <c r="B55">
        <v>422834</v>
      </c>
      <c r="C55" t="s">
        <v>3798</v>
      </c>
      <c r="D55" s="42">
        <v>1248</v>
      </c>
    </row>
    <row r="56" spans="1:4" x14ac:dyDescent="0.25">
      <c r="A56" t="s">
        <v>3177</v>
      </c>
      <c r="B56">
        <v>421424</v>
      </c>
      <c r="C56" t="s">
        <v>3799</v>
      </c>
      <c r="D56" s="42">
        <v>2995</v>
      </c>
    </row>
    <row r="57" spans="1:4" hidden="1" x14ac:dyDescent="0.25">
      <c r="A57" s="4"/>
      <c r="B57" s="4"/>
      <c r="C57" s="4"/>
      <c r="D57" s="9"/>
    </row>
    <row r="58" spans="1:4" hidden="1" x14ac:dyDescent="0.25">
      <c r="A58" s="4"/>
      <c r="B58" s="4"/>
      <c r="C58" s="4"/>
      <c r="D58" s="9"/>
    </row>
    <row r="59" spans="1:4" hidden="1" x14ac:dyDescent="0.25">
      <c r="A59" s="4"/>
      <c r="B59" s="4"/>
      <c r="C59" s="4"/>
      <c r="D59" s="9"/>
    </row>
    <row r="60" spans="1:4" hidden="1" x14ac:dyDescent="0.25">
      <c r="A60" s="4"/>
      <c r="B60" s="4"/>
      <c r="C60" s="4"/>
      <c r="D60" s="9"/>
    </row>
    <row r="61" spans="1:4" hidden="1" x14ac:dyDescent="0.25">
      <c r="A61" s="4"/>
      <c r="B61" s="4"/>
      <c r="C61" s="4"/>
      <c r="D61" s="9"/>
    </row>
    <row r="62" spans="1:4" hidden="1" x14ac:dyDescent="0.25">
      <c r="A62" s="4"/>
      <c r="B62" s="4"/>
      <c r="C62" s="4"/>
      <c r="D62" s="9"/>
    </row>
    <row r="63" spans="1:4" hidden="1" x14ac:dyDescent="0.25">
      <c r="A63" s="4"/>
      <c r="B63" s="4"/>
      <c r="C63" s="4"/>
      <c r="D63" s="9"/>
    </row>
    <row r="64" spans="1:4" hidden="1" x14ac:dyDescent="0.25">
      <c r="A64" s="4"/>
      <c r="B64" s="4"/>
      <c r="C64" s="4"/>
      <c r="D64" s="9"/>
    </row>
    <row r="65" spans="1:4" hidden="1" x14ac:dyDescent="0.25">
      <c r="A65" s="4"/>
      <c r="B65" s="4"/>
      <c r="C65" s="4"/>
      <c r="D65" s="9"/>
    </row>
    <row r="66" spans="1:4" hidden="1" x14ac:dyDescent="0.25">
      <c r="A66" s="4"/>
      <c r="B66" s="4"/>
      <c r="C66" s="4"/>
      <c r="D66" s="9"/>
    </row>
    <row r="67" spans="1:4" hidden="1" x14ac:dyDescent="0.25">
      <c r="A67" s="4"/>
      <c r="B67" s="4"/>
      <c r="C67" s="4"/>
      <c r="D67" s="9"/>
    </row>
    <row r="68" spans="1:4" hidden="1" x14ac:dyDescent="0.25">
      <c r="A68" s="4"/>
      <c r="B68" s="4"/>
      <c r="C68" s="4"/>
      <c r="D68" s="9"/>
    </row>
    <row r="69" spans="1:4" hidden="1" x14ac:dyDescent="0.25">
      <c r="A69" s="4"/>
      <c r="B69" s="4"/>
      <c r="C69" s="4"/>
      <c r="D69" s="9"/>
    </row>
    <row r="70" spans="1:4" hidden="1" x14ac:dyDescent="0.25">
      <c r="A70" s="4"/>
      <c r="B70" s="4"/>
      <c r="C70" s="4"/>
      <c r="D70" s="9"/>
    </row>
    <row r="71" spans="1:4" hidden="1" x14ac:dyDescent="0.25">
      <c r="A71" s="4"/>
      <c r="B71" s="4"/>
      <c r="C71" s="4"/>
      <c r="D71" s="9"/>
    </row>
    <row r="72" spans="1:4" hidden="1" x14ac:dyDescent="0.25">
      <c r="A72" s="4"/>
      <c r="B72" s="4"/>
      <c r="C72" s="4"/>
      <c r="D72" s="9"/>
    </row>
    <row r="73" spans="1:4" hidden="1" x14ac:dyDescent="0.25">
      <c r="A73" s="4"/>
      <c r="B73" s="4"/>
      <c r="C73" s="4"/>
      <c r="D73" s="9"/>
    </row>
    <row r="74" spans="1:4" hidden="1" x14ac:dyDescent="0.25">
      <c r="A74" s="4"/>
      <c r="B74" s="4"/>
      <c r="C74" s="4"/>
      <c r="D74" s="9"/>
    </row>
    <row r="75" spans="1:4" hidden="1" x14ac:dyDescent="0.25">
      <c r="A75" s="4"/>
      <c r="B75" s="4"/>
      <c r="C75" s="4"/>
      <c r="D75" s="9"/>
    </row>
    <row r="76" spans="1:4" hidden="1" x14ac:dyDescent="0.25">
      <c r="A76" s="4"/>
      <c r="B76" s="4"/>
      <c r="C76" s="4"/>
      <c r="D76" s="9"/>
    </row>
    <row r="77" spans="1:4" hidden="1" x14ac:dyDescent="0.25">
      <c r="A77" s="4"/>
      <c r="B77" s="4"/>
      <c r="C77" s="4"/>
      <c r="D77" s="9"/>
    </row>
    <row r="78" spans="1:4" hidden="1" x14ac:dyDescent="0.25">
      <c r="A78" s="4"/>
      <c r="B78" s="4"/>
      <c r="C78" s="4"/>
      <c r="D78" s="9"/>
    </row>
    <row r="79" spans="1:4" hidden="1" x14ac:dyDescent="0.25">
      <c r="A79" s="4"/>
      <c r="B79" s="4"/>
      <c r="C79" s="4"/>
      <c r="D79" s="9"/>
    </row>
    <row r="80" spans="1:4" hidden="1" x14ac:dyDescent="0.25">
      <c r="A80" s="4"/>
      <c r="B80" s="4"/>
      <c r="C80" s="4"/>
      <c r="D80" s="9"/>
    </row>
    <row r="81" spans="1:4" hidden="1" x14ac:dyDescent="0.25">
      <c r="A81" s="4"/>
      <c r="B81" s="4"/>
      <c r="C81" s="4"/>
      <c r="D81" s="9"/>
    </row>
    <row r="82" spans="1:4" hidden="1" x14ac:dyDescent="0.25">
      <c r="A82" s="4"/>
      <c r="B82" s="4"/>
      <c r="C82" s="4"/>
      <c r="D82" s="9"/>
    </row>
    <row r="83" spans="1:4" hidden="1" x14ac:dyDescent="0.25">
      <c r="A83" s="4"/>
      <c r="B83" s="4"/>
      <c r="C83" s="4"/>
      <c r="D83" s="9"/>
    </row>
    <row r="84" spans="1:4" hidden="1" x14ac:dyDescent="0.25">
      <c r="A84" s="4"/>
      <c r="B84" s="4"/>
      <c r="C84" s="4"/>
      <c r="D84" s="9"/>
    </row>
    <row r="85" spans="1:4" hidden="1" x14ac:dyDescent="0.25">
      <c r="A85" s="4"/>
      <c r="B85" s="4"/>
      <c r="C85" s="4"/>
      <c r="D85" s="9"/>
    </row>
    <row r="86" spans="1:4" hidden="1" x14ac:dyDescent="0.25">
      <c r="A86" s="4"/>
      <c r="B86" s="4"/>
      <c r="C86" s="4"/>
      <c r="D86" s="9"/>
    </row>
    <row r="87" spans="1:4" hidden="1" x14ac:dyDescent="0.25">
      <c r="A87" s="4"/>
      <c r="B87" s="4"/>
      <c r="C87" s="4"/>
      <c r="D87" s="9"/>
    </row>
    <row r="88" spans="1:4" hidden="1" x14ac:dyDescent="0.25">
      <c r="A88" s="4"/>
      <c r="B88" s="4"/>
      <c r="C88" s="4"/>
      <c r="D88" s="9"/>
    </row>
    <row r="89" spans="1:4" x14ac:dyDescent="0.25">
      <c r="C89" s="31" t="s">
        <v>2502</v>
      </c>
      <c r="D89" s="32">
        <f>SUM(D2:D8,D23:D56)</f>
        <v>1162803</v>
      </c>
    </row>
    <row r="90" spans="1:4" x14ac:dyDescent="0.25">
      <c r="C90" s="31" t="s">
        <v>2501</v>
      </c>
      <c r="D90" s="32">
        <f>SUM(D9:D22)</f>
        <v>227164</v>
      </c>
    </row>
    <row r="91" spans="1:4" x14ac:dyDescent="0.25">
      <c r="C91" s="31" t="s">
        <v>83</v>
      </c>
      <c r="D91" s="32">
        <f>SUM(D89:D90)</f>
        <v>1389967</v>
      </c>
    </row>
    <row r="92" spans="1:4" x14ac:dyDescent="0.25">
      <c r="A92" s="1"/>
    </row>
  </sheetData>
  <printOptions horizontalCentered="1"/>
  <pageMargins left="0.7" right="0.7" top="1" bottom="0.75" header="0.3" footer="0.3"/>
  <pageSetup paperSize="5" scale="68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0E7E-2FEA-49BB-ADC6-8F2910A0622C}">
  <dimension ref="A1:D100"/>
  <sheetViews>
    <sheetView view="pageBreakPreview" zoomScaleNormal="100" zoomScaleSheetLayoutView="100" workbookViewId="0">
      <selection activeCell="C27" sqref="C27"/>
    </sheetView>
  </sheetViews>
  <sheetFormatPr defaultRowHeight="15" x14ac:dyDescent="0.25"/>
  <cols>
    <col min="1" max="1" width="44" bestFit="1" customWidth="1"/>
    <col min="2" max="2" width="11" bestFit="1" customWidth="1"/>
    <col min="3" max="3" width="80.7109375" bestFit="1" customWidth="1"/>
    <col min="4" max="4" width="14.28515625" bestFit="1" customWidth="1"/>
  </cols>
  <sheetData>
    <row r="1" spans="1:4" s="45" customFormat="1" x14ac:dyDescent="0.25">
      <c r="A1" s="6" t="s">
        <v>0</v>
      </c>
      <c r="B1" s="6" t="s">
        <v>1</v>
      </c>
      <c r="C1" s="6" t="s">
        <v>2</v>
      </c>
      <c r="D1" s="6" t="s">
        <v>4</v>
      </c>
    </row>
    <row r="2" spans="1:4" x14ac:dyDescent="0.25">
      <c r="A2" s="16" t="s">
        <v>5</v>
      </c>
      <c r="B2" s="4">
        <v>417900</v>
      </c>
      <c r="C2" s="4" t="s">
        <v>3754</v>
      </c>
      <c r="D2" s="44">
        <v>2765</v>
      </c>
    </row>
    <row r="3" spans="1:4" x14ac:dyDescent="0.25">
      <c r="A3" s="16" t="s">
        <v>5</v>
      </c>
      <c r="B3" s="4">
        <v>420603</v>
      </c>
      <c r="C3" s="4" t="s">
        <v>3693</v>
      </c>
      <c r="D3" s="44">
        <v>350</v>
      </c>
    </row>
    <row r="4" spans="1:4" x14ac:dyDescent="0.25">
      <c r="A4" s="16" t="s">
        <v>5</v>
      </c>
      <c r="B4" s="4">
        <v>417900</v>
      </c>
      <c r="C4" s="4" t="s">
        <v>3755</v>
      </c>
      <c r="D4" s="44">
        <v>4948</v>
      </c>
    </row>
    <row r="5" spans="1:4" x14ac:dyDescent="0.25">
      <c r="A5" s="16" t="s">
        <v>256</v>
      </c>
      <c r="B5" s="4">
        <v>421688</v>
      </c>
      <c r="C5" s="4" t="s">
        <v>3711</v>
      </c>
      <c r="D5" s="44">
        <v>2348</v>
      </c>
    </row>
    <row r="6" spans="1:4" x14ac:dyDescent="0.25">
      <c r="A6" s="16" t="s">
        <v>256</v>
      </c>
      <c r="B6" s="4">
        <v>421688</v>
      </c>
      <c r="C6" s="4" t="s">
        <v>3712</v>
      </c>
      <c r="D6" s="44">
        <v>1342</v>
      </c>
    </row>
    <row r="7" spans="1:4" x14ac:dyDescent="0.25">
      <c r="A7" s="16" t="s">
        <v>500</v>
      </c>
      <c r="B7" s="4">
        <v>419731</v>
      </c>
      <c r="C7" s="4" t="s">
        <v>3696</v>
      </c>
      <c r="D7" s="44">
        <v>12721</v>
      </c>
    </row>
    <row r="8" spans="1:4" x14ac:dyDescent="0.25">
      <c r="A8" s="4" t="s">
        <v>500</v>
      </c>
      <c r="B8" s="4">
        <v>423704</v>
      </c>
      <c r="C8" s="4" t="s">
        <v>3803</v>
      </c>
      <c r="D8" s="44">
        <v>6116</v>
      </c>
    </row>
    <row r="9" spans="1:4" x14ac:dyDescent="0.25">
      <c r="A9" s="16" t="s">
        <v>500</v>
      </c>
      <c r="B9" s="4">
        <v>423671</v>
      </c>
      <c r="C9" s="4" t="s">
        <v>3804</v>
      </c>
      <c r="D9" s="44">
        <v>5512</v>
      </c>
    </row>
    <row r="10" spans="1:4" x14ac:dyDescent="0.25">
      <c r="A10" s="16" t="s">
        <v>500</v>
      </c>
      <c r="B10" s="4">
        <v>423656</v>
      </c>
      <c r="C10" s="4" t="s">
        <v>3805</v>
      </c>
      <c r="D10" s="44">
        <v>4731</v>
      </c>
    </row>
    <row r="11" spans="1:4" x14ac:dyDescent="0.25">
      <c r="A11" s="16" t="s">
        <v>3715</v>
      </c>
      <c r="B11" s="4">
        <v>423511</v>
      </c>
      <c r="C11" s="4" t="s">
        <v>3806</v>
      </c>
      <c r="D11" s="44">
        <v>499</v>
      </c>
    </row>
    <row r="12" spans="1:4" x14ac:dyDescent="0.25">
      <c r="A12" s="16" t="s">
        <v>3715</v>
      </c>
      <c r="B12" s="4">
        <v>423583</v>
      </c>
      <c r="C12" s="4" t="s">
        <v>3807</v>
      </c>
      <c r="D12" s="44">
        <v>379</v>
      </c>
    </row>
    <row r="13" spans="1:4" x14ac:dyDescent="0.25">
      <c r="A13" s="4" t="s">
        <v>3715</v>
      </c>
      <c r="B13" s="4">
        <v>423437</v>
      </c>
      <c r="C13" s="4" t="s">
        <v>3775</v>
      </c>
      <c r="D13" s="44">
        <v>498</v>
      </c>
    </row>
    <row r="14" spans="1:4" x14ac:dyDescent="0.25">
      <c r="A14" s="4" t="s">
        <v>61</v>
      </c>
      <c r="B14" s="4">
        <v>410016</v>
      </c>
      <c r="C14" s="4" t="s">
        <v>3232</v>
      </c>
      <c r="D14" s="44">
        <v>8188</v>
      </c>
    </row>
    <row r="15" spans="1:4" x14ac:dyDescent="0.25">
      <c r="A15" s="4" t="s">
        <v>24</v>
      </c>
      <c r="B15" s="4">
        <v>422861</v>
      </c>
      <c r="C15" s="4" t="s">
        <v>3776</v>
      </c>
      <c r="D15" s="44">
        <v>9880</v>
      </c>
    </row>
    <row r="16" spans="1:4" x14ac:dyDescent="0.25">
      <c r="A16" s="4" t="s">
        <v>24</v>
      </c>
      <c r="B16" s="4">
        <v>421168</v>
      </c>
      <c r="C16" s="4" t="s">
        <v>3697</v>
      </c>
      <c r="D16" s="44">
        <v>2912</v>
      </c>
    </row>
    <row r="17" spans="1:4" x14ac:dyDescent="0.25">
      <c r="A17" s="16" t="s">
        <v>111</v>
      </c>
      <c r="B17" s="4">
        <v>423270</v>
      </c>
      <c r="C17" s="4" t="s">
        <v>3777</v>
      </c>
      <c r="D17" s="44">
        <v>2072</v>
      </c>
    </row>
    <row r="18" spans="1:4" x14ac:dyDescent="0.25">
      <c r="A18" s="4" t="s">
        <v>111</v>
      </c>
      <c r="B18" s="4">
        <v>423892</v>
      </c>
      <c r="C18" s="4" t="s">
        <v>3808</v>
      </c>
      <c r="D18" s="44">
        <v>691</v>
      </c>
    </row>
    <row r="19" spans="1:4" x14ac:dyDescent="0.25">
      <c r="A19" s="16" t="s">
        <v>111</v>
      </c>
      <c r="B19" s="4">
        <v>422232</v>
      </c>
      <c r="C19" s="4" t="s">
        <v>3727</v>
      </c>
      <c r="D19" s="44">
        <v>142353</v>
      </c>
    </row>
    <row r="20" spans="1:4" x14ac:dyDescent="0.25">
      <c r="A20" s="16" t="s">
        <v>111</v>
      </c>
      <c r="B20" s="4">
        <v>423263</v>
      </c>
      <c r="C20" s="4" t="s">
        <v>3809</v>
      </c>
      <c r="D20" s="44">
        <v>14248</v>
      </c>
    </row>
    <row r="21" spans="1:4" x14ac:dyDescent="0.25">
      <c r="A21" s="16" t="s">
        <v>111</v>
      </c>
      <c r="B21" s="4">
        <v>423221</v>
      </c>
      <c r="C21" s="4" t="s">
        <v>3810</v>
      </c>
      <c r="D21" s="44">
        <v>1433</v>
      </c>
    </row>
    <row r="22" spans="1:4" x14ac:dyDescent="0.25">
      <c r="A22" s="16" t="s">
        <v>111</v>
      </c>
      <c r="B22" s="4">
        <v>424094</v>
      </c>
      <c r="C22" s="4" t="s">
        <v>3811</v>
      </c>
      <c r="D22" s="44">
        <v>363</v>
      </c>
    </row>
    <row r="23" spans="1:4" x14ac:dyDescent="0.25">
      <c r="A23" s="4" t="s">
        <v>111</v>
      </c>
      <c r="B23" s="4">
        <v>423388</v>
      </c>
      <c r="C23" s="4" t="s">
        <v>3781</v>
      </c>
      <c r="D23" s="44">
        <v>37870</v>
      </c>
    </row>
    <row r="24" spans="1:4" x14ac:dyDescent="0.25">
      <c r="A24" s="4" t="s">
        <v>2831</v>
      </c>
      <c r="B24" s="4">
        <v>422206</v>
      </c>
      <c r="C24" s="4" t="s">
        <v>3751</v>
      </c>
      <c r="D24" s="44">
        <v>714</v>
      </c>
    </row>
    <row r="25" spans="1:4" x14ac:dyDescent="0.25">
      <c r="A25" s="4" t="s">
        <v>2831</v>
      </c>
      <c r="B25" s="4">
        <v>423494</v>
      </c>
      <c r="C25" s="4" t="s">
        <v>3800</v>
      </c>
      <c r="D25" s="44">
        <v>5684</v>
      </c>
    </row>
    <row r="26" spans="1:4" x14ac:dyDescent="0.25">
      <c r="A26" s="4" t="s">
        <v>2831</v>
      </c>
      <c r="B26" s="4">
        <v>422113</v>
      </c>
      <c r="C26" s="4" t="s">
        <v>3752</v>
      </c>
      <c r="D26" s="44">
        <v>1742</v>
      </c>
    </row>
    <row r="27" spans="1:4" x14ac:dyDescent="0.25">
      <c r="A27" s="4" t="s">
        <v>2831</v>
      </c>
      <c r="B27" s="4">
        <v>422112</v>
      </c>
      <c r="C27" s="4" t="s">
        <v>3753</v>
      </c>
      <c r="D27" s="44">
        <v>9578</v>
      </c>
    </row>
    <row r="28" spans="1:4" x14ac:dyDescent="0.25">
      <c r="A28" s="16" t="s">
        <v>200</v>
      </c>
      <c r="B28" s="4">
        <v>423244</v>
      </c>
      <c r="C28" s="4" t="s">
        <v>3812</v>
      </c>
      <c r="D28" s="44">
        <v>2195</v>
      </c>
    </row>
    <row r="29" spans="1:4" x14ac:dyDescent="0.25">
      <c r="A29" s="16" t="s">
        <v>1419</v>
      </c>
      <c r="B29" s="4">
        <v>423613</v>
      </c>
      <c r="C29" s="4" t="s">
        <v>3813</v>
      </c>
      <c r="D29" s="44">
        <v>13035</v>
      </c>
    </row>
    <row r="30" spans="1:4" x14ac:dyDescent="0.25">
      <c r="A30" s="4" t="s">
        <v>1419</v>
      </c>
      <c r="B30" s="4">
        <v>423477</v>
      </c>
      <c r="C30" s="4" t="s">
        <v>3782</v>
      </c>
      <c r="D30" s="44">
        <v>1056</v>
      </c>
    </row>
    <row r="31" spans="1:4" x14ac:dyDescent="0.25">
      <c r="A31" s="16" t="s">
        <v>1419</v>
      </c>
      <c r="B31" s="4">
        <v>423423</v>
      </c>
      <c r="C31" s="4" t="s">
        <v>3783</v>
      </c>
      <c r="D31" s="44">
        <v>660</v>
      </c>
    </row>
    <row r="32" spans="1:4" x14ac:dyDescent="0.25">
      <c r="A32" s="16" t="s">
        <v>1419</v>
      </c>
      <c r="B32" s="4">
        <v>423461</v>
      </c>
      <c r="C32" s="4" t="s">
        <v>3814</v>
      </c>
      <c r="D32" s="44">
        <v>1573</v>
      </c>
    </row>
    <row r="33" spans="1:4" x14ac:dyDescent="0.25">
      <c r="A33" s="16" t="s">
        <v>1419</v>
      </c>
      <c r="B33" s="4">
        <v>423680</v>
      </c>
      <c r="C33" s="4" t="s">
        <v>3815</v>
      </c>
      <c r="D33" s="44">
        <v>7106</v>
      </c>
    </row>
    <row r="34" spans="1:4" x14ac:dyDescent="0.25">
      <c r="A34" s="16" t="s">
        <v>1419</v>
      </c>
      <c r="B34" s="4">
        <v>423667</v>
      </c>
      <c r="C34" s="4" t="s">
        <v>3816</v>
      </c>
      <c r="D34" s="44">
        <v>4164</v>
      </c>
    </row>
    <row r="35" spans="1:4" x14ac:dyDescent="0.25">
      <c r="A35" s="16" t="s">
        <v>1419</v>
      </c>
      <c r="B35" s="4">
        <v>423826</v>
      </c>
      <c r="C35" s="4" t="s">
        <v>3817</v>
      </c>
      <c r="D35" s="44">
        <v>12249</v>
      </c>
    </row>
    <row r="36" spans="1:4" x14ac:dyDescent="0.25">
      <c r="A36" s="16" t="s">
        <v>1419</v>
      </c>
      <c r="B36" s="4">
        <v>423486</v>
      </c>
      <c r="C36" s="4" t="s">
        <v>3784</v>
      </c>
      <c r="D36" s="44">
        <v>5236</v>
      </c>
    </row>
    <row r="37" spans="1:4" x14ac:dyDescent="0.25">
      <c r="A37" s="16" t="s">
        <v>1419</v>
      </c>
      <c r="B37" s="4">
        <v>423320</v>
      </c>
      <c r="C37" s="4" t="s">
        <v>3785</v>
      </c>
      <c r="D37" s="44">
        <v>1381</v>
      </c>
    </row>
    <row r="38" spans="1:4" x14ac:dyDescent="0.25">
      <c r="A38" s="4" t="s">
        <v>1419</v>
      </c>
      <c r="B38" s="4">
        <v>423678</v>
      </c>
      <c r="C38" s="4" t="s">
        <v>3818</v>
      </c>
      <c r="D38" s="44">
        <v>2772</v>
      </c>
    </row>
    <row r="39" spans="1:4" x14ac:dyDescent="0.25">
      <c r="A39" s="16" t="s">
        <v>1419</v>
      </c>
      <c r="B39" s="4">
        <v>423676</v>
      </c>
      <c r="C39" s="4" t="s">
        <v>3819</v>
      </c>
      <c r="D39" s="44">
        <v>3300</v>
      </c>
    </row>
    <row r="40" spans="1:4" x14ac:dyDescent="0.25">
      <c r="A40" s="16" t="s">
        <v>1419</v>
      </c>
      <c r="B40" s="4">
        <v>423725</v>
      </c>
      <c r="C40" s="4" t="s">
        <v>3820</v>
      </c>
      <c r="D40" s="44">
        <v>7029</v>
      </c>
    </row>
    <row r="41" spans="1:4" x14ac:dyDescent="0.25">
      <c r="A41" s="4" t="s">
        <v>1419</v>
      </c>
      <c r="B41" s="4">
        <v>423393</v>
      </c>
      <c r="C41" s="4" t="s">
        <v>3786</v>
      </c>
      <c r="D41" s="44">
        <v>693</v>
      </c>
    </row>
    <row r="42" spans="1:4" x14ac:dyDescent="0.25">
      <c r="A42" s="16" t="s">
        <v>1419</v>
      </c>
      <c r="B42" s="4">
        <v>423400</v>
      </c>
      <c r="C42" s="4" t="s">
        <v>3787</v>
      </c>
      <c r="D42" s="44">
        <v>1287</v>
      </c>
    </row>
    <row r="43" spans="1:4" x14ac:dyDescent="0.25">
      <c r="A43" s="4" t="s">
        <v>1419</v>
      </c>
      <c r="B43" s="4">
        <v>423464</v>
      </c>
      <c r="C43" s="4" t="s">
        <v>3788</v>
      </c>
      <c r="D43" s="44">
        <v>3476</v>
      </c>
    </row>
    <row r="44" spans="1:4" x14ac:dyDescent="0.25">
      <c r="A44" s="16" t="s">
        <v>1419</v>
      </c>
      <c r="B44" s="4">
        <v>423488</v>
      </c>
      <c r="C44" s="4" t="s">
        <v>3789</v>
      </c>
      <c r="D44" s="44">
        <v>2228</v>
      </c>
    </row>
    <row r="45" spans="1:4" x14ac:dyDescent="0.25">
      <c r="A45" s="16" t="s">
        <v>1419</v>
      </c>
      <c r="B45" s="4">
        <v>423691</v>
      </c>
      <c r="C45" s="4" t="s">
        <v>3821</v>
      </c>
      <c r="D45" s="44">
        <v>1386</v>
      </c>
    </row>
    <row r="46" spans="1:4" x14ac:dyDescent="0.25">
      <c r="A46" s="16" t="s">
        <v>1419</v>
      </c>
      <c r="B46" s="4">
        <v>423614</v>
      </c>
      <c r="C46" s="4" t="s">
        <v>3822</v>
      </c>
      <c r="D46" s="44">
        <v>2488</v>
      </c>
    </row>
    <row r="47" spans="1:4" x14ac:dyDescent="0.25">
      <c r="A47" s="16" t="s">
        <v>1419</v>
      </c>
      <c r="B47" s="4">
        <v>423703</v>
      </c>
      <c r="C47" s="4" t="s">
        <v>3823</v>
      </c>
      <c r="D47" s="44">
        <v>2794</v>
      </c>
    </row>
    <row r="48" spans="1:4" x14ac:dyDescent="0.25">
      <c r="A48" s="4" t="s">
        <v>1419</v>
      </c>
      <c r="B48" s="4">
        <v>423683</v>
      </c>
      <c r="C48" s="4" t="s">
        <v>3824</v>
      </c>
      <c r="D48" s="44">
        <v>2496</v>
      </c>
    </row>
    <row r="49" spans="1:4" x14ac:dyDescent="0.25">
      <c r="A49" s="16" t="s">
        <v>1419</v>
      </c>
      <c r="B49" s="4">
        <v>423805</v>
      </c>
      <c r="C49" s="4" t="s">
        <v>3825</v>
      </c>
      <c r="D49" s="44">
        <v>3735</v>
      </c>
    </row>
    <row r="50" spans="1:4" x14ac:dyDescent="0.25">
      <c r="A50" s="16" t="s">
        <v>1419</v>
      </c>
      <c r="B50" s="4">
        <v>423609</v>
      </c>
      <c r="C50" s="4" t="s">
        <v>3826</v>
      </c>
      <c r="D50" s="44">
        <v>1122</v>
      </c>
    </row>
    <row r="51" spans="1:4" x14ac:dyDescent="0.25">
      <c r="A51" s="4" t="s">
        <v>1419</v>
      </c>
      <c r="B51" s="4">
        <v>423687</v>
      </c>
      <c r="C51" s="4" t="s">
        <v>3827</v>
      </c>
      <c r="D51" s="44">
        <v>1733</v>
      </c>
    </row>
    <row r="52" spans="1:4" x14ac:dyDescent="0.25">
      <c r="A52" s="16" t="s">
        <v>1419</v>
      </c>
      <c r="B52" s="4">
        <v>423800</v>
      </c>
      <c r="C52" s="4" t="s">
        <v>3828</v>
      </c>
      <c r="D52" s="44">
        <v>9191</v>
      </c>
    </row>
    <row r="53" spans="1:4" x14ac:dyDescent="0.25">
      <c r="A53" s="16" t="s">
        <v>1419</v>
      </c>
      <c r="B53" s="4">
        <v>423490</v>
      </c>
      <c r="C53" s="4" t="s">
        <v>3790</v>
      </c>
      <c r="D53" s="44">
        <v>19030</v>
      </c>
    </row>
    <row r="54" spans="1:4" x14ac:dyDescent="0.25">
      <c r="A54" s="16" t="s">
        <v>1419</v>
      </c>
      <c r="B54" s="4">
        <v>422806</v>
      </c>
      <c r="C54" s="4" t="s">
        <v>3768</v>
      </c>
      <c r="D54" s="44">
        <v>204311</v>
      </c>
    </row>
    <row r="55" spans="1:4" x14ac:dyDescent="0.25">
      <c r="A55" s="16" t="s">
        <v>1419</v>
      </c>
      <c r="B55" s="4">
        <v>422806</v>
      </c>
      <c r="C55" s="4" t="s">
        <v>3769</v>
      </c>
      <c r="D55" s="44">
        <v>186763</v>
      </c>
    </row>
    <row r="56" spans="1:4" x14ac:dyDescent="0.25">
      <c r="A56" s="16" t="s">
        <v>1419</v>
      </c>
      <c r="B56" s="4">
        <v>422806</v>
      </c>
      <c r="C56" s="4" t="s">
        <v>3770</v>
      </c>
      <c r="D56" s="44">
        <v>467882</v>
      </c>
    </row>
    <row r="57" spans="1:4" x14ac:dyDescent="0.25">
      <c r="A57" s="16" t="s">
        <v>1419</v>
      </c>
      <c r="B57" s="4">
        <v>423629</v>
      </c>
      <c r="C57" s="4" t="s">
        <v>3829</v>
      </c>
      <c r="D57" s="44">
        <v>3432</v>
      </c>
    </row>
    <row r="58" spans="1:4" x14ac:dyDescent="0.25">
      <c r="A58" s="16" t="s">
        <v>1419</v>
      </c>
      <c r="B58" s="4">
        <v>424015</v>
      </c>
      <c r="C58" s="4" t="s">
        <v>3830</v>
      </c>
      <c r="D58" s="44">
        <v>959</v>
      </c>
    </row>
    <row r="59" spans="1:4" x14ac:dyDescent="0.25">
      <c r="A59" s="16" t="s">
        <v>1419</v>
      </c>
      <c r="B59" s="4">
        <v>423789</v>
      </c>
      <c r="C59" s="4" t="s">
        <v>3831</v>
      </c>
      <c r="D59" s="44">
        <v>3240</v>
      </c>
    </row>
    <row r="60" spans="1:4" x14ac:dyDescent="0.25">
      <c r="A60" s="4" t="s">
        <v>208</v>
      </c>
      <c r="B60" s="4">
        <v>420160</v>
      </c>
      <c r="C60" s="4" t="s">
        <v>3832</v>
      </c>
      <c r="D60" s="44">
        <v>3150</v>
      </c>
    </row>
    <row r="61" spans="1:4" x14ac:dyDescent="0.25">
      <c r="A61" s="4" t="s">
        <v>180</v>
      </c>
      <c r="B61" s="4">
        <v>416843</v>
      </c>
      <c r="C61" s="4" t="s">
        <v>3498</v>
      </c>
      <c r="D61" s="44">
        <v>860</v>
      </c>
    </row>
    <row r="62" spans="1:4" x14ac:dyDescent="0.25">
      <c r="A62" s="4" t="s">
        <v>1997</v>
      </c>
      <c r="B62" s="4">
        <v>423438</v>
      </c>
      <c r="C62" s="4" t="s">
        <v>3833</v>
      </c>
      <c r="D62" s="44">
        <v>990</v>
      </c>
    </row>
    <row r="63" spans="1:4" x14ac:dyDescent="0.25">
      <c r="A63" s="4" t="s">
        <v>3834</v>
      </c>
      <c r="B63" s="4">
        <v>423793</v>
      </c>
      <c r="C63" s="4" t="s">
        <v>3835</v>
      </c>
      <c r="D63" s="44">
        <v>0</v>
      </c>
    </row>
    <row r="64" spans="1:4" x14ac:dyDescent="0.25">
      <c r="A64" s="4" t="s">
        <v>315</v>
      </c>
      <c r="B64" s="4">
        <v>420136</v>
      </c>
      <c r="C64" s="4" t="s">
        <v>3792</v>
      </c>
      <c r="D64" s="44">
        <v>1375</v>
      </c>
    </row>
    <row r="65" spans="1:4" x14ac:dyDescent="0.25">
      <c r="A65" s="4" t="s">
        <v>832</v>
      </c>
      <c r="B65" s="4">
        <v>422126</v>
      </c>
      <c r="C65" s="4" t="s">
        <v>3742</v>
      </c>
      <c r="D65" s="44">
        <v>15055</v>
      </c>
    </row>
    <row r="66" spans="1:4" x14ac:dyDescent="0.25">
      <c r="A66" s="4" t="s">
        <v>832</v>
      </c>
      <c r="B66" s="4">
        <v>421292</v>
      </c>
      <c r="C66" s="4" t="s">
        <v>3743</v>
      </c>
      <c r="D66" s="44">
        <v>375</v>
      </c>
    </row>
    <row r="67" spans="1:4" x14ac:dyDescent="0.25">
      <c r="A67" s="4" t="s">
        <v>832</v>
      </c>
      <c r="B67" s="4">
        <v>422052</v>
      </c>
      <c r="C67" s="4" t="s">
        <v>3744</v>
      </c>
      <c r="D67" s="44">
        <v>11690</v>
      </c>
    </row>
    <row r="68" spans="1:4" x14ac:dyDescent="0.25">
      <c r="A68" s="4" t="s">
        <v>832</v>
      </c>
      <c r="B68" s="4">
        <v>423431</v>
      </c>
      <c r="C68" s="4" t="s">
        <v>3794</v>
      </c>
      <c r="D68" s="44">
        <v>435</v>
      </c>
    </row>
    <row r="69" spans="1:4" x14ac:dyDescent="0.25">
      <c r="A69" s="4" t="s">
        <v>1387</v>
      </c>
      <c r="B69" s="4">
        <v>421857</v>
      </c>
      <c r="C69" s="4" t="s">
        <v>3836</v>
      </c>
      <c r="D69" s="44">
        <v>275</v>
      </c>
    </row>
    <row r="70" spans="1:4" x14ac:dyDescent="0.25">
      <c r="A70" s="4" t="s">
        <v>1891</v>
      </c>
      <c r="B70" s="4">
        <v>422697</v>
      </c>
      <c r="C70" s="4" t="s">
        <v>3837</v>
      </c>
      <c r="D70" s="44">
        <v>9638</v>
      </c>
    </row>
    <row r="71" spans="1:4" x14ac:dyDescent="0.25">
      <c r="A71" s="4" t="s">
        <v>1891</v>
      </c>
      <c r="B71" s="4">
        <v>422166</v>
      </c>
      <c r="C71" s="4" t="s">
        <v>3801</v>
      </c>
      <c r="D71" s="44">
        <v>12955</v>
      </c>
    </row>
    <row r="72" spans="1:4" x14ac:dyDescent="0.25">
      <c r="A72" s="4" t="s">
        <v>995</v>
      </c>
      <c r="B72" s="4">
        <v>415164</v>
      </c>
      <c r="C72" s="4" t="s">
        <v>3795</v>
      </c>
      <c r="D72" s="44">
        <v>9665</v>
      </c>
    </row>
    <row r="73" spans="1:4" x14ac:dyDescent="0.25">
      <c r="A73" s="4" t="s">
        <v>995</v>
      </c>
      <c r="B73" s="4">
        <v>415164</v>
      </c>
      <c r="C73" s="4" t="s">
        <v>3796</v>
      </c>
      <c r="D73" s="44">
        <v>13370</v>
      </c>
    </row>
    <row r="74" spans="1:4" x14ac:dyDescent="0.25">
      <c r="A74" s="4" t="s">
        <v>995</v>
      </c>
      <c r="B74" s="4">
        <v>420013</v>
      </c>
      <c r="C74" s="4" t="s">
        <v>3746</v>
      </c>
      <c r="D74" s="44">
        <v>1500</v>
      </c>
    </row>
    <row r="75" spans="1:4" x14ac:dyDescent="0.25">
      <c r="A75" s="4" t="s">
        <v>995</v>
      </c>
      <c r="B75" s="4">
        <v>422150</v>
      </c>
      <c r="C75" s="4" t="s">
        <v>3802</v>
      </c>
      <c r="D75" s="44">
        <v>6669</v>
      </c>
    </row>
    <row r="76" spans="1:4" x14ac:dyDescent="0.25">
      <c r="A76" s="4" t="s">
        <v>1920</v>
      </c>
      <c r="B76" s="4">
        <v>422834</v>
      </c>
      <c r="C76" s="4" t="s">
        <v>3798</v>
      </c>
      <c r="D76" s="44">
        <v>1248</v>
      </c>
    </row>
    <row r="77" spans="1:4" hidden="1" x14ac:dyDescent="0.25"/>
    <row r="78" spans="1:4" hidden="1" x14ac:dyDescent="0.25"/>
    <row r="79" spans="1:4" hidden="1" x14ac:dyDescent="0.25"/>
    <row r="80" spans="1:4" hidden="1" x14ac:dyDescent="0.25"/>
    <row r="81" spans="3:4" hidden="1" x14ac:dyDescent="0.25"/>
    <row r="82" spans="3:4" hidden="1" x14ac:dyDescent="0.25"/>
    <row r="83" spans="3:4" hidden="1" x14ac:dyDescent="0.25"/>
    <row r="84" spans="3:4" hidden="1" x14ac:dyDescent="0.25"/>
    <row r="85" spans="3:4" hidden="1" x14ac:dyDescent="0.25"/>
    <row r="86" spans="3:4" hidden="1" x14ac:dyDescent="0.25"/>
    <row r="87" spans="3:4" hidden="1" x14ac:dyDescent="0.25"/>
    <row r="88" spans="3:4" hidden="1" x14ac:dyDescent="0.25"/>
    <row r="89" spans="3:4" hidden="1" x14ac:dyDescent="0.25"/>
    <row r="90" spans="3:4" hidden="1" x14ac:dyDescent="0.25"/>
    <row r="91" spans="3:4" hidden="1" x14ac:dyDescent="0.25"/>
    <row r="92" spans="3:4" x14ac:dyDescent="0.25">
      <c r="C92" s="31" t="s">
        <v>2502</v>
      </c>
      <c r="D92" s="43">
        <f>SUM(D2:D6,D28:D76)</f>
        <v>1081005</v>
      </c>
    </row>
    <row r="93" spans="3:4" x14ac:dyDescent="0.25">
      <c r="C93" s="31" t="s">
        <v>2501</v>
      </c>
      <c r="D93" s="43">
        <f>SUM(D7:D27)</f>
        <v>268184</v>
      </c>
    </row>
    <row r="94" spans="3:4" x14ac:dyDescent="0.25">
      <c r="C94" s="31" t="s">
        <v>83</v>
      </c>
      <c r="D94" s="43">
        <f>SUM(D2:D76)</f>
        <v>1349189</v>
      </c>
    </row>
    <row r="100" spans="4:4" x14ac:dyDescent="0.25">
      <c r="D100" s="43"/>
    </row>
  </sheetData>
  <autoFilter ref="A1:D1" xr:uid="{05C80E7E-2FEA-49BB-ADC6-8F2910A0622C}">
    <sortState xmlns:xlrd2="http://schemas.microsoft.com/office/spreadsheetml/2017/richdata2" ref="A2:D76">
      <sortCondition ref="A1"/>
    </sortState>
  </autoFilter>
  <printOptions horizontalCentered="1"/>
  <pageMargins left="0.7" right="0.7" top="1" bottom="0.75" header="0.3" footer="0.3"/>
  <pageSetup paperSize="5" scale="107" orientation="landscape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0E03-F434-44B6-80B3-A0F7046CE892}">
  <dimension ref="A1:D100"/>
  <sheetViews>
    <sheetView view="pageBreakPreview" topLeftCell="A52" zoomScaleNormal="100" zoomScaleSheetLayoutView="100" workbookViewId="0">
      <selection activeCell="C39" sqref="C39"/>
    </sheetView>
  </sheetViews>
  <sheetFormatPr defaultRowHeight="15" x14ac:dyDescent="0.25"/>
  <cols>
    <col min="1" max="1" width="44" bestFit="1" customWidth="1"/>
    <col min="2" max="2" width="11" bestFit="1" customWidth="1"/>
    <col min="3" max="3" width="80.7109375" bestFit="1" customWidth="1"/>
    <col min="4" max="4" width="14.28515625" bestFit="1" customWidth="1"/>
  </cols>
  <sheetData>
    <row r="1" spans="1:4" s="45" customFormat="1" x14ac:dyDescent="0.25">
      <c r="A1" s="6" t="s">
        <v>0</v>
      </c>
      <c r="B1" s="6" t="s">
        <v>1</v>
      </c>
      <c r="C1" s="6" t="s">
        <v>2</v>
      </c>
      <c r="D1" s="6" t="s">
        <v>4</v>
      </c>
    </row>
    <row r="2" spans="1:4" x14ac:dyDescent="0.25">
      <c r="A2" s="16" t="s">
        <v>5</v>
      </c>
      <c r="B2" s="4">
        <v>420603</v>
      </c>
      <c r="C2" s="4" t="s">
        <v>3693</v>
      </c>
      <c r="D2" s="44">
        <v>350</v>
      </c>
    </row>
    <row r="3" spans="1:4" x14ac:dyDescent="0.25">
      <c r="A3" s="16" t="s">
        <v>256</v>
      </c>
      <c r="B3" s="4">
        <v>421688</v>
      </c>
      <c r="C3" s="4" t="s">
        <v>3711</v>
      </c>
      <c r="D3" s="44">
        <v>2348</v>
      </c>
    </row>
    <row r="4" spans="1:4" x14ac:dyDescent="0.25">
      <c r="A4" s="16" t="s">
        <v>256</v>
      </c>
      <c r="B4" s="4">
        <v>421688</v>
      </c>
      <c r="C4" s="4" t="s">
        <v>3712</v>
      </c>
      <c r="D4" s="44">
        <v>1342</v>
      </c>
    </row>
    <row r="5" spans="1:4" x14ac:dyDescent="0.25">
      <c r="A5" s="16" t="s">
        <v>500</v>
      </c>
      <c r="B5" s="4">
        <v>419731</v>
      </c>
      <c r="C5" s="4" t="s">
        <v>3696</v>
      </c>
      <c r="D5" s="44">
        <v>12721</v>
      </c>
    </row>
    <row r="6" spans="1:4" x14ac:dyDescent="0.25">
      <c r="A6" s="4" t="s">
        <v>61</v>
      </c>
      <c r="B6" s="4">
        <v>424477</v>
      </c>
      <c r="C6" s="4" t="s">
        <v>3876</v>
      </c>
      <c r="D6" s="44">
        <v>1080</v>
      </c>
    </row>
    <row r="7" spans="1:4" x14ac:dyDescent="0.25">
      <c r="A7" s="16" t="s">
        <v>24</v>
      </c>
      <c r="B7" s="4">
        <v>422861</v>
      </c>
      <c r="C7" s="4" t="s">
        <v>3776</v>
      </c>
      <c r="D7" s="44">
        <v>9880</v>
      </c>
    </row>
    <row r="8" spans="1:4" x14ac:dyDescent="0.25">
      <c r="A8" s="16" t="s">
        <v>24</v>
      </c>
      <c r="B8" s="4">
        <v>421168</v>
      </c>
      <c r="C8" s="4" t="s">
        <v>3697</v>
      </c>
      <c r="D8" s="44">
        <v>2912</v>
      </c>
    </row>
    <row r="9" spans="1:4" x14ac:dyDescent="0.25">
      <c r="A9" s="4" t="s">
        <v>111</v>
      </c>
      <c r="B9" s="4">
        <v>423270</v>
      </c>
      <c r="C9" s="4" t="s">
        <v>3777</v>
      </c>
      <c r="D9" s="44">
        <v>2072</v>
      </c>
    </row>
    <row r="10" spans="1:4" x14ac:dyDescent="0.25">
      <c r="A10" s="16" t="s">
        <v>111</v>
      </c>
      <c r="B10" s="4">
        <v>424454</v>
      </c>
      <c r="C10" s="4" t="s">
        <v>3838</v>
      </c>
      <c r="D10" s="44">
        <v>169705</v>
      </c>
    </row>
    <row r="11" spans="1:4" x14ac:dyDescent="0.25">
      <c r="A11" s="16" t="s">
        <v>111</v>
      </c>
      <c r="B11" s="4">
        <v>422232</v>
      </c>
      <c r="C11" s="4" t="s">
        <v>3727</v>
      </c>
      <c r="D11" s="44">
        <v>142353</v>
      </c>
    </row>
    <row r="12" spans="1:4" x14ac:dyDescent="0.25">
      <c r="A12" s="16" t="s">
        <v>111</v>
      </c>
      <c r="B12" s="4">
        <v>423263</v>
      </c>
      <c r="C12" s="4" t="s">
        <v>3809</v>
      </c>
      <c r="D12" s="44">
        <v>14248</v>
      </c>
    </row>
    <row r="13" spans="1:4" x14ac:dyDescent="0.25">
      <c r="A13" s="16" t="s">
        <v>111</v>
      </c>
      <c r="B13" s="4">
        <v>423221</v>
      </c>
      <c r="C13" s="4" t="s">
        <v>3810</v>
      </c>
      <c r="D13" s="44">
        <v>1433</v>
      </c>
    </row>
    <row r="14" spans="1:4" x14ac:dyDescent="0.25">
      <c r="A14" s="4" t="s">
        <v>111</v>
      </c>
      <c r="B14" s="4">
        <v>424094</v>
      </c>
      <c r="C14" s="4" t="s">
        <v>3811</v>
      </c>
      <c r="D14" s="44">
        <v>363</v>
      </c>
    </row>
    <row r="15" spans="1:4" x14ac:dyDescent="0.25">
      <c r="A15" s="4" t="s">
        <v>2831</v>
      </c>
      <c r="B15" s="4">
        <v>422206</v>
      </c>
      <c r="C15" s="4" t="s">
        <v>3751</v>
      </c>
      <c r="D15" s="44">
        <v>714</v>
      </c>
    </row>
    <row r="16" spans="1:4" x14ac:dyDescent="0.25">
      <c r="A16" s="4" t="s">
        <v>2831</v>
      </c>
      <c r="B16" s="4">
        <v>422113</v>
      </c>
      <c r="C16" s="4" t="s">
        <v>3752</v>
      </c>
      <c r="D16" s="44">
        <v>1742</v>
      </c>
    </row>
    <row r="17" spans="1:4" x14ac:dyDescent="0.25">
      <c r="A17" s="4" t="s">
        <v>2831</v>
      </c>
      <c r="B17" s="4">
        <v>422112</v>
      </c>
      <c r="C17" s="4" t="s">
        <v>3753</v>
      </c>
      <c r="D17" s="44">
        <v>9578</v>
      </c>
    </row>
    <row r="18" spans="1:4" x14ac:dyDescent="0.25">
      <c r="A18" s="4" t="s">
        <v>175</v>
      </c>
      <c r="B18" s="4">
        <v>424356</v>
      </c>
      <c r="C18" s="4" t="s">
        <v>3839</v>
      </c>
      <c r="D18" s="44">
        <v>1400</v>
      </c>
    </row>
    <row r="19" spans="1:4" x14ac:dyDescent="0.25">
      <c r="A19" s="4" t="s">
        <v>175</v>
      </c>
      <c r="B19" s="4">
        <v>423897</v>
      </c>
      <c r="C19" s="4" t="s">
        <v>3840</v>
      </c>
      <c r="D19" s="44">
        <v>1670</v>
      </c>
    </row>
    <row r="20" spans="1:4" x14ac:dyDescent="0.25">
      <c r="A20" s="4" t="s">
        <v>1419</v>
      </c>
      <c r="B20" s="4">
        <v>423423</v>
      </c>
      <c r="C20" s="4" t="s">
        <v>3783</v>
      </c>
      <c r="D20" s="44">
        <v>660</v>
      </c>
    </row>
    <row r="21" spans="1:4" x14ac:dyDescent="0.25">
      <c r="A21" s="16" t="s">
        <v>1419</v>
      </c>
      <c r="B21" s="4">
        <v>423685</v>
      </c>
      <c r="C21" s="4" t="s">
        <v>3841</v>
      </c>
      <c r="D21" s="44">
        <v>858</v>
      </c>
    </row>
    <row r="22" spans="1:4" x14ac:dyDescent="0.25">
      <c r="A22" s="4" t="s">
        <v>1419</v>
      </c>
      <c r="B22" s="4">
        <v>423826</v>
      </c>
      <c r="C22" s="4" t="s">
        <v>3817</v>
      </c>
      <c r="D22" s="44">
        <v>12249</v>
      </c>
    </row>
    <row r="23" spans="1:4" x14ac:dyDescent="0.25">
      <c r="A23" s="16" t="s">
        <v>1419</v>
      </c>
      <c r="B23" s="4">
        <v>423393</v>
      </c>
      <c r="C23" s="4" t="s">
        <v>3786</v>
      </c>
      <c r="D23" s="44">
        <v>693</v>
      </c>
    </row>
    <row r="24" spans="1:4" x14ac:dyDescent="0.25">
      <c r="A24" s="16" t="s">
        <v>1419</v>
      </c>
      <c r="B24" s="4">
        <v>424120</v>
      </c>
      <c r="C24" s="4" t="s">
        <v>3842</v>
      </c>
      <c r="D24" s="44">
        <v>264</v>
      </c>
    </row>
    <row r="25" spans="1:4" x14ac:dyDescent="0.25">
      <c r="A25" s="16" t="s">
        <v>1419</v>
      </c>
      <c r="B25" s="4">
        <v>424122</v>
      </c>
      <c r="C25" s="4" t="s">
        <v>3843</v>
      </c>
      <c r="D25" s="44">
        <v>2046</v>
      </c>
    </row>
    <row r="26" spans="1:4" x14ac:dyDescent="0.25">
      <c r="A26" s="16" t="s">
        <v>1419</v>
      </c>
      <c r="B26" s="4">
        <v>424119</v>
      </c>
      <c r="C26" s="4" t="s">
        <v>3844</v>
      </c>
      <c r="D26" s="44">
        <v>1485</v>
      </c>
    </row>
    <row r="27" spans="1:4" x14ac:dyDescent="0.25">
      <c r="A27" s="4" t="s">
        <v>1419</v>
      </c>
      <c r="B27" s="4">
        <v>424169</v>
      </c>
      <c r="C27" s="4" t="s">
        <v>3845</v>
      </c>
      <c r="D27" s="44">
        <v>594</v>
      </c>
    </row>
    <row r="28" spans="1:4" x14ac:dyDescent="0.25">
      <c r="A28" s="4" t="s">
        <v>1419</v>
      </c>
      <c r="B28" s="4">
        <v>424109</v>
      </c>
      <c r="C28" s="4" t="s">
        <v>3846</v>
      </c>
      <c r="D28" s="44">
        <v>15477</v>
      </c>
    </row>
    <row r="29" spans="1:4" x14ac:dyDescent="0.25">
      <c r="A29" s="4" t="s">
        <v>1419</v>
      </c>
      <c r="B29" s="4">
        <v>424123</v>
      </c>
      <c r="C29" s="4" t="s">
        <v>3847</v>
      </c>
      <c r="D29" s="44">
        <v>3196</v>
      </c>
    </row>
    <row r="30" spans="1:4" x14ac:dyDescent="0.25">
      <c r="A30" s="4" t="s">
        <v>1419</v>
      </c>
      <c r="B30" s="4">
        <v>424111</v>
      </c>
      <c r="C30" s="4" t="s">
        <v>3848</v>
      </c>
      <c r="D30" s="44">
        <v>22748</v>
      </c>
    </row>
    <row r="31" spans="1:4" x14ac:dyDescent="0.25">
      <c r="A31" s="4" t="s">
        <v>1419</v>
      </c>
      <c r="B31" s="4">
        <v>424100</v>
      </c>
      <c r="C31" s="4" t="s">
        <v>3849</v>
      </c>
      <c r="D31" s="44">
        <v>28314</v>
      </c>
    </row>
    <row r="32" spans="1:4" x14ac:dyDescent="0.25">
      <c r="A32" s="16" t="s">
        <v>1419</v>
      </c>
      <c r="B32" s="4">
        <v>424112</v>
      </c>
      <c r="C32" s="4" t="s">
        <v>3850</v>
      </c>
      <c r="D32" s="44">
        <v>198</v>
      </c>
    </row>
    <row r="33" spans="1:4" x14ac:dyDescent="0.25">
      <c r="A33" s="16" t="s">
        <v>1419</v>
      </c>
      <c r="B33" s="4">
        <v>424118</v>
      </c>
      <c r="C33" s="4" t="s">
        <v>3851</v>
      </c>
      <c r="D33" s="44">
        <v>3465</v>
      </c>
    </row>
    <row r="34" spans="1:4" x14ac:dyDescent="0.25">
      <c r="A34" s="4" t="s">
        <v>1419</v>
      </c>
      <c r="B34" s="4">
        <v>424106</v>
      </c>
      <c r="C34" s="4" t="s">
        <v>3852</v>
      </c>
      <c r="D34" s="44">
        <v>19932</v>
      </c>
    </row>
    <row r="35" spans="1:4" x14ac:dyDescent="0.25">
      <c r="A35" s="16" t="s">
        <v>1419</v>
      </c>
      <c r="B35" s="4">
        <v>424114</v>
      </c>
      <c r="C35" s="4" t="s">
        <v>3853</v>
      </c>
      <c r="D35" s="44">
        <v>594</v>
      </c>
    </row>
    <row r="36" spans="1:4" x14ac:dyDescent="0.25">
      <c r="A36" s="16" t="s">
        <v>1419</v>
      </c>
      <c r="B36" s="4">
        <v>424185</v>
      </c>
      <c r="C36" s="4" t="s">
        <v>3854</v>
      </c>
      <c r="D36" s="44">
        <v>693</v>
      </c>
    </row>
    <row r="37" spans="1:4" x14ac:dyDescent="0.25">
      <c r="A37" s="16" t="s">
        <v>1419</v>
      </c>
      <c r="B37" s="4">
        <v>424095</v>
      </c>
      <c r="C37" s="4" t="s">
        <v>3855</v>
      </c>
      <c r="D37" s="44">
        <v>7425</v>
      </c>
    </row>
    <row r="38" spans="1:4" x14ac:dyDescent="0.25">
      <c r="A38" s="16" t="s">
        <v>1419</v>
      </c>
      <c r="B38" s="4">
        <v>424121</v>
      </c>
      <c r="C38" s="4" t="s">
        <v>3856</v>
      </c>
      <c r="D38" s="44">
        <v>99</v>
      </c>
    </row>
    <row r="39" spans="1:4" x14ac:dyDescent="0.25">
      <c r="A39" s="16" t="s">
        <v>1419</v>
      </c>
      <c r="B39" s="4">
        <v>424093</v>
      </c>
      <c r="C39" s="4" t="s">
        <v>3857</v>
      </c>
      <c r="D39" s="44">
        <v>18997</v>
      </c>
    </row>
    <row r="40" spans="1:4" x14ac:dyDescent="0.25">
      <c r="A40" s="16" t="s">
        <v>1419</v>
      </c>
      <c r="B40" s="4">
        <v>424103</v>
      </c>
      <c r="C40" s="4" t="s">
        <v>3858</v>
      </c>
      <c r="D40" s="44">
        <v>5346</v>
      </c>
    </row>
    <row r="41" spans="1:4" x14ac:dyDescent="0.25">
      <c r="A41" s="16" t="s">
        <v>1419</v>
      </c>
      <c r="B41" s="4">
        <v>424116</v>
      </c>
      <c r="C41" s="4" t="s">
        <v>3859</v>
      </c>
      <c r="D41" s="44">
        <v>990</v>
      </c>
    </row>
    <row r="42" spans="1:4" x14ac:dyDescent="0.25">
      <c r="A42" s="4" t="s">
        <v>1419</v>
      </c>
      <c r="B42" s="4">
        <v>424104</v>
      </c>
      <c r="C42" s="4" t="s">
        <v>3860</v>
      </c>
      <c r="D42" s="44">
        <v>30096</v>
      </c>
    </row>
    <row r="43" spans="1:4" x14ac:dyDescent="0.25">
      <c r="A43" s="16" t="s">
        <v>1419</v>
      </c>
      <c r="B43" s="4">
        <v>424101</v>
      </c>
      <c r="C43" s="4" t="s">
        <v>3861</v>
      </c>
      <c r="D43" s="44">
        <v>396</v>
      </c>
    </row>
    <row r="44" spans="1:4" x14ac:dyDescent="0.25">
      <c r="A44" s="16" t="s">
        <v>1419</v>
      </c>
      <c r="B44" s="4">
        <v>424102</v>
      </c>
      <c r="C44" s="4" t="s">
        <v>3862</v>
      </c>
      <c r="D44" s="44">
        <v>16533</v>
      </c>
    </row>
    <row r="45" spans="1:4" x14ac:dyDescent="0.25">
      <c r="A45" s="4" t="s">
        <v>1419</v>
      </c>
      <c r="B45" s="4">
        <v>424108</v>
      </c>
      <c r="C45" s="4" t="s">
        <v>3863</v>
      </c>
      <c r="D45" s="44">
        <v>9042</v>
      </c>
    </row>
    <row r="46" spans="1:4" x14ac:dyDescent="0.25">
      <c r="A46" s="16" t="s">
        <v>1419</v>
      </c>
      <c r="B46" s="4">
        <v>424117</v>
      </c>
      <c r="C46" s="4" t="s">
        <v>3864</v>
      </c>
      <c r="D46" s="44">
        <v>198</v>
      </c>
    </row>
    <row r="47" spans="1:4" x14ac:dyDescent="0.25">
      <c r="A47" s="4" t="s">
        <v>1419</v>
      </c>
      <c r="B47" s="4">
        <v>424430</v>
      </c>
      <c r="C47" s="4" t="s">
        <v>3865</v>
      </c>
      <c r="D47" s="44">
        <v>148049</v>
      </c>
    </row>
    <row r="48" spans="1:4" x14ac:dyDescent="0.25">
      <c r="A48" s="16" t="s">
        <v>1419</v>
      </c>
      <c r="B48" s="4">
        <v>424431</v>
      </c>
      <c r="C48" s="4" t="s">
        <v>3866</v>
      </c>
      <c r="D48" s="44">
        <v>78037</v>
      </c>
    </row>
    <row r="49" spans="1:4" x14ac:dyDescent="0.25">
      <c r="A49" s="16" t="s">
        <v>1419</v>
      </c>
      <c r="B49" s="4">
        <v>424432</v>
      </c>
      <c r="C49" s="4" t="s">
        <v>3867</v>
      </c>
      <c r="D49" s="44">
        <v>79365</v>
      </c>
    </row>
    <row r="50" spans="1:4" x14ac:dyDescent="0.25">
      <c r="A50" s="16" t="s">
        <v>1419</v>
      </c>
      <c r="B50" s="4">
        <v>424434</v>
      </c>
      <c r="C50" s="4" t="s">
        <v>3868</v>
      </c>
      <c r="D50" s="44">
        <v>67700</v>
      </c>
    </row>
    <row r="51" spans="1:4" x14ac:dyDescent="0.25">
      <c r="A51" s="16" t="s">
        <v>1419</v>
      </c>
      <c r="B51" s="4">
        <v>424428</v>
      </c>
      <c r="C51" s="4" t="s">
        <v>3869</v>
      </c>
      <c r="D51" s="44">
        <v>94732</v>
      </c>
    </row>
    <row r="52" spans="1:4" x14ac:dyDescent="0.25">
      <c r="A52" s="4" t="s">
        <v>208</v>
      </c>
      <c r="B52" s="4">
        <v>420160</v>
      </c>
      <c r="C52" s="4" t="s">
        <v>3832</v>
      </c>
      <c r="D52" s="44">
        <v>3150</v>
      </c>
    </row>
    <row r="53" spans="1:4" x14ac:dyDescent="0.25">
      <c r="A53" s="16" t="s">
        <v>208</v>
      </c>
      <c r="B53" s="4">
        <v>424458</v>
      </c>
      <c r="C53" s="4" t="s">
        <v>3870</v>
      </c>
      <c r="D53" s="44">
        <v>210</v>
      </c>
    </row>
    <row r="54" spans="1:4" x14ac:dyDescent="0.25">
      <c r="A54" s="16" t="s">
        <v>180</v>
      </c>
      <c r="B54" s="4">
        <v>416843</v>
      </c>
      <c r="C54" s="4" t="s">
        <v>3498</v>
      </c>
      <c r="D54" s="44">
        <v>860</v>
      </c>
    </row>
    <row r="55" spans="1:4" x14ac:dyDescent="0.25">
      <c r="A55" s="4" t="s">
        <v>1997</v>
      </c>
      <c r="B55" s="4">
        <v>423438</v>
      </c>
      <c r="C55" s="4" t="s">
        <v>3833</v>
      </c>
      <c r="D55" s="44">
        <v>990</v>
      </c>
    </row>
    <row r="56" spans="1:4" x14ac:dyDescent="0.25">
      <c r="A56" s="16" t="s">
        <v>3834</v>
      </c>
      <c r="B56" s="4">
        <v>423793</v>
      </c>
      <c r="C56" s="4" t="s">
        <v>3835</v>
      </c>
      <c r="D56" s="44">
        <v>0</v>
      </c>
    </row>
    <row r="57" spans="1:4" x14ac:dyDescent="0.25">
      <c r="A57" s="16" t="s">
        <v>315</v>
      </c>
      <c r="B57" s="4">
        <v>424371</v>
      </c>
      <c r="C57" s="4" t="s">
        <v>3871</v>
      </c>
      <c r="D57" s="44">
        <v>2340</v>
      </c>
    </row>
    <row r="58" spans="1:4" x14ac:dyDescent="0.25">
      <c r="A58" s="16" t="s">
        <v>315</v>
      </c>
      <c r="B58" s="4">
        <v>424371</v>
      </c>
      <c r="C58" s="4" t="s">
        <v>3872</v>
      </c>
      <c r="D58" s="44">
        <v>26895</v>
      </c>
    </row>
    <row r="59" spans="1:4" x14ac:dyDescent="0.25">
      <c r="A59" s="16" t="s">
        <v>315</v>
      </c>
      <c r="B59" s="4">
        <v>420136</v>
      </c>
      <c r="C59" s="4" t="s">
        <v>3792</v>
      </c>
      <c r="D59" s="44">
        <v>1375</v>
      </c>
    </row>
    <row r="60" spans="1:4" x14ac:dyDescent="0.25">
      <c r="A60" s="16" t="s">
        <v>832</v>
      </c>
      <c r="B60" s="4">
        <v>422126</v>
      </c>
      <c r="C60" s="4" t="s">
        <v>3742</v>
      </c>
      <c r="D60" s="44">
        <v>15055</v>
      </c>
    </row>
    <row r="61" spans="1:4" x14ac:dyDescent="0.25">
      <c r="A61" s="16" t="s">
        <v>832</v>
      </c>
      <c r="B61" s="4">
        <v>421292</v>
      </c>
      <c r="C61" s="4" t="s">
        <v>3743</v>
      </c>
      <c r="D61" s="44">
        <v>375</v>
      </c>
    </row>
    <row r="62" spans="1:4" x14ac:dyDescent="0.25">
      <c r="A62" s="16" t="s">
        <v>832</v>
      </c>
      <c r="B62" s="4">
        <v>422052</v>
      </c>
      <c r="C62" s="4" t="s">
        <v>3744</v>
      </c>
      <c r="D62" s="44">
        <v>11690</v>
      </c>
    </row>
    <row r="63" spans="1:4" x14ac:dyDescent="0.25">
      <c r="A63" s="16" t="s">
        <v>832</v>
      </c>
      <c r="B63" s="4">
        <v>423431</v>
      </c>
      <c r="C63" s="4" t="s">
        <v>3794</v>
      </c>
      <c r="D63" s="44">
        <v>435</v>
      </c>
    </row>
    <row r="64" spans="1:4" x14ac:dyDescent="0.25">
      <c r="A64" s="4" t="s">
        <v>1891</v>
      </c>
      <c r="B64" s="4">
        <v>422697</v>
      </c>
      <c r="C64" s="4" t="s">
        <v>3837</v>
      </c>
      <c r="D64" s="44">
        <v>9638</v>
      </c>
    </row>
    <row r="65" spans="1:4" x14ac:dyDescent="0.25">
      <c r="A65" s="4" t="s">
        <v>1891</v>
      </c>
      <c r="B65" s="4">
        <v>422166</v>
      </c>
      <c r="C65" s="4" t="s">
        <v>3801</v>
      </c>
      <c r="D65" s="44">
        <v>12955</v>
      </c>
    </row>
    <row r="66" spans="1:4" x14ac:dyDescent="0.25">
      <c r="A66" s="4" t="s">
        <v>995</v>
      </c>
      <c r="B66" s="4">
        <v>415164</v>
      </c>
      <c r="C66" s="4" t="s">
        <v>3795</v>
      </c>
      <c r="D66" s="44">
        <v>9665</v>
      </c>
    </row>
    <row r="67" spans="1:4" x14ac:dyDescent="0.25">
      <c r="A67" s="4" t="s">
        <v>995</v>
      </c>
      <c r="B67" s="4">
        <v>415164</v>
      </c>
      <c r="C67" s="4" t="s">
        <v>3796</v>
      </c>
      <c r="D67" s="44">
        <v>13370</v>
      </c>
    </row>
    <row r="68" spans="1:4" x14ac:dyDescent="0.25">
      <c r="A68" s="4" t="s">
        <v>995</v>
      </c>
      <c r="B68" s="4">
        <v>424360</v>
      </c>
      <c r="C68" s="4" t="s">
        <v>3873</v>
      </c>
      <c r="D68" s="44">
        <v>586</v>
      </c>
    </row>
    <row r="69" spans="1:4" x14ac:dyDescent="0.25">
      <c r="A69" s="4" t="s">
        <v>995</v>
      </c>
      <c r="B69" s="4">
        <v>420013</v>
      </c>
      <c r="C69" s="4" t="s">
        <v>3746</v>
      </c>
      <c r="D69" s="44">
        <v>1500</v>
      </c>
    </row>
    <row r="70" spans="1:4" x14ac:dyDescent="0.25">
      <c r="A70" s="4" t="s">
        <v>995</v>
      </c>
      <c r="B70" s="4">
        <v>422150</v>
      </c>
      <c r="C70" s="4" t="s">
        <v>3802</v>
      </c>
      <c r="D70" s="44">
        <v>6669</v>
      </c>
    </row>
    <row r="71" spans="1:4" x14ac:dyDescent="0.25">
      <c r="A71" s="4" t="s">
        <v>443</v>
      </c>
      <c r="B71" s="4">
        <v>412427</v>
      </c>
      <c r="C71" s="4" t="s">
        <v>3874</v>
      </c>
      <c r="D71" s="44">
        <v>3990</v>
      </c>
    </row>
    <row r="72" spans="1:4" x14ac:dyDescent="0.25">
      <c r="A72" s="4" t="s">
        <v>1920</v>
      </c>
      <c r="B72" s="4">
        <v>422834</v>
      </c>
      <c r="C72" s="4" t="s">
        <v>3798</v>
      </c>
      <c r="D72" s="44">
        <v>1248</v>
      </c>
    </row>
    <row r="73" spans="1:4" x14ac:dyDescent="0.25">
      <c r="A73" s="4" t="s">
        <v>332</v>
      </c>
      <c r="B73" s="4">
        <v>424314</v>
      </c>
      <c r="C73" s="4" t="s">
        <v>3875</v>
      </c>
      <c r="D73" s="44">
        <v>410</v>
      </c>
    </row>
    <row r="74" spans="1:4" hidden="1" x14ac:dyDescent="0.25">
      <c r="A74" s="4"/>
      <c r="B74" s="4"/>
      <c r="C74" s="4"/>
      <c r="D74" s="44"/>
    </row>
    <row r="75" spans="1:4" hidden="1" x14ac:dyDescent="0.25">
      <c r="A75" s="4"/>
      <c r="B75" s="4"/>
      <c r="C75" s="4"/>
      <c r="D75" s="44"/>
    </row>
    <row r="76" spans="1:4" hidden="1" x14ac:dyDescent="0.25">
      <c r="A76" s="4"/>
      <c r="B76" s="4"/>
      <c r="C76" s="4"/>
      <c r="D76" s="44"/>
    </row>
    <row r="77" spans="1:4" hidden="1" x14ac:dyDescent="0.25"/>
    <row r="78" spans="1:4" hidden="1" x14ac:dyDescent="0.25"/>
    <row r="79" spans="1:4" hidden="1" x14ac:dyDescent="0.25"/>
    <row r="80" spans="1:4" hidden="1" x14ac:dyDescent="0.25"/>
    <row r="81" spans="3:4" hidden="1" x14ac:dyDescent="0.25"/>
    <row r="82" spans="3:4" hidden="1" x14ac:dyDescent="0.25"/>
    <row r="83" spans="3:4" hidden="1" x14ac:dyDescent="0.25"/>
    <row r="84" spans="3:4" hidden="1" x14ac:dyDescent="0.25"/>
    <row r="85" spans="3:4" hidden="1" x14ac:dyDescent="0.25"/>
    <row r="86" spans="3:4" hidden="1" x14ac:dyDescent="0.25"/>
    <row r="87" spans="3:4" hidden="1" x14ac:dyDescent="0.25"/>
    <row r="88" spans="3:4" hidden="1" x14ac:dyDescent="0.25"/>
    <row r="89" spans="3:4" hidden="1" x14ac:dyDescent="0.25"/>
    <row r="90" spans="3:4" hidden="1" x14ac:dyDescent="0.25"/>
    <row r="91" spans="3:4" hidden="1" x14ac:dyDescent="0.25"/>
    <row r="92" spans="3:4" x14ac:dyDescent="0.25">
      <c r="C92" s="31" t="s">
        <v>2502</v>
      </c>
      <c r="D92" s="43">
        <f>SUM(D2:D4,D18:D76)</f>
        <v>800987</v>
      </c>
    </row>
    <row r="93" spans="3:4" x14ac:dyDescent="0.25">
      <c r="C93" s="31" t="s">
        <v>2501</v>
      </c>
      <c r="D93" s="43">
        <f>SUM(D5:D17)</f>
        <v>368801</v>
      </c>
    </row>
    <row r="94" spans="3:4" x14ac:dyDescent="0.25">
      <c r="C94" s="31" t="s">
        <v>83</v>
      </c>
      <c r="D94" s="43">
        <f>SUM(D2:D76)</f>
        <v>1169788</v>
      </c>
    </row>
    <row r="100" spans="4:4" x14ac:dyDescent="0.25">
      <c r="D100" s="43"/>
    </row>
  </sheetData>
  <autoFilter ref="A1:D1" xr:uid="{2BE30E03-F434-44B6-80B3-A0F7046CE892}">
    <sortState xmlns:xlrd2="http://schemas.microsoft.com/office/spreadsheetml/2017/richdata2" ref="A2:D73">
      <sortCondition ref="A1"/>
    </sortState>
  </autoFilter>
  <printOptions horizontalCentered="1"/>
  <pageMargins left="0.7" right="0.7" top="1" bottom="0.75" header="0.3" footer="0.3"/>
  <pageSetup paperSize="5" scale="61" orientation="portrait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32DC-3D47-4554-A2A4-78D81FDB306F}">
  <dimension ref="A1:D100"/>
  <sheetViews>
    <sheetView view="pageBreakPreview" topLeftCell="A52" zoomScaleNormal="100" zoomScaleSheetLayoutView="100" workbookViewId="0">
      <selection activeCell="D94" sqref="D94"/>
    </sheetView>
  </sheetViews>
  <sheetFormatPr defaultRowHeight="15" x14ac:dyDescent="0.25"/>
  <cols>
    <col min="1" max="1" width="44" bestFit="1" customWidth="1"/>
    <col min="2" max="2" width="11" bestFit="1" customWidth="1"/>
    <col min="3" max="3" width="80.7109375" bestFit="1" customWidth="1"/>
    <col min="4" max="4" width="14.28515625" bestFit="1" customWidth="1"/>
  </cols>
  <sheetData>
    <row r="1" spans="1:4" s="45" customFormat="1" x14ac:dyDescent="0.25">
      <c r="A1" s="6" t="s">
        <v>0</v>
      </c>
      <c r="B1" s="6" t="s">
        <v>1</v>
      </c>
      <c r="C1" s="6" t="s">
        <v>2</v>
      </c>
      <c r="D1" s="6" t="s">
        <v>4</v>
      </c>
    </row>
    <row r="2" spans="1:4" x14ac:dyDescent="0.25">
      <c r="A2" s="16" t="s">
        <v>5</v>
      </c>
      <c r="B2" s="4">
        <v>420603</v>
      </c>
      <c r="C2" s="4" t="s">
        <v>3693</v>
      </c>
      <c r="D2" s="44">
        <v>350</v>
      </c>
    </row>
    <row r="3" spans="1:4" x14ac:dyDescent="0.25">
      <c r="A3" s="16" t="s">
        <v>1967</v>
      </c>
      <c r="B3" s="4">
        <v>424616</v>
      </c>
      <c r="C3" s="4" t="s">
        <v>3877</v>
      </c>
      <c r="D3" s="44">
        <v>1250</v>
      </c>
    </row>
    <row r="4" spans="1:4" x14ac:dyDescent="0.25">
      <c r="A4" s="16" t="s">
        <v>256</v>
      </c>
      <c r="B4" s="4">
        <v>421688</v>
      </c>
      <c r="C4" s="4" t="s">
        <v>3711</v>
      </c>
      <c r="D4" s="44">
        <v>2348</v>
      </c>
    </row>
    <row r="5" spans="1:4" x14ac:dyDescent="0.25">
      <c r="A5" s="16" t="s">
        <v>256</v>
      </c>
      <c r="B5" s="4">
        <v>421688</v>
      </c>
      <c r="C5" s="4" t="s">
        <v>3712</v>
      </c>
      <c r="D5" s="44">
        <v>1342</v>
      </c>
    </row>
    <row r="6" spans="1:4" x14ac:dyDescent="0.25">
      <c r="A6" s="4" t="s">
        <v>232</v>
      </c>
      <c r="B6" s="4">
        <v>424779</v>
      </c>
      <c r="C6" s="4" t="s">
        <v>3878</v>
      </c>
      <c r="D6" s="44">
        <v>0</v>
      </c>
    </row>
    <row r="7" spans="1:4" x14ac:dyDescent="0.25">
      <c r="A7" s="16" t="s">
        <v>500</v>
      </c>
      <c r="B7" s="4">
        <v>419731</v>
      </c>
      <c r="C7" s="4" t="s">
        <v>3696</v>
      </c>
      <c r="D7" s="44">
        <v>12721</v>
      </c>
    </row>
    <row r="8" spans="1:4" x14ac:dyDescent="0.25">
      <c r="A8" s="16" t="s">
        <v>500</v>
      </c>
      <c r="B8" s="4">
        <v>424240</v>
      </c>
      <c r="C8" s="4" t="s">
        <v>3879</v>
      </c>
      <c r="D8" s="44">
        <v>14348</v>
      </c>
    </row>
    <row r="9" spans="1:4" x14ac:dyDescent="0.25">
      <c r="A9" s="4" t="s">
        <v>500</v>
      </c>
      <c r="B9" s="4">
        <v>424245</v>
      </c>
      <c r="C9" s="4" t="s">
        <v>3880</v>
      </c>
      <c r="D9" s="44">
        <v>5188</v>
      </c>
    </row>
    <row r="10" spans="1:4" x14ac:dyDescent="0.25">
      <c r="A10" s="16" t="s">
        <v>500</v>
      </c>
      <c r="B10" s="4">
        <v>424251</v>
      </c>
      <c r="C10" s="4" t="s">
        <v>3881</v>
      </c>
      <c r="D10" s="44">
        <v>13772</v>
      </c>
    </row>
    <row r="11" spans="1:4" x14ac:dyDescent="0.25">
      <c r="A11" s="16" t="s">
        <v>500</v>
      </c>
      <c r="B11" s="4">
        <v>424248</v>
      </c>
      <c r="C11" s="4" t="s">
        <v>3882</v>
      </c>
      <c r="D11" s="44">
        <v>22893</v>
      </c>
    </row>
    <row r="12" spans="1:4" x14ac:dyDescent="0.25">
      <c r="A12" s="16" t="s">
        <v>500</v>
      </c>
      <c r="B12" s="4">
        <v>424243</v>
      </c>
      <c r="C12" s="4" t="s">
        <v>3883</v>
      </c>
      <c r="D12" s="44">
        <v>1804</v>
      </c>
    </row>
    <row r="13" spans="1:4" x14ac:dyDescent="0.25">
      <c r="A13" s="16" t="s">
        <v>500</v>
      </c>
      <c r="B13" s="4">
        <v>424229</v>
      </c>
      <c r="C13" s="4" t="s">
        <v>3884</v>
      </c>
      <c r="D13" s="44">
        <v>3367</v>
      </c>
    </row>
    <row r="14" spans="1:4" x14ac:dyDescent="0.25">
      <c r="A14" s="4" t="s">
        <v>3715</v>
      </c>
      <c r="B14" s="4">
        <v>424420</v>
      </c>
      <c r="C14" s="4" t="s">
        <v>3885</v>
      </c>
      <c r="D14" s="44">
        <v>379</v>
      </c>
    </row>
    <row r="15" spans="1:4" x14ac:dyDescent="0.25">
      <c r="A15" s="4" t="s">
        <v>3715</v>
      </c>
      <c r="B15" s="4">
        <v>424791</v>
      </c>
      <c r="C15" s="4" t="s">
        <v>3886</v>
      </c>
      <c r="D15" s="44">
        <v>6966</v>
      </c>
    </row>
    <row r="16" spans="1:4" x14ac:dyDescent="0.25">
      <c r="A16" s="4" t="s">
        <v>24</v>
      </c>
      <c r="B16" s="4">
        <v>422861</v>
      </c>
      <c r="C16" s="4" t="s">
        <v>3776</v>
      </c>
      <c r="D16" s="44">
        <v>9880</v>
      </c>
    </row>
    <row r="17" spans="1:4" x14ac:dyDescent="0.25">
      <c r="A17" s="4" t="s">
        <v>24</v>
      </c>
      <c r="B17" s="4">
        <v>421168</v>
      </c>
      <c r="C17" s="4" t="s">
        <v>3697</v>
      </c>
      <c r="D17" s="44">
        <v>2912</v>
      </c>
    </row>
    <row r="18" spans="1:4" x14ac:dyDescent="0.25">
      <c r="A18" s="4" t="s">
        <v>111</v>
      </c>
      <c r="B18" s="4">
        <v>424558</v>
      </c>
      <c r="C18" s="4" t="s">
        <v>3887</v>
      </c>
      <c r="D18" s="44">
        <v>380</v>
      </c>
    </row>
    <row r="19" spans="1:4" x14ac:dyDescent="0.25">
      <c r="A19" s="4" t="s">
        <v>111</v>
      </c>
      <c r="B19" s="4">
        <v>424454</v>
      </c>
      <c r="C19" s="4" t="s">
        <v>3838</v>
      </c>
      <c r="D19" s="44">
        <v>169705</v>
      </c>
    </row>
    <row r="20" spans="1:4" x14ac:dyDescent="0.25">
      <c r="A20" s="4" t="s">
        <v>111</v>
      </c>
      <c r="B20" s="4">
        <v>422232</v>
      </c>
      <c r="C20" s="4" t="s">
        <v>3727</v>
      </c>
      <c r="D20" s="44">
        <v>142353</v>
      </c>
    </row>
    <row r="21" spans="1:4" x14ac:dyDescent="0.25">
      <c r="A21" s="16" t="s">
        <v>111</v>
      </c>
      <c r="B21" s="4">
        <v>424713</v>
      </c>
      <c r="C21" s="4" t="s">
        <v>3888</v>
      </c>
      <c r="D21" s="44">
        <v>518</v>
      </c>
    </row>
    <row r="22" spans="1:4" x14ac:dyDescent="0.25">
      <c r="A22" s="4" t="s">
        <v>111</v>
      </c>
      <c r="B22" s="4">
        <v>423263</v>
      </c>
      <c r="C22" s="4" t="s">
        <v>3809</v>
      </c>
      <c r="D22" s="44">
        <v>14248</v>
      </c>
    </row>
    <row r="23" spans="1:4" x14ac:dyDescent="0.25">
      <c r="A23" s="16" t="s">
        <v>111</v>
      </c>
      <c r="B23" s="4">
        <v>423221</v>
      </c>
      <c r="C23" s="4" t="s">
        <v>3810</v>
      </c>
      <c r="D23" s="44">
        <v>1433</v>
      </c>
    </row>
    <row r="24" spans="1:4" x14ac:dyDescent="0.25">
      <c r="A24" s="16" t="s">
        <v>111</v>
      </c>
      <c r="B24" s="4">
        <v>424094</v>
      </c>
      <c r="C24" s="4" t="s">
        <v>3811</v>
      </c>
      <c r="D24" s="44">
        <v>363</v>
      </c>
    </row>
    <row r="25" spans="1:4" x14ac:dyDescent="0.25">
      <c r="A25" s="16" t="s">
        <v>111</v>
      </c>
      <c r="B25" s="4">
        <v>424563</v>
      </c>
      <c r="C25" s="4" t="s">
        <v>3889</v>
      </c>
      <c r="D25" s="44">
        <v>1139</v>
      </c>
    </row>
    <row r="26" spans="1:4" x14ac:dyDescent="0.25">
      <c r="A26" s="16" t="s">
        <v>111</v>
      </c>
      <c r="B26" s="4">
        <v>424581</v>
      </c>
      <c r="C26" s="4" t="s">
        <v>3890</v>
      </c>
      <c r="D26" s="44">
        <v>570</v>
      </c>
    </row>
    <row r="27" spans="1:4" x14ac:dyDescent="0.25">
      <c r="A27" s="4" t="s">
        <v>111</v>
      </c>
      <c r="B27" s="4">
        <v>424547</v>
      </c>
      <c r="C27" s="4" t="s">
        <v>3891</v>
      </c>
      <c r="D27" s="44">
        <v>190</v>
      </c>
    </row>
    <row r="28" spans="1:4" x14ac:dyDescent="0.25">
      <c r="A28" s="4" t="s">
        <v>111</v>
      </c>
      <c r="B28" s="4">
        <v>424552</v>
      </c>
      <c r="C28" s="4" t="s">
        <v>3892</v>
      </c>
      <c r="D28" s="44">
        <v>760</v>
      </c>
    </row>
    <row r="29" spans="1:4" x14ac:dyDescent="0.25">
      <c r="A29" s="4" t="s">
        <v>111</v>
      </c>
      <c r="B29" s="4">
        <v>424536</v>
      </c>
      <c r="C29" s="4" t="s">
        <v>3893</v>
      </c>
      <c r="D29" s="44">
        <v>570</v>
      </c>
    </row>
    <row r="30" spans="1:4" x14ac:dyDescent="0.25">
      <c r="A30" s="4" t="s">
        <v>2831</v>
      </c>
      <c r="B30" s="4">
        <v>422206</v>
      </c>
      <c r="C30" s="4" t="s">
        <v>3751</v>
      </c>
      <c r="D30" s="44">
        <v>714</v>
      </c>
    </row>
    <row r="31" spans="1:4" x14ac:dyDescent="0.25">
      <c r="A31" s="4" t="s">
        <v>2831</v>
      </c>
      <c r="B31" s="4">
        <v>422113</v>
      </c>
      <c r="C31" s="4" t="s">
        <v>3752</v>
      </c>
      <c r="D31" s="44">
        <v>1742</v>
      </c>
    </row>
    <row r="32" spans="1:4" x14ac:dyDescent="0.25">
      <c r="A32" s="16" t="s">
        <v>2831</v>
      </c>
      <c r="B32" s="4">
        <v>422112</v>
      </c>
      <c r="C32" s="4" t="s">
        <v>3753</v>
      </c>
      <c r="D32" s="44">
        <v>9578</v>
      </c>
    </row>
    <row r="33" spans="1:4" x14ac:dyDescent="0.25">
      <c r="A33" s="16" t="s">
        <v>175</v>
      </c>
      <c r="B33" s="4">
        <v>424356</v>
      </c>
      <c r="C33" s="4" t="s">
        <v>3839</v>
      </c>
      <c r="D33" s="44">
        <v>1400</v>
      </c>
    </row>
    <row r="34" spans="1:4" x14ac:dyDescent="0.25">
      <c r="A34" s="4" t="s">
        <v>1419</v>
      </c>
      <c r="B34" s="4">
        <v>423423</v>
      </c>
      <c r="C34" s="4" t="s">
        <v>3783</v>
      </c>
      <c r="D34" s="44">
        <v>660</v>
      </c>
    </row>
    <row r="35" spans="1:4" x14ac:dyDescent="0.25">
      <c r="A35" s="16" t="s">
        <v>1419</v>
      </c>
      <c r="B35" s="4">
        <v>423393</v>
      </c>
      <c r="C35" s="4" t="s">
        <v>3786</v>
      </c>
      <c r="D35" s="44">
        <v>693</v>
      </c>
    </row>
    <row r="36" spans="1:4" x14ac:dyDescent="0.25">
      <c r="A36" s="16" t="s">
        <v>1419</v>
      </c>
      <c r="B36" s="4">
        <v>424120</v>
      </c>
      <c r="C36" s="4" t="s">
        <v>3842</v>
      </c>
      <c r="D36" s="44">
        <v>264</v>
      </c>
    </row>
    <row r="37" spans="1:4" x14ac:dyDescent="0.25">
      <c r="A37" s="16" t="s">
        <v>1419</v>
      </c>
      <c r="B37" s="4">
        <v>424122</v>
      </c>
      <c r="C37" s="4" t="s">
        <v>3843</v>
      </c>
      <c r="D37" s="44">
        <v>2046</v>
      </c>
    </row>
    <row r="38" spans="1:4" x14ac:dyDescent="0.25">
      <c r="A38" s="16" t="s">
        <v>1419</v>
      </c>
      <c r="B38" s="4">
        <v>424119</v>
      </c>
      <c r="C38" s="4" t="s">
        <v>3844</v>
      </c>
      <c r="D38" s="44">
        <v>1485</v>
      </c>
    </row>
    <row r="39" spans="1:4" x14ac:dyDescent="0.25">
      <c r="A39" s="16" t="s">
        <v>1419</v>
      </c>
      <c r="B39" s="4">
        <v>424169</v>
      </c>
      <c r="C39" s="4" t="s">
        <v>3845</v>
      </c>
      <c r="D39" s="44">
        <v>594</v>
      </c>
    </row>
    <row r="40" spans="1:4" x14ac:dyDescent="0.25">
      <c r="A40" s="16" t="s">
        <v>1419</v>
      </c>
      <c r="B40" s="4">
        <v>424109</v>
      </c>
      <c r="C40" s="4" t="s">
        <v>3846</v>
      </c>
      <c r="D40" s="44">
        <v>15477</v>
      </c>
    </row>
    <row r="41" spans="1:4" x14ac:dyDescent="0.25">
      <c r="A41" s="16" t="s">
        <v>1419</v>
      </c>
      <c r="B41" s="4">
        <v>424123</v>
      </c>
      <c r="C41" s="4" t="s">
        <v>3847</v>
      </c>
      <c r="D41" s="44">
        <v>3196</v>
      </c>
    </row>
    <row r="42" spans="1:4" x14ac:dyDescent="0.25">
      <c r="A42" s="4" t="s">
        <v>1419</v>
      </c>
      <c r="B42" s="4">
        <v>424111</v>
      </c>
      <c r="C42" s="4" t="s">
        <v>3848</v>
      </c>
      <c r="D42" s="44">
        <v>22748</v>
      </c>
    </row>
    <row r="43" spans="1:4" x14ac:dyDescent="0.25">
      <c r="A43" s="16" t="s">
        <v>1419</v>
      </c>
      <c r="B43" s="4">
        <v>424100</v>
      </c>
      <c r="C43" s="4" t="s">
        <v>3849</v>
      </c>
      <c r="D43" s="44">
        <v>28314</v>
      </c>
    </row>
    <row r="44" spans="1:4" x14ac:dyDescent="0.25">
      <c r="A44" s="16" t="s">
        <v>1419</v>
      </c>
      <c r="B44" s="4">
        <v>424112</v>
      </c>
      <c r="C44" s="4" t="s">
        <v>3850</v>
      </c>
      <c r="D44" s="44">
        <v>198</v>
      </c>
    </row>
    <row r="45" spans="1:4" x14ac:dyDescent="0.25">
      <c r="A45" s="4" t="s">
        <v>1419</v>
      </c>
      <c r="B45" s="4">
        <v>424118</v>
      </c>
      <c r="C45" s="4" t="s">
        <v>3851</v>
      </c>
      <c r="D45" s="44">
        <v>3465</v>
      </c>
    </row>
    <row r="46" spans="1:4" x14ac:dyDescent="0.25">
      <c r="A46" s="16" t="s">
        <v>1419</v>
      </c>
      <c r="B46" s="4">
        <v>424106</v>
      </c>
      <c r="C46" s="4" t="s">
        <v>3852</v>
      </c>
      <c r="D46" s="44">
        <v>19932</v>
      </c>
    </row>
    <row r="47" spans="1:4" x14ac:dyDescent="0.25">
      <c r="A47" s="4" t="s">
        <v>1419</v>
      </c>
      <c r="B47" s="4">
        <v>424114</v>
      </c>
      <c r="C47" s="4" t="s">
        <v>3853</v>
      </c>
      <c r="D47" s="44">
        <v>594</v>
      </c>
    </row>
    <row r="48" spans="1:4" x14ac:dyDescent="0.25">
      <c r="A48" s="16" t="s">
        <v>1419</v>
      </c>
      <c r="B48" s="4">
        <v>424185</v>
      </c>
      <c r="C48" s="4" t="s">
        <v>3854</v>
      </c>
      <c r="D48" s="44">
        <v>693</v>
      </c>
    </row>
    <row r="49" spans="1:4" x14ac:dyDescent="0.25">
      <c r="A49" s="16" t="s">
        <v>1419</v>
      </c>
      <c r="B49" s="4">
        <v>424095</v>
      </c>
      <c r="C49" s="4" t="s">
        <v>3855</v>
      </c>
      <c r="D49" s="44">
        <v>7425</v>
      </c>
    </row>
    <row r="50" spans="1:4" x14ac:dyDescent="0.25">
      <c r="A50" s="16" t="s">
        <v>1419</v>
      </c>
      <c r="B50" s="4">
        <v>424121</v>
      </c>
      <c r="C50" s="4" t="s">
        <v>3856</v>
      </c>
      <c r="D50" s="44">
        <v>99</v>
      </c>
    </row>
    <row r="51" spans="1:4" x14ac:dyDescent="0.25">
      <c r="A51" s="16" t="s">
        <v>1419</v>
      </c>
      <c r="B51" s="4">
        <v>424093</v>
      </c>
      <c r="C51" s="4" t="s">
        <v>3857</v>
      </c>
      <c r="D51" s="44">
        <v>18997</v>
      </c>
    </row>
    <row r="52" spans="1:4" x14ac:dyDescent="0.25">
      <c r="A52" s="4" t="s">
        <v>1419</v>
      </c>
      <c r="B52" s="4">
        <v>424103</v>
      </c>
      <c r="C52" s="4" t="s">
        <v>3858</v>
      </c>
      <c r="D52" s="44">
        <v>5346</v>
      </c>
    </row>
    <row r="53" spans="1:4" x14ac:dyDescent="0.25">
      <c r="A53" s="16" t="s">
        <v>1419</v>
      </c>
      <c r="B53" s="4">
        <v>424116</v>
      </c>
      <c r="C53" s="4" t="s">
        <v>3859</v>
      </c>
      <c r="D53" s="44">
        <v>990</v>
      </c>
    </row>
    <row r="54" spans="1:4" x14ac:dyDescent="0.25">
      <c r="A54" s="16" t="s">
        <v>1419</v>
      </c>
      <c r="B54" s="4">
        <v>424104</v>
      </c>
      <c r="C54" s="4" t="s">
        <v>3860</v>
      </c>
      <c r="D54" s="44">
        <v>30096</v>
      </c>
    </row>
    <row r="55" spans="1:4" x14ac:dyDescent="0.25">
      <c r="A55" s="4" t="s">
        <v>1419</v>
      </c>
      <c r="B55" s="4">
        <v>424101</v>
      </c>
      <c r="C55" s="4" t="s">
        <v>3861</v>
      </c>
      <c r="D55" s="44">
        <v>396</v>
      </c>
    </row>
    <row r="56" spans="1:4" x14ac:dyDescent="0.25">
      <c r="A56" s="16" t="s">
        <v>1419</v>
      </c>
      <c r="B56" s="4">
        <v>424102</v>
      </c>
      <c r="C56" s="4" t="s">
        <v>3862</v>
      </c>
      <c r="D56" s="44">
        <v>16533</v>
      </c>
    </row>
    <row r="57" spans="1:4" x14ac:dyDescent="0.25">
      <c r="A57" s="16" t="s">
        <v>1419</v>
      </c>
      <c r="B57" s="4">
        <v>424108</v>
      </c>
      <c r="C57" s="4" t="s">
        <v>3863</v>
      </c>
      <c r="D57" s="44">
        <v>9042</v>
      </c>
    </row>
    <row r="58" spans="1:4" x14ac:dyDescent="0.25">
      <c r="A58" s="16" t="s">
        <v>1419</v>
      </c>
      <c r="B58" s="4">
        <v>424117</v>
      </c>
      <c r="C58" s="4" t="s">
        <v>3864</v>
      </c>
      <c r="D58" s="44">
        <v>198</v>
      </c>
    </row>
    <row r="59" spans="1:4" x14ac:dyDescent="0.25">
      <c r="A59" s="16" t="s">
        <v>1419</v>
      </c>
      <c r="B59" s="4">
        <v>424430</v>
      </c>
      <c r="C59" s="4" t="s">
        <v>3865</v>
      </c>
      <c r="D59" s="44">
        <v>148049</v>
      </c>
    </row>
    <row r="60" spans="1:4" x14ac:dyDescent="0.25">
      <c r="A60" s="16" t="s">
        <v>1419</v>
      </c>
      <c r="B60" s="4">
        <v>424431</v>
      </c>
      <c r="C60" s="4" t="s">
        <v>3866</v>
      </c>
      <c r="D60" s="44">
        <v>78037</v>
      </c>
    </row>
    <row r="61" spans="1:4" x14ac:dyDescent="0.25">
      <c r="A61" s="16" t="s">
        <v>1419</v>
      </c>
      <c r="B61" s="4">
        <v>424432</v>
      </c>
      <c r="C61" s="4" t="s">
        <v>3867</v>
      </c>
      <c r="D61" s="44">
        <v>79365</v>
      </c>
    </row>
    <row r="62" spans="1:4" x14ac:dyDescent="0.25">
      <c r="A62" s="16" t="s">
        <v>1419</v>
      </c>
      <c r="B62" s="4">
        <v>424434</v>
      </c>
      <c r="C62" s="4" t="s">
        <v>3868</v>
      </c>
      <c r="D62" s="44">
        <v>67700</v>
      </c>
    </row>
    <row r="63" spans="1:4" x14ac:dyDescent="0.25">
      <c r="A63" s="16" t="s">
        <v>1419</v>
      </c>
      <c r="B63" s="4">
        <v>424428</v>
      </c>
      <c r="C63" s="4" t="s">
        <v>3869</v>
      </c>
      <c r="D63" s="44">
        <v>94732</v>
      </c>
    </row>
    <row r="64" spans="1:4" x14ac:dyDescent="0.25">
      <c r="A64" s="4" t="s">
        <v>208</v>
      </c>
      <c r="B64" s="4">
        <v>424458</v>
      </c>
      <c r="C64" s="4" t="s">
        <v>3870</v>
      </c>
      <c r="D64" s="44">
        <v>210</v>
      </c>
    </row>
    <row r="65" spans="1:4" x14ac:dyDescent="0.25">
      <c r="A65" s="4" t="s">
        <v>180</v>
      </c>
      <c r="B65" s="4">
        <v>416843</v>
      </c>
      <c r="C65" s="4" t="s">
        <v>3498</v>
      </c>
      <c r="D65" s="44">
        <v>860</v>
      </c>
    </row>
    <row r="66" spans="1:4" x14ac:dyDescent="0.25">
      <c r="A66" s="4" t="s">
        <v>832</v>
      </c>
      <c r="B66" s="4">
        <v>423431</v>
      </c>
      <c r="C66" s="4" t="s">
        <v>3794</v>
      </c>
      <c r="D66" s="44">
        <v>435</v>
      </c>
    </row>
    <row r="67" spans="1:4" x14ac:dyDescent="0.25">
      <c r="A67" s="4" t="s">
        <v>832</v>
      </c>
      <c r="B67" s="4">
        <v>421292</v>
      </c>
      <c r="C67" s="4" t="s">
        <v>3894</v>
      </c>
      <c r="D67" s="44">
        <v>375</v>
      </c>
    </row>
    <row r="68" spans="1:4" x14ac:dyDescent="0.25">
      <c r="A68" s="4" t="s">
        <v>332</v>
      </c>
      <c r="B68" s="4">
        <v>424314</v>
      </c>
      <c r="C68" s="4" t="s">
        <v>3875</v>
      </c>
      <c r="D68" s="44">
        <v>410</v>
      </c>
    </row>
    <row r="69" spans="1:4" hidden="1" x14ac:dyDescent="0.25">
      <c r="A69" s="4"/>
      <c r="B69" s="4"/>
      <c r="C69" s="4"/>
      <c r="D69" s="44"/>
    </row>
    <row r="70" spans="1:4" hidden="1" x14ac:dyDescent="0.25">
      <c r="A70" s="4"/>
      <c r="B70" s="4"/>
      <c r="C70" s="4"/>
      <c r="D70" s="44"/>
    </row>
    <row r="71" spans="1:4" hidden="1" x14ac:dyDescent="0.25">
      <c r="A71" s="4"/>
      <c r="B71" s="4"/>
      <c r="C71" s="4"/>
      <c r="D71" s="44"/>
    </row>
    <row r="72" spans="1:4" hidden="1" x14ac:dyDescent="0.25">
      <c r="A72" s="4"/>
      <c r="B72" s="4"/>
      <c r="C72" s="4"/>
      <c r="D72" s="44"/>
    </row>
    <row r="73" spans="1:4" hidden="1" x14ac:dyDescent="0.25">
      <c r="A73" s="4"/>
      <c r="B73" s="4"/>
      <c r="C73" s="4"/>
      <c r="D73" s="44"/>
    </row>
    <row r="74" spans="1:4" hidden="1" x14ac:dyDescent="0.25">
      <c r="A74" s="4"/>
      <c r="B74" s="4"/>
      <c r="C74" s="4"/>
      <c r="D74" s="44"/>
    </row>
    <row r="75" spans="1:4" hidden="1" x14ac:dyDescent="0.25">
      <c r="A75" s="4"/>
      <c r="B75" s="4"/>
      <c r="C75" s="4"/>
      <c r="D75" s="44"/>
    </row>
    <row r="76" spans="1:4" hidden="1" x14ac:dyDescent="0.25">
      <c r="A76" s="4"/>
      <c r="B76" s="4"/>
      <c r="C76" s="4"/>
      <c r="D76" s="44"/>
    </row>
    <row r="77" spans="1:4" hidden="1" x14ac:dyDescent="0.25"/>
    <row r="78" spans="1:4" hidden="1" x14ac:dyDescent="0.25"/>
    <row r="79" spans="1:4" hidden="1" x14ac:dyDescent="0.25"/>
    <row r="80" spans="1:4" hidden="1" x14ac:dyDescent="0.25"/>
    <row r="81" spans="3:4" hidden="1" x14ac:dyDescent="0.25"/>
    <row r="82" spans="3:4" hidden="1" x14ac:dyDescent="0.25"/>
    <row r="83" spans="3:4" hidden="1" x14ac:dyDescent="0.25"/>
    <row r="84" spans="3:4" hidden="1" x14ac:dyDescent="0.25"/>
    <row r="85" spans="3:4" hidden="1" x14ac:dyDescent="0.25"/>
    <row r="86" spans="3:4" hidden="1" x14ac:dyDescent="0.25"/>
    <row r="87" spans="3:4" hidden="1" x14ac:dyDescent="0.25"/>
    <row r="88" spans="3:4" hidden="1" x14ac:dyDescent="0.25"/>
    <row r="89" spans="3:4" hidden="1" x14ac:dyDescent="0.25"/>
    <row r="90" spans="3:4" hidden="1" x14ac:dyDescent="0.25"/>
    <row r="91" spans="3:4" hidden="1" x14ac:dyDescent="0.25"/>
    <row r="92" spans="3:4" x14ac:dyDescent="0.25">
      <c r="C92" s="31" t="s">
        <v>2502</v>
      </c>
      <c r="D92" s="43">
        <f>SUM(D2:D6,D33:D76)</f>
        <v>666344</v>
      </c>
    </row>
    <row r="93" spans="3:4" x14ac:dyDescent="0.25">
      <c r="C93" s="31" t="s">
        <v>2501</v>
      </c>
      <c r="D93" s="43">
        <f>SUM(D7:D32)</f>
        <v>438493</v>
      </c>
    </row>
    <row r="94" spans="3:4" x14ac:dyDescent="0.25">
      <c r="C94" s="31" t="s">
        <v>83</v>
      </c>
      <c r="D94" s="43">
        <f>SUM(D2:D76)</f>
        <v>1104837</v>
      </c>
    </row>
    <row r="100" spans="4:4" x14ac:dyDescent="0.25">
      <c r="D100" s="43"/>
    </row>
  </sheetData>
  <printOptions horizontalCentered="1"/>
  <pageMargins left="0.7" right="0.7" top="1" bottom="0.75" header="0.3" footer="0.3"/>
  <pageSetup paperSize="5" scale="61" orientation="portrait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5C30-7B3D-48CE-89E4-F72823A9B3B1}">
  <dimension ref="A1:D100"/>
  <sheetViews>
    <sheetView view="pageBreakPreview" topLeftCell="A43" zoomScaleNormal="100" zoomScaleSheetLayoutView="100" workbookViewId="0">
      <selection activeCell="C98" sqref="C98"/>
    </sheetView>
  </sheetViews>
  <sheetFormatPr defaultRowHeight="15" x14ac:dyDescent="0.25"/>
  <cols>
    <col min="1" max="1" width="44" bestFit="1" customWidth="1"/>
    <col min="2" max="2" width="11" bestFit="1" customWidth="1"/>
    <col min="3" max="3" width="80.7109375" bestFit="1" customWidth="1"/>
    <col min="4" max="4" width="14.28515625" bestFit="1" customWidth="1"/>
  </cols>
  <sheetData>
    <row r="1" spans="1:4" s="45" customFormat="1" x14ac:dyDescent="0.25">
      <c r="A1" s="6" t="s">
        <v>0</v>
      </c>
      <c r="B1" s="6" t="s">
        <v>1</v>
      </c>
      <c r="C1" s="6" t="s">
        <v>2</v>
      </c>
      <c r="D1" s="6" t="s">
        <v>4</v>
      </c>
    </row>
    <row r="2" spans="1:4" x14ac:dyDescent="0.25">
      <c r="A2" s="16" t="s">
        <v>256</v>
      </c>
      <c r="B2" s="4">
        <v>421688</v>
      </c>
      <c r="C2" s="4" t="s">
        <v>3712</v>
      </c>
      <c r="D2" s="44">
        <v>1342</v>
      </c>
    </row>
    <row r="3" spans="1:4" x14ac:dyDescent="0.25">
      <c r="A3" s="16" t="s">
        <v>500</v>
      </c>
      <c r="B3" s="4">
        <v>419731</v>
      </c>
      <c r="C3" s="4" t="s">
        <v>3696</v>
      </c>
      <c r="D3" s="44">
        <v>12721</v>
      </c>
    </row>
    <row r="4" spans="1:4" x14ac:dyDescent="0.25">
      <c r="A4" s="16" t="s">
        <v>500</v>
      </c>
      <c r="B4" s="4">
        <v>424240</v>
      </c>
      <c r="C4" s="4" t="s">
        <v>3879</v>
      </c>
      <c r="D4" s="44">
        <v>14348</v>
      </c>
    </row>
    <row r="5" spans="1:4" x14ac:dyDescent="0.25">
      <c r="A5" s="16" t="s">
        <v>500</v>
      </c>
      <c r="B5" s="4">
        <v>424245</v>
      </c>
      <c r="C5" s="4" t="s">
        <v>3880</v>
      </c>
      <c r="D5" s="44">
        <v>5188</v>
      </c>
    </row>
    <row r="6" spans="1:4" x14ac:dyDescent="0.25">
      <c r="A6" s="4" t="s">
        <v>500</v>
      </c>
      <c r="B6" s="4">
        <v>424251</v>
      </c>
      <c r="C6" s="4" t="s">
        <v>3881</v>
      </c>
      <c r="D6" s="44">
        <v>13772</v>
      </c>
    </row>
    <row r="7" spans="1:4" x14ac:dyDescent="0.25">
      <c r="A7" s="16" t="s">
        <v>500</v>
      </c>
      <c r="B7" s="4">
        <v>424243</v>
      </c>
      <c r="C7" s="4" t="s">
        <v>3883</v>
      </c>
      <c r="D7" s="44">
        <v>1804</v>
      </c>
    </row>
    <row r="8" spans="1:4" x14ac:dyDescent="0.25">
      <c r="A8" s="16" t="s">
        <v>500</v>
      </c>
      <c r="B8" s="4">
        <v>424229</v>
      </c>
      <c r="C8" s="4" t="s">
        <v>3884</v>
      </c>
      <c r="D8" s="44">
        <v>3367</v>
      </c>
    </row>
    <row r="9" spans="1:4" x14ac:dyDescent="0.25">
      <c r="A9" s="4" t="s">
        <v>24</v>
      </c>
      <c r="B9" s="4">
        <v>422861</v>
      </c>
      <c r="C9" s="4" t="s">
        <v>3776</v>
      </c>
      <c r="D9" s="44">
        <v>9880</v>
      </c>
    </row>
    <row r="10" spans="1:4" x14ac:dyDescent="0.25">
      <c r="A10" s="16" t="s">
        <v>24</v>
      </c>
      <c r="B10" s="4">
        <v>421168</v>
      </c>
      <c r="C10" s="4" t="s">
        <v>3697</v>
      </c>
      <c r="D10" s="44">
        <v>2912</v>
      </c>
    </row>
    <row r="11" spans="1:4" x14ac:dyDescent="0.25">
      <c r="A11" s="16" t="s">
        <v>111</v>
      </c>
      <c r="B11" s="4">
        <v>424454</v>
      </c>
      <c r="C11" s="4" t="s">
        <v>3838</v>
      </c>
      <c r="D11" s="44">
        <v>169636</v>
      </c>
    </row>
    <row r="12" spans="1:4" x14ac:dyDescent="0.25">
      <c r="A12" s="16" t="s">
        <v>111</v>
      </c>
      <c r="B12" s="4">
        <v>423263</v>
      </c>
      <c r="C12" s="4" t="s">
        <v>3809</v>
      </c>
      <c r="D12" s="44">
        <v>14248</v>
      </c>
    </row>
    <row r="13" spans="1:4" x14ac:dyDescent="0.25">
      <c r="A13" s="16" t="s">
        <v>111</v>
      </c>
      <c r="B13" s="4">
        <v>423221</v>
      </c>
      <c r="C13" s="4" t="s">
        <v>3810</v>
      </c>
      <c r="D13" s="44">
        <v>1433</v>
      </c>
    </row>
    <row r="14" spans="1:4" x14ac:dyDescent="0.25">
      <c r="A14" s="4" t="s">
        <v>111</v>
      </c>
      <c r="B14" s="4">
        <v>425004</v>
      </c>
      <c r="C14" s="4" t="s">
        <v>3895</v>
      </c>
      <c r="D14" s="44">
        <v>570</v>
      </c>
    </row>
    <row r="15" spans="1:4" x14ac:dyDescent="0.25">
      <c r="A15" s="4" t="s">
        <v>111</v>
      </c>
      <c r="B15" s="4">
        <v>424563</v>
      </c>
      <c r="C15" s="4" t="s">
        <v>3889</v>
      </c>
      <c r="D15" s="44">
        <v>1139</v>
      </c>
    </row>
    <row r="16" spans="1:4" x14ac:dyDescent="0.25">
      <c r="A16" s="4" t="s">
        <v>111</v>
      </c>
      <c r="B16" s="4">
        <v>424581</v>
      </c>
      <c r="C16" s="4" t="s">
        <v>3890</v>
      </c>
      <c r="D16" s="44">
        <v>570</v>
      </c>
    </row>
    <row r="17" spans="1:4" x14ac:dyDescent="0.25">
      <c r="A17" s="4" t="s">
        <v>111</v>
      </c>
      <c r="B17" s="4">
        <v>425064</v>
      </c>
      <c r="C17" s="4" t="s">
        <v>3896</v>
      </c>
      <c r="D17" s="44">
        <v>570</v>
      </c>
    </row>
    <row r="18" spans="1:4" x14ac:dyDescent="0.25">
      <c r="A18" s="4" t="s">
        <v>111</v>
      </c>
      <c r="B18" s="4">
        <v>425063</v>
      </c>
      <c r="C18" s="4" t="s">
        <v>3897</v>
      </c>
      <c r="D18" s="44">
        <v>190</v>
      </c>
    </row>
    <row r="19" spans="1:4" x14ac:dyDescent="0.25">
      <c r="A19" s="4" t="s">
        <v>111</v>
      </c>
      <c r="B19" s="4">
        <v>425065</v>
      </c>
      <c r="C19" s="4" t="s">
        <v>3898</v>
      </c>
      <c r="D19" s="44">
        <v>190</v>
      </c>
    </row>
    <row r="20" spans="1:4" x14ac:dyDescent="0.25">
      <c r="A20" s="4" t="s">
        <v>111</v>
      </c>
      <c r="B20" s="4">
        <v>425008</v>
      </c>
      <c r="C20" s="4" t="s">
        <v>3899</v>
      </c>
      <c r="D20" s="44">
        <v>380</v>
      </c>
    </row>
    <row r="21" spans="1:4" x14ac:dyDescent="0.25">
      <c r="A21" s="16" t="s">
        <v>111</v>
      </c>
      <c r="B21" s="4">
        <v>424547</v>
      </c>
      <c r="C21" s="4" t="s">
        <v>3891</v>
      </c>
      <c r="D21" s="44">
        <v>190</v>
      </c>
    </row>
    <row r="22" spans="1:4" x14ac:dyDescent="0.25">
      <c r="A22" s="4" t="s">
        <v>111</v>
      </c>
      <c r="B22" s="4">
        <v>424552</v>
      </c>
      <c r="C22" s="4" t="s">
        <v>3892</v>
      </c>
      <c r="D22" s="44">
        <v>760</v>
      </c>
    </row>
    <row r="23" spans="1:4" x14ac:dyDescent="0.25">
      <c r="A23" s="16" t="s">
        <v>111</v>
      </c>
      <c r="B23" s="4">
        <v>424536</v>
      </c>
      <c r="C23" s="4" t="s">
        <v>3893</v>
      </c>
      <c r="D23" s="44">
        <v>570</v>
      </c>
    </row>
    <row r="24" spans="1:4" x14ac:dyDescent="0.25">
      <c r="A24" s="16" t="s">
        <v>111</v>
      </c>
      <c r="B24" s="4">
        <v>424989</v>
      </c>
      <c r="C24" s="4" t="s">
        <v>3900</v>
      </c>
      <c r="D24" s="44">
        <v>250</v>
      </c>
    </row>
    <row r="25" spans="1:4" x14ac:dyDescent="0.25">
      <c r="A25" s="16" t="s">
        <v>567</v>
      </c>
      <c r="B25" s="4">
        <v>423755</v>
      </c>
      <c r="C25" s="4" t="s">
        <v>3901</v>
      </c>
      <c r="D25" s="44">
        <v>35750</v>
      </c>
    </row>
    <row r="26" spans="1:4" x14ac:dyDescent="0.25">
      <c r="A26" s="16" t="s">
        <v>567</v>
      </c>
      <c r="B26" s="4">
        <v>417365</v>
      </c>
      <c r="C26" s="4" t="s">
        <v>3902</v>
      </c>
      <c r="D26" s="44">
        <v>46826</v>
      </c>
    </row>
    <row r="27" spans="1:4" x14ac:dyDescent="0.25">
      <c r="A27" s="4" t="s">
        <v>767</v>
      </c>
      <c r="B27" s="4">
        <v>425028</v>
      </c>
      <c r="C27" s="4" t="s">
        <v>3903</v>
      </c>
      <c r="D27" s="44">
        <v>700</v>
      </c>
    </row>
    <row r="28" spans="1:4" x14ac:dyDescent="0.25">
      <c r="A28" s="4" t="s">
        <v>1419</v>
      </c>
      <c r="B28" s="4">
        <v>423423</v>
      </c>
      <c r="C28" s="4" t="s">
        <v>3783</v>
      </c>
      <c r="D28" s="44">
        <v>660</v>
      </c>
    </row>
    <row r="29" spans="1:4" x14ac:dyDescent="0.25">
      <c r="A29" s="4" t="s">
        <v>1419</v>
      </c>
      <c r="B29" s="4">
        <v>423393</v>
      </c>
      <c r="C29" s="4" t="s">
        <v>3786</v>
      </c>
      <c r="D29" s="44">
        <v>693</v>
      </c>
    </row>
    <row r="30" spans="1:4" x14ac:dyDescent="0.25">
      <c r="A30" s="4" t="s">
        <v>1419</v>
      </c>
      <c r="B30" s="4">
        <v>424953</v>
      </c>
      <c r="C30" s="4" t="s">
        <v>3904</v>
      </c>
      <c r="D30" s="44">
        <v>2340</v>
      </c>
    </row>
    <row r="31" spans="1:4" x14ac:dyDescent="0.25">
      <c r="A31" s="4" t="s">
        <v>1419</v>
      </c>
      <c r="B31" s="4">
        <v>424169</v>
      </c>
      <c r="C31" s="4" t="s">
        <v>3845</v>
      </c>
      <c r="D31" s="44">
        <v>594</v>
      </c>
    </row>
    <row r="32" spans="1:4" x14ac:dyDescent="0.25">
      <c r="A32" s="16" t="s">
        <v>1419</v>
      </c>
      <c r="B32" s="4">
        <v>424109</v>
      </c>
      <c r="C32" s="4" t="s">
        <v>3846</v>
      </c>
      <c r="D32" s="44">
        <v>15477</v>
      </c>
    </row>
    <row r="33" spans="1:4" x14ac:dyDescent="0.25">
      <c r="A33" s="16" t="s">
        <v>1419</v>
      </c>
      <c r="B33" s="4">
        <v>424111</v>
      </c>
      <c r="C33" s="4" t="s">
        <v>3848</v>
      </c>
      <c r="D33" s="44">
        <v>22748</v>
      </c>
    </row>
    <row r="34" spans="1:4" x14ac:dyDescent="0.25">
      <c r="A34" s="4" t="s">
        <v>1419</v>
      </c>
      <c r="B34" s="4">
        <v>424112</v>
      </c>
      <c r="C34" s="4" t="s">
        <v>3850</v>
      </c>
      <c r="D34" s="44">
        <v>198</v>
      </c>
    </row>
    <row r="35" spans="1:4" x14ac:dyDescent="0.25">
      <c r="A35" s="16" t="s">
        <v>1419</v>
      </c>
      <c r="B35" s="4">
        <v>424106</v>
      </c>
      <c r="C35" s="4" t="s">
        <v>3852</v>
      </c>
      <c r="D35" s="44">
        <v>19932</v>
      </c>
    </row>
    <row r="36" spans="1:4" x14ac:dyDescent="0.25">
      <c r="A36" s="16" t="s">
        <v>1419</v>
      </c>
      <c r="B36" s="4">
        <v>424114</v>
      </c>
      <c r="C36" s="4" t="s">
        <v>3853</v>
      </c>
      <c r="D36" s="44">
        <v>594</v>
      </c>
    </row>
    <row r="37" spans="1:4" x14ac:dyDescent="0.25">
      <c r="A37" s="16" t="s">
        <v>1419</v>
      </c>
      <c r="B37" s="4">
        <v>424185</v>
      </c>
      <c r="C37" s="4" t="s">
        <v>3854</v>
      </c>
      <c r="D37" s="44">
        <v>693</v>
      </c>
    </row>
    <row r="38" spans="1:4" x14ac:dyDescent="0.25">
      <c r="A38" s="16" t="s">
        <v>1419</v>
      </c>
      <c r="B38" s="4">
        <v>424108</v>
      </c>
      <c r="C38" s="4" t="s">
        <v>3863</v>
      </c>
      <c r="D38" s="44">
        <v>9042</v>
      </c>
    </row>
    <row r="39" spans="1:4" x14ac:dyDescent="0.25">
      <c r="A39" s="16" t="s">
        <v>1419</v>
      </c>
      <c r="B39" s="4">
        <v>424430</v>
      </c>
      <c r="C39" s="4" t="s">
        <v>3865</v>
      </c>
      <c r="D39" s="44">
        <v>148049</v>
      </c>
    </row>
    <row r="40" spans="1:4" x14ac:dyDescent="0.25">
      <c r="A40" s="16" t="s">
        <v>1419</v>
      </c>
      <c r="B40" s="4">
        <v>424431</v>
      </c>
      <c r="C40" s="4" t="s">
        <v>3866</v>
      </c>
      <c r="D40" s="44">
        <v>78037</v>
      </c>
    </row>
    <row r="41" spans="1:4" x14ac:dyDescent="0.25">
      <c r="A41" s="16" t="s">
        <v>1419</v>
      </c>
      <c r="B41" s="4">
        <v>424432</v>
      </c>
      <c r="C41" s="4" t="s">
        <v>3867</v>
      </c>
      <c r="D41" s="44">
        <v>79365</v>
      </c>
    </row>
    <row r="42" spans="1:4" x14ac:dyDescent="0.25">
      <c r="A42" s="4" t="s">
        <v>1419</v>
      </c>
      <c r="B42" s="4">
        <v>424434</v>
      </c>
      <c r="C42" s="4" t="s">
        <v>3868</v>
      </c>
      <c r="D42" s="44">
        <v>67700</v>
      </c>
    </row>
    <row r="43" spans="1:4" x14ac:dyDescent="0.25">
      <c r="A43" s="16" t="s">
        <v>1419</v>
      </c>
      <c r="B43" s="4">
        <v>424428</v>
      </c>
      <c r="C43" s="4" t="s">
        <v>3869</v>
      </c>
      <c r="D43" s="44">
        <v>94732</v>
      </c>
    </row>
    <row r="44" spans="1:4" x14ac:dyDescent="0.25">
      <c r="A44" s="16" t="s">
        <v>208</v>
      </c>
      <c r="B44" s="4">
        <v>424458</v>
      </c>
      <c r="C44" s="4" t="s">
        <v>3870</v>
      </c>
      <c r="D44" s="44">
        <v>210</v>
      </c>
    </row>
    <row r="45" spans="1:4" x14ac:dyDescent="0.25">
      <c r="A45" s="4" t="s">
        <v>180</v>
      </c>
      <c r="B45" s="4">
        <v>416843</v>
      </c>
      <c r="C45" s="4" t="s">
        <v>3498</v>
      </c>
      <c r="D45" s="44">
        <v>860</v>
      </c>
    </row>
    <row r="46" spans="1:4" x14ac:dyDescent="0.25">
      <c r="A46" s="16" t="s">
        <v>832</v>
      </c>
      <c r="B46" s="4">
        <v>424708</v>
      </c>
      <c r="C46" s="4" t="s">
        <v>3905</v>
      </c>
      <c r="D46" s="44">
        <v>1490</v>
      </c>
    </row>
    <row r="47" spans="1:4" x14ac:dyDescent="0.25">
      <c r="A47" s="4" t="s">
        <v>832</v>
      </c>
      <c r="B47" s="4">
        <v>425030</v>
      </c>
      <c r="C47" s="4" t="s">
        <v>3906</v>
      </c>
      <c r="D47" s="44">
        <v>0</v>
      </c>
    </row>
    <row r="48" spans="1:4" x14ac:dyDescent="0.25">
      <c r="A48" s="16" t="s">
        <v>832</v>
      </c>
      <c r="B48" s="4">
        <v>421292</v>
      </c>
      <c r="C48" s="4" t="s">
        <v>3894</v>
      </c>
      <c r="D48" s="44">
        <v>375</v>
      </c>
    </row>
    <row r="49" spans="1:4" x14ac:dyDescent="0.25">
      <c r="A49" s="16" t="s">
        <v>2499</v>
      </c>
      <c r="B49" s="4">
        <v>423988</v>
      </c>
      <c r="C49" s="4" t="s">
        <v>3907</v>
      </c>
      <c r="D49" s="44">
        <v>455</v>
      </c>
    </row>
    <row r="50" spans="1:4" x14ac:dyDescent="0.25">
      <c r="A50" s="16" t="s">
        <v>2831</v>
      </c>
      <c r="B50" s="4">
        <v>422206</v>
      </c>
      <c r="C50" s="4" t="s">
        <v>3751</v>
      </c>
      <c r="D50" s="44">
        <v>714</v>
      </c>
    </row>
    <row r="51" spans="1:4" x14ac:dyDescent="0.25">
      <c r="A51" s="16" t="s">
        <v>2831</v>
      </c>
      <c r="B51" s="4">
        <v>422113</v>
      </c>
      <c r="C51" s="4" t="s">
        <v>3752</v>
      </c>
      <c r="D51" s="44">
        <v>1742</v>
      </c>
    </row>
    <row r="52" spans="1:4" x14ac:dyDescent="0.25">
      <c r="A52" s="4" t="s">
        <v>2831</v>
      </c>
      <c r="B52" s="4">
        <v>422112</v>
      </c>
      <c r="C52" s="4" t="s">
        <v>3753</v>
      </c>
      <c r="D52" s="44">
        <v>9578</v>
      </c>
    </row>
    <row r="53" spans="1:4" hidden="1" x14ac:dyDescent="0.25">
      <c r="A53" s="16"/>
      <c r="B53" s="4"/>
      <c r="C53" s="4"/>
      <c r="D53" s="44"/>
    </row>
    <row r="54" spans="1:4" hidden="1" x14ac:dyDescent="0.25">
      <c r="A54" s="16"/>
      <c r="B54" s="4"/>
      <c r="C54" s="4"/>
      <c r="D54" s="44"/>
    </row>
    <row r="55" spans="1:4" hidden="1" x14ac:dyDescent="0.25">
      <c r="A55" s="4"/>
      <c r="B55" s="4"/>
      <c r="C55" s="4"/>
      <c r="D55" s="44"/>
    </row>
    <row r="56" spans="1:4" hidden="1" x14ac:dyDescent="0.25">
      <c r="A56" s="16"/>
      <c r="B56" s="4"/>
      <c r="C56" s="4"/>
      <c r="D56" s="44"/>
    </row>
    <row r="57" spans="1:4" hidden="1" x14ac:dyDescent="0.25">
      <c r="A57" s="16"/>
      <c r="B57" s="4"/>
      <c r="C57" s="4"/>
      <c r="D57" s="44"/>
    </row>
    <row r="58" spans="1:4" hidden="1" x14ac:dyDescent="0.25">
      <c r="A58" s="16"/>
      <c r="B58" s="4"/>
      <c r="C58" s="4"/>
      <c r="D58" s="44"/>
    </row>
    <row r="59" spans="1:4" hidden="1" x14ac:dyDescent="0.25">
      <c r="A59" s="16"/>
      <c r="B59" s="4"/>
      <c r="C59" s="4"/>
      <c r="D59" s="44"/>
    </row>
    <row r="60" spans="1:4" hidden="1" x14ac:dyDescent="0.25">
      <c r="A60" s="16"/>
      <c r="B60" s="4"/>
      <c r="C60" s="4"/>
      <c r="D60" s="44"/>
    </row>
    <row r="61" spans="1:4" hidden="1" x14ac:dyDescent="0.25">
      <c r="A61" s="16"/>
      <c r="B61" s="4"/>
      <c r="C61" s="4"/>
      <c r="D61" s="44"/>
    </row>
    <row r="62" spans="1:4" hidden="1" x14ac:dyDescent="0.25">
      <c r="A62" s="16"/>
      <c r="B62" s="4"/>
      <c r="C62" s="4"/>
      <c r="D62" s="44"/>
    </row>
    <row r="63" spans="1:4" hidden="1" x14ac:dyDescent="0.25">
      <c r="A63" s="16"/>
      <c r="B63" s="4"/>
      <c r="C63" s="4"/>
      <c r="D63" s="44"/>
    </row>
    <row r="64" spans="1:4" hidden="1" x14ac:dyDescent="0.25">
      <c r="A64" s="4"/>
      <c r="B64" s="4"/>
      <c r="C64" s="4"/>
      <c r="D64" s="44"/>
    </row>
    <row r="65" spans="1:4" hidden="1" x14ac:dyDescent="0.25">
      <c r="A65" s="4"/>
      <c r="B65" s="4"/>
      <c r="C65" s="4"/>
      <c r="D65" s="44"/>
    </row>
    <row r="66" spans="1:4" hidden="1" x14ac:dyDescent="0.25">
      <c r="A66" s="4"/>
      <c r="B66" s="4"/>
      <c r="C66" s="4"/>
      <c r="D66" s="44"/>
    </row>
    <row r="67" spans="1:4" hidden="1" x14ac:dyDescent="0.25">
      <c r="A67" s="4"/>
      <c r="B67" s="4"/>
      <c r="C67" s="4"/>
      <c r="D67" s="44"/>
    </row>
    <row r="68" spans="1:4" hidden="1" x14ac:dyDescent="0.25">
      <c r="A68" s="4"/>
      <c r="B68" s="4"/>
      <c r="C68" s="4"/>
      <c r="D68" s="44"/>
    </row>
    <row r="69" spans="1:4" hidden="1" x14ac:dyDescent="0.25">
      <c r="A69" s="4"/>
      <c r="B69" s="4"/>
      <c r="C69" s="4"/>
      <c r="D69" s="44"/>
    </row>
    <row r="70" spans="1:4" hidden="1" x14ac:dyDescent="0.25">
      <c r="A70" s="4"/>
      <c r="B70" s="4"/>
      <c r="C70" s="4"/>
      <c r="D70" s="44"/>
    </row>
    <row r="71" spans="1:4" hidden="1" x14ac:dyDescent="0.25">
      <c r="A71" s="4"/>
      <c r="B71" s="4"/>
      <c r="C71" s="4"/>
      <c r="D71" s="44"/>
    </row>
    <row r="72" spans="1:4" hidden="1" x14ac:dyDescent="0.25">
      <c r="A72" s="4"/>
      <c r="B72" s="4"/>
      <c r="C72" s="4"/>
      <c r="D72" s="44"/>
    </row>
    <row r="73" spans="1:4" hidden="1" x14ac:dyDescent="0.25">
      <c r="A73" s="4"/>
      <c r="B73" s="4"/>
      <c r="C73" s="4"/>
      <c r="D73" s="44"/>
    </row>
    <row r="74" spans="1:4" hidden="1" x14ac:dyDescent="0.25">
      <c r="A74" s="4"/>
      <c r="B74" s="4"/>
      <c r="C74" s="4"/>
      <c r="D74" s="44"/>
    </row>
    <row r="75" spans="1:4" hidden="1" x14ac:dyDescent="0.25">
      <c r="A75" s="4"/>
      <c r="B75" s="4"/>
      <c r="C75" s="4"/>
      <c r="D75" s="44"/>
    </row>
    <row r="76" spans="1:4" hidden="1" x14ac:dyDescent="0.25">
      <c r="A76" s="4"/>
      <c r="B76" s="4"/>
      <c r="C76" s="4"/>
      <c r="D76" s="44"/>
    </row>
    <row r="77" spans="1:4" hidden="1" x14ac:dyDescent="0.25"/>
    <row r="78" spans="1:4" hidden="1" x14ac:dyDescent="0.25"/>
    <row r="79" spans="1:4" hidden="1" x14ac:dyDescent="0.25"/>
    <row r="80" spans="1:4" hidden="1" x14ac:dyDescent="0.25"/>
    <row r="81" spans="3:4" hidden="1" x14ac:dyDescent="0.25"/>
    <row r="82" spans="3:4" hidden="1" x14ac:dyDescent="0.25"/>
    <row r="83" spans="3:4" hidden="1" x14ac:dyDescent="0.25"/>
    <row r="84" spans="3:4" hidden="1" x14ac:dyDescent="0.25"/>
    <row r="85" spans="3:4" hidden="1" x14ac:dyDescent="0.25"/>
    <row r="86" spans="3:4" hidden="1" x14ac:dyDescent="0.25"/>
    <row r="87" spans="3:4" hidden="1" x14ac:dyDescent="0.25"/>
    <row r="88" spans="3:4" hidden="1" x14ac:dyDescent="0.25"/>
    <row r="89" spans="3:4" hidden="1" x14ac:dyDescent="0.25"/>
    <row r="90" spans="3:4" hidden="1" x14ac:dyDescent="0.25"/>
    <row r="91" spans="3:4" hidden="1" x14ac:dyDescent="0.25"/>
    <row r="92" spans="3:4" x14ac:dyDescent="0.25">
      <c r="C92" s="31" t="s">
        <v>2502</v>
      </c>
      <c r="D92" s="43">
        <f>SUM(D2,D25:D76)</f>
        <v>640896</v>
      </c>
    </row>
    <row r="93" spans="3:4" x14ac:dyDescent="0.25">
      <c r="C93" s="31" t="s">
        <v>2501</v>
      </c>
      <c r="D93" s="43">
        <f>SUM(D3:D24)</f>
        <v>254688</v>
      </c>
    </row>
    <row r="94" spans="3:4" x14ac:dyDescent="0.25">
      <c r="C94" s="31" t="s">
        <v>83</v>
      </c>
      <c r="D94" s="43">
        <f>SUM(D2:D76)</f>
        <v>895584</v>
      </c>
    </row>
    <row r="100" spans="4:4" x14ac:dyDescent="0.25">
      <c r="D100" s="43"/>
    </row>
  </sheetData>
  <printOptions horizontalCentered="1"/>
  <pageMargins left="0.7" right="0.7" top="1" bottom="0.75" header="0.3" footer="0.3"/>
  <pageSetup paperSize="5" scale="61" orientation="portrait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2F5F-8CD0-4FDD-B683-CBFAEBD950E8}">
  <dimension ref="A1:D100"/>
  <sheetViews>
    <sheetView view="pageBreakPreview" topLeftCell="A10" zoomScaleNormal="100" zoomScaleSheetLayoutView="100" workbookViewId="0">
      <selection activeCell="D94" sqref="D94"/>
    </sheetView>
  </sheetViews>
  <sheetFormatPr defaultRowHeight="15" x14ac:dyDescent="0.25"/>
  <cols>
    <col min="1" max="1" width="44" bestFit="1" customWidth="1"/>
    <col min="2" max="2" width="11" bestFit="1" customWidth="1"/>
    <col min="3" max="3" width="80.7109375" bestFit="1" customWidth="1"/>
    <col min="4" max="4" width="14.28515625" bestFit="1" customWidth="1"/>
  </cols>
  <sheetData>
    <row r="1" spans="1:4" s="45" customFormat="1" x14ac:dyDescent="0.25">
      <c r="A1" s="6" t="s">
        <v>0</v>
      </c>
      <c r="B1" s="6" t="s">
        <v>1</v>
      </c>
      <c r="C1" s="6" t="s">
        <v>2</v>
      </c>
      <c r="D1" s="6" t="s">
        <v>4</v>
      </c>
    </row>
    <row r="2" spans="1:4" x14ac:dyDescent="0.25">
      <c r="A2" s="16" t="s">
        <v>256</v>
      </c>
      <c r="B2" s="4">
        <v>421688</v>
      </c>
      <c r="C2" s="4" t="s">
        <v>3712</v>
      </c>
      <c r="D2" s="44">
        <v>1342</v>
      </c>
    </row>
    <row r="3" spans="1:4" x14ac:dyDescent="0.25">
      <c r="A3" s="16" t="s">
        <v>500</v>
      </c>
      <c r="B3" s="4">
        <v>419731</v>
      </c>
      <c r="C3" s="4" t="s">
        <v>3696</v>
      </c>
      <c r="D3" s="44">
        <v>12721</v>
      </c>
    </row>
    <row r="4" spans="1:4" x14ac:dyDescent="0.25">
      <c r="A4" s="16" t="s">
        <v>61</v>
      </c>
      <c r="B4" s="4">
        <v>425426</v>
      </c>
      <c r="C4" s="4" t="s">
        <v>3908</v>
      </c>
      <c r="D4" s="44">
        <v>4562</v>
      </c>
    </row>
    <row r="5" spans="1:4" x14ac:dyDescent="0.25">
      <c r="A5" s="16" t="s">
        <v>24</v>
      </c>
      <c r="B5" s="4">
        <v>421168</v>
      </c>
      <c r="C5" s="4" t="s">
        <v>3697</v>
      </c>
      <c r="D5" s="44">
        <v>2912</v>
      </c>
    </row>
    <row r="6" spans="1:4" x14ac:dyDescent="0.25">
      <c r="A6" s="4" t="s">
        <v>111</v>
      </c>
      <c r="B6" s="4">
        <v>425422</v>
      </c>
      <c r="C6" s="4" t="s">
        <v>3909</v>
      </c>
      <c r="D6" s="44">
        <v>64812</v>
      </c>
    </row>
    <row r="7" spans="1:4" x14ac:dyDescent="0.25">
      <c r="A7" s="16" t="s">
        <v>111</v>
      </c>
      <c r="B7" s="4">
        <v>424454</v>
      </c>
      <c r="C7" s="4" t="s">
        <v>3838</v>
      </c>
      <c r="D7" s="44">
        <v>169636</v>
      </c>
    </row>
    <row r="8" spans="1:4" x14ac:dyDescent="0.25">
      <c r="A8" s="16" t="s">
        <v>111</v>
      </c>
      <c r="B8" s="4">
        <v>425367</v>
      </c>
      <c r="C8" s="4" t="s">
        <v>3910</v>
      </c>
      <c r="D8" s="44">
        <v>30598</v>
      </c>
    </row>
    <row r="9" spans="1:4" x14ac:dyDescent="0.25">
      <c r="A9" s="4" t="s">
        <v>111</v>
      </c>
      <c r="B9" s="4">
        <v>423263</v>
      </c>
      <c r="C9" s="4" t="s">
        <v>3809</v>
      </c>
      <c r="D9" s="44">
        <v>14248</v>
      </c>
    </row>
    <row r="10" spans="1:4" x14ac:dyDescent="0.25">
      <c r="A10" s="16" t="s">
        <v>111</v>
      </c>
      <c r="B10" s="4">
        <v>423221</v>
      </c>
      <c r="C10" s="4" t="s">
        <v>3810</v>
      </c>
      <c r="D10" s="44">
        <v>1433</v>
      </c>
    </row>
    <row r="11" spans="1:4" x14ac:dyDescent="0.25">
      <c r="A11" s="16" t="s">
        <v>111</v>
      </c>
      <c r="B11" s="4">
        <v>425414</v>
      </c>
      <c r="C11" s="4" t="s">
        <v>3911</v>
      </c>
      <c r="D11" s="44">
        <v>1209</v>
      </c>
    </row>
    <row r="12" spans="1:4" x14ac:dyDescent="0.25">
      <c r="A12" s="16" t="s">
        <v>111</v>
      </c>
      <c r="B12" s="4">
        <v>425480</v>
      </c>
      <c r="C12" s="4" t="s">
        <v>3912</v>
      </c>
      <c r="D12" s="44">
        <v>570</v>
      </c>
    </row>
    <row r="13" spans="1:4" x14ac:dyDescent="0.25">
      <c r="A13" s="16" t="s">
        <v>111</v>
      </c>
      <c r="B13" s="4">
        <v>425530</v>
      </c>
      <c r="C13" s="4" t="s">
        <v>3913</v>
      </c>
      <c r="D13" s="44">
        <v>570</v>
      </c>
    </row>
    <row r="14" spans="1:4" x14ac:dyDescent="0.25">
      <c r="A14" s="4" t="s">
        <v>111</v>
      </c>
      <c r="B14" s="4">
        <v>425295</v>
      </c>
      <c r="C14" s="4" t="s">
        <v>3914</v>
      </c>
      <c r="D14" s="44">
        <v>950</v>
      </c>
    </row>
    <row r="15" spans="1:4" x14ac:dyDescent="0.25">
      <c r="A15" s="4" t="s">
        <v>111</v>
      </c>
      <c r="B15" s="4">
        <v>425294</v>
      </c>
      <c r="C15" s="4" t="s">
        <v>3915</v>
      </c>
      <c r="D15" s="44">
        <v>981</v>
      </c>
    </row>
    <row r="16" spans="1:4" x14ac:dyDescent="0.25">
      <c r="A16" s="4" t="s">
        <v>111</v>
      </c>
      <c r="B16" s="4">
        <v>425468</v>
      </c>
      <c r="C16" s="4" t="s">
        <v>3916</v>
      </c>
      <c r="D16" s="44">
        <v>570</v>
      </c>
    </row>
    <row r="17" spans="1:4" x14ac:dyDescent="0.25">
      <c r="A17" s="4" t="s">
        <v>111</v>
      </c>
      <c r="B17" s="4">
        <v>425471</v>
      </c>
      <c r="C17" s="4" t="s">
        <v>3917</v>
      </c>
      <c r="D17" s="44">
        <v>760</v>
      </c>
    </row>
    <row r="18" spans="1:4" x14ac:dyDescent="0.25">
      <c r="A18" s="4" t="s">
        <v>2831</v>
      </c>
      <c r="B18" s="4">
        <v>422206</v>
      </c>
      <c r="C18" s="4" t="s">
        <v>3751</v>
      </c>
      <c r="D18" s="44">
        <v>714</v>
      </c>
    </row>
    <row r="19" spans="1:4" x14ac:dyDescent="0.25">
      <c r="A19" s="4" t="s">
        <v>2831</v>
      </c>
      <c r="B19" s="4">
        <v>422113</v>
      </c>
      <c r="C19" s="4" t="s">
        <v>3752</v>
      </c>
      <c r="D19" s="44">
        <v>1742</v>
      </c>
    </row>
    <row r="20" spans="1:4" x14ac:dyDescent="0.25">
      <c r="A20" s="4" t="s">
        <v>2831</v>
      </c>
      <c r="B20" s="4">
        <v>422112</v>
      </c>
      <c r="C20" s="4" t="s">
        <v>3753</v>
      </c>
      <c r="D20" s="44">
        <v>9578</v>
      </c>
    </row>
    <row r="21" spans="1:4" x14ac:dyDescent="0.25">
      <c r="A21" s="16" t="s">
        <v>2160</v>
      </c>
      <c r="B21" s="4">
        <v>423589</v>
      </c>
      <c r="C21" s="4" t="s">
        <v>3918</v>
      </c>
      <c r="D21" s="44">
        <v>390</v>
      </c>
    </row>
    <row r="22" spans="1:4" x14ac:dyDescent="0.25">
      <c r="A22" s="4" t="s">
        <v>175</v>
      </c>
      <c r="B22" s="4">
        <v>424817</v>
      </c>
      <c r="C22" s="4" t="s">
        <v>3919</v>
      </c>
      <c r="D22" s="44">
        <v>2495</v>
      </c>
    </row>
    <row r="23" spans="1:4" x14ac:dyDescent="0.25">
      <c r="A23" s="16" t="s">
        <v>767</v>
      </c>
      <c r="B23" s="4">
        <v>425028</v>
      </c>
      <c r="C23" s="4" t="s">
        <v>3903</v>
      </c>
      <c r="D23" s="44">
        <v>700</v>
      </c>
    </row>
    <row r="24" spans="1:4" x14ac:dyDescent="0.25">
      <c r="A24" s="16" t="s">
        <v>1419</v>
      </c>
      <c r="B24" s="4">
        <v>425406</v>
      </c>
      <c r="C24" s="4" t="s">
        <v>3920</v>
      </c>
      <c r="D24" s="44">
        <v>66</v>
      </c>
    </row>
    <row r="25" spans="1:4" x14ac:dyDescent="0.25">
      <c r="A25" s="16" t="s">
        <v>180</v>
      </c>
      <c r="B25" s="4">
        <v>416843</v>
      </c>
      <c r="C25" s="4" t="s">
        <v>3498</v>
      </c>
      <c r="D25" s="44">
        <v>860</v>
      </c>
    </row>
    <row r="26" spans="1:4" x14ac:dyDescent="0.25">
      <c r="A26" s="16" t="s">
        <v>269</v>
      </c>
      <c r="B26" s="4">
        <v>425467</v>
      </c>
      <c r="C26" s="4" t="s">
        <v>3921</v>
      </c>
      <c r="D26" s="44">
        <v>4000</v>
      </c>
    </row>
    <row r="27" spans="1:4" x14ac:dyDescent="0.25">
      <c r="A27" s="4" t="s">
        <v>315</v>
      </c>
      <c r="B27" s="4">
        <v>425041</v>
      </c>
      <c r="C27" s="4" t="s">
        <v>3922</v>
      </c>
      <c r="D27" s="44">
        <v>1449</v>
      </c>
    </row>
    <row r="28" spans="1:4" x14ac:dyDescent="0.25">
      <c r="A28" s="4" t="s">
        <v>315</v>
      </c>
      <c r="B28" s="4">
        <v>425442</v>
      </c>
      <c r="C28" s="4" t="s">
        <v>3923</v>
      </c>
      <c r="D28" s="44">
        <v>5070</v>
      </c>
    </row>
    <row r="29" spans="1:4" x14ac:dyDescent="0.25">
      <c r="A29" s="4" t="s">
        <v>315</v>
      </c>
      <c r="B29" s="4">
        <v>423631</v>
      </c>
      <c r="C29" s="4" t="s">
        <v>3924</v>
      </c>
      <c r="D29" s="44">
        <v>495</v>
      </c>
    </row>
    <row r="30" spans="1:4" x14ac:dyDescent="0.25">
      <c r="A30" s="4" t="s">
        <v>832</v>
      </c>
      <c r="B30" s="4">
        <v>424769</v>
      </c>
      <c r="C30" s="4" t="s">
        <v>3925</v>
      </c>
      <c r="D30" s="44">
        <v>595</v>
      </c>
    </row>
    <row r="31" spans="1:4" x14ac:dyDescent="0.25">
      <c r="A31" s="4" t="s">
        <v>995</v>
      </c>
      <c r="B31" s="4">
        <v>425427</v>
      </c>
      <c r="C31" s="4" t="s">
        <v>3926</v>
      </c>
      <c r="D31" s="44">
        <v>1075</v>
      </c>
    </row>
    <row r="32" spans="1:4" x14ac:dyDescent="0.25">
      <c r="A32" s="16" t="s">
        <v>50</v>
      </c>
      <c r="B32" s="4">
        <v>425405</v>
      </c>
      <c r="C32" s="4" t="s">
        <v>3927</v>
      </c>
      <c r="D32" s="44">
        <v>346</v>
      </c>
    </row>
    <row r="33" spans="1:4" x14ac:dyDescent="0.25">
      <c r="A33" s="16" t="s">
        <v>52</v>
      </c>
      <c r="B33" s="4">
        <v>425228</v>
      </c>
      <c r="C33" s="4" t="s">
        <v>3928</v>
      </c>
      <c r="D33" s="44">
        <v>891</v>
      </c>
    </row>
    <row r="34" spans="1:4" x14ac:dyDescent="0.25">
      <c r="A34" s="4" t="s">
        <v>332</v>
      </c>
      <c r="B34" s="4">
        <v>425450</v>
      </c>
      <c r="C34" s="4" t="s">
        <v>3929</v>
      </c>
      <c r="D34" s="44">
        <v>195</v>
      </c>
    </row>
    <row r="35" spans="1:4" hidden="1" x14ac:dyDescent="0.25">
      <c r="A35" s="16"/>
      <c r="B35" s="4"/>
      <c r="C35" s="4"/>
      <c r="D35" s="44"/>
    </row>
    <row r="36" spans="1:4" hidden="1" x14ac:dyDescent="0.25">
      <c r="A36" s="16"/>
      <c r="B36" s="4"/>
      <c r="C36" s="4"/>
      <c r="D36" s="44"/>
    </row>
    <row r="37" spans="1:4" hidden="1" x14ac:dyDescent="0.25">
      <c r="A37" s="16"/>
      <c r="B37" s="4"/>
      <c r="C37" s="4"/>
      <c r="D37" s="44"/>
    </row>
    <row r="38" spans="1:4" hidden="1" x14ac:dyDescent="0.25">
      <c r="A38" s="16"/>
      <c r="B38" s="4"/>
      <c r="C38" s="4"/>
      <c r="D38" s="44"/>
    </row>
    <row r="39" spans="1:4" hidden="1" x14ac:dyDescent="0.25">
      <c r="A39" s="16"/>
      <c r="B39" s="4"/>
      <c r="C39" s="4"/>
      <c r="D39" s="44"/>
    </row>
    <row r="40" spans="1:4" hidden="1" x14ac:dyDescent="0.25">
      <c r="A40" s="16"/>
      <c r="B40" s="4"/>
      <c r="C40" s="4"/>
      <c r="D40" s="44"/>
    </row>
    <row r="41" spans="1:4" hidden="1" x14ac:dyDescent="0.25">
      <c r="A41" s="16"/>
      <c r="B41" s="4"/>
      <c r="C41" s="4"/>
      <c r="D41" s="44"/>
    </row>
    <row r="42" spans="1:4" hidden="1" x14ac:dyDescent="0.25">
      <c r="A42" s="4"/>
      <c r="B42" s="4"/>
      <c r="C42" s="4"/>
      <c r="D42" s="44"/>
    </row>
    <row r="43" spans="1:4" hidden="1" x14ac:dyDescent="0.25">
      <c r="A43" s="16"/>
      <c r="B43" s="4"/>
      <c r="C43" s="4"/>
      <c r="D43" s="44"/>
    </row>
    <row r="44" spans="1:4" hidden="1" x14ac:dyDescent="0.25">
      <c r="A44" s="16"/>
      <c r="B44" s="4"/>
      <c r="C44" s="4"/>
      <c r="D44" s="44"/>
    </row>
    <row r="45" spans="1:4" hidden="1" x14ac:dyDescent="0.25">
      <c r="A45" s="4"/>
      <c r="B45" s="4"/>
      <c r="C45" s="4"/>
      <c r="D45" s="44"/>
    </row>
    <row r="46" spans="1:4" hidden="1" x14ac:dyDescent="0.25">
      <c r="A46" s="16"/>
      <c r="B46" s="4"/>
      <c r="C46" s="4"/>
      <c r="D46" s="44"/>
    </row>
    <row r="47" spans="1:4" hidden="1" x14ac:dyDescent="0.25">
      <c r="A47" s="4"/>
      <c r="B47" s="4"/>
      <c r="C47" s="4"/>
      <c r="D47" s="44"/>
    </row>
    <row r="48" spans="1:4" hidden="1" x14ac:dyDescent="0.25">
      <c r="A48" s="16"/>
      <c r="B48" s="4"/>
      <c r="C48" s="4"/>
      <c r="D48" s="44"/>
    </row>
    <row r="49" spans="1:4" hidden="1" x14ac:dyDescent="0.25">
      <c r="A49" s="16"/>
      <c r="B49" s="4"/>
      <c r="C49" s="4"/>
      <c r="D49" s="44"/>
    </row>
    <row r="50" spans="1:4" hidden="1" x14ac:dyDescent="0.25">
      <c r="A50" s="16"/>
      <c r="B50" s="4"/>
      <c r="C50" s="4"/>
      <c r="D50" s="44"/>
    </row>
    <row r="51" spans="1:4" hidden="1" x14ac:dyDescent="0.25">
      <c r="A51" s="16"/>
      <c r="B51" s="4"/>
      <c r="C51" s="4"/>
      <c r="D51" s="44"/>
    </row>
    <row r="52" spans="1:4" hidden="1" x14ac:dyDescent="0.25">
      <c r="A52" s="4"/>
      <c r="B52" s="4"/>
      <c r="C52" s="4"/>
      <c r="D52" s="44"/>
    </row>
    <row r="53" spans="1:4" hidden="1" x14ac:dyDescent="0.25">
      <c r="A53" s="16"/>
      <c r="B53" s="4"/>
      <c r="C53" s="4"/>
      <c r="D53" s="44"/>
    </row>
    <row r="54" spans="1:4" hidden="1" x14ac:dyDescent="0.25">
      <c r="A54" s="16"/>
      <c r="B54" s="4"/>
      <c r="C54" s="4"/>
      <c r="D54" s="44"/>
    </row>
    <row r="55" spans="1:4" hidden="1" x14ac:dyDescent="0.25">
      <c r="A55" s="4"/>
      <c r="B55" s="4"/>
      <c r="C55" s="4"/>
      <c r="D55" s="44"/>
    </row>
    <row r="56" spans="1:4" hidden="1" x14ac:dyDescent="0.25">
      <c r="A56" s="16"/>
      <c r="B56" s="4"/>
      <c r="C56" s="4"/>
      <c r="D56" s="44"/>
    </row>
    <row r="57" spans="1:4" hidden="1" x14ac:dyDescent="0.25">
      <c r="A57" s="16"/>
      <c r="B57" s="4"/>
      <c r="C57" s="4"/>
      <c r="D57" s="44"/>
    </row>
    <row r="58" spans="1:4" hidden="1" x14ac:dyDescent="0.25">
      <c r="A58" s="16"/>
      <c r="B58" s="4"/>
      <c r="C58" s="4"/>
      <c r="D58" s="44"/>
    </row>
    <row r="59" spans="1:4" hidden="1" x14ac:dyDescent="0.25">
      <c r="A59" s="16"/>
      <c r="B59" s="4"/>
      <c r="C59" s="4"/>
      <c r="D59" s="44"/>
    </row>
    <row r="60" spans="1:4" hidden="1" x14ac:dyDescent="0.25">
      <c r="A60" s="16"/>
      <c r="B60" s="4"/>
      <c r="C60" s="4"/>
      <c r="D60" s="44"/>
    </row>
    <row r="61" spans="1:4" hidden="1" x14ac:dyDescent="0.25">
      <c r="A61" s="16"/>
      <c r="B61" s="4"/>
      <c r="C61" s="4"/>
      <c r="D61" s="44"/>
    </row>
    <row r="62" spans="1:4" hidden="1" x14ac:dyDescent="0.25">
      <c r="A62" s="16"/>
      <c r="B62" s="4"/>
      <c r="C62" s="4"/>
      <c r="D62" s="44"/>
    </row>
    <row r="63" spans="1:4" hidden="1" x14ac:dyDescent="0.25">
      <c r="A63" s="16"/>
      <c r="B63" s="4"/>
      <c r="C63" s="4"/>
      <c r="D63" s="44"/>
    </row>
    <row r="64" spans="1:4" hidden="1" x14ac:dyDescent="0.25">
      <c r="A64" s="4"/>
      <c r="B64" s="4"/>
      <c r="C64" s="4"/>
      <c r="D64" s="44"/>
    </row>
    <row r="65" spans="1:4" hidden="1" x14ac:dyDescent="0.25">
      <c r="A65" s="4"/>
      <c r="B65" s="4"/>
      <c r="C65" s="4"/>
      <c r="D65" s="44"/>
    </row>
    <row r="66" spans="1:4" hidden="1" x14ac:dyDescent="0.25">
      <c r="A66" s="4"/>
      <c r="B66" s="4"/>
      <c r="C66" s="4"/>
      <c r="D66" s="44"/>
    </row>
    <row r="67" spans="1:4" hidden="1" x14ac:dyDescent="0.25">
      <c r="A67" s="4"/>
      <c r="B67" s="4"/>
      <c r="C67" s="4"/>
      <c r="D67" s="44"/>
    </row>
    <row r="68" spans="1:4" hidden="1" x14ac:dyDescent="0.25">
      <c r="A68" s="4"/>
      <c r="B68" s="4"/>
      <c r="C68" s="4"/>
      <c r="D68" s="44"/>
    </row>
    <row r="69" spans="1:4" hidden="1" x14ac:dyDescent="0.25">
      <c r="A69" s="4"/>
      <c r="B69" s="4"/>
      <c r="C69" s="4"/>
      <c r="D69" s="44"/>
    </row>
    <row r="70" spans="1:4" hidden="1" x14ac:dyDescent="0.25">
      <c r="A70" s="4"/>
      <c r="B70" s="4"/>
      <c r="C70" s="4"/>
      <c r="D70" s="44"/>
    </row>
    <row r="71" spans="1:4" hidden="1" x14ac:dyDescent="0.25">
      <c r="A71" s="4"/>
      <c r="B71" s="4"/>
      <c r="C71" s="4"/>
      <c r="D71" s="44"/>
    </row>
    <row r="72" spans="1:4" hidden="1" x14ac:dyDescent="0.25">
      <c r="A72" s="4"/>
      <c r="B72" s="4"/>
      <c r="C72" s="4"/>
      <c r="D72" s="44"/>
    </row>
    <row r="73" spans="1:4" hidden="1" x14ac:dyDescent="0.25">
      <c r="A73" s="4"/>
      <c r="B73" s="4"/>
      <c r="C73" s="4"/>
      <c r="D73" s="44"/>
    </row>
    <row r="74" spans="1:4" hidden="1" x14ac:dyDescent="0.25">
      <c r="A74" s="4"/>
      <c r="B74" s="4"/>
      <c r="C74" s="4"/>
      <c r="D74" s="44"/>
    </row>
    <row r="75" spans="1:4" hidden="1" x14ac:dyDescent="0.25">
      <c r="A75" s="4"/>
      <c r="B75" s="4"/>
      <c r="C75" s="4"/>
      <c r="D75" s="44"/>
    </row>
    <row r="76" spans="1:4" hidden="1" x14ac:dyDescent="0.25">
      <c r="A76" s="4"/>
      <c r="B76" s="4"/>
      <c r="C76" s="4"/>
      <c r="D76" s="44"/>
    </row>
    <row r="77" spans="1:4" hidden="1" x14ac:dyDescent="0.25"/>
    <row r="78" spans="1:4" hidden="1" x14ac:dyDescent="0.25"/>
    <row r="79" spans="1:4" hidden="1" x14ac:dyDescent="0.25"/>
    <row r="80" spans="1:4" hidden="1" x14ac:dyDescent="0.25"/>
    <row r="81" spans="3:4" hidden="1" x14ac:dyDescent="0.25"/>
    <row r="82" spans="3:4" hidden="1" x14ac:dyDescent="0.25"/>
    <row r="83" spans="3:4" hidden="1" x14ac:dyDescent="0.25"/>
    <row r="84" spans="3:4" hidden="1" x14ac:dyDescent="0.25"/>
    <row r="85" spans="3:4" hidden="1" x14ac:dyDescent="0.25"/>
    <row r="86" spans="3:4" hidden="1" x14ac:dyDescent="0.25"/>
    <row r="87" spans="3:4" hidden="1" x14ac:dyDescent="0.25"/>
    <row r="88" spans="3:4" hidden="1" x14ac:dyDescent="0.25"/>
    <row r="89" spans="3:4" hidden="1" x14ac:dyDescent="0.25"/>
    <row r="90" spans="3:4" hidden="1" x14ac:dyDescent="0.25"/>
    <row r="91" spans="3:4" hidden="1" x14ac:dyDescent="0.25"/>
    <row r="92" spans="3:4" x14ac:dyDescent="0.25">
      <c r="C92" s="31" t="s">
        <v>2502</v>
      </c>
      <c r="D92" s="43">
        <f>SUM(D2,D21:D72)</f>
        <v>19969</v>
      </c>
    </row>
    <row r="93" spans="3:4" x14ac:dyDescent="0.25">
      <c r="C93" s="31" t="s">
        <v>2501</v>
      </c>
      <c r="D93" s="43">
        <f>SUM(D3:D20)</f>
        <v>318566</v>
      </c>
    </row>
    <row r="94" spans="3:4" x14ac:dyDescent="0.25">
      <c r="C94" s="31" t="s">
        <v>83</v>
      </c>
      <c r="D94" s="43">
        <f>SUM(D2:D76)</f>
        <v>338535</v>
      </c>
    </row>
    <row r="100" spans="4:4" x14ac:dyDescent="0.25">
      <c r="D100" s="43"/>
    </row>
  </sheetData>
  <printOptions horizontalCentered="1"/>
  <pageMargins left="0.7" right="0.7" top="1" bottom="0.75" header="0.3" footer="0.3"/>
  <pageSetup paperSize="5" scale="61" orientation="portrait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97C3-234F-43D7-89E2-49D74BF7BFF6}">
  <dimension ref="A1:D100"/>
  <sheetViews>
    <sheetView view="pageBreakPreview" zoomScaleNormal="100" zoomScaleSheetLayoutView="100" workbookViewId="0">
      <selection activeCell="D94" sqref="D94"/>
    </sheetView>
  </sheetViews>
  <sheetFormatPr defaultRowHeight="15" x14ac:dyDescent="0.25"/>
  <cols>
    <col min="1" max="1" width="44" bestFit="1" customWidth="1"/>
    <col min="2" max="2" width="11" bestFit="1" customWidth="1"/>
    <col min="3" max="3" width="80.7109375" bestFit="1" customWidth="1"/>
    <col min="4" max="4" width="14.28515625" bestFit="1" customWidth="1"/>
  </cols>
  <sheetData>
    <row r="1" spans="1:4" s="45" customFormat="1" x14ac:dyDescent="0.25">
      <c r="A1" s="6" t="s">
        <v>0</v>
      </c>
      <c r="B1" s="6" t="s">
        <v>1</v>
      </c>
      <c r="C1" s="6" t="s">
        <v>2</v>
      </c>
      <c r="D1" s="6" t="s">
        <v>4</v>
      </c>
    </row>
    <row r="2" spans="1:4" x14ac:dyDescent="0.25">
      <c r="A2" s="16" t="s">
        <v>256</v>
      </c>
      <c r="B2" s="4">
        <v>421688</v>
      </c>
      <c r="C2" s="4" t="s">
        <v>3712</v>
      </c>
      <c r="D2" s="44">
        <v>1342</v>
      </c>
    </row>
    <row r="3" spans="1:4" x14ac:dyDescent="0.25">
      <c r="A3" s="16" t="s">
        <v>500</v>
      </c>
      <c r="B3" s="4">
        <v>419731</v>
      </c>
      <c r="C3" s="4" t="s">
        <v>3696</v>
      </c>
      <c r="D3" s="44">
        <v>12721</v>
      </c>
    </row>
    <row r="4" spans="1:4" x14ac:dyDescent="0.25">
      <c r="A4" s="16" t="s">
        <v>500</v>
      </c>
      <c r="B4" s="4">
        <v>425337</v>
      </c>
      <c r="C4" s="4" t="s">
        <v>3930</v>
      </c>
      <c r="D4" s="44">
        <v>5428</v>
      </c>
    </row>
    <row r="5" spans="1:4" x14ac:dyDescent="0.25">
      <c r="A5" s="16" t="s">
        <v>24</v>
      </c>
      <c r="B5" s="4">
        <v>421168</v>
      </c>
      <c r="C5" s="4" t="s">
        <v>3697</v>
      </c>
      <c r="D5" s="44">
        <v>2912</v>
      </c>
    </row>
    <row r="6" spans="1:4" x14ac:dyDescent="0.25">
      <c r="A6" s="4" t="s">
        <v>111</v>
      </c>
      <c r="B6" s="4">
        <v>425559</v>
      </c>
      <c r="C6" s="4" t="s">
        <v>3931</v>
      </c>
      <c r="D6" s="44">
        <v>2072</v>
      </c>
    </row>
    <row r="7" spans="1:4" x14ac:dyDescent="0.25">
      <c r="A7" s="16" t="s">
        <v>111</v>
      </c>
      <c r="B7" s="4">
        <v>425422</v>
      </c>
      <c r="C7" s="4" t="s">
        <v>3909</v>
      </c>
      <c r="D7" s="44">
        <v>64812</v>
      </c>
    </row>
    <row r="8" spans="1:4" x14ac:dyDescent="0.25">
      <c r="A8" s="16" t="s">
        <v>111</v>
      </c>
      <c r="B8" s="4">
        <v>424454</v>
      </c>
      <c r="C8" s="4" t="s">
        <v>3838</v>
      </c>
      <c r="D8" s="44">
        <v>169636</v>
      </c>
    </row>
    <row r="9" spans="1:4" x14ac:dyDescent="0.25">
      <c r="A9" s="4" t="s">
        <v>111</v>
      </c>
      <c r="B9" s="4">
        <v>423263</v>
      </c>
      <c r="C9" s="4" t="s">
        <v>3809</v>
      </c>
      <c r="D9" s="44">
        <v>14248</v>
      </c>
    </row>
    <row r="10" spans="1:4" x14ac:dyDescent="0.25">
      <c r="A10" s="16" t="s">
        <v>111</v>
      </c>
      <c r="B10" s="4">
        <v>423221</v>
      </c>
      <c r="C10" s="4" t="s">
        <v>3810</v>
      </c>
      <c r="D10" s="44">
        <v>1433</v>
      </c>
    </row>
    <row r="11" spans="1:4" x14ac:dyDescent="0.25">
      <c r="A11" s="16" t="s">
        <v>111</v>
      </c>
      <c r="B11" s="4">
        <v>425775</v>
      </c>
      <c r="C11" s="4" t="s">
        <v>3932</v>
      </c>
      <c r="D11" s="44">
        <v>760</v>
      </c>
    </row>
    <row r="12" spans="1:4" x14ac:dyDescent="0.25">
      <c r="A12" s="16" t="s">
        <v>111</v>
      </c>
      <c r="B12" s="4">
        <v>425294</v>
      </c>
      <c r="C12" s="4" t="s">
        <v>3915</v>
      </c>
      <c r="D12" s="44">
        <v>981</v>
      </c>
    </row>
    <row r="13" spans="1:4" x14ac:dyDescent="0.25">
      <c r="A13" s="16" t="s">
        <v>111</v>
      </c>
      <c r="B13" s="4">
        <v>425468</v>
      </c>
      <c r="C13" s="4" t="s">
        <v>3916</v>
      </c>
      <c r="D13" s="44">
        <v>570</v>
      </c>
    </row>
    <row r="14" spans="1:4" x14ac:dyDescent="0.25">
      <c r="A14" s="4" t="s">
        <v>111</v>
      </c>
      <c r="B14" s="4">
        <v>425783</v>
      </c>
      <c r="C14" s="4" t="s">
        <v>3933</v>
      </c>
      <c r="D14" s="44">
        <v>190</v>
      </c>
    </row>
    <row r="15" spans="1:4" x14ac:dyDescent="0.25">
      <c r="A15" s="4" t="s">
        <v>111</v>
      </c>
      <c r="B15" s="4">
        <v>425765</v>
      </c>
      <c r="C15" s="4" t="s">
        <v>3934</v>
      </c>
      <c r="D15" s="44">
        <v>570</v>
      </c>
    </row>
    <row r="16" spans="1:4" x14ac:dyDescent="0.25">
      <c r="A16" s="4" t="s">
        <v>111</v>
      </c>
      <c r="B16" s="4">
        <v>425679</v>
      </c>
      <c r="C16" s="4" t="s">
        <v>3935</v>
      </c>
      <c r="D16" s="44">
        <v>1085</v>
      </c>
    </row>
    <row r="17" spans="1:4" x14ac:dyDescent="0.25">
      <c r="A17" s="4" t="s">
        <v>26</v>
      </c>
      <c r="B17" s="4">
        <v>425658</v>
      </c>
      <c r="C17" s="4" t="s">
        <v>3936</v>
      </c>
      <c r="D17" s="44">
        <v>3479</v>
      </c>
    </row>
    <row r="18" spans="1:4" x14ac:dyDescent="0.25">
      <c r="A18" s="4" t="s">
        <v>767</v>
      </c>
      <c r="B18" s="4">
        <v>425028</v>
      </c>
      <c r="C18" s="4" t="s">
        <v>3903</v>
      </c>
      <c r="D18" s="44">
        <v>700</v>
      </c>
    </row>
    <row r="19" spans="1:4" x14ac:dyDescent="0.25">
      <c r="A19" s="4" t="s">
        <v>180</v>
      </c>
      <c r="B19" s="4">
        <v>416843</v>
      </c>
      <c r="C19" s="4" t="s">
        <v>3498</v>
      </c>
      <c r="D19" s="44">
        <v>860</v>
      </c>
    </row>
    <row r="20" spans="1:4" x14ac:dyDescent="0.25">
      <c r="A20" s="4" t="s">
        <v>1335</v>
      </c>
      <c r="B20" s="4">
        <v>418146</v>
      </c>
      <c r="C20" s="4" t="s">
        <v>3937</v>
      </c>
      <c r="D20" s="44">
        <v>8125</v>
      </c>
    </row>
    <row r="21" spans="1:4" x14ac:dyDescent="0.25">
      <c r="A21" s="16" t="s">
        <v>315</v>
      </c>
      <c r="B21" s="4">
        <v>425041</v>
      </c>
      <c r="C21" s="4" t="s">
        <v>3922</v>
      </c>
      <c r="D21" s="44">
        <v>1449</v>
      </c>
    </row>
    <row r="22" spans="1:4" x14ac:dyDescent="0.25">
      <c r="A22" s="4" t="s">
        <v>315</v>
      </c>
      <c r="B22" s="4">
        <v>423631</v>
      </c>
      <c r="C22" s="4" t="s">
        <v>3924</v>
      </c>
      <c r="D22" s="44">
        <v>495</v>
      </c>
    </row>
    <row r="23" spans="1:4" x14ac:dyDescent="0.25">
      <c r="A23" s="16" t="s">
        <v>315</v>
      </c>
      <c r="B23" s="4">
        <v>424527</v>
      </c>
      <c r="C23" s="4" t="s">
        <v>3938</v>
      </c>
      <c r="D23" s="44">
        <v>4085</v>
      </c>
    </row>
    <row r="24" spans="1:4" x14ac:dyDescent="0.25">
      <c r="A24" s="16" t="s">
        <v>832</v>
      </c>
      <c r="B24" s="4">
        <v>395940</v>
      </c>
      <c r="C24" s="4" t="s">
        <v>3939</v>
      </c>
      <c r="D24" s="44">
        <v>2395</v>
      </c>
    </row>
    <row r="25" spans="1:4" x14ac:dyDescent="0.25">
      <c r="A25" s="16" t="s">
        <v>1891</v>
      </c>
      <c r="B25" s="4">
        <v>423144</v>
      </c>
      <c r="C25" s="4" t="s">
        <v>3940</v>
      </c>
      <c r="D25" s="44">
        <v>14342</v>
      </c>
    </row>
    <row r="26" spans="1:4" x14ac:dyDescent="0.25">
      <c r="A26" s="16" t="s">
        <v>1891</v>
      </c>
      <c r="B26" s="4">
        <v>423144</v>
      </c>
      <c r="C26" s="4" t="s">
        <v>3941</v>
      </c>
      <c r="D26" s="44">
        <v>4666</v>
      </c>
    </row>
    <row r="27" spans="1:4" x14ac:dyDescent="0.25">
      <c r="A27" s="4" t="s">
        <v>1891</v>
      </c>
      <c r="B27" s="4">
        <v>423144</v>
      </c>
      <c r="C27" s="4" t="s">
        <v>3942</v>
      </c>
      <c r="D27" s="44">
        <v>4782</v>
      </c>
    </row>
    <row r="28" spans="1:4" x14ac:dyDescent="0.25">
      <c r="A28" s="4" t="s">
        <v>1891</v>
      </c>
      <c r="B28" s="4">
        <v>423144</v>
      </c>
      <c r="C28" s="4" t="s">
        <v>3943</v>
      </c>
      <c r="D28" s="44">
        <v>3441</v>
      </c>
    </row>
    <row r="29" spans="1:4" x14ac:dyDescent="0.25">
      <c r="A29" s="4" t="s">
        <v>1891</v>
      </c>
      <c r="B29" s="4">
        <v>423144</v>
      </c>
      <c r="C29" s="4" t="s">
        <v>3944</v>
      </c>
      <c r="D29" s="44">
        <v>11833</v>
      </c>
    </row>
    <row r="30" spans="1:4" x14ac:dyDescent="0.25">
      <c r="A30" s="4" t="s">
        <v>1891</v>
      </c>
      <c r="B30" s="4">
        <v>423144</v>
      </c>
      <c r="C30" s="4" t="s">
        <v>3945</v>
      </c>
      <c r="D30" s="44">
        <v>14239</v>
      </c>
    </row>
    <row r="31" spans="1:4" x14ac:dyDescent="0.25">
      <c r="A31" s="4" t="s">
        <v>1891</v>
      </c>
      <c r="B31" s="4">
        <v>423144</v>
      </c>
      <c r="C31" s="4" t="s">
        <v>3946</v>
      </c>
      <c r="D31" s="44">
        <v>4666</v>
      </c>
    </row>
    <row r="32" spans="1:4" x14ac:dyDescent="0.25">
      <c r="A32" s="16" t="s">
        <v>1891</v>
      </c>
      <c r="B32" s="4">
        <v>423144</v>
      </c>
      <c r="C32" s="4" t="s">
        <v>3947</v>
      </c>
      <c r="D32" s="44">
        <v>4782</v>
      </c>
    </row>
    <row r="33" spans="1:4" x14ac:dyDescent="0.25">
      <c r="A33" s="16" t="s">
        <v>45</v>
      </c>
      <c r="B33" s="4">
        <v>425122</v>
      </c>
      <c r="C33" s="4" t="s">
        <v>3948</v>
      </c>
      <c r="D33" s="44">
        <v>3838</v>
      </c>
    </row>
    <row r="34" spans="1:4" x14ac:dyDescent="0.25">
      <c r="A34" s="4" t="s">
        <v>995</v>
      </c>
      <c r="B34" s="4">
        <v>425427</v>
      </c>
      <c r="C34" s="4" t="s">
        <v>3926</v>
      </c>
      <c r="D34" s="44">
        <v>1075</v>
      </c>
    </row>
    <row r="35" spans="1:4" x14ac:dyDescent="0.25">
      <c r="A35" s="16" t="s">
        <v>995</v>
      </c>
      <c r="B35" s="4">
        <v>423139</v>
      </c>
      <c r="C35" s="4" t="s">
        <v>3949</v>
      </c>
      <c r="D35" s="44">
        <v>3275</v>
      </c>
    </row>
    <row r="36" spans="1:4" x14ac:dyDescent="0.25">
      <c r="A36" s="16" t="s">
        <v>52</v>
      </c>
      <c r="B36" s="4">
        <v>425228</v>
      </c>
      <c r="C36" s="4" t="s">
        <v>3928</v>
      </c>
      <c r="D36" s="44">
        <v>891</v>
      </c>
    </row>
    <row r="37" spans="1:4" x14ac:dyDescent="0.25">
      <c r="A37" s="16" t="s">
        <v>52</v>
      </c>
      <c r="B37" s="4">
        <v>414477</v>
      </c>
      <c r="C37" s="4" t="s">
        <v>3950</v>
      </c>
      <c r="D37" s="44">
        <v>3280</v>
      </c>
    </row>
    <row r="38" spans="1:4" hidden="1" x14ac:dyDescent="0.25">
      <c r="A38" s="16"/>
      <c r="B38" s="4"/>
      <c r="C38" s="4"/>
      <c r="D38" s="44"/>
    </row>
    <row r="39" spans="1:4" hidden="1" x14ac:dyDescent="0.25">
      <c r="A39" s="16"/>
      <c r="B39" s="4"/>
      <c r="C39" s="4"/>
      <c r="D39" s="44"/>
    </row>
    <row r="40" spans="1:4" hidden="1" x14ac:dyDescent="0.25">
      <c r="A40" s="16"/>
      <c r="B40" s="4"/>
      <c r="C40" s="4"/>
      <c r="D40" s="44"/>
    </row>
    <row r="41" spans="1:4" hidden="1" x14ac:dyDescent="0.25">
      <c r="A41" s="16"/>
      <c r="B41" s="4"/>
      <c r="C41" s="4"/>
      <c r="D41" s="44"/>
    </row>
    <row r="42" spans="1:4" hidden="1" x14ac:dyDescent="0.25">
      <c r="A42" s="4"/>
      <c r="B42" s="4"/>
      <c r="C42" s="4"/>
      <c r="D42" s="44"/>
    </row>
    <row r="43" spans="1:4" hidden="1" x14ac:dyDescent="0.25">
      <c r="A43" s="16"/>
      <c r="B43" s="4"/>
      <c r="C43" s="4"/>
      <c r="D43" s="44"/>
    </row>
    <row r="44" spans="1:4" hidden="1" x14ac:dyDescent="0.25">
      <c r="A44" s="16"/>
      <c r="B44" s="4"/>
      <c r="C44" s="4"/>
      <c r="D44" s="44"/>
    </row>
    <row r="45" spans="1:4" hidden="1" x14ac:dyDescent="0.25">
      <c r="A45" s="4"/>
      <c r="B45" s="4"/>
      <c r="C45" s="4"/>
      <c r="D45" s="44"/>
    </row>
    <row r="46" spans="1:4" hidden="1" x14ac:dyDescent="0.25">
      <c r="A46" s="16"/>
      <c r="B46" s="4"/>
      <c r="C46" s="4"/>
      <c r="D46" s="44"/>
    </row>
    <row r="47" spans="1:4" hidden="1" x14ac:dyDescent="0.25">
      <c r="A47" s="4"/>
      <c r="B47" s="4"/>
      <c r="C47" s="4"/>
      <c r="D47" s="44"/>
    </row>
    <row r="48" spans="1:4" hidden="1" x14ac:dyDescent="0.25">
      <c r="A48" s="16"/>
      <c r="B48" s="4"/>
      <c r="C48" s="4"/>
      <c r="D48" s="44"/>
    </row>
    <row r="49" spans="1:4" hidden="1" x14ac:dyDescent="0.25">
      <c r="A49" s="16"/>
      <c r="B49" s="4"/>
      <c r="C49" s="4"/>
      <c r="D49" s="44"/>
    </row>
    <row r="50" spans="1:4" hidden="1" x14ac:dyDescent="0.25">
      <c r="A50" s="16"/>
      <c r="B50" s="4"/>
      <c r="C50" s="4"/>
      <c r="D50" s="44"/>
    </row>
    <row r="51" spans="1:4" hidden="1" x14ac:dyDescent="0.25">
      <c r="A51" s="16"/>
      <c r="B51" s="4"/>
      <c r="C51" s="4"/>
      <c r="D51" s="44"/>
    </row>
    <row r="52" spans="1:4" hidden="1" x14ac:dyDescent="0.25">
      <c r="A52" s="4"/>
      <c r="B52" s="4"/>
      <c r="C52" s="4"/>
      <c r="D52" s="44"/>
    </row>
    <row r="53" spans="1:4" hidden="1" x14ac:dyDescent="0.25">
      <c r="A53" s="16"/>
      <c r="B53" s="4"/>
      <c r="C53" s="4"/>
      <c r="D53" s="44"/>
    </row>
    <row r="54" spans="1:4" hidden="1" x14ac:dyDescent="0.25">
      <c r="A54" s="16"/>
      <c r="B54" s="4"/>
      <c r="C54" s="4"/>
      <c r="D54" s="44"/>
    </row>
    <row r="55" spans="1:4" hidden="1" x14ac:dyDescent="0.25">
      <c r="A55" s="4"/>
      <c r="B55" s="4"/>
      <c r="C55" s="4"/>
      <c r="D55" s="44"/>
    </row>
    <row r="56" spans="1:4" hidden="1" x14ac:dyDescent="0.25">
      <c r="A56" s="16"/>
      <c r="B56" s="4"/>
      <c r="C56" s="4"/>
      <c r="D56" s="44"/>
    </row>
    <row r="57" spans="1:4" hidden="1" x14ac:dyDescent="0.25">
      <c r="A57" s="16"/>
      <c r="B57" s="4"/>
      <c r="C57" s="4"/>
      <c r="D57" s="44"/>
    </row>
    <row r="58" spans="1:4" hidden="1" x14ac:dyDescent="0.25">
      <c r="A58" s="16"/>
      <c r="B58" s="4"/>
      <c r="C58" s="4"/>
      <c r="D58" s="44"/>
    </row>
    <row r="59" spans="1:4" hidden="1" x14ac:dyDescent="0.25">
      <c r="A59" s="16"/>
      <c r="B59" s="4"/>
      <c r="C59" s="4"/>
      <c r="D59" s="44"/>
    </row>
    <row r="60" spans="1:4" hidden="1" x14ac:dyDescent="0.25">
      <c r="A60" s="16"/>
      <c r="B60" s="4"/>
      <c r="C60" s="4"/>
      <c r="D60" s="44"/>
    </row>
    <row r="61" spans="1:4" hidden="1" x14ac:dyDescent="0.25">
      <c r="A61" s="16"/>
      <c r="B61" s="4"/>
      <c r="C61" s="4"/>
      <c r="D61" s="44"/>
    </row>
    <row r="62" spans="1:4" hidden="1" x14ac:dyDescent="0.25">
      <c r="A62" s="16"/>
      <c r="B62" s="4"/>
      <c r="C62" s="4"/>
      <c r="D62" s="44"/>
    </row>
    <row r="63" spans="1:4" hidden="1" x14ac:dyDescent="0.25">
      <c r="A63" s="16"/>
      <c r="B63" s="4"/>
      <c r="C63" s="4"/>
      <c r="D63" s="44"/>
    </row>
    <row r="64" spans="1:4" hidden="1" x14ac:dyDescent="0.25">
      <c r="A64" s="4"/>
      <c r="B64" s="4"/>
      <c r="C64" s="4"/>
      <c r="D64" s="44"/>
    </row>
    <row r="65" spans="1:4" hidden="1" x14ac:dyDescent="0.25">
      <c r="A65" s="4"/>
      <c r="B65" s="4"/>
      <c r="C65" s="4"/>
      <c r="D65" s="44"/>
    </row>
    <row r="66" spans="1:4" hidden="1" x14ac:dyDescent="0.25">
      <c r="A66" s="4"/>
      <c r="B66" s="4"/>
      <c r="C66" s="4"/>
      <c r="D66" s="44"/>
    </row>
    <row r="67" spans="1:4" hidden="1" x14ac:dyDescent="0.25">
      <c r="A67" s="4"/>
      <c r="B67" s="4"/>
      <c r="C67" s="4"/>
      <c r="D67" s="44"/>
    </row>
    <row r="68" spans="1:4" hidden="1" x14ac:dyDescent="0.25">
      <c r="A68" s="4"/>
      <c r="B68" s="4"/>
      <c r="C68" s="4"/>
      <c r="D68" s="44"/>
    </row>
    <row r="69" spans="1:4" hidden="1" x14ac:dyDescent="0.25">
      <c r="A69" s="4"/>
      <c r="B69" s="4"/>
      <c r="C69" s="4"/>
      <c r="D69" s="44"/>
    </row>
    <row r="70" spans="1:4" hidden="1" x14ac:dyDescent="0.25">
      <c r="A70" s="4"/>
      <c r="B70" s="4"/>
      <c r="C70" s="4"/>
      <c r="D70" s="44"/>
    </row>
    <row r="71" spans="1:4" hidden="1" x14ac:dyDescent="0.25">
      <c r="A71" s="4"/>
      <c r="B71" s="4"/>
      <c r="C71" s="4"/>
      <c r="D71" s="44"/>
    </row>
    <row r="72" spans="1:4" hidden="1" x14ac:dyDescent="0.25">
      <c r="A72" s="4"/>
      <c r="B72" s="4"/>
      <c r="C72" s="4"/>
      <c r="D72" s="44"/>
    </row>
    <row r="73" spans="1:4" hidden="1" x14ac:dyDescent="0.25">
      <c r="A73" s="4"/>
      <c r="B73" s="4"/>
      <c r="C73" s="4"/>
      <c r="D73" s="44"/>
    </row>
    <row r="74" spans="1:4" hidden="1" x14ac:dyDescent="0.25">
      <c r="A74" s="4"/>
      <c r="B74" s="4"/>
      <c r="C74" s="4"/>
      <c r="D74" s="44"/>
    </row>
    <row r="75" spans="1:4" hidden="1" x14ac:dyDescent="0.25">
      <c r="A75" s="4"/>
      <c r="B75" s="4"/>
      <c r="C75" s="4"/>
      <c r="D75" s="44"/>
    </row>
    <row r="76" spans="1:4" hidden="1" x14ac:dyDescent="0.25">
      <c r="A76" s="4"/>
      <c r="B76" s="4"/>
      <c r="C76" s="4"/>
      <c r="D76" s="44"/>
    </row>
    <row r="77" spans="1:4" hidden="1" x14ac:dyDescent="0.25"/>
    <row r="78" spans="1:4" hidden="1" x14ac:dyDescent="0.25"/>
    <row r="79" spans="1:4" hidden="1" x14ac:dyDescent="0.25"/>
    <row r="80" spans="1:4" hidden="1" x14ac:dyDescent="0.25"/>
    <row r="81" spans="3:4" hidden="1" x14ac:dyDescent="0.25"/>
    <row r="82" spans="3:4" hidden="1" x14ac:dyDescent="0.25"/>
    <row r="83" spans="3:4" hidden="1" x14ac:dyDescent="0.25"/>
    <row r="84" spans="3:4" hidden="1" x14ac:dyDescent="0.25"/>
    <row r="85" spans="3:4" hidden="1" x14ac:dyDescent="0.25"/>
    <row r="86" spans="3:4" hidden="1" x14ac:dyDescent="0.25"/>
    <row r="87" spans="3:4" hidden="1" x14ac:dyDescent="0.25"/>
    <row r="88" spans="3:4" hidden="1" x14ac:dyDescent="0.25"/>
    <row r="89" spans="3:4" hidden="1" x14ac:dyDescent="0.25"/>
    <row r="90" spans="3:4" hidden="1" x14ac:dyDescent="0.25"/>
    <row r="91" spans="3:4" hidden="1" x14ac:dyDescent="0.25"/>
    <row r="92" spans="3:4" x14ac:dyDescent="0.25">
      <c r="C92" s="31" t="s">
        <v>2502</v>
      </c>
      <c r="D92" s="43">
        <f>SUM(D2,D17:D72)</f>
        <v>98040</v>
      </c>
    </row>
    <row r="93" spans="3:4" x14ac:dyDescent="0.25">
      <c r="C93" s="31" t="s">
        <v>2501</v>
      </c>
      <c r="D93" s="43">
        <f>SUM(D3:D16)</f>
        <v>277418</v>
      </c>
    </row>
    <row r="94" spans="3:4" x14ac:dyDescent="0.25">
      <c r="C94" s="31" t="s">
        <v>83</v>
      </c>
      <c r="D94" s="43">
        <f>SUM(D2:D76)</f>
        <v>375458</v>
      </c>
    </row>
    <row r="100" spans="4:4" x14ac:dyDescent="0.25">
      <c r="D100" s="43"/>
    </row>
  </sheetData>
  <printOptions horizontalCentered="1"/>
  <pageMargins left="0.7" right="0.7" top="1" bottom="0.75" header="0.3" footer="0.3"/>
  <pageSetup paperSize="5" scale="61" orientation="portrait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5C48-D293-4011-AE7D-A37F01860649}">
  <dimension ref="A1:D100"/>
  <sheetViews>
    <sheetView view="pageBreakPreview" zoomScaleNormal="100" zoomScaleSheetLayoutView="100" workbookViewId="0">
      <selection activeCell="D94" sqref="D94"/>
    </sheetView>
  </sheetViews>
  <sheetFormatPr defaultRowHeight="15" x14ac:dyDescent="0.25"/>
  <cols>
    <col min="1" max="1" width="44" bestFit="1" customWidth="1"/>
    <col min="2" max="2" width="11" bestFit="1" customWidth="1"/>
    <col min="3" max="3" width="80.7109375" bestFit="1" customWidth="1"/>
    <col min="4" max="4" width="14.28515625" bestFit="1" customWidth="1"/>
  </cols>
  <sheetData>
    <row r="1" spans="1:4" s="45" customFormat="1" x14ac:dyDescent="0.25">
      <c r="A1" s="6" t="s">
        <v>0</v>
      </c>
      <c r="B1" s="6" t="s">
        <v>1</v>
      </c>
      <c r="C1" s="6" t="s">
        <v>2</v>
      </c>
      <c r="D1" s="6" t="s">
        <v>4</v>
      </c>
    </row>
    <row r="2" spans="1:4" x14ac:dyDescent="0.25">
      <c r="A2" s="16" t="s">
        <v>256</v>
      </c>
      <c r="B2" s="4">
        <v>421688</v>
      </c>
      <c r="C2" s="4" t="s">
        <v>3712</v>
      </c>
      <c r="D2" s="44">
        <v>1342</v>
      </c>
    </row>
    <row r="3" spans="1:4" x14ac:dyDescent="0.25">
      <c r="A3" s="16" t="s">
        <v>500</v>
      </c>
      <c r="B3" s="4">
        <v>419731</v>
      </c>
      <c r="C3" s="4" t="s">
        <v>3696</v>
      </c>
      <c r="D3" s="44">
        <v>12721</v>
      </c>
    </row>
    <row r="4" spans="1:4" x14ac:dyDescent="0.25">
      <c r="A4" s="16" t="s">
        <v>500</v>
      </c>
      <c r="B4" s="4">
        <v>425337</v>
      </c>
      <c r="C4" s="4" t="s">
        <v>3930</v>
      </c>
      <c r="D4" s="44">
        <v>5428</v>
      </c>
    </row>
    <row r="5" spans="1:4" x14ac:dyDescent="0.25">
      <c r="A5" s="16" t="s">
        <v>24</v>
      </c>
      <c r="B5" s="4">
        <v>421168</v>
      </c>
      <c r="C5" s="4" t="s">
        <v>3697</v>
      </c>
      <c r="D5" s="44">
        <v>2912</v>
      </c>
    </row>
    <row r="6" spans="1:4" x14ac:dyDescent="0.25">
      <c r="A6" s="4" t="s">
        <v>111</v>
      </c>
      <c r="B6" s="4">
        <v>424454</v>
      </c>
      <c r="C6" s="4" t="s">
        <v>3838</v>
      </c>
      <c r="D6" s="44">
        <v>169636</v>
      </c>
    </row>
    <row r="7" spans="1:4" x14ac:dyDescent="0.25">
      <c r="A7" s="16" t="s">
        <v>111</v>
      </c>
      <c r="B7" s="4">
        <v>423263</v>
      </c>
      <c r="C7" s="4" t="s">
        <v>3809</v>
      </c>
      <c r="D7" s="44">
        <v>14248</v>
      </c>
    </row>
    <row r="8" spans="1:4" x14ac:dyDescent="0.25">
      <c r="A8" s="16" t="s">
        <v>111</v>
      </c>
      <c r="B8" s="4">
        <v>423221</v>
      </c>
      <c r="C8" s="4" t="s">
        <v>3810</v>
      </c>
      <c r="D8" s="44">
        <v>1433</v>
      </c>
    </row>
    <row r="9" spans="1:4" x14ac:dyDescent="0.25">
      <c r="A9" s="4" t="s">
        <v>111</v>
      </c>
      <c r="B9" s="4">
        <v>426126</v>
      </c>
      <c r="C9" s="4" t="s">
        <v>3951</v>
      </c>
      <c r="D9" s="44">
        <v>691</v>
      </c>
    </row>
    <row r="10" spans="1:4" x14ac:dyDescent="0.25">
      <c r="A10" s="16" t="s">
        <v>111</v>
      </c>
      <c r="B10" s="4">
        <v>425775</v>
      </c>
      <c r="C10" s="4" t="s">
        <v>3932</v>
      </c>
      <c r="D10" s="44">
        <v>760</v>
      </c>
    </row>
    <row r="11" spans="1:4" x14ac:dyDescent="0.25">
      <c r="A11" s="16" t="s">
        <v>111</v>
      </c>
      <c r="B11" s="4">
        <v>426024</v>
      </c>
      <c r="C11" s="4" t="s">
        <v>3952</v>
      </c>
      <c r="D11" s="44">
        <v>950</v>
      </c>
    </row>
    <row r="12" spans="1:4" x14ac:dyDescent="0.25">
      <c r="A12" s="16" t="s">
        <v>111</v>
      </c>
      <c r="B12" s="4">
        <v>425957</v>
      </c>
      <c r="C12" s="4" t="s">
        <v>3953</v>
      </c>
      <c r="D12" s="44">
        <v>1139</v>
      </c>
    </row>
    <row r="13" spans="1:4" x14ac:dyDescent="0.25">
      <c r="A13" s="16" t="s">
        <v>111</v>
      </c>
      <c r="B13" s="4">
        <v>425765</v>
      </c>
      <c r="C13" s="4" t="s">
        <v>3934</v>
      </c>
      <c r="D13" s="44">
        <v>570</v>
      </c>
    </row>
    <row r="14" spans="1:4" x14ac:dyDescent="0.25">
      <c r="A14" s="4" t="s">
        <v>26</v>
      </c>
      <c r="B14" s="4">
        <v>425655</v>
      </c>
      <c r="C14" s="4" t="s">
        <v>3954</v>
      </c>
      <c r="D14" s="44">
        <v>33359</v>
      </c>
    </row>
    <row r="15" spans="1:4" x14ac:dyDescent="0.25">
      <c r="A15" s="4" t="s">
        <v>26</v>
      </c>
      <c r="B15" s="4">
        <v>425656</v>
      </c>
      <c r="C15" s="4" t="s">
        <v>3955</v>
      </c>
      <c r="D15" s="44">
        <v>10625</v>
      </c>
    </row>
    <row r="16" spans="1:4" x14ac:dyDescent="0.25">
      <c r="A16" s="4" t="s">
        <v>26</v>
      </c>
      <c r="B16" s="4">
        <v>425652</v>
      </c>
      <c r="C16" s="4" t="s">
        <v>3956</v>
      </c>
      <c r="D16" s="44">
        <v>2412</v>
      </c>
    </row>
    <row r="17" spans="1:4" x14ac:dyDescent="0.25">
      <c r="A17" s="4" t="s">
        <v>26</v>
      </c>
      <c r="B17" s="4">
        <v>425658</v>
      </c>
      <c r="C17" s="4" t="s">
        <v>3936</v>
      </c>
      <c r="D17" s="44">
        <v>3479</v>
      </c>
    </row>
    <row r="18" spans="1:4" x14ac:dyDescent="0.25">
      <c r="A18" s="4" t="s">
        <v>26</v>
      </c>
      <c r="B18" s="4">
        <v>425653</v>
      </c>
      <c r="C18" s="4" t="s">
        <v>3957</v>
      </c>
      <c r="D18" s="44">
        <v>27905</v>
      </c>
    </row>
    <row r="19" spans="1:4" x14ac:dyDescent="0.25">
      <c r="A19" s="4" t="s">
        <v>26</v>
      </c>
      <c r="B19" s="4">
        <v>425654</v>
      </c>
      <c r="C19" s="4" t="s">
        <v>3958</v>
      </c>
      <c r="D19" s="44">
        <v>35042</v>
      </c>
    </row>
    <row r="20" spans="1:4" x14ac:dyDescent="0.25">
      <c r="A20" s="4" t="s">
        <v>26</v>
      </c>
      <c r="B20" s="4">
        <v>425651</v>
      </c>
      <c r="C20" s="4" t="s">
        <v>3959</v>
      </c>
      <c r="D20" s="44">
        <v>9356</v>
      </c>
    </row>
    <row r="21" spans="1:4" x14ac:dyDescent="0.25">
      <c r="A21" s="16" t="s">
        <v>767</v>
      </c>
      <c r="B21" s="4">
        <v>425028</v>
      </c>
      <c r="C21" s="4" t="s">
        <v>3903</v>
      </c>
      <c r="D21" s="44">
        <v>700</v>
      </c>
    </row>
    <row r="22" spans="1:4" x14ac:dyDescent="0.25">
      <c r="A22" s="4" t="s">
        <v>180</v>
      </c>
      <c r="B22" s="4">
        <v>416843</v>
      </c>
      <c r="C22" s="4" t="s">
        <v>3498</v>
      </c>
      <c r="D22" s="44">
        <v>860</v>
      </c>
    </row>
    <row r="23" spans="1:4" x14ac:dyDescent="0.25">
      <c r="A23" s="16" t="s">
        <v>315</v>
      </c>
      <c r="B23" s="4">
        <v>425041</v>
      </c>
      <c r="C23" s="4" t="s">
        <v>3922</v>
      </c>
      <c r="D23" s="44">
        <v>1449</v>
      </c>
    </row>
    <row r="24" spans="1:4" x14ac:dyDescent="0.25">
      <c r="A24" s="16" t="s">
        <v>315</v>
      </c>
      <c r="B24" s="4">
        <v>423374</v>
      </c>
      <c r="C24" s="4" t="s">
        <v>3960</v>
      </c>
      <c r="D24" s="44">
        <v>3500</v>
      </c>
    </row>
    <row r="25" spans="1:4" x14ac:dyDescent="0.25">
      <c r="A25" s="16" t="s">
        <v>995</v>
      </c>
      <c r="B25" s="4">
        <v>425427</v>
      </c>
      <c r="C25" s="4" t="s">
        <v>3926</v>
      </c>
      <c r="D25" s="44">
        <v>1075</v>
      </c>
    </row>
    <row r="26" spans="1:4" x14ac:dyDescent="0.25">
      <c r="A26" s="16" t="s">
        <v>995</v>
      </c>
      <c r="B26" s="4">
        <v>423731</v>
      </c>
      <c r="C26" s="4" t="s">
        <v>3961</v>
      </c>
      <c r="D26" s="44">
        <v>1495</v>
      </c>
    </row>
    <row r="27" spans="1:4" x14ac:dyDescent="0.25">
      <c r="A27" s="4" t="s">
        <v>52</v>
      </c>
      <c r="B27" s="4">
        <v>425228</v>
      </c>
      <c r="C27" s="4" t="s">
        <v>3928</v>
      </c>
      <c r="D27" s="44">
        <v>891</v>
      </c>
    </row>
    <row r="28" spans="1:4" x14ac:dyDescent="0.25">
      <c r="A28" s="4" t="s">
        <v>52</v>
      </c>
      <c r="B28" s="4">
        <v>424580</v>
      </c>
      <c r="C28" s="4" t="s">
        <v>3962</v>
      </c>
      <c r="D28" s="44">
        <v>9795</v>
      </c>
    </row>
    <row r="29" spans="1:4" x14ac:dyDescent="0.25">
      <c r="A29" s="4" t="s">
        <v>332</v>
      </c>
      <c r="B29" s="4">
        <v>424329</v>
      </c>
      <c r="C29" s="4" t="s">
        <v>3963</v>
      </c>
      <c r="D29" s="44">
        <v>16440</v>
      </c>
    </row>
    <row r="30" spans="1:4" x14ac:dyDescent="0.25">
      <c r="A30" s="4" t="s">
        <v>332</v>
      </c>
      <c r="B30" s="4">
        <v>424612</v>
      </c>
      <c r="C30" s="4" t="s">
        <v>3964</v>
      </c>
      <c r="D30" s="44">
        <v>2800</v>
      </c>
    </row>
    <row r="31" spans="1:4" hidden="1" x14ac:dyDescent="0.25">
      <c r="A31" s="4"/>
      <c r="B31" s="4"/>
      <c r="C31" s="4"/>
      <c r="D31" s="44"/>
    </row>
    <row r="32" spans="1:4" hidden="1" x14ac:dyDescent="0.25">
      <c r="A32" s="16"/>
      <c r="B32" s="4"/>
      <c r="C32" s="4"/>
      <c r="D32" s="44"/>
    </row>
    <row r="33" spans="1:4" hidden="1" x14ac:dyDescent="0.25">
      <c r="A33" s="16"/>
      <c r="B33" s="4"/>
      <c r="C33" s="4"/>
      <c r="D33" s="44"/>
    </row>
    <row r="34" spans="1:4" hidden="1" x14ac:dyDescent="0.25">
      <c r="A34" s="4"/>
      <c r="B34" s="4"/>
      <c r="C34" s="4"/>
      <c r="D34" s="44"/>
    </row>
    <row r="35" spans="1:4" hidden="1" x14ac:dyDescent="0.25">
      <c r="A35" s="16"/>
      <c r="B35" s="4"/>
      <c r="C35" s="4"/>
      <c r="D35" s="44"/>
    </row>
    <row r="36" spans="1:4" hidden="1" x14ac:dyDescent="0.25">
      <c r="A36" s="16"/>
      <c r="B36" s="4"/>
      <c r="C36" s="4"/>
      <c r="D36" s="44"/>
    </row>
    <row r="37" spans="1:4" hidden="1" x14ac:dyDescent="0.25">
      <c r="A37" s="16"/>
      <c r="B37" s="4"/>
      <c r="C37" s="4"/>
      <c r="D37" s="44"/>
    </row>
    <row r="38" spans="1:4" hidden="1" x14ac:dyDescent="0.25">
      <c r="A38" s="16"/>
      <c r="B38" s="4"/>
      <c r="C38" s="4"/>
      <c r="D38" s="44"/>
    </row>
    <row r="39" spans="1:4" hidden="1" x14ac:dyDescent="0.25">
      <c r="A39" s="16"/>
      <c r="B39" s="4"/>
      <c r="C39" s="4"/>
      <c r="D39" s="44"/>
    </row>
    <row r="40" spans="1:4" hidden="1" x14ac:dyDescent="0.25">
      <c r="A40" s="16"/>
      <c r="B40" s="4"/>
      <c r="C40" s="4"/>
      <c r="D40" s="44"/>
    </row>
    <row r="41" spans="1:4" hidden="1" x14ac:dyDescent="0.25">
      <c r="A41" s="16"/>
      <c r="B41" s="4"/>
      <c r="C41" s="4"/>
      <c r="D41" s="44"/>
    </row>
    <row r="42" spans="1:4" hidden="1" x14ac:dyDescent="0.25">
      <c r="A42" s="4"/>
      <c r="B42" s="4"/>
      <c r="C42" s="4"/>
      <c r="D42" s="44"/>
    </row>
    <row r="43" spans="1:4" hidden="1" x14ac:dyDescent="0.25">
      <c r="A43" s="16"/>
      <c r="B43" s="4"/>
      <c r="C43" s="4"/>
      <c r="D43" s="44"/>
    </row>
    <row r="44" spans="1:4" hidden="1" x14ac:dyDescent="0.25">
      <c r="A44" s="16"/>
      <c r="B44" s="4"/>
      <c r="C44" s="4"/>
      <c r="D44" s="44"/>
    </row>
    <row r="45" spans="1:4" hidden="1" x14ac:dyDescent="0.25">
      <c r="A45" s="4"/>
      <c r="B45" s="4"/>
      <c r="C45" s="4"/>
      <c r="D45" s="44"/>
    </row>
    <row r="46" spans="1:4" hidden="1" x14ac:dyDescent="0.25">
      <c r="A46" s="16"/>
      <c r="B46" s="4"/>
      <c r="C46" s="4"/>
      <c r="D46" s="44"/>
    </row>
    <row r="47" spans="1:4" hidden="1" x14ac:dyDescent="0.25">
      <c r="A47" s="4"/>
      <c r="B47" s="4"/>
      <c r="C47" s="4"/>
      <c r="D47" s="44"/>
    </row>
    <row r="48" spans="1:4" hidden="1" x14ac:dyDescent="0.25">
      <c r="A48" s="16"/>
      <c r="B48" s="4"/>
      <c r="C48" s="4"/>
      <c r="D48" s="44"/>
    </row>
    <row r="49" spans="1:4" hidden="1" x14ac:dyDescent="0.25">
      <c r="A49" s="16"/>
      <c r="B49" s="4"/>
      <c r="C49" s="4"/>
      <c r="D49" s="44"/>
    </row>
    <row r="50" spans="1:4" hidden="1" x14ac:dyDescent="0.25">
      <c r="A50" s="16"/>
      <c r="B50" s="4"/>
      <c r="C50" s="4"/>
      <c r="D50" s="44"/>
    </row>
    <row r="51" spans="1:4" hidden="1" x14ac:dyDescent="0.25">
      <c r="A51" s="16"/>
      <c r="B51" s="4"/>
      <c r="C51" s="4"/>
      <c r="D51" s="44"/>
    </row>
    <row r="52" spans="1:4" hidden="1" x14ac:dyDescent="0.25">
      <c r="A52" s="4"/>
      <c r="B52" s="4"/>
      <c r="C52" s="4"/>
      <c r="D52" s="44"/>
    </row>
    <row r="53" spans="1:4" hidden="1" x14ac:dyDescent="0.25">
      <c r="A53" s="16"/>
      <c r="B53" s="4"/>
      <c r="C53" s="4"/>
      <c r="D53" s="44"/>
    </row>
    <row r="54" spans="1:4" hidden="1" x14ac:dyDescent="0.25">
      <c r="A54" s="16"/>
      <c r="B54" s="4"/>
      <c r="C54" s="4"/>
      <c r="D54" s="44"/>
    </row>
    <row r="55" spans="1:4" hidden="1" x14ac:dyDescent="0.25">
      <c r="A55" s="4"/>
      <c r="B55" s="4"/>
      <c r="C55" s="4"/>
      <c r="D55" s="44"/>
    </row>
    <row r="56" spans="1:4" hidden="1" x14ac:dyDescent="0.25">
      <c r="A56" s="16"/>
      <c r="B56" s="4"/>
      <c r="C56" s="4"/>
      <c r="D56" s="44"/>
    </row>
    <row r="57" spans="1:4" hidden="1" x14ac:dyDescent="0.25">
      <c r="A57" s="16"/>
      <c r="B57" s="4"/>
      <c r="C57" s="4"/>
      <c r="D57" s="44"/>
    </row>
    <row r="58" spans="1:4" hidden="1" x14ac:dyDescent="0.25">
      <c r="A58" s="16"/>
      <c r="B58" s="4"/>
      <c r="C58" s="4"/>
      <c r="D58" s="44"/>
    </row>
    <row r="59" spans="1:4" hidden="1" x14ac:dyDescent="0.25">
      <c r="A59" s="16"/>
      <c r="B59" s="4"/>
      <c r="C59" s="4"/>
      <c r="D59" s="44"/>
    </row>
    <row r="60" spans="1:4" hidden="1" x14ac:dyDescent="0.25">
      <c r="A60" s="16"/>
      <c r="B60" s="4"/>
      <c r="C60" s="4"/>
      <c r="D60" s="44"/>
    </row>
    <row r="61" spans="1:4" hidden="1" x14ac:dyDescent="0.25">
      <c r="A61" s="16"/>
      <c r="B61" s="4"/>
      <c r="C61" s="4"/>
      <c r="D61" s="44"/>
    </row>
    <row r="62" spans="1:4" hidden="1" x14ac:dyDescent="0.25">
      <c r="A62" s="16"/>
      <c r="B62" s="4"/>
      <c r="C62" s="4"/>
      <c r="D62" s="44"/>
    </row>
    <row r="63" spans="1:4" hidden="1" x14ac:dyDescent="0.25">
      <c r="A63" s="16"/>
      <c r="B63" s="4"/>
      <c r="C63" s="4"/>
      <c r="D63" s="44"/>
    </row>
    <row r="64" spans="1:4" hidden="1" x14ac:dyDescent="0.25">
      <c r="A64" s="4"/>
      <c r="B64" s="4"/>
      <c r="C64" s="4"/>
      <c r="D64" s="44"/>
    </row>
    <row r="65" spans="1:4" hidden="1" x14ac:dyDescent="0.25">
      <c r="A65" s="4"/>
      <c r="B65" s="4"/>
      <c r="C65" s="4"/>
      <c r="D65" s="44"/>
    </row>
    <row r="66" spans="1:4" hidden="1" x14ac:dyDescent="0.25">
      <c r="A66" s="4"/>
      <c r="B66" s="4"/>
      <c r="C66" s="4"/>
      <c r="D66" s="44"/>
    </row>
    <row r="67" spans="1:4" hidden="1" x14ac:dyDescent="0.25">
      <c r="A67" s="4"/>
      <c r="B67" s="4"/>
      <c r="C67" s="4"/>
      <c r="D67" s="44"/>
    </row>
    <row r="68" spans="1:4" hidden="1" x14ac:dyDescent="0.25">
      <c r="A68" s="4"/>
      <c r="B68" s="4"/>
      <c r="C68" s="4"/>
      <c r="D68" s="44"/>
    </row>
    <row r="69" spans="1:4" hidden="1" x14ac:dyDescent="0.25">
      <c r="A69" s="4"/>
      <c r="B69" s="4"/>
      <c r="C69" s="4"/>
      <c r="D69" s="44"/>
    </row>
    <row r="70" spans="1:4" hidden="1" x14ac:dyDescent="0.25">
      <c r="A70" s="4"/>
      <c r="B70" s="4"/>
      <c r="C70" s="4"/>
      <c r="D70" s="44"/>
    </row>
    <row r="71" spans="1:4" hidden="1" x14ac:dyDescent="0.25">
      <c r="A71" s="4"/>
      <c r="B71" s="4"/>
      <c r="C71" s="4"/>
      <c r="D71" s="44"/>
    </row>
    <row r="72" spans="1:4" hidden="1" x14ac:dyDescent="0.25">
      <c r="A72" s="4"/>
      <c r="B72" s="4"/>
      <c r="C72" s="4"/>
      <c r="D72" s="44"/>
    </row>
    <row r="73" spans="1:4" hidden="1" x14ac:dyDescent="0.25">
      <c r="A73" s="4"/>
      <c r="B73" s="4"/>
      <c r="C73" s="4"/>
      <c r="D73" s="44"/>
    </row>
    <row r="74" spans="1:4" hidden="1" x14ac:dyDescent="0.25">
      <c r="A74" s="4"/>
      <c r="B74" s="4"/>
      <c r="C74" s="4"/>
      <c r="D74" s="44"/>
    </row>
    <row r="75" spans="1:4" hidden="1" x14ac:dyDescent="0.25">
      <c r="A75" s="4"/>
      <c r="B75" s="4"/>
      <c r="C75" s="4"/>
      <c r="D75" s="44"/>
    </row>
    <row r="76" spans="1:4" hidden="1" x14ac:dyDescent="0.25">
      <c r="A76" s="4"/>
      <c r="B76" s="4"/>
      <c r="C76" s="4"/>
      <c r="D76" s="44"/>
    </row>
    <row r="77" spans="1:4" hidden="1" x14ac:dyDescent="0.25"/>
    <row r="78" spans="1:4" hidden="1" x14ac:dyDescent="0.25"/>
    <row r="79" spans="1:4" hidden="1" x14ac:dyDescent="0.25"/>
    <row r="80" spans="1:4" hidden="1" x14ac:dyDescent="0.25"/>
    <row r="81" spans="3:4" hidden="1" x14ac:dyDescent="0.25"/>
    <row r="82" spans="3:4" hidden="1" x14ac:dyDescent="0.25"/>
    <row r="83" spans="3:4" hidden="1" x14ac:dyDescent="0.25"/>
    <row r="84" spans="3:4" hidden="1" x14ac:dyDescent="0.25"/>
    <row r="85" spans="3:4" hidden="1" x14ac:dyDescent="0.25"/>
    <row r="86" spans="3:4" hidden="1" x14ac:dyDescent="0.25"/>
    <row r="87" spans="3:4" hidden="1" x14ac:dyDescent="0.25"/>
    <row r="88" spans="3:4" hidden="1" x14ac:dyDescent="0.25"/>
    <row r="89" spans="3:4" hidden="1" x14ac:dyDescent="0.25"/>
    <row r="90" spans="3:4" hidden="1" x14ac:dyDescent="0.25"/>
    <row r="91" spans="3:4" hidden="1" x14ac:dyDescent="0.25"/>
    <row r="92" spans="3:4" x14ac:dyDescent="0.25">
      <c r="C92" s="31" t="s">
        <v>2502</v>
      </c>
      <c r="D92" s="43">
        <f>SUM(D2,D14:D72)</f>
        <v>162525</v>
      </c>
    </row>
    <row r="93" spans="3:4" x14ac:dyDescent="0.25">
      <c r="C93" s="31" t="s">
        <v>2501</v>
      </c>
      <c r="D93" s="43">
        <f>SUM(D3:D13)</f>
        <v>210488</v>
      </c>
    </row>
    <row r="94" spans="3:4" x14ac:dyDescent="0.25">
      <c r="C94" s="31" t="s">
        <v>83</v>
      </c>
      <c r="D94" s="43">
        <f>SUM(D2:D76)</f>
        <v>373013</v>
      </c>
    </row>
    <row r="100" spans="4:4" x14ac:dyDescent="0.25">
      <c r="D100" s="43"/>
    </row>
  </sheetData>
  <phoneticPr fontId="5" type="noConversion"/>
  <printOptions horizontalCentered="1"/>
  <pageMargins left="0.7" right="0.7" top="1" bottom="0.75" header="0.3" footer="0.3"/>
  <pageSetup paperSize="5" scale="61" orientation="portrait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79C9-60DF-41C4-B057-E3EAB360A185}">
  <dimension ref="A1:D100"/>
  <sheetViews>
    <sheetView view="pageBreakPreview" zoomScaleNormal="100" zoomScaleSheetLayoutView="100" workbookViewId="0">
      <selection activeCell="C23" sqref="C23"/>
    </sheetView>
  </sheetViews>
  <sheetFormatPr defaultRowHeight="15" x14ac:dyDescent="0.25"/>
  <cols>
    <col min="1" max="1" width="44" bestFit="1" customWidth="1"/>
    <col min="2" max="2" width="11" bestFit="1" customWidth="1"/>
    <col min="3" max="3" width="80.7109375" bestFit="1" customWidth="1"/>
    <col min="4" max="4" width="14.28515625" bestFit="1" customWidth="1"/>
  </cols>
  <sheetData>
    <row r="1" spans="1:4" s="45" customFormat="1" x14ac:dyDescent="0.25">
      <c r="A1" s="6" t="s">
        <v>0</v>
      </c>
      <c r="B1" s="6" t="s">
        <v>1</v>
      </c>
      <c r="C1" s="6" t="s">
        <v>2</v>
      </c>
      <c r="D1" s="6" t="s">
        <v>4</v>
      </c>
    </row>
    <row r="2" spans="1:4" x14ac:dyDescent="0.25">
      <c r="A2" s="16" t="s">
        <v>98</v>
      </c>
      <c r="B2" s="4">
        <v>426770</v>
      </c>
      <c r="C2" s="4" t="s">
        <v>3966</v>
      </c>
      <c r="D2" s="44">
        <v>0</v>
      </c>
    </row>
    <row r="3" spans="1:4" x14ac:dyDescent="0.25">
      <c r="A3" s="16" t="s">
        <v>256</v>
      </c>
      <c r="B3" s="4">
        <v>421688</v>
      </c>
      <c r="C3" s="4" t="s">
        <v>3712</v>
      </c>
      <c r="D3" s="44">
        <v>1342</v>
      </c>
    </row>
    <row r="4" spans="1:4" x14ac:dyDescent="0.25">
      <c r="A4" s="16" t="s">
        <v>500</v>
      </c>
      <c r="B4" s="4">
        <v>426154</v>
      </c>
      <c r="C4" s="4" t="s">
        <v>3967</v>
      </c>
      <c r="D4" s="44">
        <v>177</v>
      </c>
    </row>
    <row r="5" spans="1:4" x14ac:dyDescent="0.25">
      <c r="A5" s="16" t="s">
        <v>500</v>
      </c>
      <c r="B5" s="4">
        <v>426210</v>
      </c>
      <c r="C5" s="4" t="s">
        <v>3968</v>
      </c>
      <c r="D5" s="44">
        <v>4610</v>
      </c>
    </row>
    <row r="6" spans="1:4" x14ac:dyDescent="0.25">
      <c r="A6" s="4" t="s">
        <v>500</v>
      </c>
      <c r="B6" s="4">
        <v>426283</v>
      </c>
      <c r="C6" s="4" t="s">
        <v>3969</v>
      </c>
      <c r="D6" s="44">
        <v>1773</v>
      </c>
    </row>
    <row r="7" spans="1:4" x14ac:dyDescent="0.25">
      <c r="A7" s="16" t="s">
        <v>500</v>
      </c>
      <c r="B7" s="4">
        <v>426098</v>
      </c>
      <c r="C7" s="4" t="s">
        <v>3970</v>
      </c>
      <c r="D7" s="44">
        <v>2009</v>
      </c>
    </row>
    <row r="8" spans="1:4" x14ac:dyDescent="0.25">
      <c r="A8" s="16" t="s">
        <v>500</v>
      </c>
      <c r="B8" s="4">
        <v>426101</v>
      </c>
      <c r="C8" s="4" t="s">
        <v>3971</v>
      </c>
      <c r="D8" s="44">
        <v>591</v>
      </c>
    </row>
    <row r="9" spans="1:4" x14ac:dyDescent="0.25">
      <c r="A9" s="4" t="s">
        <v>500</v>
      </c>
      <c r="B9" s="4">
        <v>426214</v>
      </c>
      <c r="C9" s="4" t="s">
        <v>3972</v>
      </c>
      <c r="D9" s="44">
        <v>591</v>
      </c>
    </row>
    <row r="10" spans="1:4" x14ac:dyDescent="0.25">
      <c r="A10" s="16" t="s">
        <v>500</v>
      </c>
      <c r="B10" s="4">
        <v>426222</v>
      </c>
      <c r="C10" s="4" t="s">
        <v>3973</v>
      </c>
      <c r="D10" s="44">
        <v>1773</v>
      </c>
    </row>
    <row r="11" spans="1:4" x14ac:dyDescent="0.25">
      <c r="A11" s="16" t="s">
        <v>500</v>
      </c>
      <c r="B11" s="4">
        <v>426103</v>
      </c>
      <c r="C11" s="4" t="s">
        <v>3974</v>
      </c>
      <c r="D11" s="44">
        <v>355</v>
      </c>
    </row>
    <row r="12" spans="1:4" x14ac:dyDescent="0.25">
      <c r="A12" s="16" t="s">
        <v>61</v>
      </c>
      <c r="B12" s="4">
        <v>426236</v>
      </c>
      <c r="C12" s="4" t="s">
        <v>3965</v>
      </c>
      <c r="D12" s="44">
        <v>1825</v>
      </c>
    </row>
    <row r="13" spans="1:4" x14ac:dyDescent="0.25">
      <c r="A13" s="16" t="s">
        <v>111</v>
      </c>
      <c r="B13" s="4">
        <v>423263</v>
      </c>
      <c r="C13" s="4" t="s">
        <v>3809</v>
      </c>
      <c r="D13" s="44">
        <v>14248</v>
      </c>
    </row>
    <row r="14" spans="1:4" x14ac:dyDescent="0.25">
      <c r="A14" s="4" t="s">
        <v>111</v>
      </c>
      <c r="B14" s="4">
        <v>423221</v>
      </c>
      <c r="C14" s="4" t="s">
        <v>3810</v>
      </c>
      <c r="D14" s="44">
        <v>1433</v>
      </c>
    </row>
    <row r="15" spans="1:4" x14ac:dyDescent="0.25">
      <c r="A15" s="4" t="s">
        <v>111</v>
      </c>
      <c r="B15" s="4">
        <v>426540</v>
      </c>
      <c r="C15" s="4" t="s">
        <v>3975</v>
      </c>
      <c r="D15" s="44">
        <v>6267</v>
      </c>
    </row>
    <row r="16" spans="1:4" x14ac:dyDescent="0.25">
      <c r="A16" s="4" t="s">
        <v>111</v>
      </c>
      <c r="B16" s="4">
        <v>426720</v>
      </c>
      <c r="C16" s="4" t="s">
        <v>3976</v>
      </c>
      <c r="D16" s="44">
        <v>242</v>
      </c>
    </row>
    <row r="17" spans="1:4" x14ac:dyDescent="0.25">
      <c r="A17" s="4" t="s">
        <v>111</v>
      </c>
      <c r="B17" s="4">
        <v>426608</v>
      </c>
      <c r="C17" s="4" t="s">
        <v>3977</v>
      </c>
      <c r="D17" s="44">
        <v>83</v>
      </c>
    </row>
    <row r="18" spans="1:4" x14ac:dyDescent="0.25">
      <c r="A18" s="4" t="s">
        <v>111</v>
      </c>
      <c r="B18" s="4">
        <v>426689</v>
      </c>
      <c r="C18" s="4" t="s">
        <v>3978</v>
      </c>
      <c r="D18" s="44">
        <v>1115</v>
      </c>
    </row>
    <row r="19" spans="1:4" x14ac:dyDescent="0.25">
      <c r="A19" s="4" t="s">
        <v>81</v>
      </c>
      <c r="B19" s="4">
        <v>426695</v>
      </c>
      <c r="C19" s="4" t="s">
        <v>3979</v>
      </c>
      <c r="D19" s="44">
        <v>4415</v>
      </c>
    </row>
    <row r="20" spans="1:4" x14ac:dyDescent="0.25">
      <c r="A20" s="4" t="s">
        <v>175</v>
      </c>
      <c r="B20" s="4">
        <v>426775</v>
      </c>
      <c r="C20" s="4" t="s">
        <v>3980</v>
      </c>
      <c r="D20" s="44">
        <v>0</v>
      </c>
    </row>
    <row r="21" spans="1:4" x14ac:dyDescent="0.25">
      <c r="A21" s="16" t="s">
        <v>200</v>
      </c>
      <c r="B21" s="4">
        <v>426391</v>
      </c>
      <c r="C21" s="4" t="s">
        <v>3981</v>
      </c>
      <c r="D21" s="44">
        <v>3780</v>
      </c>
    </row>
    <row r="22" spans="1:4" x14ac:dyDescent="0.25">
      <c r="A22" s="4" t="s">
        <v>3763</v>
      </c>
      <c r="B22" s="4">
        <v>426535</v>
      </c>
      <c r="C22" s="4" t="s">
        <v>3982</v>
      </c>
      <c r="D22" s="44">
        <v>8225</v>
      </c>
    </row>
    <row r="23" spans="1:4" x14ac:dyDescent="0.25">
      <c r="A23" s="16" t="s">
        <v>3763</v>
      </c>
      <c r="B23" s="4">
        <v>426537</v>
      </c>
      <c r="C23" s="4" t="s">
        <v>3983</v>
      </c>
      <c r="D23" s="44">
        <v>3285</v>
      </c>
    </row>
    <row r="24" spans="1:4" x14ac:dyDescent="0.25">
      <c r="A24" s="16" t="s">
        <v>3763</v>
      </c>
      <c r="B24" s="4">
        <v>426495</v>
      </c>
      <c r="C24" s="4" t="s">
        <v>3984</v>
      </c>
      <c r="D24" s="44">
        <v>3755</v>
      </c>
    </row>
    <row r="25" spans="1:4" x14ac:dyDescent="0.25">
      <c r="A25" s="16" t="s">
        <v>3763</v>
      </c>
      <c r="B25" s="4">
        <v>426329</v>
      </c>
      <c r="C25" s="4" t="s">
        <v>3985</v>
      </c>
      <c r="D25" s="44">
        <v>10580</v>
      </c>
    </row>
    <row r="26" spans="1:4" x14ac:dyDescent="0.25">
      <c r="A26" s="16" t="s">
        <v>3763</v>
      </c>
      <c r="B26" s="4">
        <v>426497</v>
      </c>
      <c r="C26" s="4" t="s">
        <v>3986</v>
      </c>
      <c r="D26" s="44">
        <v>5665</v>
      </c>
    </row>
    <row r="27" spans="1:4" x14ac:dyDescent="0.25">
      <c r="A27" s="4" t="s">
        <v>3763</v>
      </c>
      <c r="B27" s="4">
        <v>426331</v>
      </c>
      <c r="C27" s="4" t="s">
        <v>3987</v>
      </c>
      <c r="D27" s="44">
        <v>2535</v>
      </c>
    </row>
    <row r="28" spans="1:4" x14ac:dyDescent="0.25">
      <c r="A28" s="4" t="s">
        <v>3763</v>
      </c>
      <c r="B28" s="4">
        <v>426484</v>
      </c>
      <c r="C28" s="4" t="s">
        <v>3988</v>
      </c>
      <c r="D28" s="44">
        <v>8940</v>
      </c>
    </row>
    <row r="29" spans="1:4" x14ac:dyDescent="0.25">
      <c r="A29" s="4" t="s">
        <v>3763</v>
      </c>
      <c r="B29" s="4">
        <v>426494</v>
      </c>
      <c r="C29" s="4" t="s">
        <v>3989</v>
      </c>
      <c r="D29" s="44">
        <v>8550</v>
      </c>
    </row>
    <row r="30" spans="1:4" x14ac:dyDescent="0.25">
      <c r="A30" s="4" t="s">
        <v>3763</v>
      </c>
      <c r="B30" s="4">
        <v>426492</v>
      </c>
      <c r="C30" s="4" t="s">
        <v>3990</v>
      </c>
      <c r="D30" s="44">
        <v>5380</v>
      </c>
    </row>
    <row r="31" spans="1:4" x14ac:dyDescent="0.25">
      <c r="A31" s="4" t="s">
        <v>767</v>
      </c>
      <c r="B31" s="4">
        <v>425028</v>
      </c>
      <c r="C31" s="4" t="s">
        <v>3903</v>
      </c>
      <c r="D31" s="44">
        <v>700</v>
      </c>
    </row>
    <row r="32" spans="1:4" x14ac:dyDescent="0.25">
      <c r="A32" s="16" t="s">
        <v>3991</v>
      </c>
      <c r="B32" s="4">
        <v>426769</v>
      </c>
      <c r="C32" s="4" t="s">
        <v>3992</v>
      </c>
      <c r="D32" s="44">
        <v>1000</v>
      </c>
    </row>
    <row r="33" spans="1:4" x14ac:dyDescent="0.25">
      <c r="A33" s="16" t="s">
        <v>52</v>
      </c>
      <c r="B33" s="4">
        <v>425228</v>
      </c>
      <c r="C33" s="4" t="s">
        <v>3928</v>
      </c>
      <c r="D33" s="44">
        <v>891</v>
      </c>
    </row>
    <row r="34" spans="1:4" hidden="1" x14ac:dyDescent="0.25">
      <c r="A34" s="4"/>
      <c r="B34" s="4"/>
      <c r="C34" s="4"/>
      <c r="D34" s="44"/>
    </row>
    <row r="35" spans="1:4" hidden="1" x14ac:dyDescent="0.25">
      <c r="A35" s="16"/>
      <c r="B35" s="4"/>
      <c r="C35" s="4"/>
      <c r="D35" s="44"/>
    </row>
    <row r="36" spans="1:4" hidden="1" x14ac:dyDescent="0.25">
      <c r="A36" s="16"/>
      <c r="B36" s="4"/>
      <c r="C36" s="4"/>
      <c r="D36" s="44"/>
    </row>
    <row r="37" spans="1:4" hidden="1" x14ac:dyDescent="0.25">
      <c r="A37" s="16"/>
      <c r="B37" s="4"/>
      <c r="C37" s="4"/>
      <c r="D37" s="44"/>
    </row>
    <row r="38" spans="1:4" hidden="1" x14ac:dyDescent="0.25">
      <c r="A38" s="16"/>
      <c r="B38" s="4"/>
      <c r="C38" s="4"/>
      <c r="D38" s="44"/>
    </row>
    <row r="39" spans="1:4" hidden="1" x14ac:dyDescent="0.25">
      <c r="A39" s="16"/>
      <c r="B39" s="4"/>
      <c r="C39" s="4"/>
      <c r="D39" s="44"/>
    </row>
    <row r="40" spans="1:4" hidden="1" x14ac:dyDescent="0.25">
      <c r="A40" s="16"/>
      <c r="B40" s="4"/>
      <c r="C40" s="4"/>
      <c r="D40" s="44"/>
    </row>
    <row r="41" spans="1:4" hidden="1" x14ac:dyDescent="0.25">
      <c r="A41" s="16"/>
      <c r="B41" s="4"/>
      <c r="C41" s="4"/>
      <c r="D41" s="44"/>
    </row>
    <row r="42" spans="1:4" hidden="1" x14ac:dyDescent="0.25">
      <c r="A42" s="4"/>
      <c r="B42" s="4"/>
      <c r="C42" s="4"/>
      <c r="D42" s="44"/>
    </row>
    <row r="43" spans="1:4" hidden="1" x14ac:dyDescent="0.25">
      <c r="A43" s="16"/>
      <c r="B43" s="4"/>
      <c r="C43" s="4"/>
      <c r="D43" s="44"/>
    </row>
    <row r="44" spans="1:4" hidden="1" x14ac:dyDescent="0.25">
      <c r="A44" s="16"/>
      <c r="B44" s="4"/>
      <c r="C44" s="4"/>
      <c r="D44" s="44"/>
    </row>
    <row r="45" spans="1:4" hidden="1" x14ac:dyDescent="0.25">
      <c r="A45" s="4"/>
      <c r="B45" s="4"/>
      <c r="C45" s="4"/>
      <c r="D45" s="44"/>
    </row>
    <row r="46" spans="1:4" hidden="1" x14ac:dyDescent="0.25">
      <c r="A46" s="16"/>
      <c r="B46" s="4"/>
      <c r="C46" s="4"/>
      <c r="D46" s="44"/>
    </row>
    <row r="47" spans="1:4" hidden="1" x14ac:dyDescent="0.25">
      <c r="A47" s="4"/>
      <c r="B47" s="4"/>
      <c r="C47" s="4"/>
      <c r="D47" s="44"/>
    </row>
    <row r="48" spans="1:4" hidden="1" x14ac:dyDescent="0.25">
      <c r="A48" s="16"/>
      <c r="B48" s="4"/>
      <c r="C48" s="4"/>
      <c r="D48" s="44"/>
    </row>
    <row r="49" spans="1:4" hidden="1" x14ac:dyDescent="0.25">
      <c r="A49" s="16"/>
      <c r="B49" s="4"/>
      <c r="C49" s="4"/>
      <c r="D49" s="44"/>
    </row>
    <row r="50" spans="1:4" hidden="1" x14ac:dyDescent="0.25">
      <c r="A50" s="16"/>
      <c r="B50" s="4"/>
      <c r="C50" s="4"/>
      <c r="D50" s="44"/>
    </row>
    <row r="51" spans="1:4" hidden="1" x14ac:dyDescent="0.25">
      <c r="A51" s="16"/>
      <c r="B51" s="4"/>
      <c r="C51" s="4"/>
      <c r="D51" s="44"/>
    </row>
    <row r="52" spans="1:4" hidden="1" x14ac:dyDescent="0.25">
      <c r="A52" s="4"/>
      <c r="B52" s="4"/>
      <c r="C52" s="4"/>
      <c r="D52" s="44"/>
    </row>
    <row r="53" spans="1:4" hidden="1" x14ac:dyDescent="0.25">
      <c r="A53" s="16"/>
      <c r="B53" s="4"/>
      <c r="C53" s="4"/>
      <c r="D53" s="44"/>
    </row>
    <row r="54" spans="1:4" hidden="1" x14ac:dyDescent="0.25">
      <c r="A54" s="16"/>
      <c r="B54" s="4"/>
      <c r="C54" s="4"/>
      <c r="D54" s="44"/>
    </row>
    <row r="55" spans="1:4" hidden="1" x14ac:dyDescent="0.25">
      <c r="A55" s="4"/>
      <c r="B55" s="4"/>
      <c r="C55" s="4"/>
      <c r="D55" s="44"/>
    </row>
    <row r="56" spans="1:4" hidden="1" x14ac:dyDescent="0.25">
      <c r="A56" s="16"/>
      <c r="B56" s="4"/>
      <c r="C56" s="4"/>
      <c r="D56" s="44"/>
    </row>
    <row r="57" spans="1:4" hidden="1" x14ac:dyDescent="0.25">
      <c r="A57" s="16"/>
      <c r="B57" s="4"/>
      <c r="C57" s="4"/>
      <c r="D57" s="44"/>
    </row>
    <row r="58" spans="1:4" hidden="1" x14ac:dyDescent="0.25">
      <c r="A58" s="16"/>
      <c r="B58" s="4"/>
      <c r="C58" s="4"/>
      <c r="D58" s="44"/>
    </row>
    <row r="59" spans="1:4" hidden="1" x14ac:dyDescent="0.25">
      <c r="A59" s="16"/>
      <c r="B59" s="4"/>
      <c r="C59" s="4"/>
      <c r="D59" s="44"/>
    </row>
    <row r="60" spans="1:4" hidden="1" x14ac:dyDescent="0.25">
      <c r="A60" s="16"/>
      <c r="B60" s="4"/>
      <c r="C60" s="4"/>
      <c r="D60" s="44"/>
    </row>
    <row r="61" spans="1:4" hidden="1" x14ac:dyDescent="0.25">
      <c r="A61" s="16"/>
      <c r="B61" s="4"/>
      <c r="C61" s="4"/>
      <c r="D61" s="44"/>
    </row>
    <row r="62" spans="1:4" hidden="1" x14ac:dyDescent="0.25">
      <c r="A62" s="16"/>
      <c r="B62" s="4"/>
      <c r="C62" s="4"/>
      <c r="D62" s="44"/>
    </row>
    <row r="63" spans="1:4" hidden="1" x14ac:dyDescent="0.25">
      <c r="A63" s="16"/>
      <c r="B63" s="4"/>
      <c r="C63" s="4"/>
      <c r="D63" s="44"/>
    </row>
    <row r="64" spans="1:4" hidden="1" x14ac:dyDescent="0.25">
      <c r="A64" s="4"/>
      <c r="B64" s="4"/>
      <c r="C64" s="4"/>
      <c r="D64" s="44"/>
    </row>
    <row r="65" spans="1:4" hidden="1" x14ac:dyDescent="0.25">
      <c r="A65" s="4"/>
      <c r="B65" s="4"/>
      <c r="C65" s="4"/>
      <c r="D65" s="44"/>
    </row>
    <row r="66" spans="1:4" hidden="1" x14ac:dyDescent="0.25">
      <c r="A66" s="4"/>
      <c r="B66" s="4"/>
      <c r="C66" s="4"/>
      <c r="D66" s="44"/>
    </row>
    <row r="67" spans="1:4" hidden="1" x14ac:dyDescent="0.25">
      <c r="A67" s="4"/>
      <c r="B67" s="4"/>
      <c r="C67" s="4"/>
      <c r="D67" s="44"/>
    </row>
    <row r="68" spans="1:4" hidden="1" x14ac:dyDescent="0.25">
      <c r="A68" s="4"/>
      <c r="B68" s="4"/>
      <c r="C68" s="4"/>
      <c r="D68" s="44"/>
    </row>
    <row r="69" spans="1:4" hidden="1" x14ac:dyDescent="0.25">
      <c r="A69" s="4"/>
      <c r="B69" s="4"/>
      <c r="C69" s="4"/>
      <c r="D69" s="44"/>
    </row>
    <row r="70" spans="1:4" hidden="1" x14ac:dyDescent="0.25">
      <c r="A70" s="4"/>
      <c r="B70" s="4"/>
      <c r="C70" s="4"/>
      <c r="D70" s="44"/>
    </row>
    <row r="71" spans="1:4" hidden="1" x14ac:dyDescent="0.25">
      <c r="A71" s="4"/>
      <c r="B71" s="4"/>
      <c r="C71" s="4"/>
      <c r="D71" s="44"/>
    </row>
    <row r="72" spans="1:4" hidden="1" x14ac:dyDescent="0.25">
      <c r="A72" s="4"/>
      <c r="B72" s="4"/>
      <c r="C72" s="4"/>
      <c r="D72" s="44"/>
    </row>
    <row r="73" spans="1:4" hidden="1" x14ac:dyDescent="0.25">
      <c r="A73" s="4"/>
      <c r="B73" s="4"/>
      <c r="C73" s="4"/>
      <c r="D73" s="44"/>
    </row>
    <row r="74" spans="1:4" hidden="1" x14ac:dyDescent="0.25">
      <c r="A74" s="4"/>
      <c r="B74" s="4"/>
      <c r="C74" s="4"/>
      <c r="D74" s="44"/>
    </row>
    <row r="75" spans="1:4" hidden="1" x14ac:dyDescent="0.25">
      <c r="A75" s="4"/>
      <c r="B75" s="4"/>
      <c r="C75" s="4"/>
      <c r="D75" s="44"/>
    </row>
    <row r="76" spans="1:4" hidden="1" x14ac:dyDescent="0.25">
      <c r="A76" s="4"/>
      <c r="B76" s="4"/>
      <c r="C76" s="4"/>
      <c r="D76" s="44"/>
    </row>
    <row r="77" spans="1:4" hidden="1" x14ac:dyDescent="0.25"/>
    <row r="78" spans="1:4" hidden="1" x14ac:dyDescent="0.25"/>
    <row r="79" spans="1:4" hidden="1" x14ac:dyDescent="0.25"/>
    <row r="80" spans="1:4" hidden="1" x14ac:dyDescent="0.25"/>
    <row r="81" spans="3:4" hidden="1" x14ac:dyDescent="0.25"/>
    <row r="82" spans="3:4" hidden="1" x14ac:dyDescent="0.25"/>
    <row r="83" spans="3:4" hidden="1" x14ac:dyDescent="0.25"/>
    <row r="84" spans="3:4" hidden="1" x14ac:dyDescent="0.25"/>
    <row r="85" spans="3:4" hidden="1" x14ac:dyDescent="0.25"/>
    <row r="86" spans="3:4" hidden="1" x14ac:dyDescent="0.25"/>
    <row r="87" spans="3:4" hidden="1" x14ac:dyDescent="0.25"/>
    <row r="88" spans="3:4" hidden="1" x14ac:dyDescent="0.25"/>
    <row r="89" spans="3:4" hidden="1" x14ac:dyDescent="0.25"/>
    <row r="90" spans="3:4" hidden="1" x14ac:dyDescent="0.25"/>
    <row r="91" spans="3:4" hidden="1" x14ac:dyDescent="0.25"/>
    <row r="92" spans="3:4" x14ac:dyDescent="0.25">
      <c r="C92" s="31" t="s">
        <v>2502</v>
      </c>
      <c r="D92" s="43">
        <f>SUM(D2:D3,D20:D91)</f>
        <v>64628</v>
      </c>
    </row>
    <row r="93" spans="3:4" x14ac:dyDescent="0.25">
      <c r="C93" s="31" t="s">
        <v>2501</v>
      </c>
      <c r="D93" s="43">
        <f>SUM(D4:D19)</f>
        <v>41507</v>
      </c>
    </row>
    <row r="94" spans="3:4" x14ac:dyDescent="0.25">
      <c r="C94" s="31" t="s">
        <v>83</v>
      </c>
      <c r="D94" s="43">
        <f>SUM(D2:D76)</f>
        <v>106135</v>
      </c>
    </row>
    <row r="100" spans="4:4" x14ac:dyDescent="0.25">
      <c r="D100" s="43"/>
    </row>
  </sheetData>
  <printOptions horizontalCentered="1"/>
  <pageMargins left="0.7" right="0.7" top="1" bottom="0.75" header="0.3" footer="0.3"/>
  <pageSetup paperSize="5" scale="61" orientation="portrait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2B94-4C4C-4F60-9DA0-EFE6BDB5C87B}">
  <dimension ref="A1:D100"/>
  <sheetViews>
    <sheetView view="pageBreakPreview" topLeftCell="A27" zoomScaleNormal="100" zoomScaleSheetLayoutView="100" workbookViewId="0">
      <selection activeCell="G46" sqref="G46"/>
    </sheetView>
  </sheetViews>
  <sheetFormatPr defaultRowHeight="15" x14ac:dyDescent="0.25"/>
  <cols>
    <col min="1" max="1" width="44" bestFit="1" customWidth="1"/>
    <col min="2" max="2" width="11" bestFit="1" customWidth="1"/>
    <col min="3" max="3" width="80.7109375" bestFit="1" customWidth="1"/>
    <col min="4" max="4" width="14.28515625" bestFit="1" customWidth="1"/>
  </cols>
  <sheetData>
    <row r="1" spans="1:4" s="45" customFormat="1" x14ac:dyDescent="0.25">
      <c r="A1" s="6" t="s">
        <v>0</v>
      </c>
      <c r="B1" s="6" t="s">
        <v>1</v>
      </c>
      <c r="C1" s="6" t="s">
        <v>2</v>
      </c>
      <c r="D1" s="6" t="s">
        <v>4</v>
      </c>
    </row>
    <row r="2" spans="1:4" x14ac:dyDescent="0.25">
      <c r="A2" s="16" t="s">
        <v>5</v>
      </c>
      <c r="B2" s="4">
        <v>424190</v>
      </c>
      <c r="C2" s="4" t="s">
        <v>3993</v>
      </c>
      <c r="D2" s="44">
        <v>6000</v>
      </c>
    </row>
    <row r="3" spans="1:4" x14ac:dyDescent="0.25">
      <c r="A3" s="16" t="s">
        <v>256</v>
      </c>
      <c r="B3" s="4">
        <v>421688</v>
      </c>
      <c r="C3" s="4" t="s">
        <v>3712</v>
      </c>
      <c r="D3" s="44">
        <v>1342</v>
      </c>
    </row>
    <row r="4" spans="1:4" x14ac:dyDescent="0.25">
      <c r="A4" s="16" t="s">
        <v>108</v>
      </c>
      <c r="B4" s="4">
        <v>426961</v>
      </c>
      <c r="C4" s="4" t="s">
        <v>3994</v>
      </c>
      <c r="D4" s="44">
        <v>2645</v>
      </c>
    </row>
    <row r="5" spans="1:4" x14ac:dyDescent="0.25">
      <c r="A5" s="16" t="s">
        <v>108</v>
      </c>
      <c r="B5" s="4">
        <v>426947</v>
      </c>
      <c r="C5" s="4" t="s">
        <v>3995</v>
      </c>
      <c r="D5" s="44">
        <v>184</v>
      </c>
    </row>
    <row r="6" spans="1:4" x14ac:dyDescent="0.25">
      <c r="A6" s="4" t="s">
        <v>108</v>
      </c>
      <c r="B6" s="4">
        <v>426945</v>
      </c>
      <c r="C6" s="4" t="s">
        <v>3996</v>
      </c>
      <c r="D6" s="44">
        <v>4795</v>
      </c>
    </row>
    <row r="7" spans="1:4" x14ac:dyDescent="0.25">
      <c r="A7" s="16" t="s">
        <v>108</v>
      </c>
      <c r="B7" s="4">
        <v>426941</v>
      </c>
      <c r="C7" s="4" t="s">
        <v>3997</v>
      </c>
      <c r="D7" s="44">
        <v>2121</v>
      </c>
    </row>
    <row r="8" spans="1:4" x14ac:dyDescent="0.25">
      <c r="A8" s="16" t="s">
        <v>108</v>
      </c>
      <c r="B8" s="4">
        <v>426939</v>
      </c>
      <c r="C8" s="4" t="s">
        <v>3998</v>
      </c>
      <c r="D8" s="44">
        <v>4692</v>
      </c>
    </row>
    <row r="9" spans="1:4" x14ac:dyDescent="0.25">
      <c r="A9" s="4" t="s">
        <v>108</v>
      </c>
      <c r="B9" s="4">
        <v>426927</v>
      </c>
      <c r="C9" s="4" t="s">
        <v>3999</v>
      </c>
      <c r="D9" s="44">
        <v>4146</v>
      </c>
    </row>
    <row r="10" spans="1:4" x14ac:dyDescent="0.25">
      <c r="A10" s="16" t="s">
        <v>108</v>
      </c>
      <c r="B10" s="4">
        <v>426923</v>
      </c>
      <c r="C10" s="4" t="s">
        <v>4000</v>
      </c>
      <c r="D10" s="44">
        <v>1932</v>
      </c>
    </row>
    <row r="11" spans="1:4" x14ac:dyDescent="0.25">
      <c r="A11" s="16" t="s">
        <v>108</v>
      </c>
      <c r="B11" s="4">
        <v>426921</v>
      </c>
      <c r="C11" s="4" t="s">
        <v>4001</v>
      </c>
      <c r="D11" s="44">
        <v>6008</v>
      </c>
    </row>
    <row r="12" spans="1:4" x14ac:dyDescent="0.25">
      <c r="A12" s="16" t="s">
        <v>108</v>
      </c>
      <c r="B12" s="4">
        <v>426959</v>
      </c>
      <c r="C12" s="4" t="s">
        <v>4002</v>
      </c>
      <c r="D12" s="44">
        <v>3821</v>
      </c>
    </row>
    <row r="13" spans="1:4" x14ac:dyDescent="0.25">
      <c r="A13" s="16" t="s">
        <v>108</v>
      </c>
      <c r="B13" s="4">
        <v>426897</v>
      </c>
      <c r="C13" s="4" t="s">
        <v>4003</v>
      </c>
      <c r="D13" s="44">
        <v>3657</v>
      </c>
    </row>
    <row r="14" spans="1:4" x14ac:dyDescent="0.25">
      <c r="A14" s="4" t="s">
        <v>108</v>
      </c>
      <c r="B14" s="4">
        <v>426895</v>
      </c>
      <c r="C14" s="4" t="s">
        <v>4004</v>
      </c>
      <c r="D14" s="44">
        <v>2630</v>
      </c>
    </row>
    <row r="15" spans="1:4" x14ac:dyDescent="0.25">
      <c r="A15" s="4" t="s">
        <v>108</v>
      </c>
      <c r="B15" s="4">
        <v>426878</v>
      </c>
      <c r="C15" s="4" t="s">
        <v>4005</v>
      </c>
      <c r="D15" s="44">
        <v>1818</v>
      </c>
    </row>
    <row r="16" spans="1:4" x14ac:dyDescent="0.25">
      <c r="A16" s="4" t="s">
        <v>108</v>
      </c>
      <c r="B16" s="4">
        <v>426888</v>
      </c>
      <c r="C16" s="4" t="s">
        <v>4006</v>
      </c>
      <c r="D16" s="44">
        <v>8869</v>
      </c>
    </row>
    <row r="17" spans="1:4" x14ac:dyDescent="0.25">
      <c r="A17" s="4" t="s">
        <v>108</v>
      </c>
      <c r="B17" s="4">
        <v>426116</v>
      </c>
      <c r="C17" s="4" t="s">
        <v>4007</v>
      </c>
      <c r="D17" s="44">
        <v>3122</v>
      </c>
    </row>
    <row r="18" spans="1:4" x14ac:dyDescent="0.25">
      <c r="A18" s="4" t="s">
        <v>108</v>
      </c>
      <c r="B18" s="4">
        <v>425966</v>
      </c>
      <c r="C18" s="4" t="s">
        <v>4008</v>
      </c>
      <c r="D18" s="44">
        <v>5824</v>
      </c>
    </row>
    <row r="19" spans="1:4" x14ac:dyDescent="0.25">
      <c r="A19" s="4" t="s">
        <v>108</v>
      </c>
      <c r="B19" s="4">
        <v>425965</v>
      </c>
      <c r="C19" s="4" t="s">
        <v>4009</v>
      </c>
      <c r="D19" s="44">
        <v>6088</v>
      </c>
    </row>
    <row r="20" spans="1:4" x14ac:dyDescent="0.25">
      <c r="A20" s="4" t="s">
        <v>108</v>
      </c>
      <c r="B20" s="4">
        <v>425859</v>
      </c>
      <c r="C20" s="4" t="s">
        <v>4010</v>
      </c>
      <c r="D20" s="44">
        <v>6065</v>
      </c>
    </row>
    <row r="21" spans="1:4" x14ac:dyDescent="0.25">
      <c r="A21" s="16" t="s">
        <v>108</v>
      </c>
      <c r="B21" s="4">
        <v>425836</v>
      </c>
      <c r="C21" s="4" t="s">
        <v>4011</v>
      </c>
      <c r="D21" s="44">
        <v>945</v>
      </c>
    </row>
    <row r="22" spans="1:4" x14ac:dyDescent="0.25">
      <c r="A22" s="4" t="s">
        <v>108</v>
      </c>
      <c r="B22" s="4">
        <v>425834</v>
      </c>
      <c r="C22" s="4" t="s">
        <v>4012</v>
      </c>
      <c r="D22" s="44">
        <v>7954</v>
      </c>
    </row>
    <row r="23" spans="1:4" x14ac:dyDescent="0.25">
      <c r="A23" s="16" t="s">
        <v>108</v>
      </c>
      <c r="B23" s="4">
        <v>425829</v>
      </c>
      <c r="C23" s="4" t="s">
        <v>4013</v>
      </c>
      <c r="D23" s="44">
        <v>8402</v>
      </c>
    </row>
    <row r="24" spans="1:4" x14ac:dyDescent="0.25">
      <c r="A24" s="16" t="s">
        <v>108</v>
      </c>
      <c r="B24" s="4">
        <v>425810</v>
      </c>
      <c r="C24" s="4" t="s">
        <v>4014</v>
      </c>
      <c r="D24" s="44">
        <v>4655</v>
      </c>
    </row>
    <row r="25" spans="1:4" x14ac:dyDescent="0.25">
      <c r="A25" s="16" t="s">
        <v>108</v>
      </c>
      <c r="B25" s="4">
        <v>425802</v>
      </c>
      <c r="C25" s="4" t="s">
        <v>4015</v>
      </c>
      <c r="D25" s="44">
        <v>7697</v>
      </c>
    </row>
    <row r="26" spans="1:4" x14ac:dyDescent="0.25">
      <c r="A26" s="16" t="s">
        <v>108</v>
      </c>
      <c r="B26" s="4">
        <v>425791</v>
      </c>
      <c r="C26" s="4" t="s">
        <v>4016</v>
      </c>
      <c r="D26" s="44">
        <v>7131</v>
      </c>
    </row>
    <row r="27" spans="1:4" x14ac:dyDescent="0.25">
      <c r="A27" s="4" t="s">
        <v>108</v>
      </c>
      <c r="B27" s="4">
        <v>426954</v>
      </c>
      <c r="C27" s="4" t="s">
        <v>4017</v>
      </c>
      <c r="D27" s="44">
        <v>1397</v>
      </c>
    </row>
    <row r="28" spans="1:4" x14ac:dyDescent="0.25">
      <c r="A28" s="4" t="s">
        <v>108</v>
      </c>
      <c r="B28" s="4">
        <v>426950</v>
      </c>
      <c r="C28" s="4" t="s">
        <v>4018</v>
      </c>
      <c r="D28" s="44">
        <v>1063</v>
      </c>
    </row>
    <row r="29" spans="1:4" x14ac:dyDescent="0.25">
      <c r="A29" s="4" t="s">
        <v>500</v>
      </c>
      <c r="B29" s="4">
        <v>426283</v>
      </c>
      <c r="C29" s="4" t="s">
        <v>3969</v>
      </c>
      <c r="D29" s="44">
        <v>1773</v>
      </c>
    </row>
    <row r="30" spans="1:4" x14ac:dyDescent="0.25">
      <c r="A30" s="4" t="s">
        <v>61</v>
      </c>
      <c r="B30" s="4">
        <v>426236</v>
      </c>
      <c r="C30" s="4" t="s">
        <v>3657</v>
      </c>
      <c r="D30" s="44">
        <v>2190</v>
      </c>
    </row>
    <row r="31" spans="1:4" x14ac:dyDescent="0.25">
      <c r="A31" s="4" t="s">
        <v>111</v>
      </c>
      <c r="B31" s="4">
        <v>423263</v>
      </c>
      <c r="C31" s="4" t="s">
        <v>3809</v>
      </c>
      <c r="D31" s="44">
        <v>14248</v>
      </c>
    </row>
    <row r="32" spans="1:4" x14ac:dyDescent="0.25">
      <c r="A32" s="16" t="s">
        <v>111</v>
      </c>
      <c r="B32" s="4">
        <v>423221</v>
      </c>
      <c r="C32" s="4" t="s">
        <v>3810</v>
      </c>
      <c r="D32" s="44">
        <v>1433</v>
      </c>
    </row>
    <row r="33" spans="1:4" x14ac:dyDescent="0.25">
      <c r="A33" s="16" t="s">
        <v>111</v>
      </c>
      <c r="B33" s="4">
        <v>427029</v>
      </c>
      <c r="C33" s="4" t="s">
        <v>4019</v>
      </c>
      <c r="D33" s="44">
        <v>570</v>
      </c>
    </row>
    <row r="34" spans="1:4" x14ac:dyDescent="0.25">
      <c r="A34" s="4" t="s">
        <v>111</v>
      </c>
      <c r="B34" s="4">
        <v>426540</v>
      </c>
      <c r="C34" s="4" t="s">
        <v>3975</v>
      </c>
      <c r="D34" s="44">
        <v>6267</v>
      </c>
    </row>
    <row r="35" spans="1:4" x14ac:dyDescent="0.25">
      <c r="A35" s="16" t="s">
        <v>111</v>
      </c>
      <c r="B35" s="4">
        <v>427104</v>
      </c>
      <c r="C35" s="4" t="s">
        <v>4020</v>
      </c>
      <c r="D35" s="44">
        <v>83</v>
      </c>
    </row>
    <row r="36" spans="1:4" x14ac:dyDescent="0.25">
      <c r="A36" s="16" t="s">
        <v>81</v>
      </c>
      <c r="B36" s="4">
        <v>426695</v>
      </c>
      <c r="C36" s="4" t="s">
        <v>3979</v>
      </c>
      <c r="D36" s="44">
        <v>4415</v>
      </c>
    </row>
    <row r="37" spans="1:4" x14ac:dyDescent="0.25">
      <c r="A37" s="16" t="s">
        <v>2160</v>
      </c>
      <c r="B37" s="4">
        <v>426661</v>
      </c>
      <c r="C37" s="4" t="s">
        <v>4021</v>
      </c>
      <c r="D37" s="44">
        <v>4680</v>
      </c>
    </row>
    <row r="38" spans="1:4" x14ac:dyDescent="0.25">
      <c r="A38" s="16" t="s">
        <v>200</v>
      </c>
      <c r="B38" s="4">
        <v>426391</v>
      </c>
      <c r="C38" s="4" t="s">
        <v>3981</v>
      </c>
      <c r="D38" s="44">
        <v>3780</v>
      </c>
    </row>
    <row r="39" spans="1:4" x14ac:dyDescent="0.25">
      <c r="A39" s="16" t="s">
        <v>767</v>
      </c>
      <c r="B39" s="4">
        <v>425028</v>
      </c>
      <c r="C39" s="4" t="s">
        <v>3903</v>
      </c>
      <c r="D39" s="44">
        <v>700</v>
      </c>
    </row>
    <row r="40" spans="1:4" x14ac:dyDescent="0.25">
      <c r="A40" s="16" t="s">
        <v>315</v>
      </c>
      <c r="B40" s="4">
        <v>388758</v>
      </c>
      <c r="C40" s="4" t="s">
        <v>4022</v>
      </c>
      <c r="D40" s="44">
        <v>34905</v>
      </c>
    </row>
    <row r="41" spans="1:4" x14ac:dyDescent="0.25">
      <c r="A41" s="16" t="s">
        <v>315</v>
      </c>
      <c r="B41" s="4">
        <v>388758</v>
      </c>
      <c r="C41" s="4" t="s">
        <v>4023</v>
      </c>
      <c r="D41" s="44">
        <v>26590</v>
      </c>
    </row>
    <row r="42" spans="1:4" x14ac:dyDescent="0.25">
      <c r="A42" s="4" t="s">
        <v>315</v>
      </c>
      <c r="B42" s="4">
        <v>388758</v>
      </c>
      <c r="C42" s="4" t="s">
        <v>4024</v>
      </c>
      <c r="D42" s="44">
        <v>8460</v>
      </c>
    </row>
    <row r="43" spans="1:4" x14ac:dyDescent="0.25">
      <c r="A43" s="16" t="s">
        <v>3991</v>
      </c>
      <c r="B43" s="4">
        <v>426769</v>
      </c>
      <c r="C43" s="4" t="s">
        <v>3992</v>
      </c>
      <c r="D43" s="44">
        <v>1000</v>
      </c>
    </row>
    <row r="44" spans="1:4" x14ac:dyDescent="0.25">
      <c r="A44" s="16" t="s">
        <v>52</v>
      </c>
      <c r="B44" s="4">
        <v>425228</v>
      </c>
      <c r="C44" s="4" t="s">
        <v>3928</v>
      </c>
      <c r="D44" s="44">
        <v>891</v>
      </c>
    </row>
    <row r="45" spans="1:4" x14ac:dyDescent="0.25">
      <c r="A45" s="4" t="s">
        <v>151</v>
      </c>
      <c r="B45" s="4">
        <v>416580</v>
      </c>
      <c r="C45" s="4" t="s">
        <v>4025</v>
      </c>
      <c r="D45" s="44">
        <v>0</v>
      </c>
    </row>
    <row r="46" spans="1:4" x14ac:dyDescent="0.25">
      <c r="A46" s="16" t="s">
        <v>151</v>
      </c>
      <c r="B46" s="4">
        <v>416580</v>
      </c>
      <c r="C46" s="4" t="s">
        <v>4026</v>
      </c>
      <c r="D46" s="44">
        <v>0</v>
      </c>
    </row>
    <row r="47" spans="1:4" hidden="1" x14ac:dyDescent="0.25">
      <c r="A47" s="4"/>
      <c r="B47" s="4"/>
      <c r="C47" s="4"/>
      <c r="D47" s="44"/>
    </row>
    <row r="48" spans="1:4" hidden="1" x14ac:dyDescent="0.25">
      <c r="A48" s="16"/>
      <c r="B48" s="4"/>
      <c r="C48" s="4"/>
      <c r="D48" s="44"/>
    </row>
    <row r="49" spans="1:4" hidden="1" x14ac:dyDescent="0.25">
      <c r="A49" s="16"/>
      <c r="B49" s="4"/>
      <c r="C49" s="4"/>
      <c r="D49" s="44"/>
    </row>
    <row r="50" spans="1:4" hidden="1" x14ac:dyDescent="0.25">
      <c r="A50" s="16"/>
      <c r="B50" s="4"/>
      <c r="C50" s="4"/>
      <c r="D50" s="44"/>
    </row>
    <row r="51" spans="1:4" hidden="1" x14ac:dyDescent="0.25">
      <c r="A51" s="16"/>
      <c r="B51" s="4"/>
      <c r="C51" s="4"/>
      <c r="D51" s="44"/>
    </row>
    <row r="52" spans="1:4" hidden="1" x14ac:dyDescent="0.25">
      <c r="A52" s="4"/>
      <c r="B52" s="4"/>
      <c r="C52" s="4"/>
      <c r="D52" s="44"/>
    </row>
    <row r="53" spans="1:4" hidden="1" x14ac:dyDescent="0.25">
      <c r="A53" s="16"/>
      <c r="B53" s="4"/>
      <c r="C53" s="4"/>
      <c r="D53" s="44"/>
    </row>
    <row r="54" spans="1:4" hidden="1" x14ac:dyDescent="0.25">
      <c r="A54" s="16"/>
      <c r="B54" s="4"/>
      <c r="C54" s="4"/>
      <c r="D54" s="44"/>
    </row>
    <row r="55" spans="1:4" hidden="1" x14ac:dyDescent="0.25">
      <c r="A55" s="4"/>
      <c r="B55" s="4"/>
      <c r="C55" s="4"/>
      <c r="D55" s="44"/>
    </row>
    <row r="56" spans="1:4" hidden="1" x14ac:dyDescent="0.25">
      <c r="A56" s="16"/>
      <c r="B56" s="4"/>
      <c r="C56" s="4"/>
      <c r="D56" s="44"/>
    </row>
    <row r="57" spans="1:4" hidden="1" x14ac:dyDescent="0.25">
      <c r="A57" s="16"/>
      <c r="B57" s="4"/>
      <c r="C57" s="4"/>
      <c r="D57" s="44"/>
    </row>
    <row r="58" spans="1:4" hidden="1" x14ac:dyDescent="0.25">
      <c r="A58" s="16"/>
      <c r="B58" s="4"/>
      <c r="C58" s="4"/>
      <c r="D58" s="44"/>
    </row>
    <row r="59" spans="1:4" hidden="1" x14ac:dyDescent="0.25">
      <c r="A59" s="16"/>
      <c r="B59" s="4"/>
      <c r="C59" s="4"/>
      <c r="D59" s="44"/>
    </row>
    <row r="60" spans="1:4" hidden="1" x14ac:dyDescent="0.25">
      <c r="A60" s="16"/>
      <c r="B60" s="4"/>
      <c r="C60" s="4"/>
      <c r="D60" s="44"/>
    </row>
    <row r="61" spans="1:4" hidden="1" x14ac:dyDescent="0.25">
      <c r="A61" s="16"/>
      <c r="B61" s="4"/>
      <c r="C61" s="4"/>
      <c r="D61" s="44"/>
    </row>
    <row r="62" spans="1:4" hidden="1" x14ac:dyDescent="0.25">
      <c r="A62" s="16"/>
      <c r="B62" s="4"/>
      <c r="C62" s="4"/>
      <c r="D62" s="44"/>
    </row>
    <row r="63" spans="1:4" hidden="1" x14ac:dyDescent="0.25">
      <c r="A63" s="16"/>
      <c r="B63" s="4"/>
      <c r="C63" s="4"/>
      <c r="D63" s="44"/>
    </row>
    <row r="64" spans="1:4" hidden="1" x14ac:dyDescent="0.25">
      <c r="A64" s="4"/>
      <c r="B64" s="4"/>
      <c r="C64" s="4"/>
      <c r="D64" s="44"/>
    </row>
    <row r="65" spans="1:4" hidden="1" x14ac:dyDescent="0.25">
      <c r="A65" s="4"/>
      <c r="B65" s="4"/>
      <c r="C65" s="4"/>
      <c r="D65" s="44"/>
    </row>
    <row r="66" spans="1:4" hidden="1" x14ac:dyDescent="0.25">
      <c r="A66" s="4"/>
      <c r="B66" s="4"/>
      <c r="C66" s="4"/>
      <c r="D66" s="44"/>
    </row>
    <row r="67" spans="1:4" hidden="1" x14ac:dyDescent="0.25">
      <c r="A67" s="4"/>
      <c r="B67" s="4"/>
      <c r="C67" s="4"/>
      <c r="D67" s="44"/>
    </row>
    <row r="68" spans="1:4" hidden="1" x14ac:dyDescent="0.25">
      <c r="A68" s="4"/>
      <c r="B68" s="4"/>
      <c r="C68" s="4"/>
      <c r="D68" s="44"/>
    </row>
    <row r="69" spans="1:4" hidden="1" x14ac:dyDescent="0.25">
      <c r="A69" s="4"/>
      <c r="B69" s="4"/>
      <c r="C69" s="4"/>
      <c r="D69" s="44"/>
    </row>
    <row r="70" spans="1:4" hidden="1" x14ac:dyDescent="0.25">
      <c r="A70" s="4"/>
      <c r="B70" s="4"/>
      <c r="C70" s="4"/>
      <c r="D70" s="44"/>
    </row>
    <row r="71" spans="1:4" hidden="1" x14ac:dyDescent="0.25">
      <c r="A71" s="4"/>
      <c r="B71" s="4"/>
      <c r="C71" s="4"/>
      <c r="D71" s="44"/>
    </row>
    <row r="72" spans="1:4" hidden="1" x14ac:dyDescent="0.25">
      <c r="A72" s="4"/>
      <c r="B72" s="4"/>
      <c r="C72" s="4"/>
      <c r="D72" s="44"/>
    </row>
    <row r="73" spans="1:4" hidden="1" x14ac:dyDescent="0.25">
      <c r="A73" s="4"/>
      <c r="B73" s="4"/>
      <c r="C73" s="4"/>
      <c r="D73" s="44"/>
    </row>
    <row r="74" spans="1:4" hidden="1" x14ac:dyDescent="0.25">
      <c r="A74" s="4"/>
      <c r="B74" s="4"/>
      <c r="C74" s="4"/>
      <c r="D74" s="44"/>
    </row>
    <row r="75" spans="1:4" hidden="1" x14ac:dyDescent="0.25">
      <c r="A75" s="4"/>
      <c r="B75" s="4"/>
      <c r="C75" s="4"/>
      <c r="D75" s="44"/>
    </row>
    <row r="76" spans="1:4" hidden="1" x14ac:dyDescent="0.25">
      <c r="A76" s="4"/>
      <c r="B76" s="4"/>
      <c r="C76" s="4"/>
      <c r="D76" s="44"/>
    </row>
    <row r="77" spans="1:4" hidden="1" x14ac:dyDescent="0.25"/>
    <row r="78" spans="1:4" hidden="1" x14ac:dyDescent="0.25"/>
    <row r="79" spans="1:4" hidden="1" x14ac:dyDescent="0.25"/>
    <row r="80" spans="1:4" hidden="1" x14ac:dyDescent="0.25"/>
    <row r="81" spans="3:4" hidden="1" x14ac:dyDescent="0.25"/>
    <row r="82" spans="3:4" hidden="1" x14ac:dyDescent="0.25"/>
    <row r="83" spans="3:4" hidden="1" x14ac:dyDescent="0.25"/>
    <row r="84" spans="3:4" hidden="1" x14ac:dyDescent="0.25"/>
    <row r="85" spans="3:4" hidden="1" x14ac:dyDescent="0.25"/>
    <row r="86" spans="3:4" hidden="1" x14ac:dyDescent="0.25"/>
    <row r="87" spans="3:4" hidden="1" x14ac:dyDescent="0.25"/>
    <row r="88" spans="3:4" hidden="1" x14ac:dyDescent="0.25"/>
    <row r="89" spans="3:4" hidden="1" x14ac:dyDescent="0.25"/>
    <row r="90" spans="3:4" hidden="1" x14ac:dyDescent="0.25"/>
    <row r="91" spans="3:4" hidden="1" x14ac:dyDescent="0.25"/>
    <row r="92" spans="3:4" x14ac:dyDescent="0.25">
      <c r="C92" s="31" t="s">
        <v>2502</v>
      </c>
      <c r="D92" s="43">
        <f>SUM(D2:D3,D37:D91)</f>
        <v>88348</v>
      </c>
    </row>
    <row r="93" spans="3:4" x14ac:dyDescent="0.25">
      <c r="C93" s="31" t="s">
        <v>2501</v>
      </c>
      <c r="D93" s="43">
        <f>SUM(D4:D36)</f>
        <v>138640</v>
      </c>
    </row>
    <row r="94" spans="3:4" x14ac:dyDescent="0.25">
      <c r="C94" s="31" t="s">
        <v>83</v>
      </c>
      <c r="D94" s="43">
        <f>SUM(D2:D76)</f>
        <v>226988</v>
      </c>
    </row>
    <row r="100" spans="4:4" x14ac:dyDescent="0.25">
      <c r="D100" s="43"/>
    </row>
  </sheetData>
  <printOptions horizontalCentered="1"/>
  <pageMargins left="0.7" right="0.7" top="1" bottom="0.75" header="0.3" footer="0.3"/>
  <pageSetup paperSize="5" scale="61" orientation="portrait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D2D0-D770-4601-B087-AF610A1891C8}">
  <dimension ref="A1:D100"/>
  <sheetViews>
    <sheetView view="pageBreakPreview" topLeftCell="A32" zoomScaleNormal="100" zoomScaleSheetLayoutView="100" workbookViewId="0">
      <selection activeCell="D94" sqref="D94"/>
    </sheetView>
  </sheetViews>
  <sheetFormatPr defaultRowHeight="15" x14ac:dyDescent="0.25"/>
  <cols>
    <col min="1" max="1" width="44" bestFit="1" customWidth="1"/>
    <col min="2" max="2" width="11" bestFit="1" customWidth="1"/>
    <col min="3" max="3" width="80.7109375" bestFit="1" customWidth="1"/>
    <col min="4" max="4" width="14.28515625" bestFit="1" customWidth="1"/>
  </cols>
  <sheetData>
    <row r="1" spans="1:4" s="45" customFormat="1" x14ac:dyDescent="0.25">
      <c r="A1" s="6" t="s">
        <v>0</v>
      </c>
      <c r="B1" s="6" t="s">
        <v>1</v>
      </c>
      <c r="C1" s="6" t="s">
        <v>2</v>
      </c>
      <c r="D1" s="6" t="s">
        <v>4</v>
      </c>
    </row>
    <row r="2" spans="1:4" x14ac:dyDescent="0.25">
      <c r="A2" s="16" t="s">
        <v>256</v>
      </c>
      <c r="B2" s="4">
        <v>421688</v>
      </c>
      <c r="C2" s="4" t="s">
        <v>3712</v>
      </c>
      <c r="D2" s="44">
        <v>1342</v>
      </c>
    </row>
    <row r="3" spans="1:4" x14ac:dyDescent="0.25">
      <c r="A3" s="16" t="s">
        <v>256</v>
      </c>
      <c r="B3" s="4">
        <v>423048</v>
      </c>
      <c r="C3" s="4" t="s">
        <v>4045</v>
      </c>
      <c r="D3" s="44">
        <v>14473</v>
      </c>
    </row>
    <row r="4" spans="1:4" x14ac:dyDescent="0.25">
      <c r="A4" s="16" t="s">
        <v>108</v>
      </c>
      <c r="B4" s="4">
        <v>426961</v>
      </c>
      <c r="C4" s="4" t="s">
        <v>3994</v>
      </c>
      <c r="D4" s="44">
        <v>2645</v>
      </c>
    </row>
    <row r="5" spans="1:4" x14ac:dyDescent="0.25">
      <c r="A5" s="16" t="s">
        <v>108</v>
      </c>
      <c r="B5" s="4">
        <v>426947</v>
      </c>
      <c r="C5" s="4" t="s">
        <v>3995</v>
      </c>
      <c r="D5" s="44">
        <v>184</v>
      </c>
    </row>
    <row r="6" spans="1:4" x14ac:dyDescent="0.25">
      <c r="A6" s="4" t="s">
        <v>108</v>
      </c>
      <c r="B6" s="4">
        <v>426945</v>
      </c>
      <c r="C6" s="4" t="s">
        <v>3996</v>
      </c>
      <c r="D6" s="44">
        <v>4795</v>
      </c>
    </row>
    <row r="7" spans="1:4" x14ac:dyDescent="0.25">
      <c r="A7" s="16" t="s">
        <v>108</v>
      </c>
      <c r="B7" s="4">
        <v>426941</v>
      </c>
      <c r="C7" s="4" t="s">
        <v>3997</v>
      </c>
      <c r="D7" s="44">
        <v>2121</v>
      </c>
    </row>
    <row r="8" spans="1:4" x14ac:dyDescent="0.25">
      <c r="A8" s="16" t="s">
        <v>108</v>
      </c>
      <c r="B8" s="4">
        <v>426939</v>
      </c>
      <c r="C8" s="4" t="s">
        <v>3998</v>
      </c>
      <c r="D8" s="44">
        <v>4692</v>
      </c>
    </row>
    <row r="9" spans="1:4" x14ac:dyDescent="0.25">
      <c r="A9" s="4" t="s">
        <v>108</v>
      </c>
      <c r="B9" s="4">
        <v>426927</v>
      </c>
      <c r="C9" s="4" t="s">
        <v>3999</v>
      </c>
      <c r="D9" s="44">
        <v>4146</v>
      </c>
    </row>
    <row r="10" spans="1:4" x14ac:dyDescent="0.25">
      <c r="A10" s="16" t="s">
        <v>108</v>
      </c>
      <c r="B10" s="4">
        <v>426923</v>
      </c>
      <c r="C10" s="4" t="s">
        <v>4000</v>
      </c>
      <c r="D10" s="44">
        <v>1932</v>
      </c>
    </row>
    <row r="11" spans="1:4" x14ac:dyDescent="0.25">
      <c r="A11" s="16" t="s">
        <v>108</v>
      </c>
      <c r="B11" s="4">
        <v>426921</v>
      </c>
      <c r="C11" s="4" t="s">
        <v>4001</v>
      </c>
      <c r="D11" s="44">
        <v>6008</v>
      </c>
    </row>
    <row r="12" spans="1:4" x14ac:dyDescent="0.25">
      <c r="A12" s="16" t="s">
        <v>108</v>
      </c>
      <c r="B12" s="4">
        <v>426959</v>
      </c>
      <c r="C12" s="4" t="s">
        <v>4002</v>
      </c>
      <c r="D12" s="44">
        <v>3821</v>
      </c>
    </row>
    <row r="13" spans="1:4" x14ac:dyDescent="0.25">
      <c r="A13" s="16" t="s">
        <v>108</v>
      </c>
      <c r="B13" s="4">
        <v>426897</v>
      </c>
      <c r="C13" s="4" t="s">
        <v>4003</v>
      </c>
      <c r="D13" s="44">
        <v>3657</v>
      </c>
    </row>
    <row r="14" spans="1:4" x14ac:dyDescent="0.25">
      <c r="A14" s="4" t="s">
        <v>108</v>
      </c>
      <c r="B14" s="4">
        <v>426895</v>
      </c>
      <c r="C14" s="4" t="s">
        <v>4004</v>
      </c>
      <c r="D14" s="44">
        <v>2630</v>
      </c>
    </row>
    <row r="15" spans="1:4" x14ac:dyDescent="0.25">
      <c r="A15" s="4" t="s">
        <v>108</v>
      </c>
      <c r="B15" s="4">
        <v>426878</v>
      </c>
      <c r="C15" s="4" t="s">
        <v>4005</v>
      </c>
      <c r="D15" s="44">
        <v>1818</v>
      </c>
    </row>
    <row r="16" spans="1:4" x14ac:dyDescent="0.25">
      <c r="A16" s="4" t="s">
        <v>108</v>
      </c>
      <c r="B16" s="4">
        <v>426888</v>
      </c>
      <c r="C16" s="4" t="s">
        <v>4006</v>
      </c>
      <c r="D16" s="44">
        <v>8869</v>
      </c>
    </row>
    <row r="17" spans="1:4" x14ac:dyDescent="0.25">
      <c r="A17" s="4" t="s">
        <v>108</v>
      </c>
      <c r="B17" s="4">
        <v>426116</v>
      </c>
      <c r="C17" s="4" t="s">
        <v>4007</v>
      </c>
      <c r="D17" s="44">
        <v>3122</v>
      </c>
    </row>
    <row r="18" spans="1:4" x14ac:dyDescent="0.25">
      <c r="A18" s="4" t="s">
        <v>108</v>
      </c>
      <c r="B18" s="4">
        <v>425966</v>
      </c>
      <c r="C18" s="4" t="s">
        <v>4008</v>
      </c>
      <c r="D18" s="44">
        <v>5824</v>
      </c>
    </row>
    <row r="19" spans="1:4" x14ac:dyDescent="0.25">
      <c r="A19" s="4" t="s">
        <v>108</v>
      </c>
      <c r="B19" s="4">
        <v>426954</v>
      </c>
      <c r="C19" s="4" t="s">
        <v>4017</v>
      </c>
      <c r="D19" s="44">
        <v>1397</v>
      </c>
    </row>
    <row r="20" spans="1:4" x14ac:dyDescent="0.25">
      <c r="A20" s="4" t="s">
        <v>108</v>
      </c>
      <c r="B20" s="4">
        <v>426950</v>
      </c>
      <c r="C20" s="4" t="s">
        <v>4018</v>
      </c>
      <c r="D20" s="44">
        <v>1063</v>
      </c>
    </row>
    <row r="21" spans="1:4" x14ac:dyDescent="0.25">
      <c r="A21" s="16" t="s">
        <v>500</v>
      </c>
      <c r="B21" s="4">
        <v>426556</v>
      </c>
      <c r="C21" s="4" t="s">
        <v>4027</v>
      </c>
      <c r="D21" s="44">
        <v>4905</v>
      </c>
    </row>
    <row r="22" spans="1:4" x14ac:dyDescent="0.25">
      <c r="A22" s="4" t="s">
        <v>500</v>
      </c>
      <c r="B22" s="4">
        <v>426578</v>
      </c>
      <c r="C22" s="4" t="s">
        <v>4028</v>
      </c>
      <c r="D22" s="44">
        <v>3546</v>
      </c>
    </row>
    <row r="23" spans="1:4" x14ac:dyDescent="0.25">
      <c r="A23" s="16" t="s">
        <v>500</v>
      </c>
      <c r="B23" s="4">
        <v>426616</v>
      </c>
      <c r="C23" s="4" t="s">
        <v>4029</v>
      </c>
      <c r="D23" s="44">
        <v>118</v>
      </c>
    </row>
    <row r="24" spans="1:4" x14ac:dyDescent="0.25">
      <c r="A24" s="16" t="s">
        <v>500</v>
      </c>
      <c r="B24" s="4">
        <v>426648</v>
      </c>
      <c r="C24" s="4" t="s">
        <v>4030</v>
      </c>
      <c r="D24" s="44">
        <v>1537</v>
      </c>
    </row>
    <row r="25" spans="1:4" x14ac:dyDescent="0.25">
      <c r="A25" s="16" t="s">
        <v>500</v>
      </c>
      <c r="B25" s="4">
        <v>426603</v>
      </c>
      <c r="C25" s="4" t="s">
        <v>4031</v>
      </c>
      <c r="D25" s="44">
        <v>3960</v>
      </c>
    </row>
    <row r="26" spans="1:4" x14ac:dyDescent="0.25">
      <c r="A26" s="16" t="s">
        <v>500</v>
      </c>
      <c r="B26" s="4">
        <v>426624</v>
      </c>
      <c r="C26" s="4" t="s">
        <v>4032</v>
      </c>
      <c r="D26" s="44">
        <v>887</v>
      </c>
    </row>
    <row r="27" spans="1:4" x14ac:dyDescent="0.25">
      <c r="A27" s="4" t="s">
        <v>500</v>
      </c>
      <c r="B27" s="4">
        <v>426653</v>
      </c>
      <c r="C27" s="4" t="s">
        <v>4033</v>
      </c>
      <c r="D27" s="44">
        <v>1950</v>
      </c>
    </row>
    <row r="28" spans="1:4" x14ac:dyDescent="0.25">
      <c r="A28" s="4" t="s">
        <v>500</v>
      </c>
      <c r="B28" s="4">
        <v>426607</v>
      </c>
      <c r="C28" s="4" t="s">
        <v>4034</v>
      </c>
      <c r="D28" s="44">
        <v>5437</v>
      </c>
    </row>
    <row r="29" spans="1:4" x14ac:dyDescent="0.25">
      <c r="A29" s="4" t="s">
        <v>500</v>
      </c>
      <c r="B29" s="4">
        <v>426632</v>
      </c>
      <c r="C29" s="4" t="s">
        <v>4035</v>
      </c>
      <c r="D29" s="44">
        <v>2364</v>
      </c>
    </row>
    <row r="30" spans="1:4" x14ac:dyDescent="0.25">
      <c r="A30" s="4" t="s">
        <v>500</v>
      </c>
      <c r="B30" s="4">
        <v>426658</v>
      </c>
      <c r="C30" s="4" t="s">
        <v>4036</v>
      </c>
      <c r="D30" s="44">
        <v>2955</v>
      </c>
    </row>
    <row r="31" spans="1:4" x14ac:dyDescent="0.25">
      <c r="A31" s="4" t="s">
        <v>500</v>
      </c>
      <c r="B31" s="4">
        <v>426637</v>
      </c>
      <c r="C31" s="4" t="s">
        <v>4037</v>
      </c>
      <c r="D31" s="44">
        <v>177</v>
      </c>
    </row>
    <row r="32" spans="1:4" x14ac:dyDescent="0.25">
      <c r="A32" s="16" t="s">
        <v>500</v>
      </c>
      <c r="B32" s="4">
        <v>426665</v>
      </c>
      <c r="C32" s="4" t="s">
        <v>4038</v>
      </c>
      <c r="D32" s="44">
        <v>827</v>
      </c>
    </row>
    <row r="33" spans="1:4" x14ac:dyDescent="0.25">
      <c r="A33" s="16" t="s">
        <v>500</v>
      </c>
      <c r="B33" s="4">
        <v>426334</v>
      </c>
      <c r="C33" s="4" t="s">
        <v>4039</v>
      </c>
      <c r="D33" s="44">
        <v>591</v>
      </c>
    </row>
    <row r="34" spans="1:4" x14ac:dyDescent="0.25">
      <c r="A34" s="4" t="s">
        <v>500</v>
      </c>
      <c r="B34" s="4">
        <v>426352</v>
      </c>
      <c r="C34" s="4" t="s">
        <v>4040</v>
      </c>
      <c r="D34" s="44">
        <v>1773</v>
      </c>
    </row>
    <row r="35" spans="1:4" x14ac:dyDescent="0.25">
      <c r="A35" s="16" t="s">
        <v>111</v>
      </c>
      <c r="B35" s="4">
        <v>423263</v>
      </c>
      <c r="C35" s="4" t="s">
        <v>3809</v>
      </c>
      <c r="D35" s="44">
        <v>14248</v>
      </c>
    </row>
    <row r="36" spans="1:4" x14ac:dyDescent="0.25">
      <c r="A36" s="16" t="s">
        <v>111</v>
      </c>
      <c r="B36" s="4">
        <v>423221</v>
      </c>
      <c r="C36" s="4" t="s">
        <v>3810</v>
      </c>
      <c r="D36" s="44">
        <v>1433</v>
      </c>
    </row>
    <row r="37" spans="1:4" x14ac:dyDescent="0.25">
      <c r="A37" s="16" t="s">
        <v>111</v>
      </c>
      <c r="B37" s="4">
        <v>427104</v>
      </c>
      <c r="C37" s="4" t="s">
        <v>4020</v>
      </c>
      <c r="D37" s="44">
        <v>83</v>
      </c>
    </row>
    <row r="38" spans="1:4" x14ac:dyDescent="0.25">
      <c r="A38" s="16" t="s">
        <v>81</v>
      </c>
      <c r="B38" s="4">
        <v>426695</v>
      </c>
      <c r="C38" s="4" t="s">
        <v>3979</v>
      </c>
      <c r="D38" s="44">
        <v>4415</v>
      </c>
    </row>
    <row r="39" spans="1:4" x14ac:dyDescent="0.25">
      <c r="A39" s="16" t="s">
        <v>175</v>
      </c>
      <c r="B39" s="4">
        <v>427307</v>
      </c>
      <c r="C39" s="4" t="s">
        <v>4041</v>
      </c>
      <c r="D39" s="44">
        <v>1574</v>
      </c>
    </row>
    <row r="40" spans="1:4" x14ac:dyDescent="0.25">
      <c r="A40" s="16" t="s">
        <v>200</v>
      </c>
      <c r="B40" s="4">
        <v>426391</v>
      </c>
      <c r="C40" s="4" t="s">
        <v>3981</v>
      </c>
      <c r="D40" s="44">
        <v>3780</v>
      </c>
    </row>
    <row r="41" spans="1:4" x14ac:dyDescent="0.25">
      <c r="A41" s="16" t="s">
        <v>26</v>
      </c>
      <c r="B41" s="4">
        <v>427422</v>
      </c>
      <c r="C41" s="4" t="s">
        <v>4042</v>
      </c>
      <c r="D41" s="44">
        <v>2990</v>
      </c>
    </row>
    <row r="42" spans="1:4" x14ac:dyDescent="0.25">
      <c r="A42" s="4" t="s">
        <v>767</v>
      </c>
      <c r="B42" s="4">
        <v>425028</v>
      </c>
      <c r="C42" s="4" t="s">
        <v>3903</v>
      </c>
      <c r="D42" s="44">
        <v>700</v>
      </c>
    </row>
    <row r="43" spans="1:4" x14ac:dyDescent="0.25">
      <c r="A43" s="16" t="s">
        <v>315</v>
      </c>
      <c r="B43" s="4">
        <v>424490</v>
      </c>
      <c r="C43" s="4" t="s">
        <v>4043</v>
      </c>
      <c r="D43" s="44">
        <v>850</v>
      </c>
    </row>
    <row r="44" spans="1:4" x14ac:dyDescent="0.25">
      <c r="A44" s="16" t="s">
        <v>3991</v>
      </c>
      <c r="B44" s="4">
        <v>426769</v>
      </c>
      <c r="C44" s="4" t="s">
        <v>3992</v>
      </c>
      <c r="D44" s="44">
        <v>1000</v>
      </c>
    </row>
    <row r="45" spans="1:4" x14ac:dyDescent="0.25">
      <c r="A45" s="4" t="s">
        <v>52</v>
      </c>
      <c r="B45" s="4">
        <v>422579</v>
      </c>
      <c r="C45" s="4" t="s">
        <v>4044</v>
      </c>
      <c r="D45" s="44">
        <v>2610</v>
      </c>
    </row>
    <row r="46" spans="1:4" x14ac:dyDescent="0.25">
      <c r="A46" s="16" t="s">
        <v>52</v>
      </c>
      <c r="B46" s="4">
        <v>425228</v>
      </c>
      <c r="C46" s="4" t="s">
        <v>3928</v>
      </c>
      <c r="D46" s="44">
        <v>891</v>
      </c>
    </row>
    <row r="47" spans="1:4" x14ac:dyDescent="0.25">
      <c r="A47" s="4" t="s">
        <v>151</v>
      </c>
      <c r="B47" s="4">
        <v>416580</v>
      </c>
      <c r="C47" s="4" t="s">
        <v>4025</v>
      </c>
      <c r="D47" s="44">
        <v>0</v>
      </c>
    </row>
    <row r="48" spans="1:4" x14ac:dyDescent="0.25">
      <c r="A48" s="16" t="s">
        <v>151</v>
      </c>
      <c r="B48" s="4">
        <v>416580</v>
      </c>
      <c r="C48" s="4" t="s">
        <v>4026</v>
      </c>
      <c r="D48" s="44">
        <v>0</v>
      </c>
    </row>
    <row r="49" spans="1:4" hidden="1" x14ac:dyDescent="0.25">
      <c r="A49" s="16"/>
      <c r="B49" s="4"/>
      <c r="C49" s="4"/>
      <c r="D49" s="44"/>
    </row>
    <row r="50" spans="1:4" hidden="1" x14ac:dyDescent="0.25">
      <c r="A50" s="16"/>
      <c r="B50" s="4"/>
      <c r="C50" s="4"/>
      <c r="D50" s="44"/>
    </row>
    <row r="51" spans="1:4" hidden="1" x14ac:dyDescent="0.25">
      <c r="A51" s="16"/>
      <c r="B51" s="4"/>
      <c r="C51" s="4"/>
      <c r="D51" s="44"/>
    </row>
    <row r="52" spans="1:4" hidden="1" x14ac:dyDescent="0.25">
      <c r="A52" s="4"/>
      <c r="B52" s="4"/>
      <c r="C52" s="4"/>
      <c r="D52" s="44"/>
    </row>
    <row r="53" spans="1:4" hidden="1" x14ac:dyDescent="0.25">
      <c r="A53" s="16"/>
      <c r="B53" s="4"/>
      <c r="C53" s="4"/>
      <c r="D53" s="44"/>
    </row>
    <row r="54" spans="1:4" hidden="1" x14ac:dyDescent="0.25">
      <c r="A54" s="16"/>
      <c r="B54" s="4"/>
      <c r="C54" s="4"/>
      <c r="D54" s="44"/>
    </row>
    <row r="55" spans="1:4" hidden="1" x14ac:dyDescent="0.25">
      <c r="A55" s="4"/>
      <c r="B55" s="4"/>
      <c r="C55" s="4"/>
      <c r="D55" s="44"/>
    </row>
    <row r="56" spans="1:4" hidden="1" x14ac:dyDescent="0.25">
      <c r="A56" s="16"/>
      <c r="B56" s="4"/>
      <c r="C56" s="4"/>
      <c r="D56" s="44"/>
    </row>
    <row r="57" spans="1:4" hidden="1" x14ac:dyDescent="0.25">
      <c r="A57" s="16"/>
      <c r="B57" s="4"/>
      <c r="C57" s="4"/>
      <c r="D57" s="44"/>
    </row>
    <row r="58" spans="1:4" hidden="1" x14ac:dyDescent="0.25">
      <c r="A58" s="16"/>
      <c r="B58" s="4"/>
      <c r="C58" s="4"/>
      <c r="D58" s="44"/>
    </row>
    <row r="59" spans="1:4" hidden="1" x14ac:dyDescent="0.25">
      <c r="A59" s="16"/>
      <c r="B59" s="4"/>
      <c r="C59" s="4"/>
      <c r="D59" s="44"/>
    </row>
    <row r="60" spans="1:4" hidden="1" x14ac:dyDescent="0.25">
      <c r="A60" s="16"/>
      <c r="B60" s="4"/>
      <c r="C60" s="4"/>
      <c r="D60" s="44"/>
    </row>
    <row r="61" spans="1:4" hidden="1" x14ac:dyDescent="0.25">
      <c r="A61" s="16"/>
      <c r="B61" s="4"/>
      <c r="C61" s="4"/>
      <c r="D61" s="44"/>
    </row>
    <row r="62" spans="1:4" hidden="1" x14ac:dyDescent="0.25">
      <c r="A62" s="16"/>
      <c r="B62" s="4"/>
      <c r="C62" s="4"/>
      <c r="D62" s="44"/>
    </row>
    <row r="63" spans="1:4" hidden="1" x14ac:dyDescent="0.25">
      <c r="A63" s="16"/>
      <c r="B63" s="4"/>
      <c r="C63" s="4"/>
      <c r="D63" s="44"/>
    </row>
    <row r="64" spans="1:4" hidden="1" x14ac:dyDescent="0.25">
      <c r="A64" s="4"/>
      <c r="B64" s="4"/>
      <c r="C64" s="4"/>
      <c r="D64" s="44"/>
    </row>
    <row r="65" spans="1:4" hidden="1" x14ac:dyDescent="0.25">
      <c r="A65" s="4"/>
      <c r="B65" s="4"/>
      <c r="C65" s="4"/>
      <c r="D65" s="44"/>
    </row>
    <row r="66" spans="1:4" hidden="1" x14ac:dyDescent="0.25">
      <c r="A66" s="4"/>
      <c r="B66" s="4"/>
      <c r="C66" s="4"/>
      <c r="D66" s="44"/>
    </row>
    <row r="67" spans="1:4" hidden="1" x14ac:dyDescent="0.25">
      <c r="A67" s="4"/>
      <c r="B67" s="4"/>
      <c r="C67" s="4"/>
      <c r="D67" s="44"/>
    </row>
    <row r="68" spans="1:4" hidden="1" x14ac:dyDescent="0.25">
      <c r="A68" s="4"/>
      <c r="B68" s="4"/>
      <c r="C68" s="4"/>
      <c r="D68" s="44"/>
    </row>
    <row r="69" spans="1:4" hidden="1" x14ac:dyDescent="0.25">
      <c r="A69" s="4"/>
      <c r="B69" s="4"/>
      <c r="C69" s="4"/>
      <c r="D69" s="44"/>
    </row>
    <row r="70" spans="1:4" hidden="1" x14ac:dyDescent="0.25">
      <c r="A70" s="4"/>
      <c r="B70" s="4"/>
      <c r="C70" s="4"/>
      <c r="D70" s="44"/>
    </row>
    <row r="71" spans="1:4" hidden="1" x14ac:dyDescent="0.25">
      <c r="A71" s="4"/>
      <c r="B71" s="4"/>
      <c r="C71" s="4"/>
      <c r="D71" s="44"/>
    </row>
    <row r="72" spans="1:4" hidden="1" x14ac:dyDescent="0.25">
      <c r="A72" s="4"/>
      <c r="B72" s="4"/>
      <c r="C72" s="4"/>
      <c r="D72" s="44"/>
    </row>
    <row r="73" spans="1:4" hidden="1" x14ac:dyDescent="0.25">
      <c r="A73" s="4"/>
      <c r="B73" s="4"/>
      <c r="C73" s="4"/>
      <c r="D73" s="44"/>
    </row>
    <row r="74" spans="1:4" hidden="1" x14ac:dyDescent="0.25">
      <c r="A74" s="4"/>
      <c r="B74" s="4"/>
      <c r="C74" s="4"/>
      <c r="D74" s="44"/>
    </row>
    <row r="75" spans="1:4" hidden="1" x14ac:dyDescent="0.25">
      <c r="A75" s="4"/>
      <c r="B75" s="4"/>
      <c r="C75" s="4"/>
      <c r="D75" s="44"/>
    </row>
    <row r="76" spans="1:4" hidden="1" x14ac:dyDescent="0.25">
      <c r="A76" s="4"/>
      <c r="B76" s="4"/>
      <c r="C76" s="4"/>
      <c r="D76" s="44"/>
    </row>
    <row r="77" spans="1:4" hidden="1" x14ac:dyDescent="0.25"/>
    <row r="78" spans="1:4" hidden="1" x14ac:dyDescent="0.25"/>
    <row r="79" spans="1:4" hidden="1" x14ac:dyDescent="0.25"/>
    <row r="80" spans="1:4" hidden="1" x14ac:dyDescent="0.25"/>
    <row r="81" spans="3:4" hidden="1" x14ac:dyDescent="0.25"/>
    <row r="82" spans="3:4" hidden="1" x14ac:dyDescent="0.25"/>
    <row r="83" spans="3:4" hidden="1" x14ac:dyDescent="0.25"/>
    <row r="84" spans="3:4" hidden="1" x14ac:dyDescent="0.25"/>
    <row r="85" spans="3:4" hidden="1" x14ac:dyDescent="0.25"/>
    <row r="86" spans="3:4" hidden="1" x14ac:dyDescent="0.25"/>
    <row r="87" spans="3:4" hidden="1" x14ac:dyDescent="0.25"/>
    <row r="88" spans="3:4" hidden="1" x14ac:dyDescent="0.25"/>
    <row r="89" spans="3:4" hidden="1" x14ac:dyDescent="0.25"/>
    <row r="90" spans="3:4" hidden="1" x14ac:dyDescent="0.25"/>
    <row r="91" spans="3:4" hidden="1" x14ac:dyDescent="0.25"/>
    <row r="92" spans="3:4" x14ac:dyDescent="0.25">
      <c r="C92" s="31" t="s">
        <v>2502</v>
      </c>
      <c r="D92" s="43">
        <f>SUM(D2:D3,D39:D91)</f>
        <v>30210</v>
      </c>
    </row>
    <row r="93" spans="3:4" x14ac:dyDescent="0.25">
      <c r="C93" s="31" t="s">
        <v>2501</v>
      </c>
      <c r="D93" s="43">
        <f>SUM(D4:D38)</f>
        <v>109930</v>
      </c>
    </row>
    <row r="94" spans="3:4" x14ac:dyDescent="0.25">
      <c r="C94" s="31" t="s">
        <v>83</v>
      </c>
      <c r="D94" s="43">
        <f>SUM(D2:D76)</f>
        <v>140140</v>
      </c>
    </row>
    <row r="100" spans="4:4" x14ac:dyDescent="0.25">
      <c r="D100" s="43"/>
    </row>
  </sheetData>
  <printOptions horizontalCentered="1"/>
  <pageMargins left="0.7" right="0.7" top="1" bottom="0.75" header="0.3" footer="0.3"/>
  <pageSetup paperSize="5" scale="61" orientation="portrait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65A7-E761-4935-BF18-1647BCEE9FCE}">
  <dimension ref="A1:D100"/>
  <sheetViews>
    <sheetView view="pageBreakPreview" zoomScaleNormal="100" zoomScaleSheetLayoutView="100" workbookViewId="0">
      <selection activeCell="D94" sqref="D94"/>
    </sheetView>
  </sheetViews>
  <sheetFormatPr defaultRowHeight="15" x14ac:dyDescent="0.25"/>
  <cols>
    <col min="1" max="1" width="44" bestFit="1" customWidth="1"/>
    <col min="2" max="2" width="11" bestFit="1" customWidth="1"/>
    <col min="3" max="3" width="80.7109375" bestFit="1" customWidth="1"/>
    <col min="4" max="4" width="14.28515625" bestFit="1" customWidth="1"/>
  </cols>
  <sheetData>
    <row r="1" spans="1:4" s="45" customFormat="1" x14ac:dyDescent="0.25">
      <c r="A1" s="6" t="s">
        <v>0</v>
      </c>
      <c r="B1" s="6" t="s">
        <v>1</v>
      </c>
      <c r="C1" s="6" t="s">
        <v>2</v>
      </c>
      <c r="D1" s="6" t="s">
        <v>4</v>
      </c>
    </row>
    <row r="2" spans="1:4" x14ac:dyDescent="0.25">
      <c r="A2" s="16" t="s">
        <v>256</v>
      </c>
      <c r="B2" s="4">
        <v>421688</v>
      </c>
      <c r="C2" s="4" t="s">
        <v>3712</v>
      </c>
      <c r="D2" s="44">
        <v>1342</v>
      </c>
    </row>
    <row r="3" spans="1:4" x14ac:dyDescent="0.25">
      <c r="A3" s="16" t="s">
        <v>108</v>
      </c>
      <c r="B3" s="4">
        <v>426961</v>
      </c>
      <c r="C3" s="4" t="s">
        <v>3994</v>
      </c>
      <c r="D3" s="44">
        <v>2645</v>
      </c>
    </row>
    <row r="4" spans="1:4" x14ac:dyDescent="0.25">
      <c r="A4" s="16" t="s">
        <v>108</v>
      </c>
      <c r="B4" s="4">
        <v>426947</v>
      </c>
      <c r="C4" s="4" t="s">
        <v>3995</v>
      </c>
      <c r="D4" s="44">
        <v>184</v>
      </c>
    </row>
    <row r="5" spans="1:4" x14ac:dyDescent="0.25">
      <c r="A5" s="16" t="s">
        <v>108</v>
      </c>
      <c r="B5" s="4">
        <v>426945</v>
      </c>
      <c r="C5" s="4" t="s">
        <v>3996</v>
      </c>
      <c r="D5" s="44">
        <v>4795</v>
      </c>
    </row>
    <row r="6" spans="1:4" x14ac:dyDescent="0.25">
      <c r="A6" s="4" t="s">
        <v>108</v>
      </c>
      <c r="B6" s="4">
        <v>426941</v>
      </c>
      <c r="C6" s="4" t="s">
        <v>3997</v>
      </c>
      <c r="D6" s="44">
        <v>2121</v>
      </c>
    </row>
    <row r="7" spans="1:4" x14ac:dyDescent="0.25">
      <c r="A7" s="16" t="s">
        <v>108</v>
      </c>
      <c r="B7" s="4">
        <v>426939</v>
      </c>
      <c r="C7" s="4" t="s">
        <v>3998</v>
      </c>
      <c r="D7" s="44">
        <v>4692</v>
      </c>
    </row>
    <row r="8" spans="1:4" x14ac:dyDescent="0.25">
      <c r="A8" s="16" t="s">
        <v>108</v>
      </c>
      <c r="B8" s="4">
        <v>426927</v>
      </c>
      <c r="C8" s="4" t="s">
        <v>3999</v>
      </c>
      <c r="D8" s="44">
        <v>4146</v>
      </c>
    </row>
    <row r="9" spans="1:4" x14ac:dyDescent="0.25">
      <c r="A9" s="4" t="s">
        <v>108</v>
      </c>
      <c r="B9" s="4">
        <v>426923</v>
      </c>
      <c r="C9" s="4" t="s">
        <v>4000</v>
      </c>
      <c r="D9" s="44">
        <v>1932</v>
      </c>
    </row>
    <row r="10" spans="1:4" x14ac:dyDescent="0.25">
      <c r="A10" s="16" t="s">
        <v>108</v>
      </c>
      <c r="B10" s="4">
        <v>426921</v>
      </c>
      <c r="C10" s="4" t="s">
        <v>4001</v>
      </c>
      <c r="D10" s="44">
        <v>6008</v>
      </c>
    </row>
    <row r="11" spans="1:4" x14ac:dyDescent="0.25">
      <c r="A11" s="16" t="s">
        <v>108</v>
      </c>
      <c r="B11" s="4">
        <v>426959</v>
      </c>
      <c r="C11" s="4" t="s">
        <v>4002</v>
      </c>
      <c r="D11" s="44">
        <v>3821</v>
      </c>
    </row>
    <row r="12" spans="1:4" x14ac:dyDescent="0.25">
      <c r="A12" s="16" t="s">
        <v>108</v>
      </c>
      <c r="B12" s="4">
        <v>426897</v>
      </c>
      <c r="C12" s="4" t="s">
        <v>4003</v>
      </c>
      <c r="D12" s="44">
        <v>3657</v>
      </c>
    </row>
    <row r="13" spans="1:4" x14ac:dyDescent="0.25">
      <c r="A13" s="16" t="s">
        <v>108</v>
      </c>
      <c r="B13" s="4">
        <v>426895</v>
      </c>
      <c r="C13" s="4" t="s">
        <v>4004</v>
      </c>
      <c r="D13" s="44">
        <v>2630</v>
      </c>
    </row>
    <row r="14" spans="1:4" x14ac:dyDescent="0.25">
      <c r="A14" s="4" t="s">
        <v>108</v>
      </c>
      <c r="B14" s="4">
        <v>426878</v>
      </c>
      <c r="C14" s="4" t="s">
        <v>4005</v>
      </c>
      <c r="D14" s="44">
        <v>1818</v>
      </c>
    </row>
    <row r="15" spans="1:4" x14ac:dyDescent="0.25">
      <c r="A15" s="4" t="s">
        <v>108</v>
      </c>
      <c r="B15" s="4">
        <v>426888</v>
      </c>
      <c r="C15" s="4" t="s">
        <v>4006</v>
      </c>
      <c r="D15" s="44">
        <v>8869</v>
      </c>
    </row>
    <row r="16" spans="1:4" x14ac:dyDescent="0.25">
      <c r="A16" s="4" t="s">
        <v>108</v>
      </c>
      <c r="B16" s="4">
        <v>426116</v>
      </c>
      <c r="C16" s="4" t="s">
        <v>4007</v>
      </c>
      <c r="D16" s="44">
        <v>3122</v>
      </c>
    </row>
    <row r="17" spans="1:4" x14ac:dyDescent="0.25">
      <c r="A17" s="4" t="s">
        <v>108</v>
      </c>
      <c r="B17" s="4">
        <v>425966</v>
      </c>
      <c r="C17" s="4" t="s">
        <v>4008</v>
      </c>
      <c r="D17" s="44">
        <v>5824</v>
      </c>
    </row>
    <row r="18" spans="1:4" x14ac:dyDescent="0.25">
      <c r="A18" s="4" t="s">
        <v>108</v>
      </c>
      <c r="B18" s="4">
        <v>426954</v>
      </c>
      <c r="C18" s="4" t="s">
        <v>4017</v>
      </c>
      <c r="D18" s="44">
        <v>1397</v>
      </c>
    </row>
    <row r="19" spans="1:4" x14ac:dyDescent="0.25">
      <c r="A19" s="4" t="s">
        <v>108</v>
      </c>
      <c r="B19" s="4">
        <v>426950</v>
      </c>
      <c r="C19" s="4" t="s">
        <v>4018</v>
      </c>
      <c r="D19" s="44">
        <v>1063</v>
      </c>
    </row>
    <row r="20" spans="1:4" x14ac:dyDescent="0.25">
      <c r="A20" s="4" t="s">
        <v>500</v>
      </c>
      <c r="B20" s="4">
        <v>427583</v>
      </c>
      <c r="C20" s="4" t="s">
        <v>4046</v>
      </c>
      <c r="D20" s="44">
        <v>355</v>
      </c>
    </row>
    <row r="21" spans="1:4" x14ac:dyDescent="0.25">
      <c r="A21" s="16" t="s">
        <v>111</v>
      </c>
      <c r="B21" s="4">
        <v>427664</v>
      </c>
      <c r="C21" s="4" t="s">
        <v>4047</v>
      </c>
      <c r="D21" s="44">
        <v>708</v>
      </c>
    </row>
    <row r="22" spans="1:4" x14ac:dyDescent="0.25">
      <c r="A22" s="4" t="s">
        <v>111</v>
      </c>
      <c r="B22" s="4">
        <v>427569</v>
      </c>
      <c r="C22" s="4" t="s">
        <v>3810</v>
      </c>
      <c r="D22" s="44">
        <v>1433</v>
      </c>
    </row>
    <row r="23" spans="1:4" x14ac:dyDescent="0.25">
      <c r="A23" s="16" t="s">
        <v>111</v>
      </c>
      <c r="B23" s="4">
        <v>427627</v>
      </c>
      <c r="C23" s="4" t="s">
        <v>4048</v>
      </c>
      <c r="D23" s="44">
        <v>248</v>
      </c>
    </row>
    <row r="24" spans="1:4" x14ac:dyDescent="0.25">
      <c r="A24" s="16" t="s">
        <v>111</v>
      </c>
      <c r="B24" s="4">
        <v>427624</v>
      </c>
      <c r="C24" s="4" t="s">
        <v>4049</v>
      </c>
      <c r="D24" s="44">
        <v>1168</v>
      </c>
    </row>
    <row r="25" spans="1:4" x14ac:dyDescent="0.25">
      <c r="A25" s="16" t="s">
        <v>111</v>
      </c>
      <c r="B25" s="4">
        <v>427622</v>
      </c>
      <c r="C25" s="4" t="s">
        <v>4050</v>
      </c>
      <c r="D25" s="44">
        <v>195</v>
      </c>
    </row>
    <row r="26" spans="1:4" x14ac:dyDescent="0.25">
      <c r="A26" s="16" t="s">
        <v>111</v>
      </c>
      <c r="B26" s="4">
        <v>427563</v>
      </c>
      <c r="C26" s="4" t="s">
        <v>4051</v>
      </c>
      <c r="D26" s="44">
        <v>1714</v>
      </c>
    </row>
    <row r="27" spans="1:4" x14ac:dyDescent="0.25">
      <c r="A27" s="4" t="s">
        <v>111</v>
      </c>
      <c r="B27" s="4">
        <v>427572</v>
      </c>
      <c r="C27" s="4" t="s">
        <v>4052</v>
      </c>
      <c r="D27" s="44">
        <v>14248</v>
      </c>
    </row>
    <row r="28" spans="1:4" x14ac:dyDescent="0.25">
      <c r="A28" s="4" t="s">
        <v>2831</v>
      </c>
      <c r="B28" s="4">
        <v>427617</v>
      </c>
      <c r="C28" s="4" t="s">
        <v>4053</v>
      </c>
      <c r="D28" s="44">
        <v>3862</v>
      </c>
    </row>
    <row r="29" spans="1:4" x14ac:dyDescent="0.25">
      <c r="A29" s="4" t="s">
        <v>2831</v>
      </c>
      <c r="B29" s="4">
        <v>427071</v>
      </c>
      <c r="C29" s="4" t="s">
        <v>4054</v>
      </c>
      <c r="D29" s="44">
        <v>1188</v>
      </c>
    </row>
    <row r="30" spans="1:4" x14ac:dyDescent="0.25">
      <c r="A30" s="4" t="s">
        <v>2831</v>
      </c>
      <c r="B30" s="4">
        <v>427037</v>
      </c>
      <c r="C30" s="4" t="s">
        <v>4055</v>
      </c>
      <c r="D30" s="44">
        <v>8211</v>
      </c>
    </row>
    <row r="31" spans="1:4" x14ac:dyDescent="0.25">
      <c r="A31" s="4" t="s">
        <v>2831</v>
      </c>
      <c r="B31" s="4">
        <v>427289</v>
      </c>
      <c r="C31" s="4" t="s">
        <v>4056</v>
      </c>
      <c r="D31" s="44">
        <v>23605</v>
      </c>
    </row>
    <row r="32" spans="1:4" x14ac:dyDescent="0.25">
      <c r="A32" s="16" t="s">
        <v>2831</v>
      </c>
      <c r="B32" s="4">
        <v>427073</v>
      </c>
      <c r="C32" s="4" t="s">
        <v>4057</v>
      </c>
      <c r="D32" s="44">
        <v>11590</v>
      </c>
    </row>
    <row r="33" spans="1:4" x14ac:dyDescent="0.25">
      <c r="A33" s="16" t="s">
        <v>2831</v>
      </c>
      <c r="B33" s="4">
        <v>427039</v>
      </c>
      <c r="C33" s="4" t="s">
        <v>4058</v>
      </c>
      <c r="D33" s="44">
        <v>7664</v>
      </c>
    </row>
    <row r="34" spans="1:4" x14ac:dyDescent="0.25">
      <c r="A34" s="4" t="s">
        <v>2831</v>
      </c>
      <c r="B34" s="4">
        <v>427043</v>
      </c>
      <c r="C34" s="4" t="s">
        <v>4059</v>
      </c>
      <c r="D34" s="44">
        <v>6259</v>
      </c>
    </row>
    <row r="35" spans="1:4" x14ac:dyDescent="0.25">
      <c r="A35" s="16" t="s">
        <v>2831</v>
      </c>
      <c r="B35" s="4">
        <v>427047</v>
      </c>
      <c r="C35" s="4" t="s">
        <v>4060</v>
      </c>
      <c r="D35" s="44">
        <v>5288</v>
      </c>
    </row>
    <row r="36" spans="1:4" x14ac:dyDescent="0.25">
      <c r="A36" s="16" t="s">
        <v>2831</v>
      </c>
      <c r="B36" s="4">
        <v>427288</v>
      </c>
      <c r="C36" s="4" t="s">
        <v>4061</v>
      </c>
      <c r="D36" s="44">
        <v>8480</v>
      </c>
    </row>
    <row r="37" spans="1:4" x14ac:dyDescent="0.25">
      <c r="A37" s="16" t="s">
        <v>2831</v>
      </c>
      <c r="B37" s="4">
        <v>427300</v>
      </c>
      <c r="C37" s="4" t="s">
        <v>4062</v>
      </c>
      <c r="D37" s="44">
        <v>8752</v>
      </c>
    </row>
    <row r="38" spans="1:4" x14ac:dyDescent="0.25">
      <c r="A38" s="16" t="s">
        <v>2831</v>
      </c>
      <c r="B38" s="4">
        <v>427044</v>
      </c>
      <c r="C38" s="4" t="s">
        <v>4063</v>
      </c>
      <c r="D38" s="44">
        <v>92024</v>
      </c>
    </row>
    <row r="39" spans="1:4" x14ac:dyDescent="0.25">
      <c r="A39" s="16" t="s">
        <v>2831</v>
      </c>
      <c r="B39" s="4">
        <v>427046</v>
      </c>
      <c r="C39" s="4" t="s">
        <v>4064</v>
      </c>
      <c r="D39" s="44">
        <v>12785</v>
      </c>
    </row>
    <row r="40" spans="1:4" x14ac:dyDescent="0.25">
      <c r="A40" s="16" t="s">
        <v>2831</v>
      </c>
      <c r="B40" s="4">
        <v>427045</v>
      </c>
      <c r="C40" s="4" t="s">
        <v>4065</v>
      </c>
      <c r="D40" s="44">
        <v>15259</v>
      </c>
    </row>
    <row r="41" spans="1:4" x14ac:dyDescent="0.25">
      <c r="A41" s="16" t="s">
        <v>2831</v>
      </c>
      <c r="B41" s="4">
        <v>427070</v>
      </c>
      <c r="C41" s="4" t="s">
        <v>4066</v>
      </c>
      <c r="D41" s="44">
        <v>47739</v>
      </c>
    </row>
    <row r="42" spans="1:4" x14ac:dyDescent="0.25">
      <c r="A42" s="4" t="s">
        <v>2831</v>
      </c>
      <c r="B42" s="4">
        <v>427074</v>
      </c>
      <c r="C42" s="4" t="s">
        <v>4067</v>
      </c>
      <c r="D42" s="44">
        <v>399</v>
      </c>
    </row>
    <row r="43" spans="1:4" x14ac:dyDescent="0.25">
      <c r="A43" s="16" t="s">
        <v>2831</v>
      </c>
      <c r="B43" s="4">
        <v>427072</v>
      </c>
      <c r="C43" s="4" t="s">
        <v>4068</v>
      </c>
      <c r="D43" s="44">
        <v>5854</v>
      </c>
    </row>
    <row r="44" spans="1:4" x14ac:dyDescent="0.25">
      <c r="A44" s="16" t="s">
        <v>81</v>
      </c>
      <c r="B44" s="4">
        <v>426695</v>
      </c>
      <c r="C44" s="4" t="s">
        <v>3979</v>
      </c>
      <c r="D44" s="44">
        <v>4415</v>
      </c>
    </row>
    <row r="45" spans="1:4" x14ac:dyDescent="0.25">
      <c r="A45" s="4" t="s">
        <v>200</v>
      </c>
      <c r="B45" s="4">
        <v>426391</v>
      </c>
      <c r="C45" s="4" t="s">
        <v>3981</v>
      </c>
      <c r="D45" s="44">
        <v>3780</v>
      </c>
    </row>
    <row r="46" spans="1:4" x14ac:dyDescent="0.25">
      <c r="A46" s="16" t="s">
        <v>767</v>
      </c>
      <c r="B46" s="4">
        <v>425028</v>
      </c>
      <c r="C46" s="4" t="s">
        <v>3903</v>
      </c>
      <c r="D46" s="44">
        <v>700</v>
      </c>
    </row>
    <row r="47" spans="1:4" x14ac:dyDescent="0.25">
      <c r="A47" s="4" t="s">
        <v>1419</v>
      </c>
      <c r="B47" s="4">
        <v>424104</v>
      </c>
      <c r="C47" s="4" t="s">
        <v>3860</v>
      </c>
      <c r="D47" s="44">
        <v>30096</v>
      </c>
    </row>
    <row r="48" spans="1:4" x14ac:dyDescent="0.25">
      <c r="A48" s="16" t="s">
        <v>315</v>
      </c>
      <c r="B48" s="4">
        <v>427269</v>
      </c>
      <c r="C48" s="4" t="s">
        <v>4069</v>
      </c>
      <c r="D48" s="44">
        <v>195</v>
      </c>
    </row>
    <row r="49" spans="1:4" x14ac:dyDescent="0.25">
      <c r="A49" s="16" t="s">
        <v>3991</v>
      </c>
      <c r="B49" s="4">
        <v>426769</v>
      </c>
      <c r="C49" s="4" t="s">
        <v>3992</v>
      </c>
      <c r="D49" s="44">
        <v>1000</v>
      </c>
    </row>
    <row r="50" spans="1:4" x14ac:dyDescent="0.25">
      <c r="A50" s="16" t="s">
        <v>52</v>
      </c>
      <c r="B50" s="4">
        <v>425228</v>
      </c>
      <c r="C50" s="4" t="s">
        <v>3928</v>
      </c>
      <c r="D50" s="44">
        <v>891</v>
      </c>
    </row>
    <row r="51" spans="1:4" x14ac:dyDescent="0.25">
      <c r="A51" s="16" t="s">
        <v>151</v>
      </c>
      <c r="B51" s="4">
        <v>426263</v>
      </c>
      <c r="C51" s="4" t="s">
        <v>4070</v>
      </c>
      <c r="D51" s="44">
        <v>1720</v>
      </c>
    </row>
    <row r="52" spans="1:4" x14ac:dyDescent="0.25">
      <c r="A52" s="4" t="s">
        <v>151</v>
      </c>
      <c r="B52" s="4">
        <v>416580</v>
      </c>
      <c r="C52" s="4" t="s">
        <v>4025</v>
      </c>
      <c r="D52" s="44">
        <v>0</v>
      </c>
    </row>
    <row r="53" spans="1:4" x14ac:dyDescent="0.25">
      <c r="A53" s="16" t="s">
        <v>151</v>
      </c>
      <c r="B53" s="4">
        <v>416580</v>
      </c>
      <c r="C53" s="4" t="s">
        <v>4026</v>
      </c>
      <c r="D53" s="44">
        <v>0</v>
      </c>
    </row>
    <row r="54" spans="1:4" hidden="1" x14ac:dyDescent="0.25">
      <c r="A54" s="16"/>
      <c r="B54" s="4"/>
      <c r="C54" s="4"/>
      <c r="D54" s="44"/>
    </row>
    <row r="55" spans="1:4" hidden="1" x14ac:dyDescent="0.25">
      <c r="A55" s="4"/>
      <c r="B55" s="4"/>
      <c r="C55" s="4"/>
      <c r="D55" s="44"/>
    </row>
    <row r="56" spans="1:4" hidden="1" x14ac:dyDescent="0.25">
      <c r="A56" s="16"/>
      <c r="B56" s="4"/>
      <c r="C56" s="4"/>
      <c r="D56" s="44"/>
    </row>
    <row r="57" spans="1:4" hidden="1" x14ac:dyDescent="0.25">
      <c r="A57" s="16"/>
      <c r="B57" s="4"/>
      <c r="C57" s="4"/>
      <c r="D57" s="44"/>
    </row>
    <row r="58" spans="1:4" hidden="1" x14ac:dyDescent="0.25">
      <c r="A58" s="16"/>
      <c r="B58" s="4"/>
      <c r="C58" s="4"/>
      <c r="D58" s="44"/>
    </row>
    <row r="59" spans="1:4" hidden="1" x14ac:dyDescent="0.25">
      <c r="A59" s="16"/>
      <c r="B59" s="4"/>
      <c r="C59" s="4"/>
      <c r="D59" s="44"/>
    </row>
    <row r="60" spans="1:4" hidden="1" x14ac:dyDescent="0.25">
      <c r="A60" s="16"/>
      <c r="B60" s="4"/>
      <c r="C60" s="4"/>
      <c r="D60" s="44"/>
    </row>
    <row r="61" spans="1:4" hidden="1" x14ac:dyDescent="0.25">
      <c r="A61" s="16"/>
      <c r="B61" s="4"/>
      <c r="C61" s="4"/>
      <c r="D61" s="44"/>
    </row>
    <row r="62" spans="1:4" hidden="1" x14ac:dyDescent="0.25">
      <c r="A62" s="16"/>
      <c r="B62" s="4"/>
      <c r="C62" s="4"/>
      <c r="D62" s="44"/>
    </row>
    <row r="63" spans="1:4" hidden="1" x14ac:dyDescent="0.25">
      <c r="A63" s="16"/>
      <c r="B63" s="4"/>
      <c r="C63" s="4"/>
      <c r="D63" s="44"/>
    </row>
    <row r="64" spans="1:4" hidden="1" x14ac:dyDescent="0.25">
      <c r="A64" s="4"/>
      <c r="B64" s="4"/>
      <c r="C64" s="4"/>
      <c r="D64" s="44"/>
    </row>
    <row r="65" spans="1:4" hidden="1" x14ac:dyDescent="0.25">
      <c r="A65" s="4"/>
      <c r="B65" s="4"/>
      <c r="C65" s="4"/>
      <c r="D65" s="44"/>
    </row>
    <row r="66" spans="1:4" hidden="1" x14ac:dyDescent="0.25">
      <c r="A66" s="4"/>
      <c r="B66" s="4"/>
      <c r="C66" s="4"/>
      <c r="D66" s="44"/>
    </row>
    <row r="67" spans="1:4" hidden="1" x14ac:dyDescent="0.25">
      <c r="A67" s="4"/>
      <c r="B67" s="4"/>
      <c r="C67" s="4"/>
      <c r="D67" s="44"/>
    </row>
    <row r="68" spans="1:4" hidden="1" x14ac:dyDescent="0.25">
      <c r="A68" s="4"/>
      <c r="B68" s="4"/>
      <c r="C68" s="4"/>
      <c r="D68" s="44"/>
    </row>
    <row r="69" spans="1:4" hidden="1" x14ac:dyDescent="0.25">
      <c r="A69" s="4"/>
      <c r="B69" s="4"/>
      <c r="C69" s="4"/>
      <c r="D69" s="44"/>
    </row>
    <row r="70" spans="1:4" hidden="1" x14ac:dyDescent="0.25">
      <c r="A70" s="4"/>
      <c r="B70" s="4"/>
      <c r="C70" s="4"/>
      <c r="D70" s="44"/>
    </row>
    <row r="71" spans="1:4" hidden="1" x14ac:dyDescent="0.25">
      <c r="A71" s="4"/>
      <c r="B71" s="4"/>
      <c r="C71" s="4"/>
      <c r="D71" s="44"/>
    </row>
    <row r="72" spans="1:4" hidden="1" x14ac:dyDescent="0.25">
      <c r="A72" s="4"/>
      <c r="B72" s="4"/>
      <c r="C72" s="4"/>
      <c r="D72" s="44"/>
    </row>
    <row r="73" spans="1:4" hidden="1" x14ac:dyDescent="0.25">
      <c r="A73" s="4"/>
      <c r="B73" s="4"/>
      <c r="C73" s="4"/>
      <c r="D73" s="44"/>
    </row>
    <row r="74" spans="1:4" hidden="1" x14ac:dyDescent="0.25">
      <c r="A74" s="4"/>
      <c r="B74" s="4"/>
      <c r="C74" s="4"/>
      <c r="D74" s="44"/>
    </row>
    <row r="75" spans="1:4" hidden="1" x14ac:dyDescent="0.25">
      <c r="A75" s="4"/>
      <c r="B75" s="4"/>
      <c r="C75" s="4"/>
      <c r="D75" s="44"/>
    </row>
    <row r="76" spans="1:4" hidden="1" x14ac:dyDescent="0.25">
      <c r="A76" s="4"/>
      <c r="B76" s="4"/>
      <c r="C76" s="4"/>
      <c r="D76" s="44"/>
    </row>
    <row r="77" spans="1:4" hidden="1" x14ac:dyDescent="0.25"/>
    <row r="78" spans="1:4" hidden="1" x14ac:dyDescent="0.25"/>
    <row r="79" spans="1:4" hidden="1" x14ac:dyDescent="0.25"/>
    <row r="80" spans="1:4" hidden="1" x14ac:dyDescent="0.25"/>
    <row r="81" spans="3:4" hidden="1" x14ac:dyDescent="0.25"/>
    <row r="82" spans="3:4" hidden="1" x14ac:dyDescent="0.25"/>
    <row r="83" spans="3:4" hidden="1" x14ac:dyDescent="0.25"/>
    <row r="84" spans="3:4" hidden="1" x14ac:dyDescent="0.25"/>
    <row r="85" spans="3:4" hidden="1" x14ac:dyDescent="0.25"/>
    <row r="86" spans="3:4" hidden="1" x14ac:dyDescent="0.25"/>
    <row r="87" spans="3:4" hidden="1" x14ac:dyDescent="0.25"/>
    <row r="88" spans="3:4" hidden="1" x14ac:dyDescent="0.25"/>
    <row r="89" spans="3:4" hidden="1" x14ac:dyDescent="0.25"/>
    <row r="90" spans="3:4" hidden="1" x14ac:dyDescent="0.25"/>
    <row r="91" spans="3:4" hidden="1" x14ac:dyDescent="0.25"/>
    <row r="92" spans="3:4" x14ac:dyDescent="0.25">
      <c r="C92" s="31" t="s">
        <v>2502</v>
      </c>
      <c r="D92" s="43">
        <f>SUM(D2,D45:D91)</f>
        <v>39724</v>
      </c>
    </row>
    <row r="93" spans="3:4" x14ac:dyDescent="0.25">
      <c r="C93" s="31" t="s">
        <v>2501</v>
      </c>
      <c r="D93" s="43">
        <f>SUM(D3:D44)</f>
        <v>342167</v>
      </c>
    </row>
    <row r="94" spans="3:4" x14ac:dyDescent="0.25">
      <c r="C94" s="31" t="s">
        <v>83</v>
      </c>
      <c r="D94" s="43">
        <f>SUM(D2:D76)</f>
        <v>381891</v>
      </c>
    </row>
    <row r="100" spans="4:4" x14ac:dyDescent="0.25">
      <c r="D100" s="43"/>
    </row>
  </sheetData>
  <printOptions horizontalCentered="1"/>
  <pageMargins left="0.7" right="0.7" top="1" bottom="0.75" header="0.3" footer="0.3"/>
  <pageSetup paperSize="5" scale="61" orientation="portrait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4130-7B7C-47E5-B2BB-20FB1FE77EB9}">
  <dimension ref="A1:D100"/>
  <sheetViews>
    <sheetView view="pageBreakPreview" topLeftCell="A19" zoomScaleNormal="100" zoomScaleSheetLayoutView="100" workbookViewId="0">
      <selection activeCell="F50" sqref="F50"/>
    </sheetView>
  </sheetViews>
  <sheetFormatPr defaultRowHeight="15" x14ac:dyDescent="0.25"/>
  <cols>
    <col min="1" max="1" width="44" bestFit="1" customWidth="1"/>
    <col min="2" max="2" width="11" bestFit="1" customWidth="1"/>
    <col min="3" max="3" width="80.7109375" bestFit="1" customWidth="1"/>
    <col min="4" max="4" width="14.28515625" bestFit="1" customWidth="1"/>
  </cols>
  <sheetData>
    <row r="1" spans="1:4" s="45" customFormat="1" x14ac:dyDescent="0.25">
      <c r="A1" s="6" t="s">
        <v>0</v>
      </c>
      <c r="B1" s="6" t="s">
        <v>1</v>
      </c>
      <c r="C1" s="6" t="s">
        <v>2</v>
      </c>
      <c r="D1" s="6" t="s">
        <v>4</v>
      </c>
    </row>
    <row r="2" spans="1:4" x14ac:dyDescent="0.25">
      <c r="A2" s="16" t="s">
        <v>256</v>
      </c>
      <c r="B2" s="4">
        <v>421688</v>
      </c>
      <c r="C2" s="4" t="s">
        <v>3712</v>
      </c>
      <c r="D2" s="44">
        <v>1342</v>
      </c>
    </row>
    <row r="3" spans="1:4" x14ac:dyDescent="0.25">
      <c r="A3" s="16" t="s">
        <v>143</v>
      </c>
      <c r="B3" s="4">
        <v>426988</v>
      </c>
      <c r="C3" s="4" t="s">
        <v>4071</v>
      </c>
      <c r="D3" s="44">
        <v>2480</v>
      </c>
    </row>
    <row r="4" spans="1:4" x14ac:dyDescent="0.25">
      <c r="A4" s="16" t="s">
        <v>4072</v>
      </c>
      <c r="B4" s="4">
        <v>424877</v>
      </c>
      <c r="C4" s="4" t="s">
        <v>4073</v>
      </c>
      <c r="D4" s="44">
        <v>31850</v>
      </c>
    </row>
    <row r="5" spans="1:4" x14ac:dyDescent="0.25">
      <c r="A5" s="16" t="s">
        <v>4072</v>
      </c>
      <c r="B5" s="4">
        <v>424875</v>
      </c>
      <c r="C5" s="4" t="s">
        <v>4074</v>
      </c>
      <c r="D5" s="44">
        <v>3550</v>
      </c>
    </row>
    <row r="6" spans="1:4" x14ac:dyDescent="0.25">
      <c r="A6" s="4" t="s">
        <v>4072</v>
      </c>
      <c r="B6" s="4">
        <v>424876</v>
      </c>
      <c r="C6" s="4" t="s">
        <v>4075</v>
      </c>
      <c r="D6" s="44">
        <v>2755</v>
      </c>
    </row>
    <row r="7" spans="1:4" x14ac:dyDescent="0.25">
      <c r="A7" s="16" t="s">
        <v>4072</v>
      </c>
      <c r="B7" s="4">
        <v>424877</v>
      </c>
      <c r="C7" s="4" t="s">
        <v>4076</v>
      </c>
      <c r="D7" s="44">
        <v>5930</v>
      </c>
    </row>
    <row r="8" spans="1:4" x14ac:dyDescent="0.25">
      <c r="A8" s="16" t="s">
        <v>4072</v>
      </c>
      <c r="B8" s="4">
        <v>424875</v>
      </c>
      <c r="C8" s="4" t="s">
        <v>4077</v>
      </c>
      <c r="D8" s="44">
        <v>1245</v>
      </c>
    </row>
    <row r="9" spans="1:4" x14ac:dyDescent="0.25">
      <c r="A9" s="4" t="s">
        <v>4072</v>
      </c>
      <c r="B9" s="4">
        <v>424876</v>
      </c>
      <c r="C9" s="4" t="s">
        <v>4078</v>
      </c>
      <c r="D9" s="44">
        <v>910</v>
      </c>
    </row>
    <row r="10" spans="1:4" x14ac:dyDescent="0.25">
      <c r="A10" s="16" t="s">
        <v>4072</v>
      </c>
      <c r="B10" s="4">
        <v>424877</v>
      </c>
      <c r="C10" s="4" t="s">
        <v>4079</v>
      </c>
      <c r="D10" s="44">
        <v>32515</v>
      </c>
    </row>
    <row r="11" spans="1:4" x14ac:dyDescent="0.25">
      <c r="A11" s="16" t="s">
        <v>4072</v>
      </c>
      <c r="B11" s="4">
        <v>424875</v>
      </c>
      <c r="C11" s="4" t="s">
        <v>4080</v>
      </c>
      <c r="D11" s="44">
        <v>3275</v>
      </c>
    </row>
    <row r="12" spans="1:4" x14ac:dyDescent="0.25">
      <c r="A12" s="16" t="s">
        <v>4072</v>
      </c>
      <c r="B12" s="4">
        <v>424876</v>
      </c>
      <c r="C12" s="4" t="s">
        <v>4081</v>
      </c>
      <c r="D12" s="44">
        <v>2010</v>
      </c>
    </row>
    <row r="13" spans="1:4" x14ac:dyDescent="0.25">
      <c r="A13" s="16" t="s">
        <v>4072</v>
      </c>
      <c r="B13" s="4">
        <v>424877</v>
      </c>
      <c r="C13" s="4" t="s">
        <v>4082</v>
      </c>
      <c r="D13" s="44">
        <v>5930</v>
      </c>
    </row>
    <row r="14" spans="1:4" x14ac:dyDescent="0.25">
      <c r="A14" s="4" t="s">
        <v>4072</v>
      </c>
      <c r="B14" s="4">
        <v>424875</v>
      </c>
      <c r="C14" s="4" t="s">
        <v>4083</v>
      </c>
      <c r="D14" s="44">
        <v>1245</v>
      </c>
    </row>
    <row r="15" spans="1:4" x14ac:dyDescent="0.25">
      <c r="A15" s="4" t="s">
        <v>4072</v>
      </c>
      <c r="B15" s="4">
        <v>424876</v>
      </c>
      <c r="C15" s="4" t="s">
        <v>4084</v>
      </c>
      <c r="D15" s="44">
        <v>910</v>
      </c>
    </row>
    <row r="16" spans="1:4" x14ac:dyDescent="0.25">
      <c r="A16" s="4" t="s">
        <v>4072</v>
      </c>
      <c r="B16" s="4">
        <v>424875</v>
      </c>
      <c r="C16" s="4" t="s">
        <v>4085</v>
      </c>
      <c r="D16" s="44">
        <v>3275</v>
      </c>
    </row>
    <row r="17" spans="1:4" x14ac:dyDescent="0.25">
      <c r="A17" s="4" t="s">
        <v>4072</v>
      </c>
      <c r="B17" s="4">
        <v>426307</v>
      </c>
      <c r="C17" s="4" t="s">
        <v>4086</v>
      </c>
      <c r="D17" s="44">
        <v>1630</v>
      </c>
    </row>
    <row r="18" spans="1:4" x14ac:dyDescent="0.25">
      <c r="A18" s="4" t="s">
        <v>4072</v>
      </c>
      <c r="B18" s="4">
        <v>426303</v>
      </c>
      <c r="C18" s="4" t="s">
        <v>4087</v>
      </c>
      <c r="D18" s="44">
        <v>1575</v>
      </c>
    </row>
    <row r="19" spans="1:4" x14ac:dyDescent="0.25">
      <c r="A19" s="4" t="s">
        <v>4072</v>
      </c>
      <c r="B19" s="4">
        <v>424876</v>
      </c>
      <c r="C19" s="4" t="s">
        <v>4088</v>
      </c>
      <c r="D19" s="44">
        <v>1930</v>
      </c>
    </row>
    <row r="20" spans="1:4" x14ac:dyDescent="0.25">
      <c r="A20" s="4" t="s">
        <v>4072</v>
      </c>
      <c r="B20" s="4">
        <v>426306</v>
      </c>
      <c r="C20" s="4" t="s">
        <v>4089</v>
      </c>
      <c r="D20" s="44">
        <v>1425</v>
      </c>
    </row>
    <row r="21" spans="1:4" x14ac:dyDescent="0.25">
      <c r="A21" s="16" t="s">
        <v>4072</v>
      </c>
      <c r="B21" s="4">
        <v>426302</v>
      </c>
      <c r="C21" s="4" t="s">
        <v>4090</v>
      </c>
      <c r="D21" s="44">
        <v>1110</v>
      </c>
    </row>
    <row r="22" spans="1:4" x14ac:dyDescent="0.25">
      <c r="A22" s="4" t="s">
        <v>4072</v>
      </c>
      <c r="B22" s="4">
        <v>424875</v>
      </c>
      <c r="C22" s="4" t="s">
        <v>4091</v>
      </c>
      <c r="D22" s="44">
        <v>1245</v>
      </c>
    </row>
    <row r="23" spans="1:4" x14ac:dyDescent="0.25">
      <c r="A23" s="16" t="s">
        <v>4072</v>
      </c>
      <c r="B23" s="4">
        <v>424876</v>
      </c>
      <c r="C23" s="4" t="s">
        <v>4092</v>
      </c>
      <c r="D23" s="44">
        <v>910</v>
      </c>
    </row>
    <row r="24" spans="1:4" x14ac:dyDescent="0.25">
      <c r="A24" s="16" t="s">
        <v>4072</v>
      </c>
      <c r="B24" s="4">
        <v>424877</v>
      </c>
      <c r="C24" s="4" t="s">
        <v>4102</v>
      </c>
      <c r="D24" s="44">
        <v>5930</v>
      </c>
    </row>
    <row r="25" spans="1:4" x14ac:dyDescent="0.25">
      <c r="A25" s="16" t="s">
        <v>3715</v>
      </c>
      <c r="B25" s="4">
        <v>427524</v>
      </c>
      <c r="C25" s="4" t="s">
        <v>4093</v>
      </c>
      <c r="D25" s="44">
        <v>499</v>
      </c>
    </row>
    <row r="26" spans="1:4" x14ac:dyDescent="0.25">
      <c r="A26" s="16" t="s">
        <v>3715</v>
      </c>
      <c r="B26" s="4">
        <v>427168</v>
      </c>
      <c r="C26" s="4" t="s">
        <v>4094</v>
      </c>
      <c r="D26" s="44">
        <v>1377</v>
      </c>
    </row>
    <row r="27" spans="1:4" x14ac:dyDescent="0.25">
      <c r="A27" s="4" t="s">
        <v>111</v>
      </c>
      <c r="B27" s="4">
        <v>427958</v>
      </c>
      <c r="C27" s="4" t="s">
        <v>4095</v>
      </c>
      <c r="D27" s="44">
        <v>2124</v>
      </c>
    </row>
    <row r="28" spans="1:4" x14ac:dyDescent="0.25">
      <c r="A28" s="4" t="s">
        <v>111</v>
      </c>
      <c r="B28" s="4">
        <v>427569</v>
      </c>
      <c r="C28" s="4" t="s">
        <v>3810</v>
      </c>
      <c r="D28" s="44">
        <v>1433</v>
      </c>
    </row>
    <row r="29" spans="1:4" x14ac:dyDescent="0.25">
      <c r="A29" s="4" t="s">
        <v>111</v>
      </c>
      <c r="B29" s="4">
        <v>427859</v>
      </c>
      <c r="C29" s="4" t="s">
        <v>4096</v>
      </c>
      <c r="D29" s="44">
        <v>708</v>
      </c>
    </row>
    <row r="30" spans="1:4" x14ac:dyDescent="0.25">
      <c r="A30" s="4" t="s">
        <v>111</v>
      </c>
      <c r="B30" s="4">
        <v>427861</v>
      </c>
      <c r="C30" s="4" t="s">
        <v>4097</v>
      </c>
      <c r="D30" s="44">
        <v>708</v>
      </c>
    </row>
    <row r="31" spans="1:4" x14ac:dyDescent="0.25">
      <c r="A31" s="4" t="s">
        <v>111</v>
      </c>
      <c r="B31" s="4">
        <v>427572</v>
      </c>
      <c r="C31" s="4" t="s">
        <v>4052</v>
      </c>
      <c r="D31" s="44">
        <v>14248</v>
      </c>
    </row>
    <row r="32" spans="1:4" x14ac:dyDescent="0.25">
      <c r="A32" s="16" t="s">
        <v>2831</v>
      </c>
      <c r="B32" s="4">
        <v>427071</v>
      </c>
      <c r="C32" s="4" t="s">
        <v>4054</v>
      </c>
      <c r="D32" s="44">
        <v>1188</v>
      </c>
    </row>
    <row r="33" spans="1:4" x14ac:dyDescent="0.25">
      <c r="A33" s="16" t="s">
        <v>2831</v>
      </c>
      <c r="B33" s="4">
        <v>427039</v>
      </c>
      <c r="C33" s="4" t="s">
        <v>4058</v>
      </c>
      <c r="D33" s="44">
        <v>7664</v>
      </c>
    </row>
    <row r="34" spans="1:4" x14ac:dyDescent="0.25">
      <c r="A34" s="4" t="s">
        <v>2831</v>
      </c>
      <c r="B34" s="4">
        <v>427043</v>
      </c>
      <c r="C34" s="4" t="s">
        <v>4059</v>
      </c>
      <c r="D34" s="44">
        <v>6259</v>
      </c>
    </row>
    <row r="35" spans="1:4" x14ac:dyDescent="0.25">
      <c r="A35" s="16" t="s">
        <v>2831</v>
      </c>
      <c r="B35" s="4">
        <v>427047</v>
      </c>
      <c r="C35" s="4" t="s">
        <v>4060</v>
      </c>
      <c r="D35" s="44">
        <v>5288</v>
      </c>
    </row>
    <row r="36" spans="1:4" x14ac:dyDescent="0.25">
      <c r="A36" s="16" t="s">
        <v>2831</v>
      </c>
      <c r="B36" s="4">
        <v>427288</v>
      </c>
      <c r="C36" s="4" t="s">
        <v>4061</v>
      </c>
      <c r="D36" s="44">
        <v>8480</v>
      </c>
    </row>
    <row r="37" spans="1:4" x14ac:dyDescent="0.25">
      <c r="A37" s="16" t="s">
        <v>2831</v>
      </c>
      <c r="B37" s="4">
        <v>427044</v>
      </c>
      <c r="C37" s="4" t="s">
        <v>4063</v>
      </c>
      <c r="D37" s="44">
        <v>92024</v>
      </c>
    </row>
    <row r="38" spans="1:4" x14ac:dyDescent="0.25">
      <c r="A38" s="16" t="s">
        <v>2831</v>
      </c>
      <c r="B38" s="4">
        <v>427046</v>
      </c>
      <c r="C38" s="4" t="s">
        <v>4064</v>
      </c>
      <c r="D38" s="44">
        <v>12785</v>
      </c>
    </row>
    <row r="39" spans="1:4" x14ac:dyDescent="0.25">
      <c r="A39" s="16" t="s">
        <v>2831</v>
      </c>
      <c r="B39" s="4">
        <v>427070</v>
      </c>
      <c r="C39" s="4" t="s">
        <v>4066</v>
      </c>
      <c r="D39" s="44">
        <v>47739</v>
      </c>
    </row>
    <row r="40" spans="1:4" x14ac:dyDescent="0.25">
      <c r="A40" s="16" t="s">
        <v>2831</v>
      </c>
      <c r="B40" s="4">
        <v>427074</v>
      </c>
      <c r="C40" s="4" t="s">
        <v>4067</v>
      </c>
      <c r="D40" s="44">
        <v>399</v>
      </c>
    </row>
    <row r="41" spans="1:4" x14ac:dyDescent="0.25">
      <c r="A41" s="16" t="s">
        <v>2831</v>
      </c>
      <c r="B41" s="4">
        <v>427072</v>
      </c>
      <c r="C41" s="4" t="s">
        <v>4068</v>
      </c>
      <c r="D41" s="44">
        <v>5854</v>
      </c>
    </row>
    <row r="42" spans="1:4" x14ac:dyDescent="0.25">
      <c r="A42" s="4" t="s">
        <v>2831</v>
      </c>
      <c r="B42" s="4">
        <v>427037</v>
      </c>
      <c r="C42" s="4" t="s">
        <v>4055</v>
      </c>
      <c r="D42" s="44">
        <v>8211</v>
      </c>
    </row>
    <row r="43" spans="1:4" x14ac:dyDescent="0.25">
      <c r="A43" s="16" t="s">
        <v>2831</v>
      </c>
      <c r="B43" s="4">
        <v>427289</v>
      </c>
      <c r="C43" s="4" t="s">
        <v>4056</v>
      </c>
      <c r="D43" s="44">
        <v>23605</v>
      </c>
    </row>
    <row r="44" spans="1:4" x14ac:dyDescent="0.25">
      <c r="A44" s="16" t="s">
        <v>200</v>
      </c>
      <c r="B44" s="4">
        <v>426391</v>
      </c>
      <c r="C44" s="4" t="s">
        <v>3981</v>
      </c>
      <c r="D44" s="44">
        <v>3780</v>
      </c>
    </row>
    <row r="45" spans="1:4" x14ac:dyDescent="0.25">
      <c r="A45" s="4" t="s">
        <v>767</v>
      </c>
      <c r="B45" s="4">
        <v>425028</v>
      </c>
      <c r="C45" s="4" t="s">
        <v>3903</v>
      </c>
      <c r="D45" s="44">
        <v>700</v>
      </c>
    </row>
    <row r="46" spans="1:4" x14ac:dyDescent="0.25">
      <c r="A46" s="16" t="s">
        <v>1419</v>
      </c>
      <c r="B46" s="4">
        <v>424104</v>
      </c>
      <c r="C46" s="4" t="s">
        <v>3860</v>
      </c>
      <c r="D46" s="44">
        <v>30096</v>
      </c>
    </row>
    <row r="47" spans="1:4" x14ac:dyDescent="0.25">
      <c r="A47" s="4" t="s">
        <v>208</v>
      </c>
      <c r="B47" s="4">
        <v>427785</v>
      </c>
      <c r="C47" s="4" t="s">
        <v>4098</v>
      </c>
      <c r="D47" s="44">
        <v>20245</v>
      </c>
    </row>
    <row r="48" spans="1:4" x14ac:dyDescent="0.25">
      <c r="A48" s="16" t="s">
        <v>2216</v>
      </c>
      <c r="B48" s="4">
        <v>427883</v>
      </c>
      <c r="C48" s="4" t="s">
        <v>4099</v>
      </c>
      <c r="D48" s="44">
        <v>4725</v>
      </c>
    </row>
    <row r="49" spans="1:4" x14ac:dyDescent="0.25">
      <c r="A49" s="16" t="s">
        <v>315</v>
      </c>
      <c r="B49" s="4">
        <v>421071</v>
      </c>
      <c r="C49" s="4" t="s">
        <v>4100</v>
      </c>
      <c r="D49" s="44">
        <v>12982</v>
      </c>
    </row>
    <row r="50" spans="1:4" x14ac:dyDescent="0.25">
      <c r="A50" s="16" t="s">
        <v>1501</v>
      </c>
      <c r="B50" s="4">
        <v>428036</v>
      </c>
      <c r="C50" s="4" t="s">
        <v>4101</v>
      </c>
      <c r="D50" s="44">
        <v>12957</v>
      </c>
    </row>
    <row r="51" spans="1:4" x14ac:dyDescent="0.25">
      <c r="A51" s="16" t="s">
        <v>3991</v>
      </c>
      <c r="B51" s="4">
        <v>426769</v>
      </c>
      <c r="C51" s="4" t="s">
        <v>3992</v>
      </c>
      <c r="D51" s="44">
        <v>1000</v>
      </c>
    </row>
    <row r="52" spans="1:4" x14ac:dyDescent="0.25">
      <c r="A52" s="4" t="s">
        <v>52</v>
      </c>
      <c r="B52" s="4">
        <v>425228</v>
      </c>
      <c r="C52" s="4" t="s">
        <v>3928</v>
      </c>
      <c r="D52" s="44">
        <v>891</v>
      </c>
    </row>
    <row r="53" spans="1:4" x14ac:dyDescent="0.25">
      <c r="A53" s="16" t="s">
        <v>151</v>
      </c>
      <c r="B53" s="4">
        <v>426263</v>
      </c>
      <c r="C53" s="4" t="s">
        <v>4070</v>
      </c>
      <c r="D53" s="44">
        <v>1720</v>
      </c>
    </row>
    <row r="54" spans="1:4" x14ac:dyDescent="0.25">
      <c r="A54" s="16" t="s">
        <v>151</v>
      </c>
      <c r="B54" s="4">
        <v>416580</v>
      </c>
      <c r="C54" s="4" t="s">
        <v>4026</v>
      </c>
      <c r="D54" s="44">
        <v>0</v>
      </c>
    </row>
    <row r="55" spans="1:4" x14ac:dyDescent="0.25">
      <c r="A55" s="4" t="s">
        <v>151</v>
      </c>
      <c r="B55" s="4">
        <v>416580</v>
      </c>
      <c r="C55" s="4" t="s">
        <v>4025</v>
      </c>
      <c r="D55" s="44">
        <v>4</v>
      </c>
    </row>
    <row r="56" spans="1:4" hidden="1" x14ac:dyDescent="0.25">
      <c r="A56" s="16"/>
      <c r="B56" s="4"/>
      <c r="C56" s="4"/>
      <c r="D56" s="44"/>
    </row>
    <row r="57" spans="1:4" hidden="1" x14ac:dyDescent="0.25">
      <c r="A57" s="16"/>
      <c r="B57" s="4"/>
      <c r="C57" s="4"/>
      <c r="D57" s="44"/>
    </row>
    <row r="58" spans="1:4" hidden="1" x14ac:dyDescent="0.25">
      <c r="A58" s="16"/>
      <c r="B58" s="4"/>
      <c r="C58" s="4"/>
      <c r="D58" s="44"/>
    </row>
    <row r="59" spans="1:4" hidden="1" x14ac:dyDescent="0.25">
      <c r="A59" s="16"/>
      <c r="B59" s="4"/>
      <c r="C59" s="4"/>
      <c r="D59" s="44"/>
    </row>
    <row r="60" spans="1:4" hidden="1" x14ac:dyDescent="0.25">
      <c r="A60" s="16"/>
      <c r="B60" s="4"/>
      <c r="C60" s="4"/>
      <c r="D60" s="44"/>
    </row>
    <row r="61" spans="1:4" hidden="1" x14ac:dyDescent="0.25">
      <c r="A61" s="16"/>
      <c r="B61" s="4"/>
      <c r="C61" s="4"/>
      <c r="D61" s="44"/>
    </row>
    <row r="62" spans="1:4" hidden="1" x14ac:dyDescent="0.25">
      <c r="A62" s="16"/>
      <c r="B62" s="4"/>
      <c r="C62" s="4"/>
      <c r="D62" s="44"/>
    </row>
    <row r="63" spans="1:4" hidden="1" x14ac:dyDescent="0.25">
      <c r="A63" s="16"/>
      <c r="B63" s="4"/>
      <c r="C63" s="4"/>
      <c r="D63" s="44"/>
    </row>
    <row r="64" spans="1:4" hidden="1" x14ac:dyDescent="0.25">
      <c r="A64" s="4"/>
      <c r="B64" s="4"/>
      <c r="C64" s="4"/>
      <c r="D64" s="44"/>
    </row>
    <row r="65" spans="1:4" hidden="1" x14ac:dyDescent="0.25">
      <c r="A65" s="4"/>
      <c r="B65" s="4"/>
      <c r="C65" s="4"/>
      <c r="D65" s="44"/>
    </row>
    <row r="66" spans="1:4" hidden="1" x14ac:dyDescent="0.25">
      <c r="A66" s="4"/>
      <c r="B66" s="4"/>
      <c r="C66" s="4"/>
      <c r="D66" s="44"/>
    </row>
    <row r="67" spans="1:4" hidden="1" x14ac:dyDescent="0.25">
      <c r="A67" s="4"/>
      <c r="B67" s="4"/>
      <c r="C67" s="4"/>
      <c r="D67" s="44"/>
    </row>
    <row r="68" spans="1:4" hidden="1" x14ac:dyDescent="0.25">
      <c r="A68" s="4"/>
      <c r="B68" s="4"/>
      <c r="C68" s="4"/>
      <c r="D68" s="44"/>
    </row>
    <row r="69" spans="1:4" hidden="1" x14ac:dyDescent="0.25">
      <c r="A69" s="4"/>
      <c r="B69" s="4"/>
      <c r="C69" s="4"/>
      <c r="D69" s="44"/>
    </row>
    <row r="70" spans="1:4" hidden="1" x14ac:dyDescent="0.25">
      <c r="A70" s="4"/>
      <c r="B70" s="4"/>
      <c r="C70" s="4"/>
      <c r="D70" s="44"/>
    </row>
    <row r="71" spans="1:4" hidden="1" x14ac:dyDescent="0.25">
      <c r="A71" s="4"/>
      <c r="B71" s="4"/>
      <c r="C71" s="4"/>
      <c r="D71" s="44"/>
    </row>
    <row r="72" spans="1:4" hidden="1" x14ac:dyDescent="0.25">
      <c r="A72" s="4"/>
      <c r="B72" s="4"/>
      <c r="C72" s="4"/>
      <c r="D72" s="44"/>
    </row>
    <row r="73" spans="1:4" hidden="1" x14ac:dyDescent="0.25">
      <c r="A73" s="4"/>
      <c r="B73" s="4"/>
      <c r="C73" s="4"/>
      <c r="D73" s="44"/>
    </row>
    <row r="74" spans="1:4" hidden="1" x14ac:dyDescent="0.25">
      <c r="A74" s="4"/>
      <c r="B74" s="4"/>
      <c r="C74" s="4"/>
      <c r="D74" s="44"/>
    </row>
    <row r="75" spans="1:4" hidden="1" x14ac:dyDescent="0.25">
      <c r="A75" s="4"/>
      <c r="B75" s="4"/>
      <c r="C75" s="4"/>
      <c r="D75" s="44"/>
    </row>
    <row r="76" spans="1:4" hidden="1" x14ac:dyDescent="0.25">
      <c r="A76" s="4"/>
      <c r="B76" s="4"/>
      <c r="C76" s="4"/>
      <c r="D76" s="44"/>
    </row>
    <row r="77" spans="1:4" hidden="1" x14ac:dyDescent="0.25"/>
    <row r="78" spans="1:4" hidden="1" x14ac:dyDescent="0.25"/>
    <row r="79" spans="1:4" hidden="1" x14ac:dyDescent="0.25"/>
    <row r="80" spans="1:4" hidden="1" x14ac:dyDescent="0.25"/>
    <row r="81" spans="3:4" hidden="1" x14ac:dyDescent="0.25"/>
    <row r="82" spans="3:4" hidden="1" x14ac:dyDescent="0.25"/>
    <row r="83" spans="3:4" hidden="1" x14ac:dyDescent="0.25"/>
    <row r="84" spans="3:4" hidden="1" x14ac:dyDescent="0.25"/>
    <row r="85" spans="3:4" hidden="1" x14ac:dyDescent="0.25"/>
    <row r="86" spans="3:4" hidden="1" x14ac:dyDescent="0.25"/>
    <row r="87" spans="3:4" hidden="1" x14ac:dyDescent="0.25"/>
    <row r="88" spans="3:4" hidden="1" x14ac:dyDescent="0.25"/>
    <row r="89" spans="3:4" hidden="1" x14ac:dyDescent="0.25"/>
    <row r="90" spans="3:4" hidden="1" x14ac:dyDescent="0.25"/>
    <row r="91" spans="3:4" hidden="1" x14ac:dyDescent="0.25"/>
    <row r="92" spans="3:4" x14ac:dyDescent="0.25">
      <c r="C92" s="31" t="s">
        <v>2502</v>
      </c>
      <c r="D92" s="43">
        <f>SUM(D2:D24,D45:D91)</f>
        <v>200297</v>
      </c>
    </row>
    <row r="93" spans="3:4" x14ac:dyDescent="0.25">
      <c r="C93" s="31" t="s">
        <v>2501</v>
      </c>
      <c r="D93" s="43">
        <f>SUM(D25:D43)</f>
        <v>240593</v>
      </c>
    </row>
    <row r="94" spans="3:4" x14ac:dyDescent="0.25">
      <c r="C94" s="31" t="s">
        <v>83</v>
      </c>
      <c r="D94" s="43">
        <f>SUM(D2:D76)</f>
        <v>444670</v>
      </c>
    </row>
    <row r="100" spans="4:4" x14ac:dyDescent="0.25">
      <c r="D100" s="43"/>
    </row>
  </sheetData>
  <printOptions horizontalCentered="1"/>
  <pageMargins left="0.7" right="0.7" top="1" bottom="0.75" header="0.3" footer="0.3"/>
  <pageSetup paperSize="5" scale="61" orientation="portrait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538E-3B0A-468D-9B0E-89EFDCCF057D}">
  <dimension ref="A1:D100"/>
  <sheetViews>
    <sheetView tabSelected="1" view="pageBreakPreview" zoomScaleNormal="100" zoomScaleSheetLayoutView="100" workbookViewId="0">
      <selection activeCell="D94" sqref="D94"/>
    </sheetView>
  </sheetViews>
  <sheetFormatPr defaultRowHeight="15" x14ac:dyDescent="0.25"/>
  <cols>
    <col min="1" max="1" width="44" bestFit="1" customWidth="1"/>
    <col min="2" max="2" width="11" bestFit="1" customWidth="1"/>
    <col min="3" max="3" width="80.7109375" bestFit="1" customWidth="1"/>
    <col min="4" max="4" width="14.28515625" bestFit="1" customWidth="1"/>
  </cols>
  <sheetData>
    <row r="1" spans="1:4" s="45" customFormat="1" x14ac:dyDescent="0.25">
      <c r="A1" s="6" t="s">
        <v>0</v>
      </c>
      <c r="B1" s="6" t="s">
        <v>1</v>
      </c>
      <c r="C1" s="6" t="s">
        <v>2</v>
      </c>
      <c r="D1" s="6" t="s">
        <v>4</v>
      </c>
    </row>
    <row r="2" spans="1:4" x14ac:dyDescent="0.25">
      <c r="A2" s="16" t="s">
        <v>5</v>
      </c>
      <c r="B2" s="4">
        <v>428567</v>
      </c>
      <c r="C2" s="4" t="s">
        <v>4104</v>
      </c>
      <c r="D2" s="44">
        <v>1870</v>
      </c>
    </row>
    <row r="3" spans="1:4" x14ac:dyDescent="0.25">
      <c r="A3" s="16" t="s">
        <v>256</v>
      </c>
      <c r="B3" s="4">
        <v>421688</v>
      </c>
      <c r="C3" s="4" t="s">
        <v>3712</v>
      </c>
      <c r="D3" s="44">
        <v>1342</v>
      </c>
    </row>
    <row r="4" spans="1:4" x14ac:dyDescent="0.25">
      <c r="A4" s="16" t="s">
        <v>111</v>
      </c>
      <c r="B4" s="4">
        <v>428417</v>
      </c>
      <c r="C4" s="4" t="s">
        <v>4103</v>
      </c>
      <c r="D4" s="44">
        <v>27470</v>
      </c>
    </row>
    <row r="5" spans="1:4" x14ac:dyDescent="0.25">
      <c r="A5" s="16" t="s">
        <v>111</v>
      </c>
      <c r="B5" s="4">
        <v>427569</v>
      </c>
      <c r="C5" s="4" t="s">
        <v>3810</v>
      </c>
      <c r="D5" s="44">
        <v>1433</v>
      </c>
    </row>
    <row r="6" spans="1:4" x14ac:dyDescent="0.25">
      <c r="A6" s="4" t="s">
        <v>111</v>
      </c>
      <c r="B6" s="4">
        <v>428969</v>
      </c>
      <c r="C6" s="4" t="s">
        <v>4105</v>
      </c>
      <c r="D6" s="44">
        <v>195</v>
      </c>
    </row>
    <row r="7" spans="1:4" x14ac:dyDescent="0.25">
      <c r="A7" s="16" t="s">
        <v>111</v>
      </c>
      <c r="B7" s="4">
        <v>428773</v>
      </c>
      <c r="C7" s="4" t="s">
        <v>4106</v>
      </c>
      <c r="D7" s="44">
        <v>389</v>
      </c>
    </row>
    <row r="8" spans="1:4" x14ac:dyDescent="0.25">
      <c r="A8" s="16" t="s">
        <v>111</v>
      </c>
      <c r="B8" s="4">
        <v>428842</v>
      </c>
      <c r="C8" s="4" t="s">
        <v>4107</v>
      </c>
      <c r="D8" s="44">
        <v>86</v>
      </c>
    </row>
    <row r="9" spans="1:4" x14ac:dyDescent="0.25">
      <c r="A9" s="4" t="s">
        <v>111</v>
      </c>
      <c r="B9" s="4">
        <v>427572</v>
      </c>
      <c r="C9" s="4" t="s">
        <v>4052</v>
      </c>
      <c r="D9" s="44">
        <v>14248</v>
      </c>
    </row>
    <row r="10" spans="1:4" x14ac:dyDescent="0.25">
      <c r="A10" s="16" t="s">
        <v>2831</v>
      </c>
      <c r="B10" s="4">
        <v>427668</v>
      </c>
      <c r="C10" s="4" t="s">
        <v>4108</v>
      </c>
      <c r="D10" s="44">
        <v>5004</v>
      </c>
    </row>
    <row r="11" spans="1:4" x14ac:dyDescent="0.25">
      <c r="A11" s="16" t="s">
        <v>167</v>
      </c>
      <c r="B11" s="4">
        <v>418572</v>
      </c>
      <c r="C11" s="4" t="s">
        <v>4109</v>
      </c>
      <c r="D11" s="44">
        <v>8807</v>
      </c>
    </row>
    <row r="12" spans="1:4" x14ac:dyDescent="0.25">
      <c r="A12" s="16" t="s">
        <v>767</v>
      </c>
      <c r="B12" s="4">
        <v>425028</v>
      </c>
      <c r="C12" s="4" t="s">
        <v>3903</v>
      </c>
      <c r="D12" s="44">
        <v>700</v>
      </c>
    </row>
    <row r="13" spans="1:4" x14ac:dyDescent="0.25">
      <c r="A13" s="16" t="s">
        <v>1419</v>
      </c>
      <c r="B13" s="4">
        <v>424104</v>
      </c>
      <c r="C13" s="4" t="s">
        <v>3860</v>
      </c>
      <c r="D13" s="44">
        <v>30096</v>
      </c>
    </row>
    <row r="14" spans="1:4" x14ac:dyDescent="0.25">
      <c r="A14" s="4" t="s">
        <v>1582</v>
      </c>
      <c r="B14" s="4">
        <v>428769</v>
      </c>
      <c r="C14" s="4" t="s">
        <v>4110</v>
      </c>
      <c r="D14" s="44">
        <v>3353</v>
      </c>
    </row>
    <row r="15" spans="1:4" x14ac:dyDescent="0.25">
      <c r="A15" s="4" t="s">
        <v>1582</v>
      </c>
      <c r="B15" s="4">
        <v>427315</v>
      </c>
      <c r="C15" s="4" t="s">
        <v>4111</v>
      </c>
      <c r="D15" s="44">
        <v>9440</v>
      </c>
    </row>
    <row r="16" spans="1:4" x14ac:dyDescent="0.25">
      <c r="A16" s="4" t="s">
        <v>2216</v>
      </c>
      <c r="B16" s="4">
        <v>427883</v>
      </c>
      <c r="C16" s="4" t="s">
        <v>4099</v>
      </c>
      <c r="D16" s="44">
        <v>4725</v>
      </c>
    </row>
    <row r="17" spans="1:4" x14ac:dyDescent="0.25">
      <c r="A17" s="4" t="s">
        <v>315</v>
      </c>
      <c r="B17" s="4">
        <v>428707</v>
      </c>
      <c r="C17" s="4" t="s">
        <v>4112</v>
      </c>
      <c r="D17" s="44">
        <v>3285</v>
      </c>
    </row>
    <row r="18" spans="1:4" x14ac:dyDescent="0.25">
      <c r="A18" s="4" t="s">
        <v>315</v>
      </c>
      <c r="B18" s="4">
        <v>427161</v>
      </c>
      <c r="C18" s="4" t="s">
        <v>4113</v>
      </c>
      <c r="D18" s="44">
        <v>5280</v>
      </c>
    </row>
    <row r="19" spans="1:4" x14ac:dyDescent="0.25">
      <c r="A19" s="4" t="s">
        <v>315</v>
      </c>
      <c r="B19" s="4">
        <v>426564</v>
      </c>
      <c r="C19" s="4" t="s">
        <v>4114</v>
      </c>
      <c r="D19" s="44">
        <v>2385</v>
      </c>
    </row>
    <row r="20" spans="1:4" x14ac:dyDescent="0.25">
      <c r="A20" s="4" t="s">
        <v>1891</v>
      </c>
      <c r="B20" s="4">
        <v>428826</v>
      </c>
      <c r="C20" s="4" t="s">
        <v>4115</v>
      </c>
      <c r="D20" s="44">
        <v>195</v>
      </c>
    </row>
    <row r="21" spans="1:4" x14ac:dyDescent="0.25">
      <c r="A21" s="16" t="s">
        <v>1891</v>
      </c>
      <c r="B21" s="4">
        <v>427703</v>
      </c>
      <c r="C21" s="4" t="s">
        <v>4116</v>
      </c>
      <c r="D21" s="44">
        <v>18505</v>
      </c>
    </row>
    <row r="22" spans="1:4" x14ac:dyDescent="0.25">
      <c r="A22" s="4" t="s">
        <v>3991</v>
      </c>
      <c r="B22" s="4">
        <v>426769</v>
      </c>
      <c r="C22" s="4" t="s">
        <v>3992</v>
      </c>
      <c r="D22" s="44">
        <v>1000</v>
      </c>
    </row>
    <row r="23" spans="1:4" x14ac:dyDescent="0.25">
      <c r="A23" s="16" t="s">
        <v>50</v>
      </c>
      <c r="B23" s="4">
        <v>425460</v>
      </c>
      <c r="C23" s="4" t="s">
        <v>4117</v>
      </c>
      <c r="D23" s="44">
        <v>530</v>
      </c>
    </row>
    <row r="24" spans="1:4" x14ac:dyDescent="0.25">
      <c r="A24" s="16" t="s">
        <v>50</v>
      </c>
      <c r="B24" s="4">
        <v>428644</v>
      </c>
      <c r="C24" s="4" t="s">
        <v>4118</v>
      </c>
      <c r="D24" s="44">
        <v>6600</v>
      </c>
    </row>
    <row r="25" spans="1:4" x14ac:dyDescent="0.25">
      <c r="A25" s="16" t="s">
        <v>52</v>
      </c>
      <c r="B25" s="4">
        <v>425228</v>
      </c>
      <c r="C25" s="4" t="s">
        <v>3928</v>
      </c>
      <c r="D25" s="44">
        <v>891</v>
      </c>
    </row>
    <row r="26" spans="1:4" hidden="1" x14ac:dyDescent="0.25">
      <c r="A26" s="16"/>
      <c r="B26" s="4"/>
      <c r="C26" s="4"/>
      <c r="D26" s="44"/>
    </row>
    <row r="27" spans="1:4" hidden="1" x14ac:dyDescent="0.25">
      <c r="A27" s="4"/>
      <c r="B27" s="4"/>
      <c r="C27" s="4"/>
      <c r="D27" s="44"/>
    </row>
    <row r="28" spans="1:4" hidden="1" x14ac:dyDescent="0.25">
      <c r="A28" s="4"/>
      <c r="B28" s="4"/>
      <c r="C28" s="4"/>
      <c r="D28" s="44"/>
    </row>
    <row r="29" spans="1:4" hidden="1" x14ac:dyDescent="0.25">
      <c r="A29" s="4"/>
      <c r="B29" s="4"/>
      <c r="C29" s="4"/>
      <c r="D29" s="44"/>
    </row>
    <row r="30" spans="1:4" hidden="1" x14ac:dyDescent="0.25">
      <c r="A30" s="4"/>
      <c r="B30" s="4"/>
      <c r="C30" s="4"/>
      <c r="D30" s="44"/>
    </row>
    <row r="31" spans="1:4" hidden="1" x14ac:dyDescent="0.25">
      <c r="A31" s="4"/>
      <c r="B31" s="4"/>
      <c r="C31" s="4"/>
      <c r="D31" s="44"/>
    </row>
    <row r="32" spans="1:4" hidden="1" x14ac:dyDescent="0.25">
      <c r="A32" s="16"/>
      <c r="B32" s="4"/>
      <c r="C32" s="4"/>
      <c r="D32" s="44"/>
    </row>
    <row r="33" spans="1:4" hidden="1" x14ac:dyDescent="0.25">
      <c r="A33" s="16"/>
      <c r="B33" s="4"/>
      <c r="C33" s="4"/>
      <c r="D33" s="44"/>
    </row>
    <row r="34" spans="1:4" hidden="1" x14ac:dyDescent="0.25">
      <c r="A34" s="4"/>
      <c r="B34" s="4"/>
      <c r="C34" s="4"/>
      <c r="D34" s="44"/>
    </row>
    <row r="35" spans="1:4" hidden="1" x14ac:dyDescent="0.25">
      <c r="A35" s="16"/>
      <c r="B35" s="4"/>
      <c r="C35" s="4"/>
      <c r="D35" s="44"/>
    </row>
    <row r="36" spans="1:4" hidden="1" x14ac:dyDescent="0.25">
      <c r="A36" s="16"/>
      <c r="B36" s="4"/>
      <c r="C36" s="4"/>
      <c r="D36" s="44"/>
    </row>
    <row r="37" spans="1:4" hidden="1" x14ac:dyDescent="0.25">
      <c r="A37" s="16"/>
      <c r="B37" s="4"/>
      <c r="C37" s="4"/>
      <c r="D37" s="44"/>
    </row>
    <row r="38" spans="1:4" hidden="1" x14ac:dyDescent="0.25">
      <c r="A38" s="16"/>
      <c r="B38" s="4"/>
      <c r="C38" s="4"/>
      <c r="D38" s="44"/>
    </row>
    <row r="39" spans="1:4" hidden="1" x14ac:dyDescent="0.25">
      <c r="A39" s="16"/>
      <c r="B39" s="4"/>
      <c r="C39" s="4"/>
      <c r="D39" s="44"/>
    </row>
    <row r="40" spans="1:4" hidden="1" x14ac:dyDescent="0.25">
      <c r="A40" s="16"/>
      <c r="B40" s="4"/>
      <c r="C40" s="4"/>
      <c r="D40" s="44"/>
    </row>
    <row r="41" spans="1:4" hidden="1" x14ac:dyDescent="0.25">
      <c r="A41" s="16"/>
      <c r="B41" s="4"/>
      <c r="C41" s="4"/>
      <c r="D41" s="44"/>
    </row>
    <row r="42" spans="1:4" hidden="1" x14ac:dyDescent="0.25">
      <c r="A42" s="4"/>
      <c r="B42" s="4"/>
      <c r="C42" s="4"/>
      <c r="D42" s="44"/>
    </row>
    <row r="43" spans="1:4" hidden="1" x14ac:dyDescent="0.25">
      <c r="A43" s="16"/>
      <c r="B43" s="4"/>
      <c r="C43" s="4"/>
      <c r="D43" s="44"/>
    </row>
    <row r="44" spans="1:4" hidden="1" x14ac:dyDescent="0.25">
      <c r="A44" s="16"/>
      <c r="B44" s="4"/>
      <c r="C44" s="4"/>
      <c r="D44" s="44"/>
    </row>
    <row r="45" spans="1:4" hidden="1" x14ac:dyDescent="0.25">
      <c r="A45" s="4"/>
      <c r="B45" s="4"/>
      <c r="C45" s="4"/>
      <c r="D45" s="44"/>
    </row>
    <row r="46" spans="1:4" hidden="1" x14ac:dyDescent="0.25">
      <c r="A46" s="16"/>
      <c r="B46" s="4"/>
      <c r="C46" s="4"/>
      <c r="D46" s="44"/>
    </row>
    <row r="47" spans="1:4" hidden="1" x14ac:dyDescent="0.25">
      <c r="A47" s="4"/>
      <c r="B47" s="4"/>
      <c r="C47" s="4"/>
      <c r="D47" s="44"/>
    </row>
    <row r="48" spans="1:4" hidden="1" x14ac:dyDescent="0.25">
      <c r="A48" s="16"/>
      <c r="B48" s="4"/>
      <c r="C48" s="4"/>
      <c r="D48" s="44"/>
    </row>
    <row r="49" spans="1:4" hidden="1" x14ac:dyDescent="0.25">
      <c r="A49" s="16"/>
      <c r="B49" s="4"/>
      <c r="C49" s="4"/>
      <c r="D49" s="44"/>
    </row>
    <row r="50" spans="1:4" hidden="1" x14ac:dyDescent="0.25">
      <c r="A50" s="16"/>
      <c r="B50" s="4"/>
      <c r="C50" s="4"/>
      <c r="D50" s="44"/>
    </row>
    <row r="51" spans="1:4" hidden="1" x14ac:dyDescent="0.25">
      <c r="A51" s="16"/>
      <c r="B51" s="4"/>
      <c r="C51" s="4"/>
      <c r="D51" s="44"/>
    </row>
    <row r="52" spans="1:4" hidden="1" x14ac:dyDescent="0.25">
      <c r="A52" s="4"/>
      <c r="B52" s="4"/>
      <c r="C52" s="4"/>
      <c r="D52" s="44"/>
    </row>
    <row r="53" spans="1:4" hidden="1" x14ac:dyDescent="0.25">
      <c r="A53" s="16"/>
      <c r="B53" s="4"/>
      <c r="C53" s="4"/>
      <c r="D53" s="44"/>
    </row>
    <row r="54" spans="1:4" hidden="1" x14ac:dyDescent="0.25">
      <c r="A54" s="16"/>
      <c r="B54" s="4"/>
      <c r="C54" s="4"/>
      <c r="D54" s="44"/>
    </row>
    <row r="55" spans="1:4" hidden="1" x14ac:dyDescent="0.25">
      <c r="A55" s="4"/>
      <c r="B55" s="4"/>
      <c r="C55" s="4"/>
      <c r="D55" s="44"/>
    </row>
    <row r="56" spans="1:4" hidden="1" x14ac:dyDescent="0.25">
      <c r="A56" s="16"/>
      <c r="B56" s="4"/>
      <c r="C56" s="4"/>
      <c r="D56" s="44"/>
    </row>
    <row r="57" spans="1:4" hidden="1" x14ac:dyDescent="0.25">
      <c r="A57" s="16"/>
      <c r="B57" s="4"/>
      <c r="C57" s="4"/>
      <c r="D57" s="44"/>
    </row>
    <row r="58" spans="1:4" hidden="1" x14ac:dyDescent="0.25">
      <c r="A58" s="16"/>
      <c r="B58" s="4"/>
      <c r="C58" s="4"/>
      <c r="D58" s="44"/>
    </row>
    <row r="59" spans="1:4" hidden="1" x14ac:dyDescent="0.25">
      <c r="A59" s="16"/>
      <c r="B59" s="4"/>
      <c r="C59" s="4"/>
      <c r="D59" s="44"/>
    </row>
    <row r="60" spans="1:4" hidden="1" x14ac:dyDescent="0.25">
      <c r="A60" s="16"/>
      <c r="B60" s="4"/>
      <c r="C60" s="4"/>
      <c r="D60" s="44"/>
    </row>
    <row r="61" spans="1:4" hidden="1" x14ac:dyDescent="0.25">
      <c r="A61" s="16"/>
      <c r="B61" s="4"/>
      <c r="C61" s="4"/>
      <c r="D61" s="44"/>
    </row>
    <row r="62" spans="1:4" hidden="1" x14ac:dyDescent="0.25">
      <c r="A62" s="16"/>
      <c r="B62" s="4"/>
      <c r="C62" s="4"/>
      <c r="D62" s="44"/>
    </row>
    <row r="63" spans="1:4" hidden="1" x14ac:dyDescent="0.25">
      <c r="A63" s="16"/>
      <c r="B63" s="4"/>
      <c r="C63" s="4"/>
      <c r="D63" s="44"/>
    </row>
    <row r="64" spans="1:4" hidden="1" x14ac:dyDescent="0.25">
      <c r="A64" s="4"/>
      <c r="B64" s="4"/>
      <c r="C64" s="4"/>
      <c r="D64" s="44"/>
    </row>
    <row r="65" spans="1:4" hidden="1" x14ac:dyDescent="0.25">
      <c r="A65" s="4"/>
      <c r="B65" s="4"/>
      <c r="C65" s="4"/>
      <c r="D65" s="44"/>
    </row>
    <row r="66" spans="1:4" hidden="1" x14ac:dyDescent="0.25">
      <c r="A66" s="4"/>
      <c r="B66" s="4"/>
      <c r="C66" s="4"/>
      <c r="D66" s="44"/>
    </row>
    <row r="67" spans="1:4" hidden="1" x14ac:dyDescent="0.25">
      <c r="A67" s="4"/>
      <c r="B67" s="4"/>
      <c r="C67" s="4"/>
      <c r="D67" s="44"/>
    </row>
    <row r="68" spans="1:4" hidden="1" x14ac:dyDescent="0.25">
      <c r="A68" s="4"/>
      <c r="B68" s="4"/>
      <c r="C68" s="4"/>
      <c r="D68" s="44"/>
    </row>
    <row r="69" spans="1:4" hidden="1" x14ac:dyDescent="0.25">
      <c r="A69" s="4"/>
      <c r="B69" s="4"/>
      <c r="C69" s="4"/>
      <c r="D69" s="44"/>
    </row>
    <row r="70" spans="1:4" hidden="1" x14ac:dyDescent="0.25">
      <c r="A70" s="4"/>
      <c r="B70" s="4"/>
      <c r="C70" s="4"/>
      <c r="D70" s="44"/>
    </row>
    <row r="71" spans="1:4" hidden="1" x14ac:dyDescent="0.25">
      <c r="A71" s="4"/>
      <c r="B71" s="4"/>
      <c r="C71" s="4"/>
      <c r="D71" s="44"/>
    </row>
    <row r="72" spans="1:4" hidden="1" x14ac:dyDescent="0.25">
      <c r="A72" s="4"/>
      <c r="B72" s="4"/>
      <c r="C72" s="4"/>
      <c r="D72" s="44"/>
    </row>
    <row r="73" spans="1:4" hidden="1" x14ac:dyDescent="0.25">
      <c r="A73" s="4"/>
      <c r="B73" s="4"/>
      <c r="C73" s="4"/>
      <c r="D73" s="44"/>
    </row>
    <row r="74" spans="1:4" hidden="1" x14ac:dyDescent="0.25">
      <c r="A74" s="4"/>
      <c r="B74" s="4"/>
      <c r="C74" s="4"/>
      <c r="D74" s="44"/>
    </row>
    <row r="75" spans="1:4" hidden="1" x14ac:dyDescent="0.25">
      <c r="A75" s="4"/>
      <c r="B75" s="4"/>
      <c r="C75" s="4"/>
      <c r="D75" s="44"/>
    </row>
    <row r="76" spans="1:4" hidden="1" x14ac:dyDescent="0.25">
      <c r="A76" s="4"/>
      <c r="B76" s="4"/>
      <c r="C76" s="4"/>
      <c r="D76" s="44"/>
    </row>
    <row r="77" spans="1:4" hidden="1" x14ac:dyDescent="0.25"/>
    <row r="78" spans="1:4" hidden="1" x14ac:dyDescent="0.25"/>
    <row r="79" spans="1:4" hidden="1" x14ac:dyDescent="0.25"/>
    <row r="80" spans="1:4" hidden="1" x14ac:dyDescent="0.25"/>
    <row r="81" spans="3:4" hidden="1" x14ac:dyDescent="0.25"/>
    <row r="82" spans="3:4" hidden="1" x14ac:dyDescent="0.25"/>
    <row r="83" spans="3:4" hidden="1" x14ac:dyDescent="0.25"/>
    <row r="84" spans="3:4" hidden="1" x14ac:dyDescent="0.25"/>
    <row r="85" spans="3:4" hidden="1" x14ac:dyDescent="0.25"/>
    <row r="86" spans="3:4" hidden="1" x14ac:dyDescent="0.25"/>
    <row r="87" spans="3:4" hidden="1" x14ac:dyDescent="0.25"/>
    <row r="88" spans="3:4" hidden="1" x14ac:dyDescent="0.25"/>
    <row r="89" spans="3:4" hidden="1" x14ac:dyDescent="0.25"/>
    <row r="90" spans="3:4" hidden="1" x14ac:dyDescent="0.25"/>
    <row r="91" spans="3:4" hidden="1" x14ac:dyDescent="0.25"/>
    <row r="92" spans="3:4" x14ac:dyDescent="0.25">
      <c r="C92" s="31" t="s">
        <v>2502</v>
      </c>
      <c r="D92" s="43">
        <f>SUM(D2:D3,D12:D25)</f>
        <v>90197</v>
      </c>
    </row>
    <row r="93" spans="3:4" x14ac:dyDescent="0.25">
      <c r="C93" s="31" t="s">
        <v>2501</v>
      </c>
      <c r="D93" s="43">
        <f>SUM(D4:D11)</f>
        <v>57632</v>
      </c>
    </row>
    <row r="94" spans="3:4" x14ac:dyDescent="0.25">
      <c r="C94" s="31" t="s">
        <v>83</v>
      </c>
      <c r="D94" s="43">
        <f>SUM(D2:D76)</f>
        <v>147829</v>
      </c>
    </row>
    <row r="100" spans="4:4" x14ac:dyDescent="0.25">
      <c r="D100" s="43"/>
    </row>
  </sheetData>
  <printOptions horizontalCentered="1"/>
  <pageMargins left="0.7" right="0.7" top="1" bottom="0.75" header="0.3" footer="0.3"/>
  <pageSetup paperSize="5" scale="61" orientation="portrait" r:id="rId1"/>
  <headerFooter>
    <oddHeader>&amp;C&amp;"Arial Black,Regular"&amp;14SALES REPORT
&amp;10APPROVED WORK AWAITING SCHEDULE</oddHeader>
    <oddFooter>&amp;L&amp;8&amp;Z&amp;F&amp;R&amp;8&amp;D</oddFooter>
  </headerFooter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6E594-7D0B-431F-85F1-42B53115EC84}">
  <dimension ref="A1:D25"/>
  <sheetViews>
    <sheetView workbookViewId="0">
      <selection sqref="A1:D25"/>
    </sheetView>
  </sheetViews>
  <sheetFormatPr defaultRowHeight="15" x14ac:dyDescent="0.25"/>
  <cols>
    <col min="1" max="1" width="34" customWidth="1"/>
    <col min="3" max="3" width="77.8554687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4</v>
      </c>
    </row>
    <row r="2" spans="1:4" x14ac:dyDescent="0.25">
      <c r="A2" t="s">
        <v>5</v>
      </c>
      <c r="B2">
        <v>428567</v>
      </c>
      <c r="C2" t="s">
        <v>4104</v>
      </c>
      <c r="D2" s="1">
        <v>1870</v>
      </c>
    </row>
    <row r="3" spans="1:4" x14ac:dyDescent="0.25">
      <c r="A3" s="1" t="s">
        <v>256</v>
      </c>
      <c r="B3">
        <v>421688</v>
      </c>
      <c r="C3" t="s">
        <v>3712</v>
      </c>
      <c r="D3" s="1">
        <v>1342</v>
      </c>
    </row>
    <row r="4" spans="1:4" x14ac:dyDescent="0.25">
      <c r="A4" s="1" t="s">
        <v>111</v>
      </c>
      <c r="B4">
        <v>428417</v>
      </c>
      <c r="C4" t="s">
        <v>4103</v>
      </c>
      <c r="D4" s="1">
        <v>27470</v>
      </c>
    </row>
    <row r="5" spans="1:4" x14ac:dyDescent="0.25">
      <c r="A5" s="1" t="s">
        <v>111</v>
      </c>
      <c r="B5">
        <v>427569</v>
      </c>
      <c r="C5" t="s">
        <v>3810</v>
      </c>
      <c r="D5" s="1">
        <v>1433</v>
      </c>
    </row>
    <row r="6" spans="1:4" x14ac:dyDescent="0.25">
      <c r="A6" s="1" t="s">
        <v>111</v>
      </c>
      <c r="B6">
        <v>428969</v>
      </c>
      <c r="C6" t="s">
        <v>4105</v>
      </c>
      <c r="D6">
        <v>195</v>
      </c>
    </row>
    <row r="7" spans="1:4" x14ac:dyDescent="0.25">
      <c r="A7" s="1" t="s">
        <v>111</v>
      </c>
      <c r="B7">
        <v>428773</v>
      </c>
      <c r="C7" t="s">
        <v>4106</v>
      </c>
      <c r="D7">
        <v>389</v>
      </c>
    </row>
    <row r="8" spans="1:4" x14ac:dyDescent="0.25">
      <c r="A8" s="1" t="s">
        <v>111</v>
      </c>
      <c r="B8">
        <v>428842</v>
      </c>
      <c r="C8" t="s">
        <v>4107</v>
      </c>
      <c r="D8">
        <v>86</v>
      </c>
    </row>
    <row r="9" spans="1:4" x14ac:dyDescent="0.25">
      <c r="A9" s="1" t="s">
        <v>111</v>
      </c>
      <c r="B9">
        <v>427572</v>
      </c>
      <c r="C9" t="s">
        <v>4052</v>
      </c>
      <c r="D9" s="1">
        <v>14248</v>
      </c>
    </row>
    <row r="10" spans="1:4" x14ac:dyDescent="0.25">
      <c r="A10" s="1" t="s">
        <v>2831</v>
      </c>
      <c r="B10">
        <v>427668</v>
      </c>
      <c r="C10" t="s">
        <v>4108</v>
      </c>
      <c r="D10" s="1">
        <v>5004</v>
      </c>
    </row>
    <row r="11" spans="1:4" x14ac:dyDescent="0.25">
      <c r="A11" s="1" t="s">
        <v>167</v>
      </c>
      <c r="B11">
        <v>418572</v>
      </c>
      <c r="C11" t="s">
        <v>4109</v>
      </c>
      <c r="D11" s="1">
        <v>8807</v>
      </c>
    </row>
    <row r="12" spans="1:4" x14ac:dyDescent="0.25">
      <c r="A12" s="1" t="s">
        <v>767</v>
      </c>
      <c r="B12">
        <v>425028</v>
      </c>
      <c r="C12" t="s">
        <v>3903</v>
      </c>
      <c r="D12">
        <v>700</v>
      </c>
    </row>
    <row r="13" spans="1:4" x14ac:dyDescent="0.25">
      <c r="A13" s="1" t="s">
        <v>1419</v>
      </c>
      <c r="B13">
        <v>424104</v>
      </c>
      <c r="C13" t="s">
        <v>3860</v>
      </c>
      <c r="D13" s="1">
        <v>30096</v>
      </c>
    </row>
    <row r="14" spans="1:4" x14ac:dyDescent="0.25">
      <c r="A14" s="1" t="s">
        <v>1582</v>
      </c>
      <c r="B14">
        <v>428769</v>
      </c>
      <c r="C14" t="s">
        <v>4110</v>
      </c>
      <c r="D14" s="1">
        <v>3353</v>
      </c>
    </row>
    <row r="15" spans="1:4" x14ac:dyDescent="0.25">
      <c r="A15" s="1" t="s">
        <v>1582</v>
      </c>
      <c r="B15">
        <v>427315</v>
      </c>
      <c r="C15" t="s">
        <v>4111</v>
      </c>
      <c r="D15" s="1">
        <v>9440</v>
      </c>
    </row>
    <row r="16" spans="1:4" x14ac:dyDescent="0.25">
      <c r="A16" s="1" t="s">
        <v>2216</v>
      </c>
      <c r="B16">
        <v>427883</v>
      </c>
      <c r="C16" t="s">
        <v>4099</v>
      </c>
      <c r="D16" s="1">
        <v>4725</v>
      </c>
    </row>
    <row r="17" spans="1:4" x14ac:dyDescent="0.25">
      <c r="A17" t="s">
        <v>315</v>
      </c>
      <c r="B17">
        <v>428707</v>
      </c>
      <c r="C17" t="s">
        <v>4112</v>
      </c>
      <c r="D17" s="1">
        <v>3285</v>
      </c>
    </row>
    <row r="18" spans="1:4" x14ac:dyDescent="0.25">
      <c r="A18" s="1" t="s">
        <v>315</v>
      </c>
      <c r="B18">
        <v>427161</v>
      </c>
      <c r="C18" t="s">
        <v>4113</v>
      </c>
      <c r="D18" s="1">
        <v>5280</v>
      </c>
    </row>
    <row r="19" spans="1:4" x14ac:dyDescent="0.25">
      <c r="A19" s="1" t="s">
        <v>315</v>
      </c>
      <c r="B19">
        <v>426564</v>
      </c>
      <c r="C19" t="s">
        <v>4114</v>
      </c>
      <c r="D19" s="1">
        <v>2385</v>
      </c>
    </row>
    <row r="20" spans="1:4" x14ac:dyDescent="0.25">
      <c r="A20" s="1" t="s">
        <v>1891</v>
      </c>
      <c r="B20">
        <v>428826</v>
      </c>
      <c r="C20" t="s">
        <v>4115</v>
      </c>
      <c r="D20">
        <v>195</v>
      </c>
    </row>
    <row r="21" spans="1:4" x14ac:dyDescent="0.25">
      <c r="A21" s="1" t="s">
        <v>1891</v>
      </c>
      <c r="B21">
        <v>427703</v>
      </c>
      <c r="C21" t="s">
        <v>4116</v>
      </c>
      <c r="D21" s="1">
        <v>18505</v>
      </c>
    </row>
    <row r="22" spans="1:4" x14ac:dyDescent="0.25">
      <c r="A22" t="s">
        <v>3991</v>
      </c>
      <c r="B22">
        <v>426769</v>
      </c>
      <c r="C22" t="s">
        <v>3992</v>
      </c>
      <c r="D22" s="1">
        <v>1000</v>
      </c>
    </row>
    <row r="23" spans="1:4" x14ac:dyDescent="0.25">
      <c r="A23" s="1" t="s">
        <v>50</v>
      </c>
      <c r="B23">
        <v>425460</v>
      </c>
      <c r="C23" t="s">
        <v>4117</v>
      </c>
      <c r="D23">
        <v>530</v>
      </c>
    </row>
    <row r="24" spans="1:4" ht="15" customHeight="1" x14ac:dyDescent="0.25">
      <c r="A24" t="s">
        <v>50</v>
      </c>
      <c r="B24">
        <v>428644</v>
      </c>
      <c r="C24" t="s">
        <v>4118</v>
      </c>
      <c r="D24" s="1">
        <v>6600</v>
      </c>
    </row>
    <row r="25" spans="1:4" x14ac:dyDescent="0.25">
      <c r="A25" t="s">
        <v>52</v>
      </c>
      <c r="B25">
        <v>425228</v>
      </c>
      <c r="C25" t="s">
        <v>3928</v>
      </c>
      <c r="D25">
        <v>891</v>
      </c>
    </row>
  </sheetData>
  <autoFilter ref="A1:J1" xr:uid="{4FB6E594-7D0B-431F-85F1-42B53115EC84}">
    <sortState xmlns:xlrd2="http://schemas.microsoft.com/office/spreadsheetml/2017/richdata2" ref="A2:J2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273</vt:i4>
      </vt:variant>
      <vt:variant>
        <vt:lpstr>Named Ranges</vt:lpstr>
      </vt:variant>
      <vt:variant>
        <vt:i4>411</vt:i4>
      </vt:variant>
    </vt:vector>
  </HeadingPairs>
  <TitlesOfParts>
    <vt:vector size="684" baseType="lpstr">
      <vt:lpstr>GO-AHEADS (6-19-2019)</vt:lpstr>
      <vt:lpstr>GO-AHEADS (5-6-2020)</vt:lpstr>
      <vt:lpstr>GO-AHEADS (5-13-2020)</vt:lpstr>
      <vt:lpstr>GO-AHEADS (5-27-2020)</vt:lpstr>
      <vt:lpstr>GO-AHEADS (6-3-2020)</vt:lpstr>
      <vt:lpstr>GO-AHEADS (6-17-2020)</vt:lpstr>
      <vt:lpstr>GO-AHEADS (6-24-2020)</vt:lpstr>
      <vt:lpstr>GO-AHEADS (7-1-2020)</vt:lpstr>
      <vt:lpstr>GO-AHEADS (7-8-2020)</vt:lpstr>
      <vt:lpstr>GO-AHEADS (7-22-2020)</vt:lpstr>
      <vt:lpstr>GO-AHEADS (7-29-2020)</vt:lpstr>
      <vt:lpstr>GO-AHEADS (8-5-2020)</vt:lpstr>
      <vt:lpstr>GO-AHEADS (8-12-2020)</vt:lpstr>
      <vt:lpstr>GO-AHEADS (9-9-2020)</vt:lpstr>
      <vt:lpstr>GO-AHEADS (10-14-2020)</vt:lpstr>
      <vt:lpstr>GO-AHEADS (10-21-2020)</vt:lpstr>
      <vt:lpstr>GO-AHEADS (11-04-2020)</vt:lpstr>
      <vt:lpstr>GO-AHEADS (11-11-2020)</vt:lpstr>
      <vt:lpstr>GO-AHEADS (11-18-2020)</vt:lpstr>
      <vt:lpstr>GO-AHEADS (12-2-2020)</vt:lpstr>
      <vt:lpstr>GO-AHEADS (12-09-2020)</vt:lpstr>
      <vt:lpstr>GO-AHEADS (12-31-2020)</vt:lpstr>
      <vt:lpstr>GO-AHEADS (1-6-2021)</vt:lpstr>
      <vt:lpstr>GO-AHEADS (1-13-2021)</vt:lpstr>
      <vt:lpstr>GO-AHEADS (1-21-2021)</vt:lpstr>
      <vt:lpstr>GO-AHEADS (1-27-2021)</vt:lpstr>
      <vt:lpstr>GO-AHEADS (2-03-2021)</vt:lpstr>
      <vt:lpstr>GO-AHEADS (2-10-2021)</vt:lpstr>
      <vt:lpstr>GO-AHEADS (2-17-2021)</vt:lpstr>
      <vt:lpstr>GO-AHEADS (3-3-2021)</vt:lpstr>
      <vt:lpstr>GO-AHEADS (3-10-2021)</vt:lpstr>
      <vt:lpstr>GO-AHEADS (3-17-2021)</vt:lpstr>
      <vt:lpstr>GO-AHEADS (3-24-2021)</vt:lpstr>
      <vt:lpstr>GO-AHEADS (4-1-2021)</vt:lpstr>
      <vt:lpstr>GO-AHEADS (4-7-2021)</vt:lpstr>
      <vt:lpstr>GO-AHEADS (4-14-2021)</vt:lpstr>
      <vt:lpstr>GO-AHEADS (4-21-2021)</vt:lpstr>
      <vt:lpstr>GO-AHEADS (4-28-2021)</vt:lpstr>
      <vt:lpstr>GO-AHEADS (5-5-2021)</vt:lpstr>
      <vt:lpstr>GO-AHEADS (5-12-2021)</vt:lpstr>
      <vt:lpstr>GO-AHEADS (5-19-2021)</vt:lpstr>
      <vt:lpstr>GO-AHEADS (5-26-2021)</vt:lpstr>
      <vt:lpstr>GO-AHEADS (6-2-2021)</vt:lpstr>
      <vt:lpstr>GO-AHEADS (6-09-2021)</vt:lpstr>
      <vt:lpstr>GO-AHEADS (6-16-2021)</vt:lpstr>
      <vt:lpstr>GO-AHEADS (7-08-2021)</vt:lpstr>
      <vt:lpstr>GO-AHEADS (7-14-2021)</vt:lpstr>
      <vt:lpstr>GO-AHEADS (7-21-2021)</vt:lpstr>
      <vt:lpstr>GO-AHEADS (08-04-2021)</vt:lpstr>
      <vt:lpstr>GO-AHEADS (08-12-2021)</vt:lpstr>
      <vt:lpstr>GO-AHEADS (09-01-2021)</vt:lpstr>
      <vt:lpstr>GO-AHEADS (09-09-2021)</vt:lpstr>
      <vt:lpstr>GO-AHEADS (09-15-2021)</vt:lpstr>
      <vt:lpstr>GO-AHEADS (09-22-2021)</vt:lpstr>
      <vt:lpstr>GO-AHEADS (09-29-2021)</vt:lpstr>
      <vt:lpstr>GO-AHEADS (10-07-2021)</vt:lpstr>
      <vt:lpstr>GO-AHEADS (10-14-2021)</vt:lpstr>
      <vt:lpstr>GO-AHEADS (10-20-2021)</vt:lpstr>
      <vt:lpstr>GO-AHEADS (10-28-2021)</vt:lpstr>
      <vt:lpstr>GO-AHEADS (11-03-2021)</vt:lpstr>
      <vt:lpstr>GO-AHEADS (11-10-2021)</vt:lpstr>
      <vt:lpstr>GO-AHEADS (11.17.21)</vt:lpstr>
      <vt:lpstr>GO-AHEADS (12.02.21)</vt:lpstr>
      <vt:lpstr>GO-AHEADS (12.08.21)</vt:lpstr>
      <vt:lpstr>GO-AHEADS (12.15.21)</vt:lpstr>
      <vt:lpstr>GO-AHEADS (01-05-2022)</vt:lpstr>
      <vt:lpstr>GO-AHEADS (01-12-2022)</vt:lpstr>
      <vt:lpstr>GO-AHEADS (01-27-2022)</vt:lpstr>
      <vt:lpstr>GO-AHEADS (02-03-2022)</vt:lpstr>
      <vt:lpstr>GO-AHEADS (02-10-2022)</vt:lpstr>
      <vt:lpstr>GO-AHEADS (02-17-2022)</vt:lpstr>
      <vt:lpstr>GO-AHEADS (02-24-2022)</vt:lpstr>
      <vt:lpstr>GO-AHEADS (03-02-2022)</vt:lpstr>
      <vt:lpstr>GO-AHEADS (03-10-2022)</vt:lpstr>
      <vt:lpstr>GO-AHEADS (03-17-2022)</vt:lpstr>
      <vt:lpstr>GO-AHEADS (03-23-2022)</vt:lpstr>
      <vt:lpstr>GO-AHEADS (03-31-2022)</vt:lpstr>
      <vt:lpstr>GO-AHEADS (04-07-2022)</vt:lpstr>
      <vt:lpstr>GO-AHEADS (04-14-2022</vt:lpstr>
      <vt:lpstr>GO-AHEADS (04-21-2022)</vt:lpstr>
      <vt:lpstr>GO-AHEADS (04-28-2022)</vt:lpstr>
      <vt:lpstr>GO-AHEADS (05-05-2022)</vt:lpstr>
      <vt:lpstr>GO-AHEADS (05-12-2022)</vt:lpstr>
      <vt:lpstr>GO-AHEADS (06-02-2022)</vt:lpstr>
      <vt:lpstr>GO-AHEADS (06-08-2022)</vt:lpstr>
      <vt:lpstr>GO-AHEADS (06-16-2022)</vt:lpstr>
      <vt:lpstr>GO-AHEADS (06-23-2022)</vt:lpstr>
      <vt:lpstr>GO-AHEADS (06-30-2022)</vt:lpstr>
      <vt:lpstr>GO-AHEADS (07-07-2022)</vt:lpstr>
      <vt:lpstr>GO-AHEADS (07-14-2022)</vt:lpstr>
      <vt:lpstr>GO-AHEADS (07-21-2022)</vt:lpstr>
      <vt:lpstr>GO-AHEADS (07-28-2022)</vt:lpstr>
      <vt:lpstr>GO-AHEADS (08-04-2022)</vt:lpstr>
      <vt:lpstr>GO-AHEADS (08-11-2022)</vt:lpstr>
      <vt:lpstr>GO-AHEADS (08-18-2022)</vt:lpstr>
      <vt:lpstr>GO-AHEADS (08-25-2022)</vt:lpstr>
      <vt:lpstr>GO-AHEADS (09-01-2022)</vt:lpstr>
      <vt:lpstr>GO-AHEADS (09-08-2022)</vt:lpstr>
      <vt:lpstr>GO-AHEADS (09-15-2022)</vt:lpstr>
      <vt:lpstr>GO-AHEADS (09-22-2022)</vt:lpstr>
      <vt:lpstr>GO-AHEADS (09-29-2022)</vt:lpstr>
      <vt:lpstr>GO-AHEADS (10-06-2022)</vt:lpstr>
      <vt:lpstr>GO-AHEADS (10-13-2022)</vt:lpstr>
      <vt:lpstr>GO-AHEADS (10-20-2022)</vt:lpstr>
      <vt:lpstr>GO-AHEADS (10-26-2022)</vt:lpstr>
      <vt:lpstr>GO-AHEADS (11-03-2022)</vt:lpstr>
      <vt:lpstr>GO-AHEADS (11-10-2022)</vt:lpstr>
      <vt:lpstr>GO-AHEADS (11-17-2022)</vt:lpstr>
      <vt:lpstr>GO-AHEADS (12-01-2022)</vt:lpstr>
      <vt:lpstr>GO-AHEADS (12-14-2022)</vt:lpstr>
      <vt:lpstr>GO-AHEADS (12-22-2022)</vt:lpstr>
      <vt:lpstr>GO-AHEADS (12-29-2022)</vt:lpstr>
      <vt:lpstr>GO-AHEADS (01-05-2023)</vt:lpstr>
      <vt:lpstr>GO-AHEADS (01-12-2023)</vt:lpstr>
      <vt:lpstr>GO-AHEADS (01-19-2023)</vt:lpstr>
      <vt:lpstr>GO-AHEADS (01-26-2023)</vt:lpstr>
      <vt:lpstr>GO-AHEADS (02-02-2023)</vt:lpstr>
      <vt:lpstr>GO-AHEADS (02-09-2023)</vt:lpstr>
      <vt:lpstr>GO-AHEADS (02-15-2023)</vt:lpstr>
      <vt:lpstr>GO-AHEADS (02-22-2023)</vt:lpstr>
      <vt:lpstr>GO-AHEADS (03-01-2023)</vt:lpstr>
      <vt:lpstr>GO-AHEADS 03-09-2023)</vt:lpstr>
      <vt:lpstr>GO-AHEADS (03-16-2023)</vt:lpstr>
      <vt:lpstr>GO-AHEADS (03-23-2023)</vt:lpstr>
      <vt:lpstr>GO-AHEADS (03-30-2023)</vt:lpstr>
      <vt:lpstr>GO-AHEADS (04-05-2023)</vt:lpstr>
      <vt:lpstr>GO-AHEADS (04-12-2023)</vt:lpstr>
      <vt:lpstr>GO-AHEADS (04-20-2023)</vt:lpstr>
      <vt:lpstr>GO-AHEADS (04-27-2023)</vt:lpstr>
      <vt:lpstr>GO-AHEADS (05-04-2023)</vt:lpstr>
      <vt:lpstr>GO-AHEADS (05-25-2023)</vt:lpstr>
      <vt:lpstr>GO-AHEADS (06-01-2023)</vt:lpstr>
      <vt:lpstr>GO-AHEADS (06-08-2023)</vt:lpstr>
      <vt:lpstr>GO-AHEADS (06-22-2023)</vt:lpstr>
      <vt:lpstr>GO-AHEADS (06-29-2023)</vt:lpstr>
      <vt:lpstr>GO-AHEADS (07-06-2023)</vt:lpstr>
      <vt:lpstr>GO-AHEADS (07-13-2023)</vt:lpstr>
      <vt:lpstr>GO-AHEADS (07-20-2023)</vt:lpstr>
      <vt:lpstr>GO-AHEADS (07-26-2023)</vt:lpstr>
      <vt:lpstr>GO-AHEADS (08-03-2023)</vt:lpstr>
      <vt:lpstr>GO-AHEADS (08-10-2023)</vt:lpstr>
      <vt:lpstr>GO-AHEADS (08-17-2023)</vt:lpstr>
      <vt:lpstr>GO-AHEADS (08-24-2023)</vt:lpstr>
      <vt:lpstr>GO-AHEADS (08-31-2023)</vt:lpstr>
      <vt:lpstr>GO-AHEADS (09-14-2023)</vt:lpstr>
      <vt:lpstr>GO-AHEADS (09-21-2023)</vt:lpstr>
      <vt:lpstr>GO-AHEADS (09-28-2023)</vt:lpstr>
      <vt:lpstr>GO-AHEADS (10-05-2023)</vt:lpstr>
      <vt:lpstr>GO-AHEADS (10-19-2023)</vt:lpstr>
      <vt:lpstr>GO-AHEADS (10-26-2023)</vt:lpstr>
      <vt:lpstr>GO-AHEADS (11-02-2023)</vt:lpstr>
      <vt:lpstr>GO-AHEADS (11-09-2023)</vt:lpstr>
      <vt:lpstr>GO-AHEADS (11-15-2023)</vt:lpstr>
      <vt:lpstr>GO-AHEADS (12-07-2023)</vt:lpstr>
      <vt:lpstr>GO-AHEADS (12-21-2023)</vt:lpstr>
      <vt:lpstr>GO-AHEADS (01-04-2023)</vt:lpstr>
      <vt:lpstr>GO-AHEADS (01-11-2024)</vt:lpstr>
      <vt:lpstr>GO-AHEADS (01-18-2024)</vt:lpstr>
      <vt:lpstr>GO-AHEADS (01-25-2024)</vt:lpstr>
      <vt:lpstr>GO-AHEADS (02-07-2024)</vt:lpstr>
      <vt:lpstr>GO-AHEADS (02-22-2024)</vt:lpstr>
      <vt:lpstr>GO-AHEADS (02-29-2024)</vt:lpstr>
      <vt:lpstr>GO-AHEADS (03-07-2024)</vt:lpstr>
      <vt:lpstr>GO-AHEADS (03-14-2024)</vt:lpstr>
      <vt:lpstr>GO-AHEADS (03-20-2024)</vt:lpstr>
      <vt:lpstr>GO-AHEADS (03-28-2024)</vt:lpstr>
      <vt:lpstr>GO-AHEADS (04-04-2024)</vt:lpstr>
      <vt:lpstr>GO-AHEADS (04-11-2024)</vt:lpstr>
      <vt:lpstr>GO-AHEADS (04-18-2024)</vt:lpstr>
      <vt:lpstr>GO-AHEADS (04-25-2024</vt:lpstr>
      <vt:lpstr>GO-AHEADS (05-02-2024)</vt:lpstr>
      <vt:lpstr>GO-AHEADS (05-09-2024)</vt:lpstr>
      <vt:lpstr>GO-AHEADS (05-16-2024)</vt:lpstr>
      <vt:lpstr>GO-AHEADS (06-06-2024)</vt:lpstr>
      <vt:lpstr>GO-AHEADS (06-13-2024)</vt:lpstr>
      <vt:lpstr>GO-AHEADS (06-</vt:lpstr>
      <vt:lpstr>GO-AHEADS (06-20-2024)</vt:lpstr>
      <vt:lpstr>GO-AHEADS (06-27-2024)</vt:lpstr>
      <vt:lpstr>GO-AHEADS (07-03-2024)</vt:lpstr>
      <vt:lpstr>GO-AHEADS (07-11-2024)</vt:lpstr>
      <vt:lpstr>GO-AHEADS (07-18-2024)</vt:lpstr>
      <vt:lpstr>GO-AHEADS (07-25-2024)</vt:lpstr>
      <vt:lpstr>GO-AHEADS (08-01-2024)</vt:lpstr>
      <vt:lpstr>GO-AHEADS (08-08-2024)</vt:lpstr>
      <vt:lpstr>GO-AHEADS (08-15-2024)</vt:lpstr>
      <vt:lpstr>GO-AHEADS (08-22-2024)</vt:lpstr>
      <vt:lpstr>GO-AHEADS (08-29-2024)</vt:lpstr>
      <vt:lpstr>GO-AHEADS (09-05-2024)</vt:lpstr>
      <vt:lpstr>GO-AHEADS (09-12-2024)</vt:lpstr>
      <vt:lpstr>GO-AHEADS (09-19-2024)</vt:lpstr>
      <vt:lpstr>GO-AHEADS (09-26-2024)</vt:lpstr>
      <vt:lpstr>GO-AHEADS (10-03-2024)</vt:lpstr>
      <vt:lpstr>GO-AHEADS (10-17-2024)</vt:lpstr>
      <vt:lpstr>GO-AHEADS (10-24-2024</vt:lpstr>
      <vt:lpstr>GO-AHEADS (10-31-2024</vt:lpstr>
      <vt:lpstr>GO-AHEADS (11-07-2024</vt:lpstr>
      <vt:lpstr>GO-AHEADS (11-14-2024)</vt:lpstr>
      <vt:lpstr>GO-AHEADS (11-21-2024)</vt:lpstr>
      <vt:lpstr>GO-AHEADS (12-05-2024)</vt:lpstr>
      <vt:lpstr>GO-AHEADS (12-12-2024)</vt:lpstr>
      <vt:lpstr>GO-AHEADS (01-09-2025)</vt:lpstr>
      <vt:lpstr>GO-AHEADS (01-16-2025)</vt:lpstr>
      <vt:lpstr>GO-AHEADS (01-25-2025)</vt:lpstr>
      <vt:lpstr>GO-AHEADS (01-30-2025)</vt:lpstr>
      <vt:lpstr>GO-AHEADS (02-06-2025)</vt:lpstr>
      <vt:lpstr>GO-AHEADS (02-13-2025)</vt:lpstr>
      <vt:lpstr>GO-AHEADS (02-20-2025)</vt:lpstr>
      <vt:lpstr>GO-AHEADS (02-27-2025)</vt:lpstr>
      <vt:lpstr>GO-AHEADS (03-06-2025)</vt:lpstr>
      <vt:lpstr>GO-AHEADS (03-13-2025)</vt:lpstr>
      <vt:lpstr>GO-AHEADS (03-20-2025)</vt:lpstr>
      <vt:lpstr>GO-AHEADS (03-27-2025)</vt:lpstr>
      <vt:lpstr>GO-AHEADS (04-03-2025)</vt:lpstr>
      <vt:lpstr>GO-AHEADS (04-10-2025)</vt:lpstr>
      <vt:lpstr>GO-AHEADS (04-17-2025)</vt:lpstr>
      <vt:lpstr>GO-AHEADS (04-24-2025)</vt:lpstr>
      <vt:lpstr>GO-AHEADS (05-01-2025)</vt:lpstr>
      <vt:lpstr>GO-AHEADS (05-08-2025)</vt:lpstr>
      <vt:lpstr>GO-AHEADS (05-15-2025)</vt:lpstr>
      <vt:lpstr>GO-AHEADS (05-22-2025)</vt:lpstr>
      <vt:lpstr>GO-AHEADS (05-29-2025)</vt:lpstr>
      <vt:lpstr>GO-AHEADS (06-05-2025)</vt:lpstr>
      <vt:lpstr>GO-AHEADS (06-12-2025)</vt:lpstr>
      <vt:lpstr>GO-AHEADS (06-19-2025)</vt:lpstr>
      <vt:lpstr>GO-AHEADS (06-26-2025)</vt:lpstr>
      <vt:lpstr>GO-AHEADS (07-02-2025)</vt:lpstr>
      <vt:lpstr>GO-AHEADS (07-10-2025)</vt:lpstr>
      <vt:lpstr>GO-AHEADS (07-17-2025)</vt:lpstr>
      <vt:lpstr>GO-AHEADS (07-24-2025)</vt:lpstr>
      <vt:lpstr>GO-AHEADS (07-31-2025)</vt:lpstr>
      <vt:lpstr>GO-AHEADS (08-07-2025)</vt:lpstr>
      <vt:lpstr>GO-AHEADS (08-14-2025)</vt:lpstr>
      <vt:lpstr>GO-AHEADS (08-21-2025)</vt:lpstr>
      <vt:lpstr>GO-AHEADS (08-28-2025)</vt:lpstr>
      <vt:lpstr>GO-AHEADS (09-04-2025)</vt:lpstr>
      <vt:lpstr>GO-AHEADS (09-11-2025)</vt:lpstr>
      <vt:lpstr>GO-AHEADS (09-18-2025)</vt:lpstr>
      <vt:lpstr>GO-AHEADS (09-25-2025)</vt:lpstr>
      <vt:lpstr>GO-AHEADS (10-02-2025)</vt:lpstr>
      <vt:lpstr>GO-AHEADS (10-16-2025)</vt:lpstr>
      <vt:lpstr>GO-AHEADS (10-23-2025)</vt:lpstr>
      <vt:lpstr>GO-AHEADS (10-30-2025)</vt:lpstr>
      <vt:lpstr>GO-AHEADS (11-13-2025)</vt:lpstr>
      <vt:lpstr>GO-AHEADS (12-04-2025)</vt:lpstr>
      <vt:lpstr>GO-AHEADS (12-11-2025)</vt:lpstr>
      <vt:lpstr>GO-AHEADS (12-18-2025)</vt:lpstr>
      <vt:lpstr>GO-AHEADS (01.08.2026)</vt:lpstr>
      <vt:lpstr>GO-AHEADS (01.15.2026)</vt:lpstr>
      <vt:lpstr>GO-AHEADS (01.22.2026)</vt:lpstr>
      <vt:lpstr>GO-AHEADS (02.05.2026)</vt:lpstr>
      <vt:lpstr>GO-AHEADS (02.12.2026)</vt:lpstr>
      <vt:lpstr>GO-AHEADS (02.19.2026)</vt:lpstr>
      <vt:lpstr>GO-AHEADS (02.26.2026)</vt:lpstr>
      <vt:lpstr>GO-AHEADS (03.05.2026)</vt:lpstr>
      <vt:lpstr>GO-AHEADS (03.12.2026)</vt:lpstr>
      <vt:lpstr>GO-AHEADS (03.19.2026)</vt:lpstr>
      <vt:lpstr>GO-AHEADS (03.26.2026)</vt:lpstr>
      <vt:lpstr>GO-AHEADS (04.02.2026)</vt:lpstr>
      <vt:lpstr>GO-AHEADS (04.16.2026)</vt:lpstr>
      <vt:lpstr>GO-AHEADS (04.22.2026)</vt:lpstr>
      <vt:lpstr>GO-AHEADS (04.29.2026)</vt:lpstr>
      <vt:lpstr>GO-AHEADS (05.06.2026)</vt:lpstr>
      <vt:lpstr>GO-AHEADS (05.13.2026)</vt:lpstr>
      <vt:lpstr>GO-AHEADS (05.20.2026)</vt:lpstr>
      <vt:lpstr>GO-AHEADS (05.27.2026)</vt:lpstr>
      <vt:lpstr>GO-AHEADS (06.03.2026)</vt:lpstr>
      <vt:lpstr>GO-AHEADS (06.10.2026)</vt:lpstr>
      <vt:lpstr>GO-AHEADS (06.24.2026)</vt:lpstr>
      <vt:lpstr>GO-AHEADS (07.1.2026)</vt:lpstr>
      <vt:lpstr>GO-AHEADS (07.8.2026)</vt:lpstr>
      <vt:lpstr>GO-AHEADS (07.15.2026)</vt:lpstr>
      <vt:lpstr>GO-AHEADS (07.22.2026)</vt:lpstr>
      <vt:lpstr>Data</vt:lpstr>
      <vt:lpstr>'GO-AHEADS (01.08.2026)'!Print_Area</vt:lpstr>
      <vt:lpstr>'GO-AHEADS (01.15.2026)'!Print_Area</vt:lpstr>
      <vt:lpstr>'GO-AHEADS (01.22.2026)'!Print_Area</vt:lpstr>
      <vt:lpstr>'GO-AHEADS (01-04-2023)'!Print_Area</vt:lpstr>
      <vt:lpstr>'GO-AHEADS (01-05-2022)'!Print_Area</vt:lpstr>
      <vt:lpstr>'GO-AHEADS (01-05-2023)'!Print_Area</vt:lpstr>
      <vt:lpstr>'GO-AHEADS (01-09-2025)'!Print_Area</vt:lpstr>
      <vt:lpstr>'GO-AHEADS (01-11-2024)'!Print_Area</vt:lpstr>
      <vt:lpstr>'GO-AHEADS (01-12-2022)'!Print_Area</vt:lpstr>
      <vt:lpstr>'GO-AHEADS (01-12-2023)'!Print_Area</vt:lpstr>
      <vt:lpstr>'GO-AHEADS (01-16-2025)'!Print_Area</vt:lpstr>
      <vt:lpstr>'GO-AHEADS (01-18-2024)'!Print_Area</vt:lpstr>
      <vt:lpstr>'GO-AHEADS (01-19-2023)'!Print_Area</vt:lpstr>
      <vt:lpstr>'GO-AHEADS (01-25-2024)'!Print_Area</vt:lpstr>
      <vt:lpstr>'GO-AHEADS (01-25-2025)'!Print_Area</vt:lpstr>
      <vt:lpstr>'GO-AHEADS (01-26-2023)'!Print_Area</vt:lpstr>
      <vt:lpstr>'GO-AHEADS (01-27-2022)'!Print_Area</vt:lpstr>
      <vt:lpstr>'GO-AHEADS (01-30-2025)'!Print_Area</vt:lpstr>
      <vt:lpstr>'GO-AHEADS (02.05.2026)'!Print_Area</vt:lpstr>
      <vt:lpstr>'GO-AHEADS (02.12.2026)'!Print_Area</vt:lpstr>
      <vt:lpstr>'GO-AHEADS (02.19.2026)'!Print_Area</vt:lpstr>
      <vt:lpstr>'GO-AHEADS (02.26.2026)'!Print_Area</vt:lpstr>
      <vt:lpstr>'GO-AHEADS (02-02-2023)'!Print_Area</vt:lpstr>
      <vt:lpstr>'GO-AHEADS (02-03-2022)'!Print_Area</vt:lpstr>
      <vt:lpstr>'GO-AHEADS (02-06-2025)'!Print_Area</vt:lpstr>
      <vt:lpstr>'GO-AHEADS (02-07-2024)'!Print_Area</vt:lpstr>
      <vt:lpstr>'GO-AHEADS (02-09-2023)'!Print_Area</vt:lpstr>
      <vt:lpstr>'GO-AHEADS (02-10-2022)'!Print_Area</vt:lpstr>
      <vt:lpstr>'GO-AHEADS (02-13-2025)'!Print_Area</vt:lpstr>
      <vt:lpstr>'GO-AHEADS (02-15-2023)'!Print_Area</vt:lpstr>
      <vt:lpstr>'GO-AHEADS (02-17-2022)'!Print_Area</vt:lpstr>
      <vt:lpstr>'GO-AHEADS (02-20-2025)'!Print_Area</vt:lpstr>
      <vt:lpstr>'GO-AHEADS (02-22-2023)'!Print_Area</vt:lpstr>
      <vt:lpstr>'GO-AHEADS (02-22-2024)'!Print_Area</vt:lpstr>
      <vt:lpstr>'GO-AHEADS (02-24-2022)'!Print_Area</vt:lpstr>
      <vt:lpstr>'GO-AHEADS (02-27-2025)'!Print_Area</vt:lpstr>
      <vt:lpstr>'GO-AHEADS (02-29-2024)'!Print_Area</vt:lpstr>
      <vt:lpstr>'GO-AHEADS (03.05.2026)'!Print_Area</vt:lpstr>
      <vt:lpstr>'GO-AHEADS (03.12.2026)'!Print_Area</vt:lpstr>
      <vt:lpstr>'GO-AHEADS (03.19.2026)'!Print_Area</vt:lpstr>
      <vt:lpstr>'GO-AHEADS (03.26.2026)'!Print_Area</vt:lpstr>
      <vt:lpstr>'GO-AHEADS (03-01-2023)'!Print_Area</vt:lpstr>
      <vt:lpstr>'GO-AHEADS (03-02-2022)'!Print_Area</vt:lpstr>
      <vt:lpstr>'GO-AHEADS (03-06-2025)'!Print_Area</vt:lpstr>
      <vt:lpstr>'GO-AHEADS (03-07-2024)'!Print_Area</vt:lpstr>
      <vt:lpstr>'GO-AHEADS (03-10-2022)'!Print_Area</vt:lpstr>
      <vt:lpstr>'GO-AHEADS (03-13-2025)'!Print_Area</vt:lpstr>
      <vt:lpstr>'GO-AHEADS (03-14-2024)'!Print_Area</vt:lpstr>
      <vt:lpstr>'GO-AHEADS (03-16-2023)'!Print_Area</vt:lpstr>
      <vt:lpstr>'GO-AHEADS (03-17-2022)'!Print_Area</vt:lpstr>
      <vt:lpstr>'GO-AHEADS (03-20-2024)'!Print_Area</vt:lpstr>
      <vt:lpstr>'GO-AHEADS (03-20-2025)'!Print_Area</vt:lpstr>
      <vt:lpstr>'GO-AHEADS (03-23-2022)'!Print_Area</vt:lpstr>
      <vt:lpstr>'GO-AHEADS (03-23-2023)'!Print_Area</vt:lpstr>
      <vt:lpstr>'GO-AHEADS (03-27-2025)'!Print_Area</vt:lpstr>
      <vt:lpstr>'GO-AHEADS (03-28-2024)'!Print_Area</vt:lpstr>
      <vt:lpstr>'GO-AHEADS (03-30-2023)'!Print_Area</vt:lpstr>
      <vt:lpstr>'GO-AHEADS (03-31-2022)'!Print_Area</vt:lpstr>
      <vt:lpstr>'GO-AHEADS (04.02.2026)'!Print_Area</vt:lpstr>
      <vt:lpstr>'GO-AHEADS (04.16.2026)'!Print_Area</vt:lpstr>
      <vt:lpstr>'GO-AHEADS (04.22.2026)'!Print_Area</vt:lpstr>
      <vt:lpstr>'GO-AHEADS (04.29.2026)'!Print_Area</vt:lpstr>
      <vt:lpstr>'GO-AHEADS (04-03-2025)'!Print_Area</vt:lpstr>
      <vt:lpstr>'GO-AHEADS (04-04-2024)'!Print_Area</vt:lpstr>
      <vt:lpstr>'GO-AHEADS (04-05-2023)'!Print_Area</vt:lpstr>
      <vt:lpstr>'GO-AHEADS (04-07-2022)'!Print_Area</vt:lpstr>
      <vt:lpstr>'GO-AHEADS (04-10-2025)'!Print_Area</vt:lpstr>
      <vt:lpstr>'GO-AHEADS (04-11-2024)'!Print_Area</vt:lpstr>
      <vt:lpstr>'GO-AHEADS (04-12-2023)'!Print_Area</vt:lpstr>
      <vt:lpstr>'GO-AHEADS (04-14-2022'!Print_Area</vt:lpstr>
      <vt:lpstr>'GO-AHEADS (04-17-2025)'!Print_Area</vt:lpstr>
      <vt:lpstr>'GO-AHEADS (04-18-2024)'!Print_Area</vt:lpstr>
      <vt:lpstr>'GO-AHEADS (04-20-2023)'!Print_Area</vt:lpstr>
      <vt:lpstr>'GO-AHEADS (04-21-2022)'!Print_Area</vt:lpstr>
      <vt:lpstr>'GO-AHEADS (04-24-2025)'!Print_Area</vt:lpstr>
      <vt:lpstr>'GO-AHEADS (04-25-2024'!Print_Area</vt:lpstr>
      <vt:lpstr>'GO-AHEADS (04-27-2023)'!Print_Area</vt:lpstr>
      <vt:lpstr>'GO-AHEADS (04-28-2022)'!Print_Area</vt:lpstr>
      <vt:lpstr>'GO-AHEADS (05.06.2026)'!Print_Area</vt:lpstr>
      <vt:lpstr>'GO-AHEADS (05.13.2026)'!Print_Area</vt:lpstr>
      <vt:lpstr>'GO-AHEADS (05.20.2026)'!Print_Area</vt:lpstr>
      <vt:lpstr>'GO-AHEADS (05.27.2026)'!Print_Area</vt:lpstr>
      <vt:lpstr>'GO-AHEADS (05-01-2025)'!Print_Area</vt:lpstr>
      <vt:lpstr>'GO-AHEADS (05-02-2024)'!Print_Area</vt:lpstr>
      <vt:lpstr>'GO-AHEADS (05-04-2023)'!Print_Area</vt:lpstr>
      <vt:lpstr>'GO-AHEADS (05-05-2022)'!Print_Area</vt:lpstr>
      <vt:lpstr>'GO-AHEADS (05-08-2025)'!Print_Area</vt:lpstr>
      <vt:lpstr>'GO-AHEADS (05-09-2024)'!Print_Area</vt:lpstr>
      <vt:lpstr>'GO-AHEADS (05-12-2022)'!Print_Area</vt:lpstr>
      <vt:lpstr>'GO-AHEADS (05-15-2025)'!Print_Area</vt:lpstr>
      <vt:lpstr>'GO-AHEADS (05-16-2024)'!Print_Area</vt:lpstr>
      <vt:lpstr>'GO-AHEADS (05-22-2025)'!Print_Area</vt:lpstr>
      <vt:lpstr>'GO-AHEADS (05-25-2023)'!Print_Area</vt:lpstr>
      <vt:lpstr>'GO-AHEADS (05-29-2025)'!Print_Area</vt:lpstr>
      <vt:lpstr>'GO-AHEADS (06-'!Print_Area</vt:lpstr>
      <vt:lpstr>'GO-AHEADS (06.03.2026)'!Print_Area</vt:lpstr>
      <vt:lpstr>'GO-AHEADS (06.10.2026)'!Print_Area</vt:lpstr>
      <vt:lpstr>'GO-AHEADS (06.24.2026)'!Print_Area</vt:lpstr>
      <vt:lpstr>'GO-AHEADS (06-01-2023)'!Print_Area</vt:lpstr>
      <vt:lpstr>'GO-AHEADS (06-02-2022)'!Print_Area</vt:lpstr>
      <vt:lpstr>'GO-AHEADS (06-05-2025)'!Print_Area</vt:lpstr>
      <vt:lpstr>'GO-AHEADS (06-06-2024)'!Print_Area</vt:lpstr>
      <vt:lpstr>'GO-AHEADS (06-08-2022)'!Print_Area</vt:lpstr>
      <vt:lpstr>'GO-AHEADS (06-08-2023)'!Print_Area</vt:lpstr>
      <vt:lpstr>'GO-AHEADS (06-12-2025)'!Print_Area</vt:lpstr>
      <vt:lpstr>'GO-AHEADS (06-13-2024)'!Print_Area</vt:lpstr>
      <vt:lpstr>'GO-AHEADS (06-16-2022)'!Print_Area</vt:lpstr>
      <vt:lpstr>'GO-AHEADS (06-19-2025)'!Print_Area</vt:lpstr>
      <vt:lpstr>'GO-AHEADS (06-20-2024)'!Print_Area</vt:lpstr>
      <vt:lpstr>'GO-AHEADS (06-22-2023)'!Print_Area</vt:lpstr>
      <vt:lpstr>'GO-AHEADS (06-23-2022)'!Print_Area</vt:lpstr>
      <vt:lpstr>'GO-AHEADS (06-26-2025)'!Print_Area</vt:lpstr>
      <vt:lpstr>'GO-AHEADS (06-27-2024)'!Print_Area</vt:lpstr>
      <vt:lpstr>'GO-AHEADS (06-29-2023)'!Print_Area</vt:lpstr>
      <vt:lpstr>'GO-AHEADS (06-30-2022)'!Print_Area</vt:lpstr>
      <vt:lpstr>'GO-AHEADS (07.1.2026)'!Print_Area</vt:lpstr>
      <vt:lpstr>'GO-AHEADS (07.15.2026)'!Print_Area</vt:lpstr>
      <vt:lpstr>'GO-AHEADS (07.22.2026)'!Print_Area</vt:lpstr>
      <vt:lpstr>'GO-AHEADS (07.8.2026)'!Print_Area</vt:lpstr>
      <vt:lpstr>'GO-AHEADS (07-02-2025)'!Print_Area</vt:lpstr>
      <vt:lpstr>'GO-AHEADS (07-03-2024)'!Print_Area</vt:lpstr>
      <vt:lpstr>'GO-AHEADS (07-06-2023)'!Print_Area</vt:lpstr>
      <vt:lpstr>'GO-AHEADS (07-07-2022)'!Print_Area</vt:lpstr>
      <vt:lpstr>'GO-AHEADS (07-10-2025)'!Print_Area</vt:lpstr>
      <vt:lpstr>'GO-AHEADS (07-11-2024)'!Print_Area</vt:lpstr>
      <vt:lpstr>'GO-AHEADS (07-13-2023)'!Print_Area</vt:lpstr>
      <vt:lpstr>'GO-AHEADS (07-14-2022)'!Print_Area</vt:lpstr>
      <vt:lpstr>'GO-AHEADS (07-17-2025)'!Print_Area</vt:lpstr>
      <vt:lpstr>'GO-AHEADS (07-18-2024)'!Print_Area</vt:lpstr>
      <vt:lpstr>'GO-AHEADS (07-20-2023)'!Print_Area</vt:lpstr>
      <vt:lpstr>'GO-AHEADS (07-21-2022)'!Print_Area</vt:lpstr>
      <vt:lpstr>'GO-AHEADS (07-24-2025)'!Print_Area</vt:lpstr>
      <vt:lpstr>'GO-AHEADS (07-25-2024)'!Print_Area</vt:lpstr>
      <vt:lpstr>'GO-AHEADS (07-26-2023)'!Print_Area</vt:lpstr>
      <vt:lpstr>'GO-AHEADS (07-28-2022)'!Print_Area</vt:lpstr>
      <vt:lpstr>'GO-AHEADS (07-31-2025)'!Print_Area</vt:lpstr>
      <vt:lpstr>'GO-AHEADS (08-01-2024)'!Print_Area</vt:lpstr>
      <vt:lpstr>'GO-AHEADS (08-03-2023)'!Print_Area</vt:lpstr>
      <vt:lpstr>'GO-AHEADS (08-04-2021)'!Print_Area</vt:lpstr>
      <vt:lpstr>'GO-AHEADS (08-04-2022)'!Print_Area</vt:lpstr>
      <vt:lpstr>'GO-AHEADS (08-07-2025)'!Print_Area</vt:lpstr>
      <vt:lpstr>'GO-AHEADS (08-08-2024)'!Print_Area</vt:lpstr>
      <vt:lpstr>'GO-AHEADS (08-10-2023)'!Print_Area</vt:lpstr>
      <vt:lpstr>'GO-AHEADS (08-11-2022)'!Print_Area</vt:lpstr>
      <vt:lpstr>'GO-AHEADS (08-12-2021)'!Print_Area</vt:lpstr>
      <vt:lpstr>'GO-AHEADS (08-14-2025)'!Print_Area</vt:lpstr>
      <vt:lpstr>'GO-AHEADS (08-15-2024)'!Print_Area</vt:lpstr>
      <vt:lpstr>'GO-AHEADS (08-17-2023)'!Print_Area</vt:lpstr>
      <vt:lpstr>'GO-AHEADS (08-18-2022)'!Print_Area</vt:lpstr>
      <vt:lpstr>'GO-AHEADS (08-21-2025)'!Print_Area</vt:lpstr>
      <vt:lpstr>'GO-AHEADS (08-22-2024)'!Print_Area</vt:lpstr>
      <vt:lpstr>'GO-AHEADS (08-24-2023)'!Print_Area</vt:lpstr>
      <vt:lpstr>'GO-AHEADS (08-25-2022)'!Print_Area</vt:lpstr>
      <vt:lpstr>'GO-AHEADS (08-28-2025)'!Print_Area</vt:lpstr>
      <vt:lpstr>'GO-AHEADS (08-29-2024)'!Print_Area</vt:lpstr>
      <vt:lpstr>'GO-AHEADS (08-31-2023)'!Print_Area</vt:lpstr>
      <vt:lpstr>'GO-AHEADS (09-01-2021)'!Print_Area</vt:lpstr>
      <vt:lpstr>'GO-AHEADS (09-01-2022)'!Print_Area</vt:lpstr>
      <vt:lpstr>'GO-AHEADS (09-04-2025)'!Print_Area</vt:lpstr>
      <vt:lpstr>'GO-AHEADS (09-05-2024)'!Print_Area</vt:lpstr>
      <vt:lpstr>'GO-AHEADS (09-08-2022)'!Print_Area</vt:lpstr>
      <vt:lpstr>'GO-AHEADS (09-09-2021)'!Print_Area</vt:lpstr>
      <vt:lpstr>'GO-AHEADS (09-11-2025)'!Print_Area</vt:lpstr>
      <vt:lpstr>'GO-AHEADS (09-12-2024)'!Print_Area</vt:lpstr>
      <vt:lpstr>'GO-AHEADS (09-14-2023)'!Print_Area</vt:lpstr>
      <vt:lpstr>'GO-AHEADS (09-15-2021)'!Print_Area</vt:lpstr>
      <vt:lpstr>'GO-AHEADS (09-15-2022)'!Print_Area</vt:lpstr>
      <vt:lpstr>'GO-AHEADS (09-18-2025)'!Print_Area</vt:lpstr>
      <vt:lpstr>'GO-AHEADS (09-19-2024)'!Print_Area</vt:lpstr>
      <vt:lpstr>'GO-AHEADS (09-21-2023)'!Print_Area</vt:lpstr>
      <vt:lpstr>'GO-AHEADS (09-22-2021)'!Print_Area</vt:lpstr>
      <vt:lpstr>'GO-AHEADS (09-22-2022)'!Print_Area</vt:lpstr>
      <vt:lpstr>'GO-AHEADS (09-25-2025)'!Print_Area</vt:lpstr>
      <vt:lpstr>'GO-AHEADS (09-26-2024)'!Print_Area</vt:lpstr>
      <vt:lpstr>'GO-AHEADS (09-28-2023)'!Print_Area</vt:lpstr>
      <vt:lpstr>'GO-AHEADS (09-29-2021)'!Print_Area</vt:lpstr>
      <vt:lpstr>'GO-AHEADS (09-29-2022)'!Print_Area</vt:lpstr>
      <vt:lpstr>'GO-AHEADS (10-02-2025)'!Print_Area</vt:lpstr>
      <vt:lpstr>'GO-AHEADS (10-03-2024)'!Print_Area</vt:lpstr>
      <vt:lpstr>'GO-AHEADS (10-05-2023)'!Print_Area</vt:lpstr>
      <vt:lpstr>'GO-AHEADS (10-06-2022)'!Print_Area</vt:lpstr>
      <vt:lpstr>'GO-AHEADS (10-07-2021)'!Print_Area</vt:lpstr>
      <vt:lpstr>'GO-AHEADS (10-13-2022)'!Print_Area</vt:lpstr>
      <vt:lpstr>'GO-AHEADS (10-14-2021)'!Print_Area</vt:lpstr>
      <vt:lpstr>'GO-AHEADS (10-16-2025)'!Print_Area</vt:lpstr>
      <vt:lpstr>'GO-AHEADS (10-17-2024)'!Print_Area</vt:lpstr>
      <vt:lpstr>'GO-AHEADS (10-19-2023)'!Print_Area</vt:lpstr>
      <vt:lpstr>'GO-AHEADS (10-20-2021)'!Print_Area</vt:lpstr>
      <vt:lpstr>'GO-AHEADS (10-20-2022)'!Print_Area</vt:lpstr>
      <vt:lpstr>'GO-AHEADS (10-23-2025)'!Print_Area</vt:lpstr>
      <vt:lpstr>'GO-AHEADS (10-24-2024'!Print_Area</vt:lpstr>
      <vt:lpstr>'GO-AHEADS (10-26-2022)'!Print_Area</vt:lpstr>
      <vt:lpstr>'GO-AHEADS (10-26-2023)'!Print_Area</vt:lpstr>
      <vt:lpstr>'GO-AHEADS (10-28-2021)'!Print_Area</vt:lpstr>
      <vt:lpstr>'GO-AHEADS (10-30-2025)'!Print_Area</vt:lpstr>
      <vt:lpstr>'GO-AHEADS (10-31-2024'!Print_Area</vt:lpstr>
      <vt:lpstr>'GO-AHEADS (11.17.21)'!Print_Area</vt:lpstr>
      <vt:lpstr>'GO-AHEADS (11-02-2023)'!Print_Area</vt:lpstr>
      <vt:lpstr>'GO-AHEADS (11-03-2021)'!Print_Area</vt:lpstr>
      <vt:lpstr>'GO-AHEADS (11-03-2022)'!Print_Area</vt:lpstr>
      <vt:lpstr>'GO-AHEADS (11-07-2024'!Print_Area</vt:lpstr>
      <vt:lpstr>'GO-AHEADS (11-09-2023)'!Print_Area</vt:lpstr>
      <vt:lpstr>'GO-AHEADS (11-10-2021)'!Print_Area</vt:lpstr>
      <vt:lpstr>'GO-AHEADS (11-10-2022)'!Print_Area</vt:lpstr>
      <vt:lpstr>'GO-AHEADS (11-13-2025)'!Print_Area</vt:lpstr>
      <vt:lpstr>'GO-AHEADS (11-14-2024)'!Print_Area</vt:lpstr>
      <vt:lpstr>'GO-AHEADS (11-15-2023)'!Print_Area</vt:lpstr>
      <vt:lpstr>'GO-AHEADS (11-17-2022)'!Print_Area</vt:lpstr>
      <vt:lpstr>'GO-AHEADS (11-21-2024)'!Print_Area</vt:lpstr>
      <vt:lpstr>'GO-AHEADS (12.02.21)'!Print_Area</vt:lpstr>
      <vt:lpstr>'GO-AHEADS (12.08.21)'!Print_Area</vt:lpstr>
      <vt:lpstr>'GO-AHEADS (12.15.21)'!Print_Area</vt:lpstr>
      <vt:lpstr>'GO-AHEADS (12-01-2022)'!Print_Area</vt:lpstr>
      <vt:lpstr>'GO-AHEADS (12-04-2025)'!Print_Area</vt:lpstr>
      <vt:lpstr>'GO-AHEADS (12-05-2024)'!Print_Area</vt:lpstr>
      <vt:lpstr>'GO-AHEADS (12-07-2023)'!Print_Area</vt:lpstr>
      <vt:lpstr>'GO-AHEADS (12-11-2025)'!Print_Area</vt:lpstr>
      <vt:lpstr>'GO-AHEADS (1-21-2021)'!Print_Area</vt:lpstr>
      <vt:lpstr>'GO-AHEADS (12-12-2024)'!Print_Area</vt:lpstr>
      <vt:lpstr>'GO-AHEADS (12-14-2022)'!Print_Area</vt:lpstr>
      <vt:lpstr>'GO-AHEADS (12-18-2025)'!Print_Area</vt:lpstr>
      <vt:lpstr>'GO-AHEADS (12-21-2023)'!Print_Area</vt:lpstr>
      <vt:lpstr>'GO-AHEADS (12-22-2022)'!Print_Area</vt:lpstr>
      <vt:lpstr>'GO-AHEADS (12-29-2022)'!Print_Area</vt:lpstr>
      <vt:lpstr>'GO-AHEADS (3-10-2021)'!Print_Area</vt:lpstr>
      <vt:lpstr>'GO-AHEADS (3-17-2021)'!Print_Area</vt:lpstr>
      <vt:lpstr>'GO-AHEADS (3-24-2021)'!Print_Area</vt:lpstr>
      <vt:lpstr>'GO-AHEADS (3-3-2021)'!Print_Area</vt:lpstr>
      <vt:lpstr>'GO-AHEADS (4-1-2021)'!Print_Area</vt:lpstr>
      <vt:lpstr>'GO-AHEADS (4-14-2021)'!Print_Area</vt:lpstr>
      <vt:lpstr>'GO-AHEADS (4-21-2021)'!Print_Area</vt:lpstr>
      <vt:lpstr>'GO-AHEADS (4-28-2021)'!Print_Area</vt:lpstr>
      <vt:lpstr>'GO-AHEADS (4-7-2021)'!Print_Area</vt:lpstr>
      <vt:lpstr>'GO-AHEADS (5-12-2021)'!Print_Area</vt:lpstr>
      <vt:lpstr>'GO-AHEADS (5-19-2021)'!Print_Area</vt:lpstr>
      <vt:lpstr>'GO-AHEADS (5-26-2021)'!Print_Area</vt:lpstr>
      <vt:lpstr>'GO-AHEADS (5-5-2021)'!Print_Area</vt:lpstr>
      <vt:lpstr>'GO-AHEADS (6-09-2021)'!Print_Area</vt:lpstr>
      <vt:lpstr>'GO-AHEADS (6-16-2021)'!Print_Area</vt:lpstr>
      <vt:lpstr>'GO-AHEADS (6-2-2021)'!Print_Area</vt:lpstr>
      <vt:lpstr>'GO-AHEADS (7-08-2021)'!Print_Area</vt:lpstr>
      <vt:lpstr>'GO-AHEADS (7-14-2021)'!Print_Area</vt:lpstr>
      <vt:lpstr>'GO-AHEADS (7-21-2021)'!Print_Area</vt:lpstr>
      <vt:lpstr>'GO-AHEADS 03-09-2023)'!Print_Area</vt:lpstr>
      <vt:lpstr>'GO-AHEADS (01.08.2026)'!Print_Titles</vt:lpstr>
      <vt:lpstr>'GO-AHEADS (01.15.2026)'!Print_Titles</vt:lpstr>
      <vt:lpstr>'GO-AHEADS (01.22.2026)'!Print_Titles</vt:lpstr>
      <vt:lpstr>'GO-AHEADS (01-04-2023)'!Print_Titles</vt:lpstr>
      <vt:lpstr>'GO-AHEADS (01-05-2023)'!Print_Titles</vt:lpstr>
      <vt:lpstr>'GO-AHEADS (01-09-2025)'!Print_Titles</vt:lpstr>
      <vt:lpstr>'GO-AHEADS (01-11-2024)'!Print_Titles</vt:lpstr>
      <vt:lpstr>'GO-AHEADS (01-12-2023)'!Print_Titles</vt:lpstr>
      <vt:lpstr>'GO-AHEADS (01-16-2025)'!Print_Titles</vt:lpstr>
      <vt:lpstr>'GO-AHEADS (01-18-2024)'!Print_Titles</vt:lpstr>
      <vt:lpstr>'GO-AHEADS (01-19-2023)'!Print_Titles</vt:lpstr>
      <vt:lpstr>'GO-AHEADS (01-25-2024)'!Print_Titles</vt:lpstr>
      <vt:lpstr>'GO-AHEADS (01-25-2025)'!Print_Titles</vt:lpstr>
      <vt:lpstr>'GO-AHEADS (01-26-2023)'!Print_Titles</vt:lpstr>
      <vt:lpstr>'GO-AHEADS (01-30-2025)'!Print_Titles</vt:lpstr>
      <vt:lpstr>'GO-AHEADS (02.05.2026)'!Print_Titles</vt:lpstr>
      <vt:lpstr>'GO-AHEADS (02.12.2026)'!Print_Titles</vt:lpstr>
      <vt:lpstr>'GO-AHEADS (02.19.2026)'!Print_Titles</vt:lpstr>
      <vt:lpstr>'GO-AHEADS (02.26.2026)'!Print_Titles</vt:lpstr>
      <vt:lpstr>'GO-AHEADS (02-02-2023)'!Print_Titles</vt:lpstr>
      <vt:lpstr>'GO-AHEADS (02-06-2025)'!Print_Titles</vt:lpstr>
      <vt:lpstr>'GO-AHEADS (02-07-2024)'!Print_Titles</vt:lpstr>
      <vt:lpstr>'GO-AHEADS (02-09-2023)'!Print_Titles</vt:lpstr>
      <vt:lpstr>'GO-AHEADS (02-13-2025)'!Print_Titles</vt:lpstr>
      <vt:lpstr>'GO-AHEADS (02-15-2023)'!Print_Titles</vt:lpstr>
      <vt:lpstr>'GO-AHEADS (02-20-2025)'!Print_Titles</vt:lpstr>
      <vt:lpstr>'GO-AHEADS (02-22-2023)'!Print_Titles</vt:lpstr>
      <vt:lpstr>'GO-AHEADS (02-22-2024)'!Print_Titles</vt:lpstr>
      <vt:lpstr>'GO-AHEADS (02-27-2025)'!Print_Titles</vt:lpstr>
      <vt:lpstr>'GO-AHEADS (02-29-2024)'!Print_Titles</vt:lpstr>
      <vt:lpstr>'GO-AHEADS (03.05.2026)'!Print_Titles</vt:lpstr>
      <vt:lpstr>'GO-AHEADS (03.12.2026)'!Print_Titles</vt:lpstr>
      <vt:lpstr>'GO-AHEADS (03.19.2026)'!Print_Titles</vt:lpstr>
      <vt:lpstr>'GO-AHEADS (03.26.2026)'!Print_Titles</vt:lpstr>
      <vt:lpstr>'GO-AHEADS (03-01-2023)'!Print_Titles</vt:lpstr>
      <vt:lpstr>'GO-AHEADS (03-06-2025)'!Print_Titles</vt:lpstr>
      <vt:lpstr>'GO-AHEADS (03-07-2024)'!Print_Titles</vt:lpstr>
      <vt:lpstr>'GO-AHEADS (03-13-2025)'!Print_Titles</vt:lpstr>
      <vt:lpstr>'GO-AHEADS (03-14-2024)'!Print_Titles</vt:lpstr>
      <vt:lpstr>'GO-AHEADS (03-16-2023)'!Print_Titles</vt:lpstr>
      <vt:lpstr>'GO-AHEADS (03-20-2024)'!Print_Titles</vt:lpstr>
      <vt:lpstr>'GO-AHEADS (03-20-2025)'!Print_Titles</vt:lpstr>
      <vt:lpstr>'GO-AHEADS (03-23-2023)'!Print_Titles</vt:lpstr>
      <vt:lpstr>'GO-AHEADS (03-27-2025)'!Print_Titles</vt:lpstr>
      <vt:lpstr>'GO-AHEADS (03-28-2024)'!Print_Titles</vt:lpstr>
      <vt:lpstr>'GO-AHEADS (03-30-2023)'!Print_Titles</vt:lpstr>
      <vt:lpstr>'GO-AHEADS (04.02.2026)'!Print_Titles</vt:lpstr>
      <vt:lpstr>'GO-AHEADS (04.16.2026)'!Print_Titles</vt:lpstr>
      <vt:lpstr>'GO-AHEADS (04.22.2026)'!Print_Titles</vt:lpstr>
      <vt:lpstr>'GO-AHEADS (04.29.2026)'!Print_Titles</vt:lpstr>
      <vt:lpstr>'GO-AHEADS (04-03-2025)'!Print_Titles</vt:lpstr>
      <vt:lpstr>'GO-AHEADS (04-04-2024)'!Print_Titles</vt:lpstr>
      <vt:lpstr>'GO-AHEADS (04-05-2023)'!Print_Titles</vt:lpstr>
      <vt:lpstr>'GO-AHEADS (04-10-2025)'!Print_Titles</vt:lpstr>
      <vt:lpstr>'GO-AHEADS (04-11-2024)'!Print_Titles</vt:lpstr>
      <vt:lpstr>'GO-AHEADS (04-12-2023)'!Print_Titles</vt:lpstr>
      <vt:lpstr>'GO-AHEADS (04-17-2025)'!Print_Titles</vt:lpstr>
      <vt:lpstr>'GO-AHEADS (04-18-2024)'!Print_Titles</vt:lpstr>
      <vt:lpstr>'GO-AHEADS (04-20-2023)'!Print_Titles</vt:lpstr>
      <vt:lpstr>'GO-AHEADS (04-24-2025)'!Print_Titles</vt:lpstr>
      <vt:lpstr>'GO-AHEADS (04-25-2024'!Print_Titles</vt:lpstr>
      <vt:lpstr>'GO-AHEADS (04-27-2023)'!Print_Titles</vt:lpstr>
      <vt:lpstr>'GO-AHEADS (05.06.2026)'!Print_Titles</vt:lpstr>
      <vt:lpstr>'GO-AHEADS (05.13.2026)'!Print_Titles</vt:lpstr>
      <vt:lpstr>'GO-AHEADS (05.20.2026)'!Print_Titles</vt:lpstr>
      <vt:lpstr>'GO-AHEADS (05.27.2026)'!Print_Titles</vt:lpstr>
      <vt:lpstr>'GO-AHEADS (05-01-2025)'!Print_Titles</vt:lpstr>
      <vt:lpstr>'GO-AHEADS (05-02-2024)'!Print_Titles</vt:lpstr>
      <vt:lpstr>'GO-AHEADS (05-04-2023)'!Print_Titles</vt:lpstr>
      <vt:lpstr>'GO-AHEADS (05-08-2025)'!Print_Titles</vt:lpstr>
      <vt:lpstr>'GO-AHEADS (05-09-2024)'!Print_Titles</vt:lpstr>
      <vt:lpstr>'GO-AHEADS (05-15-2025)'!Print_Titles</vt:lpstr>
      <vt:lpstr>'GO-AHEADS (05-16-2024)'!Print_Titles</vt:lpstr>
      <vt:lpstr>'GO-AHEADS (05-22-2025)'!Print_Titles</vt:lpstr>
      <vt:lpstr>'GO-AHEADS (05-25-2023)'!Print_Titles</vt:lpstr>
      <vt:lpstr>'GO-AHEADS (05-29-2025)'!Print_Titles</vt:lpstr>
      <vt:lpstr>'GO-AHEADS (06-'!Print_Titles</vt:lpstr>
      <vt:lpstr>'GO-AHEADS (06.03.2026)'!Print_Titles</vt:lpstr>
      <vt:lpstr>'GO-AHEADS (06.10.2026)'!Print_Titles</vt:lpstr>
      <vt:lpstr>'GO-AHEADS (06.24.2026)'!Print_Titles</vt:lpstr>
      <vt:lpstr>'GO-AHEADS (06-01-2023)'!Print_Titles</vt:lpstr>
      <vt:lpstr>'GO-AHEADS (06-05-2025)'!Print_Titles</vt:lpstr>
      <vt:lpstr>'GO-AHEADS (06-06-2024)'!Print_Titles</vt:lpstr>
      <vt:lpstr>'GO-AHEADS (06-08-2023)'!Print_Titles</vt:lpstr>
      <vt:lpstr>'GO-AHEADS (06-12-2025)'!Print_Titles</vt:lpstr>
      <vt:lpstr>'GO-AHEADS (06-13-2024)'!Print_Titles</vt:lpstr>
      <vt:lpstr>'GO-AHEADS (06-19-2025)'!Print_Titles</vt:lpstr>
      <vt:lpstr>'GO-AHEADS (06-20-2024)'!Print_Titles</vt:lpstr>
      <vt:lpstr>'GO-AHEADS (06-22-2023)'!Print_Titles</vt:lpstr>
      <vt:lpstr>'GO-AHEADS (06-26-2025)'!Print_Titles</vt:lpstr>
      <vt:lpstr>'GO-AHEADS (06-27-2024)'!Print_Titles</vt:lpstr>
      <vt:lpstr>'GO-AHEADS (06-29-2023)'!Print_Titles</vt:lpstr>
      <vt:lpstr>'GO-AHEADS (07.1.2026)'!Print_Titles</vt:lpstr>
      <vt:lpstr>'GO-AHEADS (07.15.2026)'!Print_Titles</vt:lpstr>
      <vt:lpstr>'GO-AHEADS (07.22.2026)'!Print_Titles</vt:lpstr>
      <vt:lpstr>'GO-AHEADS (07.8.2026)'!Print_Titles</vt:lpstr>
      <vt:lpstr>'GO-AHEADS (07-02-2025)'!Print_Titles</vt:lpstr>
      <vt:lpstr>'GO-AHEADS (07-03-2024)'!Print_Titles</vt:lpstr>
      <vt:lpstr>'GO-AHEADS (07-06-2023)'!Print_Titles</vt:lpstr>
      <vt:lpstr>'GO-AHEADS (07-10-2025)'!Print_Titles</vt:lpstr>
      <vt:lpstr>'GO-AHEADS (07-11-2024)'!Print_Titles</vt:lpstr>
      <vt:lpstr>'GO-AHEADS (07-13-2023)'!Print_Titles</vt:lpstr>
      <vt:lpstr>'GO-AHEADS (07-17-2025)'!Print_Titles</vt:lpstr>
      <vt:lpstr>'GO-AHEADS (07-18-2024)'!Print_Titles</vt:lpstr>
      <vt:lpstr>'GO-AHEADS (07-20-2023)'!Print_Titles</vt:lpstr>
      <vt:lpstr>'GO-AHEADS (07-24-2025)'!Print_Titles</vt:lpstr>
      <vt:lpstr>'GO-AHEADS (07-25-2024)'!Print_Titles</vt:lpstr>
      <vt:lpstr>'GO-AHEADS (07-26-2023)'!Print_Titles</vt:lpstr>
      <vt:lpstr>'GO-AHEADS (07-31-2025)'!Print_Titles</vt:lpstr>
      <vt:lpstr>'GO-AHEADS (08-01-2024)'!Print_Titles</vt:lpstr>
      <vt:lpstr>'GO-AHEADS (08-03-2023)'!Print_Titles</vt:lpstr>
      <vt:lpstr>'GO-AHEADS (08-07-2025)'!Print_Titles</vt:lpstr>
      <vt:lpstr>'GO-AHEADS (08-08-2024)'!Print_Titles</vt:lpstr>
      <vt:lpstr>'GO-AHEADS (08-10-2023)'!Print_Titles</vt:lpstr>
      <vt:lpstr>'GO-AHEADS (08-14-2025)'!Print_Titles</vt:lpstr>
      <vt:lpstr>'GO-AHEADS (08-15-2024)'!Print_Titles</vt:lpstr>
      <vt:lpstr>'GO-AHEADS (08-17-2023)'!Print_Titles</vt:lpstr>
      <vt:lpstr>'GO-AHEADS (08-21-2025)'!Print_Titles</vt:lpstr>
      <vt:lpstr>'GO-AHEADS (08-22-2024)'!Print_Titles</vt:lpstr>
      <vt:lpstr>'GO-AHEADS (08-24-2023)'!Print_Titles</vt:lpstr>
      <vt:lpstr>'GO-AHEADS (08-28-2025)'!Print_Titles</vt:lpstr>
      <vt:lpstr>'GO-AHEADS (08-29-2024)'!Print_Titles</vt:lpstr>
      <vt:lpstr>'GO-AHEADS (08-31-2023)'!Print_Titles</vt:lpstr>
      <vt:lpstr>'GO-AHEADS (09-04-2025)'!Print_Titles</vt:lpstr>
      <vt:lpstr>'GO-AHEADS (09-05-2024)'!Print_Titles</vt:lpstr>
      <vt:lpstr>'GO-AHEADS (09-11-2025)'!Print_Titles</vt:lpstr>
      <vt:lpstr>'GO-AHEADS (09-12-2024)'!Print_Titles</vt:lpstr>
      <vt:lpstr>'GO-AHEADS (09-14-2023)'!Print_Titles</vt:lpstr>
      <vt:lpstr>'GO-AHEADS (09-18-2025)'!Print_Titles</vt:lpstr>
      <vt:lpstr>'GO-AHEADS (09-19-2024)'!Print_Titles</vt:lpstr>
      <vt:lpstr>'GO-AHEADS (09-21-2023)'!Print_Titles</vt:lpstr>
      <vt:lpstr>'GO-AHEADS (09-25-2025)'!Print_Titles</vt:lpstr>
      <vt:lpstr>'GO-AHEADS (09-26-2024)'!Print_Titles</vt:lpstr>
      <vt:lpstr>'GO-AHEADS (09-28-2023)'!Print_Titles</vt:lpstr>
      <vt:lpstr>'GO-AHEADS (10-02-2025)'!Print_Titles</vt:lpstr>
      <vt:lpstr>'GO-AHEADS (10-03-2024)'!Print_Titles</vt:lpstr>
      <vt:lpstr>'GO-AHEADS (10-05-2023)'!Print_Titles</vt:lpstr>
      <vt:lpstr>'GO-AHEADS (10-16-2025)'!Print_Titles</vt:lpstr>
      <vt:lpstr>'GO-AHEADS (10-17-2024)'!Print_Titles</vt:lpstr>
      <vt:lpstr>'GO-AHEADS (10-19-2023)'!Print_Titles</vt:lpstr>
      <vt:lpstr>'GO-AHEADS (10-23-2025)'!Print_Titles</vt:lpstr>
      <vt:lpstr>'GO-AHEADS (10-24-2024'!Print_Titles</vt:lpstr>
      <vt:lpstr>'GO-AHEADS (10-26-2023)'!Print_Titles</vt:lpstr>
      <vt:lpstr>'GO-AHEADS (10-30-2025)'!Print_Titles</vt:lpstr>
      <vt:lpstr>'GO-AHEADS (10-31-2024'!Print_Titles</vt:lpstr>
      <vt:lpstr>'GO-AHEADS (11-02-2023)'!Print_Titles</vt:lpstr>
      <vt:lpstr>'GO-AHEADS (11-03-2022)'!Print_Titles</vt:lpstr>
      <vt:lpstr>'GO-AHEADS (11-07-2024'!Print_Titles</vt:lpstr>
      <vt:lpstr>'GO-AHEADS (11-09-2023)'!Print_Titles</vt:lpstr>
      <vt:lpstr>'GO-AHEADS (11-10-2022)'!Print_Titles</vt:lpstr>
      <vt:lpstr>'GO-AHEADS (11-13-2025)'!Print_Titles</vt:lpstr>
      <vt:lpstr>'GO-AHEADS (11-14-2024)'!Print_Titles</vt:lpstr>
      <vt:lpstr>'GO-AHEADS (11-15-2023)'!Print_Titles</vt:lpstr>
      <vt:lpstr>'GO-AHEADS (11-17-2022)'!Print_Titles</vt:lpstr>
      <vt:lpstr>'GO-AHEADS (11-21-2024)'!Print_Titles</vt:lpstr>
      <vt:lpstr>'GO-AHEADS (12-01-2022)'!Print_Titles</vt:lpstr>
      <vt:lpstr>'GO-AHEADS (12-04-2025)'!Print_Titles</vt:lpstr>
      <vt:lpstr>'GO-AHEADS (12-05-2024)'!Print_Titles</vt:lpstr>
      <vt:lpstr>'GO-AHEADS (12-07-2023)'!Print_Titles</vt:lpstr>
      <vt:lpstr>'GO-AHEADS (12-11-2025)'!Print_Titles</vt:lpstr>
      <vt:lpstr>'GO-AHEADS (12-12-2024)'!Print_Titles</vt:lpstr>
      <vt:lpstr>'GO-AHEADS (12-14-2022)'!Print_Titles</vt:lpstr>
      <vt:lpstr>'GO-AHEADS (12-18-2025)'!Print_Titles</vt:lpstr>
      <vt:lpstr>'GO-AHEADS (12-21-2023)'!Print_Titles</vt:lpstr>
      <vt:lpstr>'GO-AHEADS (12-22-2022)'!Print_Titles</vt:lpstr>
      <vt:lpstr>'GO-AHEADS (12-29-2022)'!Print_Titles</vt:lpstr>
      <vt:lpstr>'GO-AHEADS 03-09-2023)'!Print_Titles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BBeller</dc:creator>
  <cp:lastModifiedBy>Nathaniel Perkins</cp:lastModifiedBy>
  <cp:lastPrinted>2026-07-29T23:04:39Z</cp:lastPrinted>
  <dcterms:created xsi:type="dcterms:W3CDTF">2019-06-19T17:13:07Z</dcterms:created>
  <dcterms:modified xsi:type="dcterms:W3CDTF">2026-07-29T23:04:46Z</dcterms:modified>
</cp:coreProperties>
</file>