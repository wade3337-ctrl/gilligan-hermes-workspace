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stsinc-my.sharepoint.com/personal/nperkins_gstsinc_com/Documents/Desktop/Thursday meeting folder/"/>
    </mc:Choice>
  </mc:AlternateContent>
  <xr:revisionPtr revIDLastSave="466" documentId="8_{0BA9AC0F-ABB6-4C5F-B08C-5A24CC5598D7}" xr6:coauthVersionLast="47" xr6:coauthVersionMax="47" xr10:uidLastSave="{FAB8CA84-25FE-4569-918D-42FFBA964DB6}"/>
  <bookViews>
    <workbookView xWindow="43080" yWindow="-120" windowWidth="29040" windowHeight="15720" activeTab="7" xr2:uid="{BC67FE51-0FC5-4C59-85AA-35874D3DC9FC}"/>
  </bookViews>
  <sheets>
    <sheet name="2019" sheetId="1" r:id="rId1"/>
    <sheet name="2020" sheetId="3" r:id="rId2"/>
    <sheet name="2021" sheetId="4" r:id="rId3"/>
    <sheet name="2022" sheetId="6" r:id="rId4"/>
    <sheet name="2023" sheetId="7" r:id="rId5"/>
    <sheet name="2024" sheetId="8" r:id="rId6"/>
    <sheet name="2025" sheetId="10" r:id="rId7"/>
    <sheet name="2026" sheetId="11" r:id="rId8"/>
    <sheet name="Manual Calcs" sheetId="5" r:id="rId9"/>
  </sheets>
  <definedNames>
    <definedName name="_xlnm.Print_Area" localSheetId="1">'2020'!$A$1:$U$66</definedName>
    <definedName name="_xlnm.Print_Area" localSheetId="2">'2021'!$A$1:$W$79</definedName>
    <definedName name="_xlnm.Print_Area" localSheetId="3">'2022'!$A$1:$W$79</definedName>
    <definedName name="_xlnm.Print_Area" localSheetId="4">'2023'!$A$1:$W$79</definedName>
    <definedName name="_xlnm.Print_Area" localSheetId="5">'2024'!$A$1:$W$79</definedName>
    <definedName name="_xlnm.Print_Area" localSheetId="6">'2025'!$A$1:$Z$79</definedName>
    <definedName name="_xlnm.Print_Area" localSheetId="7">'2026'!$A$1:$W$79</definedName>
    <definedName name="_xlnm.Print_Titles" localSheetId="0">'2019'!$1:$2</definedName>
    <definedName name="_xlnm.Print_Titles" localSheetId="1">'2020'!$1:$2</definedName>
    <definedName name="_xlnm.Print_Titles" localSheetId="2">'2021'!$1:$1</definedName>
    <definedName name="_xlnm.Print_Titles" localSheetId="3">'2022'!$1:$1</definedName>
    <definedName name="_xlnm.Print_Titles" localSheetId="4">'2023'!$1:$1</definedName>
    <definedName name="_xlnm.Print_Titles" localSheetId="5">'2024'!$1:$1</definedName>
    <definedName name="_xlnm.Print_Titles" localSheetId="6">'2025'!$1:$1</definedName>
    <definedName name="_xlnm.Print_Titles" localSheetId="7">'2026'!$1:$1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44" i="11" l="1"/>
  <c r="S45" i="11"/>
  <c r="S46" i="11"/>
  <c r="S47" i="11"/>
  <c r="P44" i="11"/>
  <c r="P45" i="11"/>
  <c r="P46" i="11"/>
  <c r="P47" i="11"/>
  <c r="J44" i="11"/>
  <c r="J45" i="11"/>
  <c r="J46" i="11"/>
  <c r="J47" i="11"/>
  <c r="G47" i="11"/>
  <c r="G44" i="11"/>
  <c r="G45" i="11"/>
  <c r="G46" i="11"/>
  <c r="U44" i="11"/>
  <c r="U45" i="11"/>
  <c r="U46" i="11"/>
  <c r="U47" i="11"/>
  <c r="T47" i="11"/>
  <c r="T44" i="11"/>
  <c r="T45" i="11"/>
  <c r="T46" i="11"/>
  <c r="U43" i="11"/>
  <c r="T43" i="11"/>
  <c r="S43" i="11"/>
  <c r="P43" i="11"/>
  <c r="M44" i="11"/>
  <c r="M45" i="11"/>
  <c r="M46" i="11"/>
  <c r="M47" i="11"/>
  <c r="M43" i="11"/>
  <c r="J43" i="11"/>
  <c r="G43" i="11"/>
  <c r="H38" i="11"/>
  <c r="E38" i="11"/>
  <c r="K33" i="11"/>
  <c r="H33" i="11"/>
  <c r="N33" i="11"/>
  <c r="H28" i="11"/>
  <c r="S27" i="11"/>
  <c r="T27" i="11"/>
  <c r="U27" i="11"/>
  <c r="P27" i="11"/>
  <c r="J27" i="11"/>
  <c r="G27" i="11"/>
  <c r="F28" i="11"/>
  <c r="I28" i="11"/>
  <c r="K28" i="11"/>
  <c r="L28" i="11"/>
  <c r="N28" i="11"/>
  <c r="O28" i="11"/>
  <c r="Q28" i="11"/>
  <c r="R28" i="11"/>
  <c r="E28" i="11"/>
  <c r="M27" i="11"/>
  <c r="V47" i="11" l="1"/>
  <c r="V46" i="11"/>
  <c r="V45" i="11"/>
  <c r="H39" i="11"/>
  <c r="V44" i="11"/>
  <c r="V43" i="11"/>
  <c r="V27" i="11"/>
  <c r="M12" i="11"/>
  <c r="U32" i="11"/>
  <c r="T32" i="11"/>
  <c r="U31" i="11"/>
  <c r="T31" i="11"/>
  <c r="U30" i="11"/>
  <c r="T30" i="11"/>
  <c r="U29" i="11"/>
  <c r="T29" i="11"/>
  <c r="U37" i="11"/>
  <c r="T37" i="11"/>
  <c r="U36" i="11"/>
  <c r="T36" i="11"/>
  <c r="U35" i="11"/>
  <c r="T35" i="11"/>
  <c r="U34" i="11"/>
  <c r="T34" i="11"/>
  <c r="U26" i="11"/>
  <c r="T26" i="11"/>
  <c r="U25" i="11"/>
  <c r="T25" i="11"/>
  <c r="U24" i="11"/>
  <c r="T24" i="11"/>
  <c r="U23" i="11"/>
  <c r="T23" i="11"/>
  <c r="U18" i="11"/>
  <c r="T18" i="11"/>
  <c r="U17" i="11"/>
  <c r="T17" i="11"/>
  <c r="U16" i="11"/>
  <c r="T16" i="11"/>
  <c r="U15" i="11"/>
  <c r="T15" i="11"/>
  <c r="G37" i="11"/>
  <c r="G36" i="11"/>
  <c r="G35" i="11"/>
  <c r="G34" i="11"/>
  <c r="J37" i="11"/>
  <c r="J36" i="11"/>
  <c r="J35" i="11"/>
  <c r="J34" i="11"/>
  <c r="M37" i="11"/>
  <c r="M36" i="11"/>
  <c r="M35" i="11"/>
  <c r="M34" i="11"/>
  <c r="P37" i="11"/>
  <c r="P36" i="11"/>
  <c r="P35" i="11"/>
  <c r="P34" i="11"/>
  <c r="S37" i="11"/>
  <c r="S36" i="11"/>
  <c r="S35" i="11"/>
  <c r="S34" i="11"/>
  <c r="S32" i="11"/>
  <c r="S31" i="11"/>
  <c r="S30" i="11"/>
  <c r="S29" i="11"/>
  <c r="P32" i="11"/>
  <c r="P31" i="11"/>
  <c r="P30" i="11"/>
  <c r="P29" i="11"/>
  <c r="M32" i="11"/>
  <c r="M31" i="11"/>
  <c r="M30" i="11"/>
  <c r="M29" i="11"/>
  <c r="J32" i="11"/>
  <c r="J31" i="11"/>
  <c r="J30" i="11"/>
  <c r="J29" i="11"/>
  <c r="G32" i="11"/>
  <c r="G31" i="11"/>
  <c r="G30" i="11"/>
  <c r="G29" i="11"/>
  <c r="G26" i="11"/>
  <c r="G25" i="11"/>
  <c r="G24" i="11"/>
  <c r="G23" i="11"/>
  <c r="G28" i="11" s="1"/>
  <c r="J26" i="11"/>
  <c r="J25" i="11"/>
  <c r="J24" i="11"/>
  <c r="J23" i="11"/>
  <c r="J28" i="11" s="1"/>
  <c r="M26" i="11"/>
  <c r="M25" i="11"/>
  <c r="M24" i="11"/>
  <c r="M23" i="11"/>
  <c r="P26" i="11"/>
  <c r="P25" i="11"/>
  <c r="P24" i="11"/>
  <c r="P23" i="11"/>
  <c r="P28" i="11" s="1"/>
  <c r="S26" i="11"/>
  <c r="S25" i="11"/>
  <c r="S24" i="11"/>
  <c r="S28" i="11" s="1"/>
  <c r="S18" i="11"/>
  <c r="S17" i="11"/>
  <c r="S16" i="11"/>
  <c r="S15" i="11"/>
  <c r="P18" i="11"/>
  <c r="P17" i="11"/>
  <c r="P16" i="11"/>
  <c r="P15" i="11"/>
  <c r="M18" i="11"/>
  <c r="J18" i="11"/>
  <c r="J17" i="11"/>
  <c r="J16" i="11"/>
  <c r="J15" i="11"/>
  <c r="G18" i="11"/>
  <c r="G17" i="11"/>
  <c r="G16" i="11"/>
  <c r="G15" i="11"/>
  <c r="U13" i="11"/>
  <c r="T13" i="11"/>
  <c r="U12" i="11"/>
  <c r="T12" i="11"/>
  <c r="U11" i="11"/>
  <c r="T11" i="11"/>
  <c r="U10" i="11"/>
  <c r="T10" i="11"/>
  <c r="S13" i="11"/>
  <c r="S12" i="11"/>
  <c r="S11" i="11"/>
  <c r="S10" i="11"/>
  <c r="P13" i="11"/>
  <c r="P12" i="11"/>
  <c r="P11" i="11"/>
  <c r="P10" i="11"/>
  <c r="J13" i="11"/>
  <c r="J12" i="11"/>
  <c r="J11" i="11"/>
  <c r="J10" i="11"/>
  <c r="G13" i="11"/>
  <c r="G12" i="11"/>
  <c r="G11" i="11"/>
  <c r="G10" i="11"/>
  <c r="U8" i="11"/>
  <c r="T8" i="11"/>
  <c r="U7" i="11"/>
  <c r="T7" i="11"/>
  <c r="U6" i="11"/>
  <c r="T6" i="11"/>
  <c r="U5" i="11"/>
  <c r="T5" i="11"/>
  <c r="V5" i="11" s="1"/>
  <c r="U4" i="11"/>
  <c r="T4" i="11"/>
  <c r="P8" i="11"/>
  <c r="P6" i="11"/>
  <c r="M4" i="11"/>
  <c r="G4" i="11"/>
  <c r="G5" i="11"/>
  <c r="R77" i="11"/>
  <c r="Q77" i="11"/>
  <c r="S77" i="11" s="1"/>
  <c r="O77" i="11"/>
  <c r="N77" i="11"/>
  <c r="L77" i="11"/>
  <c r="K77" i="11"/>
  <c r="I77" i="11"/>
  <c r="H77" i="11"/>
  <c r="F77" i="11"/>
  <c r="E77" i="11"/>
  <c r="U77" i="11"/>
  <c r="R72" i="11"/>
  <c r="Q72" i="11"/>
  <c r="O72" i="11"/>
  <c r="N72" i="11"/>
  <c r="L72" i="11"/>
  <c r="K72" i="11"/>
  <c r="I72" i="11"/>
  <c r="H72" i="11"/>
  <c r="F72" i="11"/>
  <c r="E72" i="11"/>
  <c r="U72" i="11"/>
  <c r="R67" i="11"/>
  <c r="Q67" i="11"/>
  <c r="O67" i="11"/>
  <c r="N67" i="11"/>
  <c r="L67" i="11"/>
  <c r="K67" i="11"/>
  <c r="I67" i="11"/>
  <c r="H67" i="11"/>
  <c r="F67" i="11"/>
  <c r="E67" i="11"/>
  <c r="G67" i="11" s="1"/>
  <c r="U67" i="11"/>
  <c r="R58" i="11"/>
  <c r="Q58" i="11"/>
  <c r="O58" i="11"/>
  <c r="N58" i="11"/>
  <c r="L58" i="11"/>
  <c r="K58" i="11"/>
  <c r="I58" i="11"/>
  <c r="H58" i="11"/>
  <c r="F58" i="11"/>
  <c r="E58" i="11"/>
  <c r="T58" i="11"/>
  <c r="R53" i="11"/>
  <c r="Q53" i="11"/>
  <c r="S53" i="11" s="1"/>
  <c r="O53" i="11"/>
  <c r="N53" i="11"/>
  <c r="L53" i="11"/>
  <c r="K53" i="11"/>
  <c r="I53" i="11"/>
  <c r="H53" i="11"/>
  <c r="F53" i="11"/>
  <c r="E53" i="11"/>
  <c r="U53" i="11"/>
  <c r="T53" i="11"/>
  <c r="R48" i="11"/>
  <c r="Q48" i="11"/>
  <c r="O48" i="11"/>
  <c r="N48" i="11"/>
  <c r="L48" i="11"/>
  <c r="K48" i="11"/>
  <c r="I48" i="11"/>
  <c r="H48" i="11"/>
  <c r="F48" i="11"/>
  <c r="E48" i="11"/>
  <c r="R38" i="11"/>
  <c r="Q38" i="11"/>
  <c r="O38" i="11"/>
  <c r="N38" i="11"/>
  <c r="N39" i="11" s="1"/>
  <c r="L38" i="11"/>
  <c r="K38" i="11"/>
  <c r="I38" i="11"/>
  <c r="F38" i="11"/>
  <c r="R33" i="11"/>
  <c r="Q33" i="11"/>
  <c r="O33" i="11"/>
  <c r="P33" i="11"/>
  <c r="L33" i="11"/>
  <c r="I33" i="11"/>
  <c r="F33" i="11"/>
  <c r="E33" i="11"/>
  <c r="E39" i="11" s="1"/>
  <c r="R19" i="11"/>
  <c r="Q19" i="11"/>
  <c r="O19" i="11"/>
  <c r="N19" i="11"/>
  <c r="L19" i="11"/>
  <c r="K19" i="11"/>
  <c r="I19" i="11"/>
  <c r="H19" i="11"/>
  <c r="F19" i="11"/>
  <c r="E19" i="11"/>
  <c r="R14" i="11"/>
  <c r="Q14" i="11"/>
  <c r="O14" i="11"/>
  <c r="N14" i="11"/>
  <c r="L14" i="11"/>
  <c r="K14" i="11"/>
  <c r="I14" i="11"/>
  <c r="H14" i="11"/>
  <c r="F14" i="11"/>
  <c r="E14" i="11"/>
  <c r="R9" i="11"/>
  <c r="Q9" i="11"/>
  <c r="O9" i="11"/>
  <c r="N9" i="11"/>
  <c r="L9" i="11"/>
  <c r="K9" i="11"/>
  <c r="I9" i="11"/>
  <c r="H9" i="11"/>
  <c r="F9" i="11"/>
  <c r="E9" i="11"/>
  <c r="S8" i="11"/>
  <c r="J8" i="11"/>
  <c r="G8" i="11"/>
  <c r="S7" i="11"/>
  <c r="M7" i="11"/>
  <c r="J7" i="11"/>
  <c r="S6" i="11"/>
  <c r="M6" i="11"/>
  <c r="J6" i="11"/>
  <c r="G6" i="11"/>
  <c r="S5" i="11"/>
  <c r="M5" i="11"/>
  <c r="J5" i="11"/>
  <c r="S4" i="11"/>
  <c r="J4" i="11"/>
  <c r="G71" i="10"/>
  <c r="M71" i="10"/>
  <c r="X76" i="10"/>
  <c r="X75" i="10"/>
  <c r="X74" i="10"/>
  <c r="X73" i="10"/>
  <c r="X71" i="10"/>
  <c r="X70" i="10"/>
  <c r="X69" i="10"/>
  <c r="X68" i="10"/>
  <c r="X66" i="10"/>
  <c r="X65" i="10"/>
  <c r="X64" i="10"/>
  <c r="X63" i="10"/>
  <c r="X62" i="10"/>
  <c r="X57" i="10"/>
  <c r="X56" i="10"/>
  <c r="X55" i="10"/>
  <c r="X54" i="10"/>
  <c r="X52" i="10"/>
  <c r="X51" i="10"/>
  <c r="X50" i="10"/>
  <c r="X49" i="10"/>
  <c r="X47" i="10"/>
  <c r="X46" i="10"/>
  <c r="X45" i="10"/>
  <c r="X44" i="10"/>
  <c r="X43" i="10"/>
  <c r="W76" i="10"/>
  <c r="W75" i="10"/>
  <c r="W74" i="10"/>
  <c r="W73" i="10"/>
  <c r="W71" i="10"/>
  <c r="W70" i="10"/>
  <c r="W69" i="10"/>
  <c r="W68" i="10"/>
  <c r="W66" i="10"/>
  <c r="W65" i="10"/>
  <c r="W64" i="10"/>
  <c r="W63" i="10"/>
  <c r="W62" i="10"/>
  <c r="W57" i="10"/>
  <c r="W56" i="10"/>
  <c r="W55" i="10"/>
  <c r="W54" i="10"/>
  <c r="W52" i="10"/>
  <c r="W51" i="10"/>
  <c r="W50" i="10"/>
  <c r="W49" i="10"/>
  <c r="W47" i="10"/>
  <c r="W46" i="10"/>
  <c r="W45" i="10"/>
  <c r="W44" i="10"/>
  <c r="W43" i="10"/>
  <c r="W23" i="10"/>
  <c r="W18" i="10"/>
  <c r="S56" i="10"/>
  <c r="S76" i="10"/>
  <c r="M73" i="10"/>
  <c r="M63" i="10"/>
  <c r="M56" i="10"/>
  <c r="M54" i="10"/>
  <c r="M52" i="10"/>
  <c r="M50" i="10"/>
  <c r="M44" i="10"/>
  <c r="M28" i="11" l="1"/>
  <c r="S48" i="11"/>
  <c r="P38" i="11"/>
  <c r="V35" i="11"/>
  <c r="V32" i="11"/>
  <c r="M48" i="11"/>
  <c r="J9" i="11"/>
  <c r="V30" i="11"/>
  <c r="T28" i="11"/>
  <c r="U28" i="11"/>
  <c r="S33" i="11"/>
  <c r="J67" i="11"/>
  <c r="G38" i="11"/>
  <c r="J53" i="11"/>
  <c r="V36" i="11"/>
  <c r="V29" i="11"/>
  <c r="J72" i="11"/>
  <c r="V4" i="11"/>
  <c r="V31" i="11"/>
  <c r="P58" i="11"/>
  <c r="S72" i="11"/>
  <c r="V37" i="11"/>
  <c r="V26" i="11"/>
  <c r="V25" i="11"/>
  <c r="V24" i="11"/>
  <c r="V23" i="11"/>
  <c r="V28" i="11" s="1"/>
  <c r="V17" i="11"/>
  <c r="V34" i="11"/>
  <c r="J58" i="11"/>
  <c r="V18" i="11"/>
  <c r="V16" i="11"/>
  <c r="V13" i="11"/>
  <c r="T38" i="11"/>
  <c r="V15" i="11"/>
  <c r="V10" i="11"/>
  <c r="V12" i="11"/>
  <c r="V11" i="11"/>
  <c r="G14" i="11"/>
  <c r="V8" i="11"/>
  <c r="P9" i="11"/>
  <c r="M19" i="11"/>
  <c r="P67" i="11"/>
  <c r="V7" i="11"/>
  <c r="V6" i="11"/>
  <c r="S9" i="11"/>
  <c r="M9" i="11"/>
  <c r="U78" i="11"/>
  <c r="Q78" i="11"/>
  <c r="M67" i="11"/>
  <c r="I78" i="11"/>
  <c r="F78" i="11"/>
  <c r="O78" i="11"/>
  <c r="G53" i="11"/>
  <c r="P53" i="11"/>
  <c r="E59" i="11"/>
  <c r="J48" i="11"/>
  <c r="F59" i="11"/>
  <c r="O59" i="11"/>
  <c r="I59" i="11"/>
  <c r="R59" i="11"/>
  <c r="J38" i="11"/>
  <c r="K39" i="11"/>
  <c r="O39" i="11"/>
  <c r="J33" i="11"/>
  <c r="F39" i="11"/>
  <c r="Q39" i="11"/>
  <c r="S19" i="11"/>
  <c r="N20" i="11"/>
  <c r="H20" i="11"/>
  <c r="M14" i="11"/>
  <c r="R20" i="11"/>
  <c r="R78" i="11"/>
  <c r="E20" i="11"/>
  <c r="L20" i="11"/>
  <c r="O20" i="11"/>
  <c r="M33" i="11"/>
  <c r="G58" i="11"/>
  <c r="S67" i="11"/>
  <c r="U14" i="11"/>
  <c r="P14" i="11"/>
  <c r="U19" i="11"/>
  <c r="H59" i="11"/>
  <c r="M72" i="11"/>
  <c r="T72" i="11"/>
  <c r="V72" i="11" s="1"/>
  <c r="L78" i="11"/>
  <c r="I39" i="11"/>
  <c r="J39" i="11" s="1"/>
  <c r="U9" i="11"/>
  <c r="U33" i="11"/>
  <c r="G48" i="11"/>
  <c r="T48" i="11"/>
  <c r="G72" i="11"/>
  <c r="P72" i="11"/>
  <c r="K78" i="11"/>
  <c r="V53" i="11"/>
  <c r="T67" i="11"/>
  <c r="V67" i="11" s="1"/>
  <c r="S14" i="11"/>
  <c r="P48" i="11"/>
  <c r="N59" i="11"/>
  <c r="M77" i="11"/>
  <c r="T77" i="11"/>
  <c r="G33" i="11"/>
  <c r="T33" i="11"/>
  <c r="R39" i="11"/>
  <c r="S38" i="11"/>
  <c r="U48" i="11"/>
  <c r="Q59" i="11"/>
  <c r="S58" i="11"/>
  <c r="L39" i="11"/>
  <c r="M38" i="11"/>
  <c r="K59" i="11"/>
  <c r="M58" i="11"/>
  <c r="G9" i="11"/>
  <c r="M53" i="11"/>
  <c r="U58" i="11"/>
  <c r="L59" i="11"/>
  <c r="F20" i="11"/>
  <c r="I20" i="11"/>
  <c r="N78" i="11"/>
  <c r="P77" i="11"/>
  <c r="T14" i="11"/>
  <c r="T19" i="11"/>
  <c r="G19" i="11"/>
  <c r="J19" i="11"/>
  <c r="P19" i="11"/>
  <c r="H78" i="11"/>
  <c r="J77" i="11"/>
  <c r="T9" i="11"/>
  <c r="J14" i="11"/>
  <c r="K20" i="11"/>
  <c r="Q20" i="11"/>
  <c r="U38" i="11"/>
  <c r="E78" i="11"/>
  <c r="G77" i="11"/>
  <c r="X37" i="10"/>
  <c r="X36" i="10"/>
  <c r="X35" i="10"/>
  <c r="X34" i="10"/>
  <c r="X32" i="10"/>
  <c r="X31" i="10"/>
  <c r="X30" i="10"/>
  <c r="X29" i="10"/>
  <c r="X28" i="10"/>
  <c r="X26" i="10"/>
  <c r="X25" i="10"/>
  <c r="X24" i="10"/>
  <c r="X23" i="10"/>
  <c r="X18" i="10"/>
  <c r="X17" i="10"/>
  <c r="X16" i="10"/>
  <c r="X15" i="10"/>
  <c r="X13" i="10"/>
  <c r="X12" i="10"/>
  <c r="X11" i="10"/>
  <c r="X10" i="10"/>
  <c r="X8" i="10"/>
  <c r="X7" i="10"/>
  <c r="X6" i="10"/>
  <c r="X5" i="10"/>
  <c r="X4" i="10"/>
  <c r="W37" i="10"/>
  <c r="W36" i="10"/>
  <c r="W35" i="10"/>
  <c r="W34" i="10"/>
  <c r="W32" i="10"/>
  <c r="W31" i="10"/>
  <c r="W30" i="10"/>
  <c r="W29" i="10"/>
  <c r="W28" i="10"/>
  <c r="W26" i="10"/>
  <c r="W25" i="10"/>
  <c r="W24" i="10"/>
  <c r="W17" i="10"/>
  <c r="W16" i="10"/>
  <c r="W15" i="10"/>
  <c r="W13" i="10"/>
  <c r="W12" i="10"/>
  <c r="W11" i="10"/>
  <c r="W10" i="10"/>
  <c r="W8" i="10"/>
  <c r="W7" i="10"/>
  <c r="W6" i="10"/>
  <c r="W5" i="10"/>
  <c r="W4" i="10"/>
  <c r="R77" i="10"/>
  <c r="Q77" i="10"/>
  <c r="S73" i="10"/>
  <c r="R72" i="10"/>
  <c r="Q72" i="10"/>
  <c r="R67" i="10"/>
  <c r="Q67" i="10"/>
  <c r="S65" i="10"/>
  <c r="S64" i="10"/>
  <c r="S63" i="10"/>
  <c r="S62" i="10"/>
  <c r="R58" i="10"/>
  <c r="Q58" i="10"/>
  <c r="S57" i="10"/>
  <c r="R53" i="10"/>
  <c r="Q53" i="10"/>
  <c r="S51" i="10"/>
  <c r="S50" i="10"/>
  <c r="S49" i="10"/>
  <c r="R48" i="10"/>
  <c r="Q48" i="10"/>
  <c r="S47" i="10"/>
  <c r="S46" i="10"/>
  <c r="S45" i="10"/>
  <c r="R38" i="10"/>
  <c r="Q38" i="10"/>
  <c r="S35" i="10"/>
  <c r="S34" i="10"/>
  <c r="R33" i="10"/>
  <c r="Q33" i="10"/>
  <c r="S32" i="10"/>
  <c r="S31" i="10"/>
  <c r="S28" i="10"/>
  <c r="R27" i="10"/>
  <c r="Q27" i="10"/>
  <c r="S25" i="10"/>
  <c r="S23" i="10"/>
  <c r="R19" i="10"/>
  <c r="Q19" i="10"/>
  <c r="S18" i="10"/>
  <c r="S17" i="10"/>
  <c r="S16" i="10"/>
  <c r="S15" i="10"/>
  <c r="R14" i="10"/>
  <c r="Q14" i="10"/>
  <c r="S13" i="10"/>
  <c r="R9" i="10"/>
  <c r="Q9" i="10"/>
  <c r="L14" i="10"/>
  <c r="K14" i="10"/>
  <c r="U59" i="11" l="1"/>
  <c r="S78" i="11"/>
  <c r="U39" i="11"/>
  <c r="S39" i="11"/>
  <c r="V33" i="11"/>
  <c r="V48" i="11"/>
  <c r="F40" i="11"/>
  <c r="T59" i="11"/>
  <c r="G59" i="11"/>
  <c r="G39" i="11"/>
  <c r="S20" i="11"/>
  <c r="U20" i="11"/>
  <c r="R79" i="11"/>
  <c r="M78" i="11"/>
  <c r="J59" i="11"/>
  <c r="S59" i="11"/>
  <c r="P59" i="11"/>
  <c r="K79" i="11"/>
  <c r="O40" i="11"/>
  <c r="I40" i="11"/>
  <c r="R40" i="11"/>
  <c r="E40" i="11"/>
  <c r="V9" i="11"/>
  <c r="P20" i="11"/>
  <c r="V14" i="11"/>
  <c r="L40" i="11"/>
  <c r="G20" i="11"/>
  <c r="M20" i="11"/>
  <c r="F79" i="11"/>
  <c r="V38" i="11"/>
  <c r="O79" i="11"/>
  <c r="T20" i="11"/>
  <c r="V19" i="11"/>
  <c r="G78" i="11"/>
  <c r="E79" i="11"/>
  <c r="H40" i="11"/>
  <c r="Q40" i="11"/>
  <c r="H79" i="11"/>
  <c r="J78" i="11"/>
  <c r="J20" i="11"/>
  <c r="T78" i="11"/>
  <c r="V77" i="11"/>
  <c r="Q79" i="11"/>
  <c r="P78" i="11"/>
  <c r="N79" i="11"/>
  <c r="I79" i="11"/>
  <c r="M39" i="11"/>
  <c r="L79" i="11"/>
  <c r="K40" i="11"/>
  <c r="V58" i="11"/>
  <c r="N40" i="11"/>
  <c r="P39" i="11"/>
  <c r="M59" i="11"/>
  <c r="T39" i="11"/>
  <c r="S58" i="10"/>
  <c r="Q78" i="10"/>
  <c r="S77" i="10"/>
  <c r="S72" i="10"/>
  <c r="S67" i="10"/>
  <c r="S53" i="10"/>
  <c r="S48" i="10"/>
  <c r="R78" i="10"/>
  <c r="Q59" i="10"/>
  <c r="R59" i="10"/>
  <c r="S38" i="10"/>
  <c r="S33" i="10"/>
  <c r="R39" i="10"/>
  <c r="Q39" i="10"/>
  <c r="S19" i="10"/>
  <c r="R20" i="10"/>
  <c r="S9" i="10"/>
  <c r="Q20" i="10"/>
  <c r="S27" i="10"/>
  <c r="S14" i="10"/>
  <c r="M14" i="10"/>
  <c r="V39" i="11" l="1"/>
  <c r="V59" i="11"/>
  <c r="U40" i="11"/>
  <c r="G40" i="11"/>
  <c r="G79" i="11"/>
  <c r="S40" i="11"/>
  <c r="U79" i="11"/>
  <c r="V20" i="11"/>
  <c r="M40" i="11"/>
  <c r="S79" i="11"/>
  <c r="M79" i="11"/>
  <c r="P40" i="11"/>
  <c r="P79" i="11"/>
  <c r="J40" i="11"/>
  <c r="T40" i="11"/>
  <c r="T79" i="11"/>
  <c r="V78" i="11"/>
  <c r="J79" i="11"/>
  <c r="S78" i="10"/>
  <c r="S59" i="10"/>
  <c r="S39" i="10"/>
  <c r="R40" i="10"/>
  <c r="Q40" i="10"/>
  <c r="R79" i="10"/>
  <c r="S20" i="10"/>
  <c r="Q79" i="10"/>
  <c r="L9" i="10"/>
  <c r="K9" i="10"/>
  <c r="V40" i="11" l="1"/>
  <c r="T81" i="11"/>
  <c r="T83" i="11" s="1"/>
  <c r="T85" i="11" s="1"/>
  <c r="V79" i="11"/>
  <c r="S40" i="10"/>
  <c r="S79" i="10"/>
  <c r="J5" i="10"/>
  <c r="J4" i="10"/>
  <c r="P5" i="10"/>
  <c r="M4" i="10"/>
  <c r="U77" i="10"/>
  <c r="T77" i="10"/>
  <c r="O77" i="10"/>
  <c r="N77" i="10"/>
  <c r="L77" i="10"/>
  <c r="K77" i="10"/>
  <c r="I77" i="10"/>
  <c r="H77" i="10"/>
  <c r="F77" i="10"/>
  <c r="E77" i="10"/>
  <c r="V76" i="10"/>
  <c r="M76" i="10"/>
  <c r="J76" i="10"/>
  <c r="G76" i="10"/>
  <c r="V75" i="10"/>
  <c r="M75" i="10"/>
  <c r="G75" i="10"/>
  <c r="Y74" i="10"/>
  <c r="V74" i="10"/>
  <c r="M74" i="10"/>
  <c r="G74" i="10"/>
  <c r="Y73" i="10"/>
  <c r="V73" i="10"/>
  <c r="J73" i="10"/>
  <c r="G73" i="10"/>
  <c r="U72" i="10"/>
  <c r="T72" i="10"/>
  <c r="O72" i="10"/>
  <c r="N72" i="10"/>
  <c r="L72" i="10"/>
  <c r="K72" i="10"/>
  <c r="I72" i="10"/>
  <c r="H72" i="10"/>
  <c r="F72" i="10"/>
  <c r="E72" i="10"/>
  <c r="V71" i="10"/>
  <c r="V70" i="10"/>
  <c r="M70" i="10"/>
  <c r="G70" i="10"/>
  <c r="Y69" i="10"/>
  <c r="V69" i="10"/>
  <c r="M69" i="10"/>
  <c r="G69" i="10"/>
  <c r="V68" i="10"/>
  <c r="M68" i="10"/>
  <c r="G68" i="10"/>
  <c r="U67" i="10"/>
  <c r="T67" i="10"/>
  <c r="O67" i="10"/>
  <c r="N67" i="10"/>
  <c r="L67" i="10"/>
  <c r="K67" i="10"/>
  <c r="I67" i="10"/>
  <c r="H67" i="10"/>
  <c r="F67" i="10"/>
  <c r="E67" i="10"/>
  <c r="V66" i="10"/>
  <c r="M66" i="10"/>
  <c r="G66" i="10"/>
  <c r="V65" i="10"/>
  <c r="P65" i="10"/>
  <c r="M65" i="10"/>
  <c r="J65" i="10"/>
  <c r="G65" i="10"/>
  <c r="V64" i="10"/>
  <c r="M64" i="10"/>
  <c r="J64" i="10"/>
  <c r="V63" i="10"/>
  <c r="V62" i="10"/>
  <c r="M62" i="10"/>
  <c r="G62" i="10"/>
  <c r="U58" i="10"/>
  <c r="T58" i="10"/>
  <c r="O58" i="10"/>
  <c r="N58" i="10"/>
  <c r="L58" i="10"/>
  <c r="K58" i="10"/>
  <c r="I58" i="10"/>
  <c r="H58" i="10"/>
  <c r="F58" i="10"/>
  <c r="E58" i="10"/>
  <c r="V57" i="10"/>
  <c r="M57" i="10"/>
  <c r="J57" i="10"/>
  <c r="G57" i="10"/>
  <c r="V56" i="10"/>
  <c r="G56" i="10"/>
  <c r="V55" i="10"/>
  <c r="M55" i="10"/>
  <c r="G55" i="10"/>
  <c r="V54" i="10"/>
  <c r="G54" i="10"/>
  <c r="U53" i="10"/>
  <c r="T53" i="10"/>
  <c r="O53" i="10"/>
  <c r="N53" i="10"/>
  <c r="L53" i="10"/>
  <c r="K53" i="10"/>
  <c r="I53" i="10"/>
  <c r="H53" i="10"/>
  <c r="F53" i="10"/>
  <c r="E53" i="10"/>
  <c r="V52" i="10"/>
  <c r="G52" i="10"/>
  <c r="V51" i="10"/>
  <c r="M51" i="10"/>
  <c r="J51" i="10"/>
  <c r="V50" i="10"/>
  <c r="J50" i="10"/>
  <c r="G50" i="10"/>
  <c r="V49" i="10"/>
  <c r="M49" i="10"/>
  <c r="J49" i="10"/>
  <c r="G49" i="10"/>
  <c r="U48" i="10"/>
  <c r="T48" i="10"/>
  <c r="O48" i="10"/>
  <c r="N48" i="10"/>
  <c r="L48" i="10"/>
  <c r="K48" i="10"/>
  <c r="I48" i="10"/>
  <c r="H48" i="10"/>
  <c r="F48" i="10"/>
  <c r="E48" i="10"/>
  <c r="V47" i="10"/>
  <c r="P47" i="10"/>
  <c r="M47" i="10"/>
  <c r="J47" i="10"/>
  <c r="G47" i="10"/>
  <c r="V46" i="10"/>
  <c r="M46" i="10"/>
  <c r="J46" i="10"/>
  <c r="G46" i="10"/>
  <c r="V45" i="10"/>
  <c r="M45" i="10"/>
  <c r="J45" i="10"/>
  <c r="G45" i="10"/>
  <c r="V44" i="10"/>
  <c r="J44" i="10"/>
  <c r="G44" i="10"/>
  <c r="V43" i="10"/>
  <c r="M43" i="10"/>
  <c r="J43" i="10"/>
  <c r="G43" i="10"/>
  <c r="U38" i="10"/>
  <c r="T38" i="10"/>
  <c r="O38" i="10"/>
  <c r="N38" i="10"/>
  <c r="L38" i="10"/>
  <c r="K38" i="10"/>
  <c r="I38" i="10"/>
  <c r="H38" i="10"/>
  <c r="F38" i="10"/>
  <c r="E38" i="10"/>
  <c r="V37" i="10"/>
  <c r="M37" i="10"/>
  <c r="G37" i="10"/>
  <c r="V36" i="10"/>
  <c r="M36" i="10"/>
  <c r="J36" i="10"/>
  <c r="G36" i="10"/>
  <c r="V35" i="10"/>
  <c r="M35" i="10"/>
  <c r="J35" i="10"/>
  <c r="G35" i="10"/>
  <c r="V34" i="10"/>
  <c r="M34" i="10"/>
  <c r="J34" i="10"/>
  <c r="G34" i="10"/>
  <c r="U33" i="10"/>
  <c r="T33" i="10"/>
  <c r="O33" i="10"/>
  <c r="N33" i="10"/>
  <c r="L33" i="10"/>
  <c r="K33" i="10"/>
  <c r="I33" i="10"/>
  <c r="H33" i="10"/>
  <c r="F33" i="10"/>
  <c r="E33" i="10"/>
  <c r="V32" i="10"/>
  <c r="P32" i="10"/>
  <c r="M32" i="10"/>
  <c r="J32" i="10"/>
  <c r="G32" i="10"/>
  <c r="V31" i="10"/>
  <c r="M31" i="10"/>
  <c r="G31" i="10"/>
  <c r="V30" i="10"/>
  <c r="M30" i="10"/>
  <c r="J30" i="10"/>
  <c r="G30" i="10"/>
  <c r="V29" i="10"/>
  <c r="P29" i="10"/>
  <c r="M29" i="10"/>
  <c r="J29" i="10"/>
  <c r="G29" i="10"/>
  <c r="V28" i="10"/>
  <c r="P28" i="10"/>
  <c r="M28" i="10"/>
  <c r="J28" i="10"/>
  <c r="G28" i="10"/>
  <c r="U27" i="10"/>
  <c r="T27" i="10"/>
  <c r="O27" i="10"/>
  <c r="N27" i="10"/>
  <c r="L27" i="10"/>
  <c r="K27" i="10"/>
  <c r="I27" i="10"/>
  <c r="H27" i="10"/>
  <c r="F27" i="10"/>
  <c r="E27" i="10"/>
  <c r="M26" i="10"/>
  <c r="J26" i="10"/>
  <c r="G26" i="10"/>
  <c r="V25" i="10"/>
  <c r="M25" i="10"/>
  <c r="J25" i="10"/>
  <c r="G25" i="10"/>
  <c r="Y24" i="10"/>
  <c r="V24" i="10"/>
  <c r="P24" i="10"/>
  <c r="M24" i="10"/>
  <c r="J24" i="10"/>
  <c r="G24" i="10"/>
  <c r="V23" i="10"/>
  <c r="M23" i="10"/>
  <c r="J23" i="10"/>
  <c r="G23" i="10"/>
  <c r="U19" i="10"/>
  <c r="T19" i="10"/>
  <c r="O19" i="10"/>
  <c r="N19" i="10"/>
  <c r="L19" i="10"/>
  <c r="K19" i="10"/>
  <c r="I19" i="10"/>
  <c r="H19" i="10"/>
  <c r="F19" i="10"/>
  <c r="E19" i="10"/>
  <c r="Y18" i="10"/>
  <c r="V18" i="10"/>
  <c r="M18" i="10"/>
  <c r="J18" i="10"/>
  <c r="G18" i="10"/>
  <c r="Y17" i="10"/>
  <c r="V17" i="10"/>
  <c r="P17" i="10"/>
  <c r="M17" i="10"/>
  <c r="J17" i="10"/>
  <c r="G17" i="10"/>
  <c r="V16" i="10"/>
  <c r="P16" i="10"/>
  <c r="M16" i="10"/>
  <c r="J16" i="10"/>
  <c r="G16" i="10"/>
  <c r="V15" i="10"/>
  <c r="P15" i="10"/>
  <c r="M15" i="10"/>
  <c r="J15" i="10"/>
  <c r="G15" i="10"/>
  <c r="U14" i="10"/>
  <c r="T14" i="10"/>
  <c r="O14" i="10"/>
  <c r="N14" i="10"/>
  <c r="I14" i="10"/>
  <c r="H14" i="10"/>
  <c r="F14" i="10"/>
  <c r="E14" i="10"/>
  <c r="V13" i="10"/>
  <c r="P13" i="10"/>
  <c r="M13" i="10"/>
  <c r="J13" i="10"/>
  <c r="G13" i="10"/>
  <c r="V12" i="10"/>
  <c r="P12" i="10"/>
  <c r="M12" i="10"/>
  <c r="J12" i="10"/>
  <c r="V11" i="10"/>
  <c r="P11" i="10"/>
  <c r="M11" i="10"/>
  <c r="J11" i="10"/>
  <c r="G11" i="10"/>
  <c r="V10" i="10"/>
  <c r="P10" i="10"/>
  <c r="M10" i="10"/>
  <c r="J10" i="10"/>
  <c r="U9" i="10"/>
  <c r="T9" i="10"/>
  <c r="O9" i="10"/>
  <c r="N9" i="10"/>
  <c r="I9" i="10"/>
  <c r="H9" i="10"/>
  <c r="F9" i="10"/>
  <c r="E9" i="10"/>
  <c r="V8" i="10"/>
  <c r="P8" i="10"/>
  <c r="M8" i="10"/>
  <c r="J8" i="10"/>
  <c r="G8" i="10"/>
  <c r="V7" i="10"/>
  <c r="M7" i="10"/>
  <c r="J7" i="10"/>
  <c r="V6" i="10"/>
  <c r="P6" i="10"/>
  <c r="M6" i="10"/>
  <c r="J6" i="10"/>
  <c r="G6" i="10"/>
  <c r="V5" i="10"/>
  <c r="M5" i="10"/>
  <c r="V4" i="10"/>
  <c r="J72" i="10" l="1"/>
  <c r="V72" i="10"/>
  <c r="G48" i="10"/>
  <c r="M67" i="10"/>
  <c r="P58" i="10"/>
  <c r="P48" i="10"/>
  <c r="M72" i="10"/>
  <c r="G72" i="10"/>
  <c r="J67" i="10"/>
  <c r="H78" i="10"/>
  <c r="J58" i="10"/>
  <c r="G53" i="10"/>
  <c r="W72" i="10"/>
  <c r="Y65" i="10"/>
  <c r="M27" i="10"/>
  <c r="J33" i="10"/>
  <c r="Y23" i="10"/>
  <c r="T39" i="10"/>
  <c r="Y43" i="10"/>
  <c r="J48" i="10"/>
  <c r="J53" i="10"/>
  <c r="V53" i="10"/>
  <c r="Y54" i="10"/>
  <c r="Y62" i="10"/>
  <c r="G77" i="10"/>
  <c r="Y13" i="10"/>
  <c r="V27" i="10"/>
  <c r="G33" i="10"/>
  <c r="Y37" i="10"/>
  <c r="M38" i="10"/>
  <c r="J27" i="10"/>
  <c r="Y32" i="10"/>
  <c r="Y35" i="10"/>
  <c r="I78" i="10"/>
  <c r="I20" i="10"/>
  <c r="V38" i="10"/>
  <c r="P53" i="10"/>
  <c r="L39" i="10"/>
  <c r="X77" i="10"/>
  <c r="W19" i="10"/>
  <c r="P19" i="10"/>
  <c r="E39" i="10"/>
  <c r="Y47" i="10"/>
  <c r="M48" i="10"/>
  <c r="W53" i="10"/>
  <c r="Y50" i="10"/>
  <c r="P67" i="10"/>
  <c r="Y16" i="10"/>
  <c r="G27" i="10"/>
  <c r="Y34" i="10"/>
  <c r="Y51" i="10"/>
  <c r="Y52" i="10"/>
  <c r="Y57" i="10"/>
  <c r="K59" i="10"/>
  <c r="P72" i="10"/>
  <c r="W58" i="10"/>
  <c r="U78" i="10"/>
  <c r="G19" i="10"/>
  <c r="Y25" i="10"/>
  <c r="Y26" i="10"/>
  <c r="Y31" i="10"/>
  <c r="M33" i="10"/>
  <c r="X38" i="10"/>
  <c r="F39" i="10"/>
  <c r="X48" i="10"/>
  <c r="Y45" i="10"/>
  <c r="Y46" i="10"/>
  <c r="V48" i="10"/>
  <c r="L59" i="10"/>
  <c r="Y63" i="10"/>
  <c r="Y64" i="10"/>
  <c r="V67" i="10"/>
  <c r="Y76" i="10"/>
  <c r="M77" i="10"/>
  <c r="G38" i="10"/>
  <c r="N39" i="10"/>
  <c r="E59" i="10"/>
  <c r="L78" i="10"/>
  <c r="Y15" i="10"/>
  <c r="W33" i="10"/>
  <c r="H39" i="10"/>
  <c r="O39" i="10"/>
  <c r="Y49" i="10"/>
  <c r="G58" i="10"/>
  <c r="O59" i="10"/>
  <c r="X72" i="10"/>
  <c r="N78" i="10"/>
  <c r="J19" i="10"/>
  <c r="Y28" i="10"/>
  <c r="P33" i="10"/>
  <c r="Y36" i="10"/>
  <c r="I39" i="10"/>
  <c r="T59" i="10"/>
  <c r="Y66" i="10"/>
  <c r="F78" i="10"/>
  <c r="O78" i="10"/>
  <c r="M19" i="10"/>
  <c r="P27" i="10"/>
  <c r="Y30" i="10"/>
  <c r="V33" i="10"/>
  <c r="K39" i="10"/>
  <c r="U39" i="10"/>
  <c r="Y44" i="10"/>
  <c r="M53" i="10"/>
  <c r="X58" i="10"/>
  <c r="Y56" i="10"/>
  <c r="I59" i="10"/>
  <c r="U59" i="10"/>
  <c r="W67" i="10"/>
  <c r="G67" i="10"/>
  <c r="Y70" i="10"/>
  <c r="Y71" i="10"/>
  <c r="J77" i="10"/>
  <c r="V77" i="10"/>
  <c r="O20" i="10"/>
  <c r="Y12" i="10"/>
  <c r="J14" i="10"/>
  <c r="W14" i="10"/>
  <c r="G14" i="10"/>
  <c r="Y11" i="10"/>
  <c r="V14" i="10"/>
  <c r="P14" i="10"/>
  <c r="U20" i="10"/>
  <c r="G9" i="10"/>
  <c r="Y8" i="10"/>
  <c r="V9" i="10"/>
  <c r="P9" i="10"/>
  <c r="N20" i="10"/>
  <c r="Y7" i="10"/>
  <c r="F20" i="10"/>
  <c r="H20" i="10"/>
  <c r="J9" i="10"/>
  <c r="Y4" i="10"/>
  <c r="Y5" i="10"/>
  <c r="Y6" i="10"/>
  <c r="L20" i="10"/>
  <c r="W9" i="10"/>
  <c r="Y10" i="10"/>
  <c r="X14" i="10"/>
  <c r="T20" i="10"/>
  <c r="X27" i="10"/>
  <c r="Y29" i="10"/>
  <c r="X33" i="10"/>
  <c r="X19" i="10"/>
  <c r="F59" i="10"/>
  <c r="X67" i="10"/>
  <c r="W27" i="10"/>
  <c r="W38" i="10"/>
  <c r="M58" i="10"/>
  <c r="Y75" i="10"/>
  <c r="E20" i="10"/>
  <c r="Y55" i="10"/>
  <c r="H59" i="10"/>
  <c r="P77" i="10"/>
  <c r="J38" i="10"/>
  <c r="P38" i="10"/>
  <c r="W48" i="10"/>
  <c r="Y68" i="10"/>
  <c r="E78" i="10"/>
  <c r="K78" i="10"/>
  <c r="T78" i="10"/>
  <c r="W77" i="10"/>
  <c r="V58" i="10"/>
  <c r="K20" i="10"/>
  <c r="N59" i="10"/>
  <c r="X9" i="10"/>
  <c r="V19" i="10"/>
  <c r="X53" i="10"/>
  <c r="Y72" i="10" l="1"/>
  <c r="J78" i="10"/>
  <c r="M59" i="10"/>
  <c r="I40" i="10"/>
  <c r="J39" i="10"/>
  <c r="G39" i="10"/>
  <c r="F40" i="10"/>
  <c r="M39" i="10"/>
  <c r="L40" i="10"/>
  <c r="O40" i="10"/>
  <c r="I79" i="10"/>
  <c r="J59" i="10"/>
  <c r="X78" i="10"/>
  <c r="Y33" i="10"/>
  <c r="V39" i="10"/>
  <c r="Y48" i="10"/>
  <c r="Y14" i="10"/>
  <c r="Y67" i="10"/>
  <c r="Y58" i="10"/>
  <c r="O79" i="10"/>
  <c r="E40" i="10"/>
  <c r="X59" i="10"/>
  <c r="W20" i="10"/>
  <c r="H40" i="10"/>
  <c r="W59" i="10"/>
  <c r="U40" i="10"/>
  <c r="V59" i="10"/>
  <c r="P59" i="10"/>
  <c r="G59" i="10"/>
  <c r="P78" i="10"/>
  <c r="P39" i="10"/>
  <c r="N40" i="10"/>
  <c r="J20" i="10"/>
  <c r="U79" i="10"/>
  <c r="V20" i="10"/>
  <c r="T40" i="10"/>
  <c r="P20" i="10"/>
  <c r="L79" i="10"/>
  <c r="G20" i="10"/>
  <c r="M20" i="10"/>
  <c r="Y9" i="10"/>
  <c r="Y77" i="10"/>
  <c r="W78" i="10"/>
  <c r="F79" i="10"/>
  <c r="Y53" i="10"/>
  <c r="V78" i="10"/>
  <c r="T79" i="10"/>
  <c r="X39" i="10"/>
  <c r="M78" i="10"/>
  <c r="K79" i="10"/>
  <c r="Y38" i="10"/>
  <c r="W39" i="10"/>
  <c r="X20" i="10"/>
  <c r="G78" i="10"/>
  <c r="E79" i="10"/>
  <c r="Y27" i="10"/>
  <c r="H79" i="10"/>
  <c r="K40" i="10"/>
  <c r="Y19" i="10"/>
  <c r="N79" i="10"/>
  <c r="Y59" i="10" l="1"/>
  <c r="J40" i="10"/>
  <c r="M40" i="10"/>
  <c r="G40" i="10"/>
  <c r="P40" i="10"/>
  <c r="J79" i="10"/>
  <c r="P79" i="10"/>
  <c r="V40" i="10"/>
  <c r="X79" i="10"/>
  <c r="V79" i="10"/>
  <c r="M79" i="10"/>
  <c r="W40" i="10"/>
  <c r="Y39" i="10"/>
  <c r="Y20" i="10"/>
  <c r="G79" i="10"/>
  <c r="Y78" i="10"/>
  <c r="W79" i="10"/>
  <c r="X40" i="10"/>
  <c r="W81" i="10" l="1"/>
  <c r="W83" i="10" s="1"/>
  <c r="W85" i="10" s="1"/>
  <c r="Y79" i="10"/>
  <c r="Y40" i="10"/>
  <c r="U65" i="8" l="1"/>
  <c r="T65" i="8"/>
  <c r="S65" i="8"/>
  <c r="P65" i="8"/>
  <c r="M65" i="8"/>
  <c r="J65" i="8"/>
  <c r="G65" i="8"/>
  <c r="V65" i="8" l="1"/>
  <c r="E66" i="7"/>
  <c r="H66" i="7"/>
  <c r="N66" i="7"/>
  <c r="Q66" i="7"/>
  <c r="P52" i="8" l="1"/>
  <c r="R48" i="8"/>
  <c r="Q48" i="8"/>
  <c r="O48" i="8"/>
  <c r="N48" i="8"/>
  <c r="L48" i="8"/>
  <c r="K48" i="8"/>
  <c r="I48" i="8"/>
  <c r="H48" i="8"/>
  <c r="F48" i="8"/>
  <c r="E48" i="8"/>
  <c r="U47" i="8"/>
  <c r="T47" i="8"/>
  <c r="S47" i="8"/>
  <c r="P47" i="8"/>
  <c r="M47" i="8"/>
  <c r="J47" i="8"/>
  <c r="G47" i="8"/>
  <c r="J44" i="8"/>
  <c r="P34" i="8"/>
  <c r="P32" i="8"/>
  <c r="P29" i="8"/>
  <c r="P13" i="8"/>
  <c r="R9" i="8"/>
  <c r="Q9" i="8"/>
  <c r="O9" i="8"/>
  <c r="N9" i="8"/>
  <c r="I9" i="8"/>
  <c r="H9" i="8"/>
  <c r="F9" i="8"/>
  <c r="E9" i="8"/>
  <c r="U8" i="8"/>
  <c r="T8" i="8"/>
  <c r="S8" i="8"/>
  <c r="P8" i="8"/>
  <c r="J8" i="8"/>
  <c r="G8" i="8"/>
  <c r="P18" i="8"/>
  <c r="U7" i="8"/>
  <c r="T7" i="8"/>
  <c r="U6" i="8"/>
  <c r="T6" i="8"/>
  <c r="U5" i="8"/>
  <c r="T5" i="8"/>
  <c r="U4" i="8"/>
  <c r="T4" i="8"/>
  <c r="P7" i="8"/>
  <c r="P6" i="8"/>
  <c r="P5" i="8"/>
  <c r="P4" i="8"/>
  <c r="G6" i="8"/>
  <c r="R77" i="8"/>
  <c r="Q77" i="8"/>
  <c r="O77" i="8"/>
  <c r="N77" i="8"/>
  <c r="L77" i="8"/>
  <c r="K77" i="8"/>
  <c r="I77" i="8"/>
  <c r="H77" i="8"/>
  <c r="F77" i="8"/>
  <c r="E77" i="8"/>
  <c r="U76" i="8"/>
  <c r="T76" i="8"/>
  <c r="S76" i="8"/>
  <c r="M76" i="8"/>
  <c r="J76" i="8"/>
  <c r="G76" i="8"/>
  <c r="U75" i="8"/>
  <c r="T75" i="8"/>
  <c r="S75" i="8"/>
  <c r="P75" i="8"/>
  <c r="M75" i="8"/>
  <c r="J75" i="8"/>
  <c r="G75" i="8"/>
  <c r="U74" i="8"/>
  <c r="T74" i="8"/>
  <c r="S74" i="8"/>
  <c r="M74" i="8"/>
  <c r="J74" i="8"/>
  <c r="G74" i="8"/>
  <c r="U73" i="8"/>
  <c r="T73" i="8"/>
  <c r="S73" i="8"/>
  <c r="P73" i="8"/>
  <c r="J73" i="8"/>
  <c r="G73" i="8"/>
  <c r="R72" i="8"/>
  <c r="Q72" i="8"/>
  <c r="O72" i="8"/>
  <c r="N72" i="8"/>
  <c r="L72" i="8"/>
  <c r="K72" i="8"/>
  <c r="I72" i="8"/>
  <c r="H72" i="8"/>
  <c r="F72" i="8"/>
  <c r="E72" i="8"/>
  <c r="U71" i="8"/>
  <c r="T71" i="8"/>
  <c r="S71" i="8"/>
  <c r="P71" i="8"/>
  <c r="M71" i="8"/>
  <c r="J71" i="8"/>
  <c r="G71" i="8"/>
  <c r="U70" i="8"/>
  <c r="T70" i="8"/>
  <c r="S70" i="8"/>
  <c r="P70" i="8"/>
  <c r="M70" i="8"/>
  <c r="J70" i="8"/>
  <c r="G70" i="8"/>
  <c r="U69" i="8"/>
  <c r="T69" i="8"/>
  <c r="S69" i="8"/>
  <c r="P69" i="8"/>
  <c r="M69" i="8"/>
  <c r="J69" i="8"/>
  <c r="G69" i="8"/>
  <c r="U68" i="8"/>
  <c r="T68" i="8"/>
  <c r="S68" i="8"/>
  <c r="P68" i="8"/>
  <c r="M68" i="8"/>
  <c r="J68" i="8"/>
  <c r="G68" i="8"/>
  <c r="R67" i="8"/>
  <c r="Q67" i="8"/>
  <c r="O67" i="8"/>
  <c r="N67" i="8"/>
  <c r="L67" i="8"/>
  <c r="K67" i="8"/>
  <c r="I67" i="8"/>
  <c r="H67" i="8"/>
  <c r="F67" i="8"/>
  <c r="E67" i="8"/>
  <c r="U66" i="8"/>
  <c r="T66" i="8"/>
  <c r="S66" i="8"/>
  <c r="P66" i="8"/>
  <c r="M66" i="8"/>
  <c r="J66" i="8"/>
  <c r="G66" i="8"/>
  <c r="U64" i="8"/>
  <c r="T64" i="8"/>
  <c r="S64" i="8"/>
  <c r="P64" i="8"/>
  <c r="M64" i="8"/>
  <c r="J64" i="8"/>
  <c r="G64" i="8"/>
  <c r="U63" i="8"/>
  <c r="T63" i="8"/>
  <c r="S63" i="8"/>
  <c r="P63" i="8"/>
  <c r="J63" i="8"/>
  <c r="G63" i="8"/>
  <c r="U62" i="8"/>
  <c r="T62" i="8"/>
  <c r="S62" i="8"/>
  <c r="P62" i="8"/>
  <c r="M62" i="8"/>
  <c r="J62" i="8"/>
  <c r="G62" i="8"/>
  <c r="R58" i="8"/>
  <c r="Q58" i="8"/>
  <c r="O58" i="8"/>
  <c r="N58" i="8"/>
  <c r="L58" i="8"/>
  <c r="K58" i="8"/>
  <c r="I58" i="8"/>
  <c r="H58" i="8"/>
  <c r="F58" i="8"/>
  <c r="E58" i="8"/>
  <c r="U57" i="8"/>
  <c r="T57" i="8"/>
  <c r="S57" i="8"/>
  <c r="P57" i="8"/>
  <c r="M57" i="8"/>
  <c r="J57" i="8"/>
  <c r="G57" i="8"/>
  <c r="U56" i="8"/>
  <c r="T56" i="8"/>
  <c r="S56" i="8"/>
  <c r="J56" i="8"/>
  <c r="G56" i="8"/>
  <c r="U55" i="8"/>
  <c r="T55" i="8"/>
  <c r="S55" i="8"/>
  <c r="P55" i="8"/>
  <c r="M55" i="8"/>
  <c r="J55" i="8"/>
  <c r="G55" i="8"/>
  <c r="U54" i="8"/>
  <c r="T54" i="8"/>
  <c r="S54" i="8"/>
  <c r="P54" i="8"/>
  <c r="J54" i="8"/>
  <c r="G54" i="8"/>
  <c r="R53" i="8"/>
  <c r="Q53" i="8"/>
  <c r="O53" i="8"/>
  <c r="N53" i="8"/>
  <c r="L53" i="8"/>
  <c r="K53" i="8"/>
  <c r="I53" i="8"/>
  <c r="H53" i="8"/>
  <c r="F53" i="8"/>
  <c r="E53" i="8"/>
  <c r="U52" i="8"/>
  <c r="T52" i="8"/>
  <c r="S52" i="8"/>
  <c r="J52" i="8"/>
  <c r="G52" i="8"/>
  <c r="U51" i="8"/>
  <c r="T51" i="8"/>
  <c r="S51" i="8"/>
  <c r="P51" i="8"/>
  <c r="M51" i="8"/>
  <c r="J51" i="8"/>
  <c r="G51" i="8"/>
  <c r="U50" i="8"/>
  <c r="T50" i="8"/>
  <c r="S50" i="8"/>
  <c r="P50" i="8"/>
  <c r="J50" i="8"/>
  <c r="G50" i="8"/>
  <c r="U49" i="8"/>
  <c r="T49" i="8"/>
  <c r="S49" i="8"/>
  <c r="P49" i="8"/>
  <c r="M49" i="8"/>
  <c r="J49" i="8"/>
  <c r="G49" i="8"/>
  <c r="U46" i="8"/>
  <c r="T46" i="8"/>
  <c r="S46" i="8"/>
  <c r="P46" i="8"/>
  <c r="M46" i="8"/>
  <c r="J46" i="8"/>
  <c r="G46" i="8"/>
  <c r="U45" i="8"/>
  <c r="T45" i="8"/>
  <c r="S45" i="8"/>
  <c r="P45" i="8"/>
  <c r="M45" i="8"/>
  <c r="J45" i="8"/>
  <c r="G45" i="8"/>
  <c r="U44" i="8"/>
  <c r="T44" i="8"/>
  <c r="S44" i="8"/>
  <c r="G44" i="8"/>
  <c r="U43" i="8"/>
  <c r="T43" i="8"/>
  <c r="S43" i="8"/>
  <c r="P43" i="8"/>
  <c r="M43" i="8"/>
  <c r="J43" i="8"/>
  <c r="G43" i="8"/>
  <c r="R38" i="8"/>
  <c r="Q38" i="8"/>
  <c r="O38" i="8"/>
  <c r="N38" i="8"/>
  <c r="L38" i="8"/>
  <c r="K38" i="8"/>
  <c r="I38" i="8"/>
  <c r="H38" i="8"/>
  <c r="F38" i="8"/>
  <c r="E38" i="8"/>
  <c r="U37" i="8"/>
  <c r="T37" i="8"/>
  <c r="S37" i="8"/>
  <c r="P37" i="8"/>
  <c r="M37" i="8"/>
  <c r="J37" i="8"/>
  <c r="G37" i="8"/>
  <c r="U36" i="8"/>
  <c r="T36" i="8"/>
  <c r="S36" i="8"/>
  <c r="P36" i="8"/>
  <c r="M36" i="8"/>
  <c r="J36" i="8"/>
  <c r="G36" i="8"/>
  <c r="U35" i="8"/>
  <c r="T35" i="8"/>
  <c r="S35" i="8"/>
  <c r="P35" i="8"/>
  <c r="J35" i="8"/>
  <c r="G35" i="8"/>
  <c r="U34" i="8"/>
  <c r="T34" i="8"/>
  <c r="S34" i="8"/>
  <c r="J34" i="8"/>
  <c r="G34" i="8"/>
  <c r="R33" i="8"/>
  <c r="Q33" i="8"/>
  <c r="O33" i="8"/>
  <c r="N33" i="8"/>
  <c r="L33" i="8"/>
  <c r="K33" i="8"/>
  <c r="I33" i="8"/>
  <c r="H33" i="8"/>
  <c r="F33" i="8"/>
  <c r="E33" i="8"/>
  <c r="U32" i="8"/>
  <c r="T32" i="8"/>
  <c r="S32" i="8"/>
  <c r="J32" i="8"/>
  <c r="G32" i="8"/>
  <c r="U31" i="8"/>
  <c r="T31" i="8"/>
  <c r="S31" i="8"/>
  <c r="P31" i="8"/>
  <c r="J31" i="8"/>
  <c r="G31" i="8"/>
  <c r="U30" i="8"/>
  <c r="T30" i="8"/>
  <c r="S30" i="8"/>
  <c r="P30" i="8"/>
  <c r="M30" i="8"/>
  <c r="J30" i="8"/>
  <c r="G30" i="8"/>
  <c r="U29" i="8"/>
  <c r="T29" i="8"/>
  <c r="S29" i="8"/>
  <c r="M29" i="8"/>
  <c r="J29" i="8"/>
  <c r="G29" i="8"/>
  <c r="U28" i="8"/>
  <c r="T28" i="8"/>
  <c r="S28" i="8"/>
  <c r="P28" i="8"/>
  <c r="J28" i="8"/>
  <c r="G28" i="8"/>
  <c r="R27" i="8"/>
  <c r="Q27" i="8"/>
  <c r="O27" i="8"/>
  <c r="N27" i="8"/>
  <c r="L27" i="8"/>
  <c r="K27" i="8"/>
  <c r="I27" i="8"/>
  <c r="H27" i="8"/>
  <c r="F27" i="8"/>
  <c r="E27" i="8"/>
  <c r="U26" i="8"/>
  <c r="T26" i="8"/>
  <c r="S26" i="8"/>
  <c r="P26" i="8"/>
  <c r="J26" i="8"/>
  <c r="G26" i="8"/>
  <c r="U25" i="8"/>
  <c r="T25" i="8"/>
  <c r="S25" i="8"/>
  <c r="P25" i="8"/>
  <c r="M25" i="8"/>
  <c r="J25" i="8"/>
  <c r="G25" i="8"/>
  <c r="U24" i="8"/>
  <c r="T24" i="8"/>
  <c r="S24" i="8"/>
  <c r="P24" i="8"/>
  <c r="M24" i="8"/>
  <c r="J24" i="8"/>
  <c r="G24" i="8"/>
  <c r="U23" i="8"/>
  <c r="T23" i="8"/>
  <c r="S23" i="8"/>
  <c r="M23" i="8"/>
  <c r="J23" i="8"/>
  <c r="G23" i="8"/>
  <c r="R19" i="8"/>
  <c r="Q19" i="8"/>
  <c r="O19" i="8"/>
  <c r="N19" i="8"/>
  <c r="L19" i="8"/>
  <c r="K19" i="8"/>
  <c r="I19" i="8"/>
  <c r="H19" i="8"/>
  <c r="F19" i="8"/>
  <c r="E19" i="8"/>
  <c r="U18" i="8"/>
  <c r="T18" i="8"/>
  <c r="S18" i="8"/>
  <c r="M18" i="8"/>
  <c r="J18" i="8"/>
  <c r="G18" i="8"/>
  <c r="U17" i="8"/>
  <c r="T17" i="8"/>
  <c r="S17" i="8"/>
  <c r="P17" i="8"/>
  <c r="J17" i="8"/>
  <c r="G17" i="8"/>
  <c r="U16" i="8"/>
  <c r="T16" i="8"/>
  <c r="S16" i="8"/>
  <c r="P16" i="8"/>
  <c r="M16" i="8"/>
  <c r="J16" i="8"/>
  <c r="G16" i="8"/>
  <c r="U15" i="8"/>
  <c r="T15" i="8"/>
  <c r="S15" i="8"/>
  <c r="P15" i="8"/>
  <c r="J15" i="8"/>
  <c r="G15" i="8"/>
  <c r="R14" i="8"/>
  <c r="Q14" i="8"/>
  <c r="O14" i="8"/>
  <c r="N14" i="8"/>
  <c r="M14" i="8"/>
  <c r="I14" i="8"/>
  <c r="H14" i="8"/>
  <c r="F14" i="8"/>
  <c r="E14" i="8"/>
  <c r="U13" i="8"/>
  <c r="T13" i="8"/>
  <c r="S13" i="8"/>
  <c r="J13" i="8"/>
  <c r="U12" i="8"/>
  <c r="T12" i="8"/>
  <c r="S12" i="8"/>
  <c r="J12" i="8"/>
  <c r="G12" i="8"/>
  <c r="U11" i="8"/>
  <c r="T11" i="8"/>
  <c r="S11" i="8"/>
  <c r="P11" i="8"/>
  <c r="J11" i="8"/>
  <c r="G11" i="8"/>
  <c r="U10" i="8"/>
  <c r="T10" i="8"/>
  <c r="S10" i="8"/>
  <c r="P10" i="8"/>
  <c r="J10" i="8"/>
  <c r="G10" i="8"/>
  <c r="L9" i="8"/>
  <c r="K9" i="8"/>
  <c r="S7" i="8"/>
  <c r="J7" i="8"/>
  <c r="G7" i="8"/>
  <c r="S6" i="8"/>
  <c r="J6" i="8"/>
  <c r="S5" i="8"/>
  <c r="J5" i="8"/>
  <c r="G5" i="8"/>
  <c r="S4" i="8"/>
  <c r="J4" i="8"/>
  <c r="G4" i="8"/>
  <c r="N16" i="5"/>
  <c r="M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J16" i="5"/>
  <c r="I16" i="5"/>
  <c r="K15" i="5"/>
  <c r="K14" i="5"/>
  <c r="K13" i="5"/>
  <c r="K12" i="5"/>
  <c r="K11" i="5"/>
  <c r="K10" i="5"/>
  <c r="K9" i="5"/>
  <c r="K8" i="5"/>
  <c r="K7" i="5"/>
  <c r="K6" i="5"/>
  <c r="K5" i="5"/>
  <c r="K4" i="5"/>
  <c r="F16" i="5"/>
  <c r="E16" i="5"/>
  <c r="G16" i="5" s="1"/>
  <c r="G15" i="5"/>
  <c r="G14" i="5"/>
  <c r="G13" i="5"/>
  <c r="G12" i="5"/>
  <c r="G11" i="5"/>
  <c r="G10" i="5"/>
  <c r="G9" i="5"/>
  <c r="G8" i="5"/>
  <c r="G7" i="5"/>
  <c r="G6" i="5"/>
  <c r="G5" i="5"/>
  <c r="G4" i="5"/>
  <c r="G3" i="5"/>
  <c r="B16" i="5"/>
  <c r="A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O33" i="7"/>
  <c r="N33" i="7"/>
  <c r="P33" i="7" s="1"/>
  <c r="S15" i="7"/>
  <c r="S64" i="7"/>
  <c r="G71" i="7"/>
  <c r="S76" i="7"/>
  <c r="S75" i="7"/>
  <c r="S73" i="7"/>
  <c r="S70" i="7"/>
  <c r="S69" i="7"/>
  <c r="S68" i="7"/>
  <c r="P51" i="7"/>
  <c r="J51" i="7"/>
  <c r="R77" i="7"/>
  <c r="Q77" i="7"/>
  <c r="O77" i="7"/>
  <c r="N77" i="7"/>
  <c r="L77" i="7"/>
  <c r="K77" i="7"/>
  <c r="I77" i="7"/>
  <c r="H77" i="7"/>
  <c r="F77" i="7"/>
  <c r="E77" i="7"/>
  <c r="U76" i="7"/>
  <c r="T76" i="7"/>
  <c r="P76" i="7"/>
  <c r="M76" i="7"/>
  <c r="J76" i="7"/>
  <c r="G76" i="7"/>
  <c r="U75" i="7"/>
  <c r="T75" i="7"/>
  <c r="P75" i="7"/>
  <c r="M75" i="7"/>
  <c r="J75" i="7"/>
  <c r="G75" i="7"/>
  <c r="U74" i="7"/>
  <c r="T74" i="7"/>
  <c r="S74" i="7"/>
  <c r="P74" i="7"/>
  <c r="M74" i="7"/>
  <c r="J74" i="7"/>
  <c r="G74" i="7"/>
  <c r="U73" i="7"/>
  <c r="T73" i="7"/>
  <c r="X74" i="7" s="1"/>
  <c r="P73" i="7"/>
  <c r="M73" i="7"/>
  <c r="J73" i="7"/>
  <c r="G73" i="7"/>
  <c r="R72" i="7"/>
  <c r="Q72" i="7"/>
  <c r="O72" i="7"/>
  <c r="N72" i="7"/>
  <c r="L72" i="7"/>
  <c r="K72" i="7"/>
  <c r="I72" i="7"/>
  <c r="H72" i="7"/>
  <c r="F72" i="7"/>
  <c r="E72" i="7"/>
  <c r="U71" i="7"/>
  <c r="T71" i="7"/>
  <c r="S71" i="7"/>
  <c r="P71" i="7"/>
  <c r="M71" i="7"/>
  <c r="J71" i="7"/>
  <c r="U70" i="7"/>
  <c r="T70" i="7"/>
  <c r="P70" i="7"/>
  <c r="M70" i="7"/>
  <c r="J70" i="7"/>
  <c r="G70" i="7"/>
  <c r="U69" i="7"/>
  <c r="T69" i="7"/>
  <c r="P69" i="7"/>
  <c r="M69" i="7"/>
  <c r="J69" i="7"/>
  <c r="G69" i="7"/>
  <c r="U68" i="7"/>
  <c r="T68" i="7"/>
  <c r="P68" i="7"/>
  <c r="M68" i="7"/>
  <c r="J68" i="7"/>
  <c r="G68" i="7"/>
  <c r="U67" i="7"/>
  <c r="T67" i="7"/>
  <c r="S67" i="7"/>
  <c r="P67" i="7"/>
  <c r="M67" i="7"/>
  <c r="J67" i="7"/>
  <c r="G67" i="7"/>
  <c r="R66" i="7"/>
  <c r="O66" i="7"/>
  <c r="L66" i="7"/>
  <c r="K66" i="7"/>
  <c r="I66" i="7"/>
  <c r="J66" i="7" s="1"/>
  <c r="F66" i="7"/>
  <c r="U65" i="7"/>
  <c r="T65" i="7"/>
  <c r="S65" i="7"/>
  <c r="P65" i="7"/>
  <c r="M65" i="7"/>
  <c r="J65" i="7"/>
  <c r="G65" i="7"/>
  <c r="U64" i="7"/>
  <c r="T64" i="7"/>
  <c r="P64" i="7"/>
  <c r="M64" i="7"/>
  <c r="J64" i="7"/>
  <c r="G64" i="7"/>
  <c r="U63" i="7"/>
  <c r="T63" i="7"/>
  <c r="S63" i="7"/>
  <c r="P63" i="7"/>
  <c r="M63" i="7"/>
  <c r="J63" i="7"/>
  <c r="G63" i="7"/>
  <c r="U62" i="7"/>
  <c r="T62" i="7"/>
  <c r="S62" i="7"/>
  <c r="P62" i="7"/>
  <c r="M62" i="7"/>
  <c r="J62" i="7"/>
  <c r="G62" i="7"/>
  <c r="R58" i="7"/>
  <c r="Q58" i="7"/>
  <c r="O58" i="7"/>
  <c r="N58" i="7"/>
  <c r="L58" i="7"/>
  <c r="K58" i="7"/>
  <c r="I58" i="7"/>
  <c r="H58" i="7"/>
  <c r="F58" i="7"/>
  <c r="E58" i="7"/>
  <c r="U57" i="7"/>
  <c r="T57" i="7"/>
  <c r="S57" i="7"/>
  <c r="P57" i="7"/>
  <c r="M57" i="7"/>
  <c r="J57" i="7"/>
  <c r="G57" i="7"/>
  <c r="U56" i="7"/>
  <c r="T56" i="7"/>
  <c r="S56" i="7"/>
  <c r="P56" i="7"/>
  <c r="M56" i="7"/>
  <c r="J56" i="7"/>
  <c r="G56" i="7"/>
  <c r="U55" i="7"/>
  <c r="T55" i="7"/>
  <c r="S55" i="7"/>
  <c r="P55" i="7"/>
  <c r="M55" i="7"/>
  <c r="J55" i="7"/>
  <c r="G55" i="7"/>
  <c r="U54" i="7"/>
  <c r="T54" i="7"/>
  <c r="S54" i="7"/>
  <c r="P54" i="7"/>
  <c r="M54" i="7"/>
  <c r="J54" i="7"/>
  <c r="G54" i="7"/>
  <c r="R53" i="7"/>
  <c r="Q53" i="7"/>
  <c r="O53" i="7"/>
  <c r="N53" i="7"/>
  <c r="L53" i="7"/>
  <c r="K53" i="7"/>
  <c r="M53" i="7" s="1"/>
  <c r="I53" i="7"/>
  <c r="H53" i="7"/>
  <c r="F53" i="7"/>
  <c r="E53" i="7"/>
  <c r="U52" i="7"/>
  <c r="T52" i="7"/>
  <c r="S52" i="7"/>
  <c r="M52" i="7"/>
  <c r="J52" i="7"/>
  <c r="G52" i="7"/>
  <c r="U51" i="7"/>
  <c r="T51" i="7"/>
  <c r="S51" i="7"/>
  <c r="M51" i="7"/>
  <c r="G51" i="7"/>
  <c r="U50" i="7"/>
  <c r="T50" i="7"/>
  <c r="S50" i="7"/>
  <c r="P50" i="7"/>
  <c r="M50" i="7"/>
  <c r="J50" i="7"/>
  <c r="G50" i="7"/>
  <c r="U49" i="7"/>
  <c r="T49" i="7"/>
  <c r="S49" i="7"/>
  <c r="P49" i="7"/>
  <c r="M49" i="7"/>
  <c r="J49" i="7"/>
  <c r="G49" i="7"/>
  <c r="U48" i="7"/>
  <c r="T48" i="7"/>
  <c r="S48" i="7"/>
  <c r="P48" i="7"/>
  <c r="M48" i="7"/>
  <c r="J48" i="7"/>
  <c r="G48" i="7"/>
  <c r="R47" i="7"/>
  <c r="Q47" i="7"/>
  <c r="O47" i="7"/>
  <c r="N47" i="7"/>
  <c r="L47" i="7"/>
  <c r="K47" i="7"/>
  <c r="I47" i="7"/>
  <c r="H47" i="7"/>
  <c r="F47" i="7"/>
  <c r="E47" i="7"/>
  <c r="U46" i="7"/>
  <c r="T46" i="7"/>
  <c r="S46" i="7"/>
  <c r="P46" i="7"/>
  <c r="M46" i="7"/>
  <c r="J46" i="7"/>
  <c r="G46" i="7"/>
  <c r="U45" i="7"/>
  <c r="T45" i="7"/>
  <c r="S45" i="7"/>
  <c r="P45" i="7"/>
  <c r="M45" i="7"/>
  <c r="J45" i="7"/>
  <c r="G45" i="7"/>
  <c r="U44" i="7"/>
  <c r="T44" i="7"/>
  <c r="S44" i="7"/>
  <c r="P44" i="7"/>
  <c r="M44" i="7"/>
  <c r="J44" i="7"/>
  <c r="G44" i="7"/>
  <c r="U43" i="7"/>
  <c r="T43" i="7"/>
  <c r="S43" i="7"/>
  <c r="P43" i="7"/>
  <c r="M43" i="7"/>
  <c r="J43" i="7"/>
  <c r="G43" i="7"/>
  <c r="R38" i="7"/>
  <c r="Q38" i="7"/>
  <c r="O38" i="7"/>
  <c r="N38" i="7"/>
  <c r="L38" i="7"/>
  <c r="K38" i="7"/>
  <c r="M38" i="7" s="1"/>
  <c r="I38" i="7"/>
  <c r="H38" i="7"/>
  <c r="F38" i="7"/>
  <c r="E38" i="7"/>
  <c r="U37" i="7"/>
  <c r="T37" i="7"/>
  <c r="S37" i="7"/>
  <c r="P37" i="7"/>
  <c r="M37" i="7"/>
  <c r="J37" i="7"/>
  <c r="G37" i="7"/>
  <c r="U36" i="7"/>
  <c r="T36" i="7"/>
  <c r="S36" i="7"/>
  <c r="P36" i="7"/>
  <c r="M36" i="7"/>
  <c r="J36" i="7"/>
  <c r="G36" i="7"/>
  <c r="U35" i="7"/>
  <c r="T35" i="7"/>
  <c r="S35" i="7"/>
  <c r="P35" i="7"/>
  <c r="M35" i="7"/>
  <c r="J35" i="7"/>
  <c r="G35" i="7"/>
  <c r="U34" i="7"/>
  <c r="T34" i="7"/>
  <c r="S34" i="7"/>
  <c r="M34" i="7"/>
  <c r="J34" i="7"/>
  <c r="G34" i="7"/>
  <c r="R33" i="7"/>
  <c r="Q33" i="7"/>
  <c r="L33" i="7"/>
  <c r="K33" i="7"/>
  <c r="I33" i="7"/>
  <c r="H33" i="7"/>
  <c r="F33" i="7"/>
  <c r="E33" i="7"/>
  <c r="U32" i="7"/>
  <c r="T32" i="7"/>
  <c r="S32" i="7"/>
  <c r="M32" i="7"/>
  <c r="J32" i="7"/>
  <c r="G32" i="7"/>
  <c r="U31" i="7"/>
  <c r="T31" i="7"/>
  <c r="S31" i="7"/>
  <c r="P31" i="7"/>
  <c r="M31" i="7"/>
  <c r="J31" i="7"/>
  <c r="G31" i="7"/>
  <c r="U30" i="7"/>
  <c r="T30" i="7"/>
  <c r="S30" i="7"/>
  <c r="P30" i="7"/>
  <c r="M30" i="7"/>
  <c r="J30" i="7"/>
  <c r="G30" i="7"/>
  <c r="U29" i="7"/>
  <c r="T29" i="7"/>
  <c r="S29" i="7"/>
  <c r="M29" i="7"/>
  <c r="J29" i="7"/>
  <c r="G29" i="7"/>
  <c r="U28" i="7"/>
  <c r="T28" i="7"/>
  <c r="S28" i="7"/>
  <c r="P28" i="7"/>
  <c r="M28" i="7"/>
  <c r="J28" i="7"/>
  <c r="G28" i="7"/>
  <c r="R27" i="7"/>
  <c r="Q27" i="7"/>
  <c r="O27" i="7"/>
  <c r="N27" i="7"/>
  <c r="L27" i="7"/>
  <c r="K27" i="7"/>
  <c r="I27" i="7"/>
  <c r="H27" i="7"/>
  <c r="F27" i="7"/>
  <c r="E27" i="7"/>
  <c r="U26" i="7"/>
  <c r="T26" i="7"/>
  <c r="S26" i="7"/>
  <c r="P26" i="7"/>
  <c r="M26" i="7"/>
  <c r="J26" i="7"/>
  <c r="G26" i="7"/>
  <c r="U25" i="7"/>
  <c r="T25" i="7"/>
  <c r="S25" i="7"/>
  <c r="P25" i="7"/>
  <c r="M25" i="7"/>
  <c r="J25" i="7"/>
  <c r="G25" i="7"/>
  <c r="U24" i="7"/>
  <c r="T24" i="7"/>
  <c r="S24" i="7"/>
  <c r="P24" i="7"/>
  <c r="M24" i="7"/>
  <c r="J24" i="7"/>
  <c r="G24" i="7"/>
  <c r="U23" i="7"/>
  <c r="T23" i="7"/>
  <c r="S23" i="7"/>
  <c r="P23" i="7"/>
  <c r="M23" i="7"/>
  <c r="J23" i="7"/>
  <c r="G23" i="7"/>
  <c r="R19" i="7"/>
  <c r="Q19" i="7"/>
  <c r="O19" i="7"/>
  <c r="N19" i="7"/>
  <c r="L19" i="7"/>
  <c r="K19" i="7"/>
  <c r="I19" i="7"/>
  <c r="H19" i="7"/>
  <c r="F19" i="7"/>
  <c r="E19" i="7"/>
  <c r="U18" i="7"/>
  <c r="T18" i="7"/>
  <c r="S18" i="7"/>
  <c r="P18" i="7"/>
  <c r="M18" i="7"/>
  <c r="J18" i="7"/>
  <c r="G18" i="7"/>
  <c r="U17" i="7"/>
  <c r="T17" i="7"/>
  <c r="S17" i="7"/>
  <c r="M17" i="7"/>
  <c r="J17" i="7"/>
  <c r="G17" i="7"/>
  <c r="U16" i="7"/>
  <c r="T16" i="7"/>
  <c r="S16" i="7"/>
  <c r="P16" i="7"/>
  <c r="M16" i="7"/>
  <c r="J16" i="7"/>
  <c r="G16" i="7"/>
  <c r="U15" i="7"/>
  <c r="T15" i="7"/>
  <c r="P15" i="7"/>
  <c r="M15" i="7"/>
  <c r="J15" i="7"/>
  <c r="G15" i="7"/>
  <c r="U14" i="7"/>
  <c r="T14" i="7"/>
  <c r="S14" i="7"/>
  <c r="P14" i="7"/>
  <c r="M14" i="7"/>
  <c r="J14" i="7"/>
  <c r="G14" i="7"/>
  <c r="R13" i="7"/>
  <c r="Q13" i="7"/>
  <c r="O13" i="7"/>
  <c r="N13" i="7"/>
  <c r="M13" i="7"/>
  <c r="I13" i="7"/>
  <c r="H13" i="7"/>
  <c r="F13" i="7"/>
  <c r="E13" i="7"/>
  <c r="U12" i="7"/>
  <c r="T12" i="7"/>
  <c r="S12" i="7"/>
  <c r="M12" i="7"/>
  <c r="J12" i="7"/>
  <c r="G12" i="7"/>
  <c r="U11" i="7"/>
  <c r="T11" i="7"/>
  <c r="S11" i="7"/>
  <c r="P11" i="7"/>
  <c r="M11" i="7"/>
  <c r="J11" i="7"/>
  <c r="G11" i="7"/>
  <c r="U10" i="7"/>
  <c r="T10" i="7"/>
  <c r="S10" i="7"/>
  <c r="P10" i="7"/>
  <c r="M10" i="7"/>
  <c r="J10" i="7"/>
  <c r="G10" i="7"/>
  <c r="U9" i="7"/>
  <c r="T9" i="7"/>
  <c r="S9" i="7"/>
  <c r="P9" i="7"/>
  <c r="M9" i="7"/>
  <c r="J9" i="7"/>
  <c r="G9" i="7"/>
  <c r="R8" i="7"/>
  <c r="Q8" i="7"/>
  <c r="O8" i="7"/>
  <c r="N8" i="7"/>
  <c r="L8" i="7"/>
  <c r="K8" i="7"/>
  <c r="I8" i="7"/>
  <c r="H8" i="7"/>
  <c r="F8" i="7"/>
  <c r="E8" i="7"/>
  <c r="U7" i="7"/>
  <c r="T7" i="7"/>
  <c r="S7" i="7"/>
  <c r="M7" i="7"/>
  <c r="J7" i="7"/>
  <c r="G7" i="7"/>
  <c r="U6" i="7"/>
  <c r="T6" i="7"/>
  <c r="S6" i="7"/>
  <c r="M6" i="7"/>
  <c r="J6" i="7"/>
  <c r="U5" i="7"/>
  <c r="T5" i="7"/>
  <c r="S5" i="7"/>
  <c r="M5" i="7"/>
  <c r="J5" i="7"/>
  <c r="G5" i="7"/>
  <c r="U4" i="7"/>
  <c r="T4" i="7"/>
  <c r="S4" i="7"/>
  <c r="M4" i="7"/>
  <c r="J4" i="7"/>
  <c r="G4" i="7"/>
  <c r="S65" i="6"/>
  <c r="U49" i="6"/>
  <c r="T49" i="6"/>
  <c r="P34" i="6"/>
  <c r="J34" i="6"/>
  <c r="S46" i="6"/>
  <c r="S45" i="6"/>
  <c r="S44" i="6"/>
  <c r="S43" i="6"/>
  <c r="S37" i="6"/>
  <c r="S36" i="6"/>
  <c r="S35" i="6"/>
  <c r="S34" i="6"/>
  <c r="S18" i="6"/>
  <c r="S17" i="6"/>
  <c r="S16" i="6"/>
  <c r="S14" i="6"/>
  <c r="S12" i="6"/>
  <c r="S11" i="6"/>
  <c r="S10" i="6"/>
  <c r="S9" i="6"/>
  <c r="S7" i="6"/>
  <c r="S6" i="6"/>
  <c r="S4" i="6"/>
  <c r="M76" i="6"/>
  <c r="M75" i="6"/>
  <c r="M74" i="6"/>
  <c r="M73" i="6"/>
  <c r="M71" i="6"/>
  <c r="M70" i="6"/>
  <c r="M69" i="6"/>
  <c r="M68" i="6"/>
  <c r="M67" i="6"/>
  <c r="M65" i="6"/>
  <c r="M64" i="6"/>
  <c r="M63" i="6"/>
  <c r="M62" i="6"/>
  <c r="M57" i="6"/>
  <c r="M56" i="6"/>
  <c r="M55" i="6"/>
  <c r="M54" i="6"/>
  <c r="M52" i="6"/>
  <c r="M51" i="6"/>
  <c r="M50" i="6"/>
  <c r="M49" i="6"/>
  <c r="M48" i="6"/>
  <c r="M46" i="6"/>
  <c r="M45" i="6"/>
  <c r="M44" i="6"/>
  <c r="M43" i="6"/>
  <c r="M37" i="6"/>
  <c r="M36" i="6"/>
  <c r="M35" i="6"/>
  <c r="M34" i="6"/>
  <c r="M32" i="6"/>
  <c r="M31" i="6"/>
  <c r="M30" i="6"/>
  <c r="M29" i="6"/>
  <c r="M28" i="6"/>
  <c r="M23" i="6"/>
  <c r="M18" i="6"/>
  <c r="G37" i="6"/>
  <c r="G36" i="6"/>
  <c r="G35" i="6"/>
  <c r="G34" i="6"/>
  <c r="G32" i="6"/>
  <c r="G31" i="6"/>
  <c r="G30" i="6"/>
  <c r="G29" i="6"/>
  <c r="G28" i="6"/>
  <c r="G26" i="6"/>
  <c r="G25" i="6"/>
  <c r="G24" i="6"/>
  <c r="G23" i="6"/>
  <c r="G18" i="6"/>
  <c r="G17" i="6"/>
  <c r="G16" i="6"/>
  <c r="G15" i="6"/>
  <c r="G14" i="6"/>
  <c r="G12" i="6"/>
  <c r="G11" i="6"/>
  <c r="G10" i="6"/>
  <c r="G9" i="6"/>
  <c r="G6" i="6"/>
  <c r="G5" i="6"/>
  <c r="G4" i="6"/>
  <c r="G76" i="6"/>
  <c r="G75" i="6"/>
  <c r="G74" i="6"/>
  <c r="G73" i="6"/>
  <c r="M4" i="6"/>
  <c r="M5" i="6"/>
  <c r="M6" i="6"/>
  <c r="M7" i="6"/>
  <c r="K8" i="6"/>
  <c r="L8" i="6"/>
  <c r="M9" i="6"/>
  <c r="M10" i="6"/>
  <c r="M11" i="6"/>
  <c r="M12" i="6"/>
  <c r="M13" i="6"/>
  <c r="M14" i="6"/>
  <c r="M15" i="6"/>
  <c r="M16" i="6"/>
  <c r="M17" i="6"/>
  <c r="K19" i="6"/>
  <c r="L19" i="6"/>
  <c r="M24" i="6"/>
  <c r="M25" i="6"/>
  <c r="M26" i="6"/>
  <c r="K27" i="6"/>
  <c r="L27" i="6"/>
  <c r="K33" i="6"/>
  <c r="L33" i="6"/>
  <c r="K38" i="6"/>
  <c r="L38" i="6"/>
  <c r="K47" i="6"/>
  <c r="L47" i="6"/>
  <c r="K53" i="6"/>
  <c r="L53" i="6"/>
  <c r="K58" i="6"/>
  <c r="L58" i="6"/>
  <c r="K66" i="6"/>
  <c r="L66" i="6"/>
  <c r="K72" i="6"/>
  <c r="L72" i="6"/>
  <c r="K77" i="6"/>
  <c r="L77" i="6"/>
  <c r="L78" i="6" s="1"/>
  <c r="R77" i="6"/>
  <c r="Q77" i="6"/>
  <c r="O77" i="6"/>
  <c r="N77" i="6"/>
  <c r="I77" i="6"/>
  <c r="H77" i="6"/>
  <c r="F77" i="6"/>
  <c r="E77" i="6"/>
  <c r="U76" i="6"/>
  <c r="T76" i="6"/>
  <c r="P76" i="6"/>
  <c r="J76" i="6"/>
  <c r="U75" i="6"/>
  <c r="T75" i="6"/>
  <c r="P75" i="6"/>
  <c r="J75" i="6"/>
  <c r="U74" i="6"/>
  <c r="T74" i="6"/>
  <c r="S74" i="6"/>
  <c r="P74" i="6"/>
  <c r="J74" i="6"/>
  <c r="U73" i="6"/>
  <c r="T73" i="6"/>
  <c r="P73" i="6"/>
  <c r="J73" i="6"/>
  <c r="R72" i="6"/>
  <c r="Q72" i="6"/>
  <c r="O72" i="6"/>
  <c r="N72" i="6"/>
  <c r="I72" i="6"/>
  <c r="H72" i="6"/>
  <c r="F72" i="6"/>
  <c r="E72" i="6"/>
  <c r="U71" i="6"/>
  <c r="T71" i="6"/>
  <c r="S71" i="6"/>
  <c r="P71" i="6"/>
  <c r="J71" i="6"/>
  <c r="U70" i="6"/>
  <c r="T70" i="6"/>
  <c r="P70" i="6"/>
  <c r="J70" i="6"/>
  <c r="G70" i="6"/>
  <c r="U69" i="6"/>
  <c r="T69" i="6"/>
  <c r="P69" i="6"/>
  <c r="J69" i="6"/>
  <c r="G69" i="6"/>
  <c r="U68" i="6"/>
  <c r="T68" i="6"/>
  <c r="P68" i="6"/>
  <c r="J68" i="6"/>
  <c r="G68" i="6"/>
  <c r="U67" i="6"/>
  <c r="T67" i="6"/>
  <c r="S67" i="6"/>
  <c r="P67" i="6"/>
  <c r="J67" i="6"/>
  <c r="G67" i="6"/>
  <c r="R66" i="6"/>
  <c r="Q66" i="6"/>
  <c r="O66" i="6"/>
  <c r="N66" i="6"/>
  <c r="I66" i="6"/>
  <c r="H66" i="6"/>
  <c r="F66" i="6"/>
  <c r="E66" i="6"/>
  <c r="U65" i="6"/>
  <c r="T65" i="6"/>
  <c r="P65" i="6"/>
  <c r="J65" i="6"/>
  <c r="G65" i="6"/>
  <c r="U64" i="6"/>
  <c r="T64" i="6"/>
  <c r="P64" i="6"/>
  <c r="J64" i="6"/>
  <c r="G64" i="6"/>
  <c r="U63" i="6"/>
  <c r="T63" i="6"/>
  <c r="S63" i="6"/>
  <c r="P63" i="6"/>
  <c r="J63" i="6"/>
  <c r="G63" i="6"/>
  <c r="U62" i="6"/>
  <c r="T62" i="6"/>
  <c r="S62" i="6"/>
  <c r="P62" i="6"/>
  <c r="J62" i="6"/>
  <c r="G62" i="6"/>
  <c r="R58" i="6"/>
  <c r="Q58" i="6"/>
  <c r="O58" i="6"/>
  <c r="N58" i="6"/>
  <c r="I58" i="6"/>
  <c r="H58" i="6"/>
  <c r="F58" i="6"/>
  <c r="E58" i="6"/>
  <c r="U57" i="6"/>
  <c r="T57" i="6"/>
  <c r="S57" i="6"/>
  <c r="P57" i="6"/>
  <c r="J57" i="6"/>
  <c r="G57" i="6"/>
  <c r="U56" i="6"/>
  <c r="T56" i="6"/>
  <c r="S56" i="6"/>
  <c r="P56" i="6"/>
  <c r="J56" i="6"/>
  <c r="G56" i="6"/>
  <c r="U55" i="6"/>
  <c r="T55" i="6"/>
  <c r="S55" i="6"/>
  <c r="P55" i="6"/>
  <c r="J55" i="6"/>
  <c r="G55" i="6"/>
  <c r="U54" i="6"/>
  <c r="T54" i="6"/>
  <c r="S54" i="6"/>
  <c r="P54" i="6"/>
  <c r="J54" i="6"/>
  <c r="G54" i="6"/>
  <c r="R53" i="6"/>
  <c r="Q53" i="6"/>
  <c r="O53" i="6"/>
  <c r="N53" i="6"/>
  <c r="I53" i="6"/>
  <c r="H53" i="6"/>
  <c r="F53" i="6"/>
  <c r="E53" i="6"/>
  <c r="U52" i="6"/>
  <c r="T52" i="6"/>
  <c r="S52" i="6"/>
  <c r="P52" i="6"/>
  <c r="J52" i="6"/>
  <c r="G52" i="6"/>
  <c r="U51" i="6"/>
  <c r="T51" i="6"/>
  <c r="S51" i="6"/>
  <c r="G51" i="6"/>
  <c r="U50" i="6"/>
  <c r="T50" i="6"/>
  <c r="S50" i="6"/>
  <c r="P50" i="6"/>
  <c r="J50" i="6"/>
  <c r="G50" i="6"/>
  <c r="S49" i="6"/>
  <c r="P49" i="6"/>
  <c r="J49" i="6"/>
  <c r="G49" i="6"/>
  <c r="U48" i="6"/>
  <c r="T48" i="6"/>
  <c r="S48" i="6"/>
  <c r="P48" i="6"/>
  <c r="J48" i="6"/>
  <c r="G48" i="6"/>
  <c r="R47" i="6"/>
  <c r="Q47" i="6"/>
  <c r="O47" i="6"/>
  <c r="N47" i="6"/>
  <c r="I47" i="6"/>
  <c r="H47" i="6"/>
  <c r="F47" i="6"/>
  <c r="E47" i="6"/>
  <c r="U46" i="6"/>
  <c r="T46" i="6"/>
  <c r="P46" i="6"/>
  <c r="J46" i="6"/>
  <c r="G46" i="6"/>
  <c r="U45" i="6"/>
  <c r="T45" i="6"/>
  <c r="P45" i="6"/>
  <c r="J45" i="6"/>
  <c r="G45" i="6"/>
  <c r="U44" i="6"/>
  <c r="T44" i="6"/>
  <c r="P44" i="6"/>
  <c r="J44" i="6"/>
  <c r="G44" i="6"/>
  <c r="U43" i="6"/>
  <c r="T43" i="6"/>
  <c r="P43" i="6"/>
  <c r="J43" i="6"/>
  <c r="G43" i="6"/>
  <c r="R38" i="6"/>
  <c r="Q38" i="6"/>
  <c r="O38" i="6"/>
  <c r="N38" i="6"/>
  <c r="I38" i="6"/>
  <c r="H38" i="6"/>
  <c r="F38" i="6"/>
  <c r="E38" i="6"/>
  <c r="U37" i="6"/>
  <c r="T37" i="6"/>
  <c r="P37" i="6"/>
  <c r="J37" i="6"/>
  <c r="U36" i="6"/>
  <c r="T36" i="6"/>
  <c r="P36" i="6"/>
  <c r="J36" i="6"/>
  <c r="U35" i="6"/>
  <c r="T35" i="6"/>
  <c r="P35" i="6"/>
  <c r="J35" i="6"/>
  <c r="U34" i="6"/>
  <c r="T34" i="6"/>
  <c r="R33" i="6"/>
  <c r="Q33" i="6"/>
  <c r="O33" i="6"/>
  <c r="N33" i="6"/>
  <c r="I33" i="6"/>
  <c r="H33" i="6"/>
  <c r="F33" i="6"/>
  <c r="E33" i="6"/>
  <c r="U32" i="6"/>
  <c r="T32" i="6"/>
  <c r="S32" i="6"/>
  <c r="P32" i="6"/>
  <c r="J32" i="6"/>
  <c r="U31" i="6"/>
  <c r="T31" i="6"/>
  <c r="S31" i="6"/>
  <c r="P31" i="6"/>
  <c r="J31" i="6"/>
  <c r="U30" i="6"/>
  <c r="T30" i="6"/>
  <c r="S30" i="6"/>
  <c r="P30" i="6"/>
  <c r="J30" i="6"/>
  <c r="U29" i="6"/>
  <c r="T29" i="6"/>
  <c r="S29" i="6"/>
  <c r="P29" i="6"/>
  <c r="J29" i="6"/>
  <c r="U28" i="6"/>
  <c r="T28" i="6"/>
  <c r="S28" i="6"/>
  <c r="P28" i="6"/>
  <c r="J28" i="6"/>
  <c r="R27" i="6"/>
  <c r="Q27" i="6"/>
  <c r="O27" i="6"/>
  <c r="N27" i="6"/>
  <c r="I27" i="6"/>
  <c r="H27" i="6"/>
  <c r="F27" i="6"/>
  <c r="E27" i="6"/>
  <c r="U26" i="6"/>
  <c r="T26" i="6"/>
  <c r="S26" i="6"/>
  <c r="P26" i="6"/>
  <c r="J26" i="6"/>
  <c r="U25" i="6"/>
  <c r="T25" i="6"/>
  <c r="S25" i="6"/>
  <c r="P25" i="6"/>
  <c r="J25" i="6"/>
  <c r="U24" i="6"/>
  <c r="T24" i="6"/>
  <c r="S24" i="6"/>
  <c r="P24" i="6"/>
  <c r="J24" i="6"/>
  <c r="U23" i="6"/>
  <c r="T23" i="6"/>
  <c r="S23" i="6"/>
  <c r="P23" i="6"/>
  <c r="J23" i="6"/>
  <c r="R19" i="6"/>
  <c r="Q19" i="6"/>
  <c r="O19" i="6"/>
  <c r="N19" i="6"/>
  <c r="I19" i="6"/>
  <c r="H19" i="6"/>
  <c r="F19" i="6"/>
  <c r="E19" i="6"/>
  <c r="U18" i="6"/>
  <c r="T18" i="6"/>
  <c r="P18" i="6"/>
  <c r="J18" i="6"/>
  <c r="U17" i="6"/>
  <c r="T17" i="6"/>
  <c r="P17" i="6"/>
  <c r="J17" i="6"/>
  <c r="U16" i="6"/>
  <c r="T16" i="6"/>
  <c r="P16" i="6"/>
  <c r="J16" i="6"/>
  <c r="U15" i="6"/>
  <c r="T15" i="6"/>
  <c r="P15" i="6"/>
  <c r="J15" i="6"/>
  <c r="U14" i="6"/>
  <c r="T14" i="6"/>
  <c r="P14" i="6"/>
  <c r="J14" i="6"/>
  <c r="R13" i="6"/>
  <c r="Q13" i="6"/>
  <c r="O13" i="6"/>
  <c r="N13" i="6"/>
  <c r="I13" i="6"/>
  <c r="H13" i="6"/>
  <c r="J13" i="6" s="1"/>
  <c r="F13" i="6"/>
  <c r="E13" i="6"/>
  <c r="U12" i="6"/>
  <c r="T12" i="6"/>
  <c r="P12" i="6"/>
  <c r="J12" i="6"/>
  <c r="U11" i="6"/>
  <c r="T11" i="6"/>
  <c r="P11" i="6"/>
  <c r="J11" i="6"/>
  <c r="U10" i="6"/>
  <c r="T10" i="6"/>
  <c r="P10" i="6"/>
  <c r="J10" i="6"/>
  <c r="U9" i="6"/>
  <c r="T9" i="6"/>
  <c r="P9" i="6"/>
  <c r="J9" i="6"/>
  <c r="R8" i="6"/>
  <c r="Q8" i="6"/>
  <c r="O8" i="6"/>
  <c r="N8" i="6"/>
  <c r="I8" i="6"/>
  <c r="H8" i="6"/>
  <c r="F8" i="6"/>
  <c r="E8" i="6"/>
  <c r="U7" i="6"/>
  <c r="T7" i="6"/>
  <c r="P7" i="6"/>
  <c r="J7" i="6"/>
  <c r="G7" i="6"/>
  <c r="U6" i="6"/>
  <c r="T6" i="6"/>
  <c r="P6" i="6"/>
  <c r="J6" i="6"/>
  <c r="U5" i="6"/>
  <c r="T5" i="6"/>
  <c r="S5" i="6"/>
  <c r="P5" i="6"/>
  <c r="J5" i="6"/>
  <c r="U4" i="6"/>
  <c r="T4" i="6"/>
  <c r="P4" i="6"/>
  <c r="J4" i="6"/>
  <c r="S71" i="4"/>
  <c r="P71" i="4"/>
  <c r="J71" i="4"/>
  <c r="G71" i="4"/>
  <c r="U71" i="4"/>
  <c r="T71" i="4"/>
  <c r="R72" i="4"/>
  <c r="Q72" i="4"/>
  <c r="O72" i="4"/>
  <c r="N72" i="4"/>
  <c r="L72" i="4"/>
  <c r="K72" i="4"/>
  <c r="I72" i="4"/>
  <c r="H72" i="4"/>
  <c r="F72" i="4"/>
  <c r="E72" i="4"/>
  <c r="G72" i="4" s="1"/>
  <c r="R53" i="4"/>
  <c r="Q53" i="4"/>
  <c r="O53" i="4"/>
  <c r="N53" i="4"/>
  <c r="L53" i="4"/>
  <c r="K53" i="4"/>
  <c r="I53" i="4"/>
  <c r="H53" i="4"/>
  <c r="F53" i="4"/>
  <c r="E53" i="4"/>
  <c r="U52" i="4"/>
  <c r="T52" i="4"/>
  <c r="S52" i="4"/>
  <c r="P52" i="4"/>
  <c r="J52" i="4"/>
  <c r="G52" i="4"/>
  <c r="P72" i="4" l="1"/>
  <c r="V37" i="7"/>
  <c r="V70" i="7"/>
  <c r="X37" i="8"/>
  <c r="X7" i="7"/>
  <c r="M72" i="7"/>
  <c r="V44" i="7"/>
  <c r="M47" i="7"/>
  <c r="M58" i="7"/>
  <c r="M19" i="6"/>
  <c r="X12" i="7"/>
  <c r="X26" i="8"/>
  <c r="M77" i="6"/>
  <c r="M19" i="7"/>
  <c r="M72" i="6"/>
  <c r="M33" i="6"/>
  <c r="L20" i="6"/>
  <c r="X46" i="8"/>
  <c r="X70" i="7"/>
  <c r="S72" i="4"/>
  <c r="P33" i="6"/>
  <c r="M38" i="6"/>
  <c r="X18" i="8"/>
  <c r="M8" i="6"/>
  <c r="M27" i="7"/>
  <c r="M33" i="7"/>
  <c r="X52" i="7"/>
  <c r="X57" i="7"/>
  <c r="C16" i="5"/>
  <c r="P72" i="6"/>
  <c r="X8" i="8"/>
  <c r="J72" i="4"/>
  <c r="K39" i="6"/>
  <c r="X26" i="7"/>
  <c r="X37" i="7"/>
  <c r="M66" i="7"/>
  <c r="O16" i="5"/>
  <c r="K59" i="6"/>
  <c r="X13" i="8"/>
  <c r="M72" i="4"/>
  <c r="G8" i="6"/>
  <c r="M53" i="6"/>
  <c r="G8" i="7"/>
  <c r="X32" i="7"/>
  <c r="M77" i="7"/>
  <c r="G19" i="6"/>
  <c r="V70" i="6"/>
  <c r="X18" i="7"/>
  <c r="M8" i="7"/>
  <c r="V17" i="7"/>
  <c r="P27" i="7"/>
  <c r="T66" i="7"/>
  <c r="X65" i="7"/>
  <c r="K20" i="7"/>
  <c r="V43" i="7"/>
  <c r="L59" i="7"/>
  <c r="L39" i="7"/>
  <c r="L78" i="7"/>
  <c r="X45" i="7"/>
  <c r="U48" i="8"/>
  <c r="V47" i="8"/>
  <c r="T48" i="8"/>
  <c r="S58" i="8"/>
  <c r="Q78" i="8"/>
  <c r="V23" i="8"/>
  <c r="V17" i="8"/>
  <c r="T9" i="8"/>
  <c r="U9" i="8"/>
  <c r="V12" i="8"/>
  <c r="V25" i="8"/>
  <c r="T33" i="8"/>
  <c r="V29" i="8"/>
  <c r="G48" i="8"/>
  <c r="S72" i="8"/>
  <c r="V11" i="8"/>
  <c r="V69" i="8"/>
  <c r="J72" i="8"/>
  <c r="V36" i="8"/>
  <c r="V73" i="8"/>
  <c r="K20" i="8"/>
  <c r="G27" i="8"/>
  <c r="P27" i="8"/>
  <c r="M72" i="8"/>
  <c r="L39" i="8"/>
  <c r="L59" i="8"/>
  <c r="J67" i="8"/>
  <c r="M19" i="8"/>
  <c r="J27" i="8"/>
  <c r="S27" i="8"/>
  <c r="P38" i="8"/>
  <c r="V46" i="8"/>
  <c r="U14" i="8"/>
  <c r="V8" i="8"/>
  <c r="M58" i="8"/>
  <c r="U67" i="8"/>
  <c r="F78" i="8"/>
  <c r="V26" i="8"/>
  <c r="M27" i="8"/>
  <c r="J33" i="8"/>
  <c r="M48" i="8"/>
  <c r="J53" i="8"/>
  <c r="V54" i="8"/>
  <c r="P58" i="8"/>
  <c r="V64" i="8"/>
  <c r="G72" i="8"/>
  <c r="V74" i="8"/>
  <c r="V75" i="8"/>
  <c r="O78" i="8"/>
  <c r="P14" i="8"/>
  <c r="S19" i="8"/>
  <c r="V31" i="8"/>
  <c r="M33" i="8"/>
  <c r="S38" i="8"/>
  <c r="V51" i="8"/>
  <c r="M53" i="8"/>
  <c r="U58" i="8"/>
  <c r="V55" i="8"/>
  <c r="M67" i="8"/>
  <c r="P72" i="8"/>
  <c r="V76" i="8"/>
  <c r="K78" i="8"/>
  <c r="L78" i="8"/>
  <c r="S14" i="8"/>
  <c r="L20" i="8"/>
  <c r="G33" i="8"/>
  <c r="V37" i="8"/>
  <c r="M38" i="8"/>
  <c r="V44" i="8"/>
  <c r="J48" i="8"/>
  <c r="G53" i="8"/>
  <c r="V56" i="8"/>
  <c r="V57" i="8"/>
  <c r="K59" i="8"/>
  <c r="G67" i="8"/>
  <c r="P67" i="8"/>
  <c r="E78" i="8"/>
  <c r="P77" i="8"/>
  <c r="S9" i="8"/>
  <c r="V6" i="8"/>
  <c r="V5" i="8"/>
  <c r="E20" i="8"/>
  <c r="R20" i="8"/>
  <c r="P9" i="8"/>
  <c r="V66" i="8"/>
  <c r="V68" i="8"/>
  <c r="U77" i="8"/>
  <c r="J77" i="8"/>
  <c r="S77" i="8"/>
  <c r="V63" i="8"/>
  <c r="I78" i="8"/>
  <c r="R78" i="8"/>
  <c r="V62" i="8"/>
  <c r="V70" i="8"/>
  <c r="V71" i="8"/>
  <c r="V45" i="8"/>
  <c r="S48" i="8"/>
  <c r="T53" i="8"/>
  <c r="V52" i="8"/>
  <c r="J58" i="8"/>
  <c r="O59" i="8"/>
  <c r="I59" i="8"/>
  <c r="Q59" i="8"/>
  <c r="V49" i="8"/>
  <c r="P53" i="8"/>
  <c r="R59" i="8"/>
  <c r="F59" i="8"/>
  <c r="G58" i="8"/>
  <c r="V43" i="8"/>
  <c r="P48" i="8"/>
  <c r="V50" i="8"/>
  <c r="S53" i="8"/>
  <c r="E59" i="8"/>
  <c r="V24" i="8"/>
  <c r="U33" i="8"/>
  <c r="V30" i="8"/>
  <c r="S33" i="8"/>
  <c r="V34" i="8"/>
  <c r="G38" i="8"/>
  <c r="U38" i="8"/>
  <c r="V35" i="8"/>
  <c r="F39" i="8"/>
  <c r="O39" i="8"/>
  <c r="P33" i="8"/>
  <c r="T27" i="8"/>
  <c r="H39" i="8"/>
  <c r="U27" i="8"/>
  <c r="V32" i="8"/>
  <c r="I39" i="8"/>
  <c r="R39" i="8"/>
  <c r="V18" i="8"/>
  <c r="U19" i="8"/>
  <c r="V16" i="8"/>
  <c r="J19" i="8"/>
  <c r="G19" i="8"/>
  <c r="T19" i="8"/>
  <c r="V13" i="8"/>
  <c r="N20" i="8"/>
  <c r="G14" i="8"/>
  <c r="O20" i="8"/>
  <c r="T14" i="8"/>
  <c r="Q20" i="8"/>
  <c r="J9" i="8"/>
  <c r="I20" i="8"/>
  <c r="H20" i="8"/>
  <c r="G9" i="8"/>
  <c r="F20" i="8"/>
  <c r="V4" i="8"/>
  <c r="T38" i="8"/>
  <c r="N39" i="8"/>
  <c r="U53" i="8"/>
  <c r="V7" i="8"/>
  <c r="V28" i="8"/>
  <c r="T58" i="8"/>
  <c r="N59" i="8"/>
  <c r="T72" i="8"/>
  <c r="J14" i="8"/>
  <c r="V15" i="8"/>
  <c r="J38" i="8"/>
  <c r="S67" i="8"/>
  <c r="U72" i="8"/>
  <c r="G77" i="8"/>
  <c r="M77" i="8"/>
  <c r="H59" i="8"/>
  <c r="V10" i="8"/>
  <c r="P19" i="8"/>
  <c r="E39" i="8"/>
  <c r="K39" i="8"/>
  <c r="Q39" i="8"/>
  <c r="T67" i="8"/>
  <c r="T77" i="8"/>
  <c r="H78" i="8"/>
  <c r="N78" i="8"/>
  <c r="S77" i="7"/>
  <c r="J77" i="7"/>
  <c r="K16" i="5"/>
  <c r="P77" i="7"/>
  <c r="V73" i="7"/>
  <c r="G77" i="7"/>
  <c r="T77" i="7"/>
  <c r="U72" i="7"/>
  <c r="V71" i="7"/>
  <c r="V68" i="7"/>
  <c r="J72" i="7"/>
  <c r="T72" i="7"/>
  <c r="P72" i="7"/>
  <c r="V64" i="7"/>
  <c r="S66" i="7"/>
  <c r="P58" i="7"/>
  <c r="J58" i="7"/>
  <c r="V51" i="7"/>
  <c r="V50" i="7"/>
  <c r="J53" i="7"/>
  <c r="V49" i="7"/>
  <c r="S53" i="7"/>
  <c r="P53" i="7"/>
  <c r="I59" i="7"/>
  <c r="V46" i="7"/>
  <c r="V45" i="7"/>
  <c r="G47" i="7"/>
  <c r="P47" i="7"/>
  <c r="J47" i="7"/>
  <c r="S38" i="7"/>
  <c r="P38" i="7"/>
  <c r="V35" i="7"/>
  <c r="G38" i="7"/>
  <c r="V31" i="7"/>
  <c r="G33" i="7"/>
  <c r="V29" i="7"/>
  <c r="V30" i="7"/>
  <c r="S33" i="7"/>
  <c r="J33" i="7"/>
  <c r="S27" i="7"/>
  <c r="V26" i="7"/>
  <c r="J27" i="7"/>
  <c r="T27" i="7"/>
  <c r="V24" i="7"/>
  <c r="I39" i="7"/>
  <c r="F39" i="7"/>
  <c r="G27" i="7"/>
  <c r="V18" i="7"/>
  <c r="V16" i="7"/>
  <c r="S19" i="7"/>
  <c r="G19" i="7"/>
  <c r="G13" i="7"/>
  <c r="V11" i="7"/>
  <c r="V12" i="7"/>
  <c r="T13" i="7"/>
  <c r="V10" i="7"/>
  <c r="Q20" i="7"/>
  <c r="V6" i="7"/>
  <c r="P8" i="7"/>
  <c r="V5" i="7"/>
  <c r="E20" i="7"/>
  <c r="S8" i="7"/>
  <c r="I20" i="7"/>
  <c r="U77" i="7"/>
  <c r="V76" i="7"/>
  <c r="V75" i="7"/>
  <c r="O78" i="7"/>
  <c r="V62" i="7"/>
  <c r="V63" i="7"/>
  <c r="S72" i="7"/>
  <c r="F78" i="7"/>
  <c r="V65" i="7"/>
  <c r="V69" i="7"/>
  <c r="I78" i="7"/>
  <c r="R78" i="7"/>
  <c r="U66" i="7"/>
  <c r="G72" i="7"/>
  <c r="G66" i="7"/>
  <c r="P66" i="7"/>
  <c r="S58" i="7"/>
  <c r="V57" i="7"/>
  <c r="V54" i="7"/>
  <c r="U58" i="7"/>
  <c r="V55" i="7"/>
  <c r="T58" i="7"/>
  <c r="G58" i="7"/>
  <c r="V56" i="7"/>
  <c r="G53" i="7"/>
  <c r="F59" i="7"/>
  <c r="T47" i="7"/>
  <c r="S47" i="7"/>
  <c r="V52" i="7"/>
  <c r="R59" i="7"/>
  <c r="U47" i="7"/>
  <c r="T53" i="7"/>
  <c r="U53" i="7"/>
  <c r="N59" i="7"/>
  <c r="H59" i="7"/>
  <c r="O59" i="7"/>
  <c r="T33" i="7"/>
  <c r="T38" i="7"/>
  <c r="J38" i="7"/>
  <c r="V23" i="7"/>
  <c r="U33" i="7"/>
  <c r="V32" i="7"/>
  <c r="U38" i="7"/>
  <c r="R39" i="7"/>
  <c r="V28" i="7"/>
  <c r="V34" i="7"/>
  <c r="V25" i="7"/>
  <c r="N39" i="7"/>
  <c r="U27" i="7"/>
  <c r="V36" i="7"/>
  <c r="H39" i="7"/>
  <c r="O39" i="7"/>
  <c r="P13" i="7"/>
  <c r="S13" i="7"/>
  <c r="J13" i="7"/>
  <c r="V14" i="7"/>
  <c r="V15" i="7"/>
  <c r="U19" i="7"/>
  <c r="O20" i="7"/>
  <c r="J19" i="7"/>
  <c r="V4" i="7"/>
  <c r="N20" i="7"/>
  <c r="J8" i="7"/>
  <c r="V7" i="7"/>
  <c r="T8" i="7"/>
  <c r="U8" i="7"/>
  <c r="U13" i="7"/>
  <c r="F20" i="7"/>
  <c r="L20" i="7"/>
  <c r="R20" i="7"/>
  <c r="E39" i="7"/>
  <c r="K39" i="7"/>
  <c r="Q39" i="7"/>
  <c r="E59" i="7"/>
  <c r="K59" i="7"/>
  <c r="Q59" i="7"/>
  <c r="E78" i="7"/>
  <c r="K78" i="7"/>
  <c r="Q78" i="7"/>
  <c r="T19" i="7"/>
  <c r="V9" i="7"/>
  <c r="V67" i="7"/>
  <c r="H20" i="7"/>
  <c r="P19" i="7"/>
  <c r="V48" i="7"/>
  <c r="V74" i="7"/>
  <c r="H78" i="7"/>
  <c r="N78" i="7"/>
  <c r="S77" i="6"/>
  <c r="V75" i="6"/>
  <c r="V71" i="6"/>
  <c r="U66" i="6"/>
  <c r="J66" i="6"/>
  <c r="T58" i="6"/>
  <c r="P47" i="6"/>
  <c r="H59" i="6"/>
  <c r="V37" i="6"/>
  <c r="V36" i="6"/>
  <c r="P38" i="6"/>
  <c r="S33" i="6"/>
  <c r="J27" i="6"/>
  <c r="V17" i="6"/>
  <c r="S19" i="6"/>
  <c r="S8" i="6"/>
  <c r="J8" i="6"/>
  <c r="S72" i="6"/>
  <c r="S13" i="6"/>
  <c r="T66" i="6"/>
  <c r="V74" i="6"/>
  <c r="V51" i="6"/>
  <c r="V34" i="6"/>
  <c r="U27" i="6"/>
  <c r="I39" i="6"/>
  <c r="U72" i="6"/>
  <c r="V18" i="6"/>
  <c r="G13" i="6"/>
  <c r="V45" i="6"/>
  <c r="L59" i="6"/>
  <c r="U47" i="6"/>
  <c r="M47" i="6"/>
  <c r="M66" i="6"/>
  <c r="U33" i="6"/>
  <c r="L39" i="6"/>
  <c r="T27" i="6"/>
  <c r="V26" i="6"/>
  <c r="V15" i="6"/>
  <c r="V5" i="6"/>
  <c r="K20" i="6"/>
  <c r="V6" i="6"/>
  <c r="U13" i="6"/>
  <c r="J19" i="6"/>
  <c r="G27" i="6"/>
  <c r="S27" i="6"/>
  <c r="V28" i="6"/>
  <c r="V29" i="6"/>
  <c r="H39" i="6"/>
  <c r="R39" i="6"/>
  <c r="V48" i="6"/>
  <c r="V49" i="6"/>
  <c r="F59" i="6"/>
  <c r="R59" i="6"/>
  <c r="V76" i="6"/>
  <c r="P77" i="6"/>
  <c r="M58" i="6"/>
  <c r="M27" i="6"/>
  <c r="P53" i="6"/>
  <c r="O20" i="6"/>
  <c r="V24" i="6"/>
  <c r="V25" i="6"/>
  <c r="J33" i="6"/>
  <c r="V35" i="6"/>
  <c r="G53" i="6"/>
  <c r="S53" i="6"/>
  <c r="V55" i="6"/>
  <c r="V56" i="6"/>
  <c r="G72" i="6"/>
  <c r="V73" i="6"/>
  <c r="U53" i="6"/>
  <c r="V68" i="6"/>
  <c r="T47" i="6"/>
  <c r="U77" i="6"/>
  <c r="K78" i="6"/>
  <c r="T8" i="6"/>
  <c r="S66" i="6"/>
  <c r="V14" i="6"/>
  <c r="F20" i="6"/>
  <c r="P27" i="6"/>
  <c r="V30" i="6"/>
  <c r="V31" i="6"/>
  <c r="V32" i="6"/>
  <c r="U38" i="6"/>
  <c r="S38" i="6"/>
  <c r="V44" i="6"/>
  <c r="J53" i="6"/>
  <c r="V64" i="6"/>
  <c r="V65" i="6"/>
  <c r="P66" i="6"/>
  <c r="V63" i="6"/>
  <c r="P19" i="6"/>
  <c r="J38" i="6"/>
  <c r="E78" i="6"/>
  <c r="T19" i="6"/>
  <c r="I20" i="6"/>
  <c r="R20" i="6"/>
  <c r="V23" i="6"/>
  <c r="N39" i="6"/>
  <c r="G47" i="6"/>
  <c r="S47" i="6"/>
  <c r="N59" i="6"/>
  <c r="F78" i="6"/>
  <c r="Q78" i="6"/>
  <c r="T13" i="6"/>
  <c r="I78" i="6"/>
  <c r="V7" i="6"/>
  <c r="J58" i="6"/>
  <c r="O78" i="6"/>
  <c r="V12" i="6"/>
  <c r="P13" i="6"/>
  <c r="G38" i="6"/>
  <c r="O39" i="6"/>
  <c r="J47" i="6"/>
  <c r="V50" i="6"/>
  <c r="V52" i="6"/>
  <c r="V57" i="6"/>
  <c r="P58" i="6"/>
  <c r="G66" i="6"/>
  <c r="G77" i="6"/>
  <c r="R78" i="6"/>
  <c r="P8" i="6"/>
  <c r="V62" i="6"/>
  <c r="V69" i="6"/>
  <c r="H20" i="6"/>
  <c r="V11" i="6"/>
  <c r="U19" i="6"/>
  <c r="N20" i="6"/>
  <c r="G33" i="6"/>
  <c r="F39" i="6"/>
  <c r="G58" i="6"/>
  <c r="S58" i="6"/>
  <c r="T72" i="6"/>
  <c r="J72" i="6"/>
  <c r="J77" i="6"/>
  <c r="U58" i="6"/>
  <c r="I59" i="6"/>
  <c r="O59" i="6"/>
  <c r="U8" i="6"/>
  <c r="T33" i="6"/>
  <c r="V9" i="6"/>
  <c r="V16" i="6"/>
  <c r="E39" i="6"/>
  <c r="Q39" i="6"/>
  <c r="V43" i="6"/>
  <c r="T53" i="6"/>
  <c r="V67" i="6"/>
  <c r="E59" i="6"/>
  <c r="Q59" i="6"/>
  <c r="E20" i="6"/>
  <c r="T77" i="6"/>
  <c r="H78" i="6"/>
  <c r="N78" i="6"/>
  <c r="T38" i="6"/>
  <c r="V46" i="6"/>
  <c r="V54" i="6"/>
  <c r="V10" i="6"/>
  <c r="Q20" i="6"/>
  <c r="V4" i="6"/>
  <c r="V71" i="4"/>
  <c r="V52" i="4"/>
  <c r="R33" i="4"/>
  <c r="Q33" i="4"/>
  <c r="O33" i="4"/>
  <c r="N33" i="4"/>
  <c r="L33" i="4"/>
  <c r="K33" i="4"/>
  <c r="I33" i="4"/>
  <c r="H33" i="4"/>
  <c r="F33" i="4"/>
  <c r="E33" i="4"/>
  <c r="U32" i="4"/>
  <c r="T32" i="4"/>
  <c r="S32" i="4"/>
  <c r="P32" i="4"/>
  <c r="M32" i="4"/>
  <c r="J32" i="4"/>
  <c r="G32" i="4"/>
  <c r="P18" i="4"/>
  <c r="J18" i="4"/>
  <c r="G18" i="4"/>
  <c r="R19" i="4"/>
  <c r="Q19" i="4"/>
  <c r="O19" i="4"/>
  <c r="N19" i="4"/>
  <c r="L19" i="4"/>
  <c r="K19" i="4"/>
  <c r="I19" i="4"/>
  <c r="H19" i="4"/>
  <c r="F19" i="4"/>
  <c r="E19" i="4"/>
  <c r="U18" i="4"/>
  <c r="T18" i="4"/>
  <c r="R77" i="4"/>
  <c r="Q77" i="4"/>
  <c r="O77" i="4"/>
  <c r="N77" i="4"/>
  <c r="L77" i="4"/>
  <c r="K77" i="4"/>
  <c r="I77" i="4"/>
  <c r="H77" i="4"/>
  <c r="F77" i="4"/>
  <c r="E77" i="4"/>
  <c r="R66" i="4"/>
  <c r="Q66" i="4"/>
  <c r="O66" i="4"/>
  <c r="N66" i="4"/>
  <c r="L66" i="4"/>
  <c r="K66" i="4"/>
  <c r="I66" i="4"/>
  <c r="H66" i="4"/>
  <c r="F66" i="4"/>
  <c r="E66" i="4"/>
  <c r="R58" i="4"/>
  <c r="Q58" i="4"/>
  <c r="O58" i="4"/>
  <c r="N58" i="4"/>
  <c r="L58" i="4"/>
  <c r="K58" i="4"/>
  <c r="I58" i="4"/>
  <c r="H58" i="4"/>
  <c r="F58" i="4"/>
  <c r="E58" i="4"/>
  <c r="R47" i="4"/>
  <c r="Q47" i="4"/>
  <c r="O47" i="4"/>
  <c r="N47" i="4"/>
  <c r="L47" i="4"/>
  <c r="K47" i="4"/>
  <c r="I47" i="4"/>
  <c r="H47" i="4"/>
  <c r="F47" i="4"/>
  <c r="E47" i="4"/>
  <c r="R38" i="4"/>
  <c r="Q38" i="4"/>
  <c r="O38" i="4"/>
  <c r="N38" i="4"/>
  <c r="L38" i="4"/>
  <c r="K38" i="4"/>
  <c r="I38" i="4"/>
  <c r="H38" i="4"/>
  <c r="F38" i="4"/>
  <c r="E38" i="4"/>
  <c r="R27" i="4"/>
  <c r="Q27" i="4"/>
  <c r="O27" i="4"/>
  <c r="N27" i="4"/>
  <c r="L27" i="4"/>
  <c r="K27" i="4"/>
  <c r="I27" i="4"/>
  <c r="H27" i="4"/>
  <c r="F27" i="4"/>
  <c r="E27" i="4"/>
  <c r="R13" i="4"/>
  <c r="Q13" i="4"/>
  <c r="O13" i="4"/>
  <c r="N13" i="4"/>
  <c r="L13" i="4"/>
  <c r="K13" i="4"/>
  <c r="I13" i="4"/>
  <c r="H13" i="4"/>
  <c r="F13" i="4"/>
  <c r="E13" i="4"/>
  <c r="R8" i="4"/>
  <c r="Q8" i="4"/>
  <c r="O8" i="4"/>
  <c r="N8" i="4"/>
  <c r="L8" i="4"/>
  <c r="K8" i="4"/>
  <c r="I8" i="4"/>
  <c r="H8" i="4"/>
  <c r="F8" i="4"/>
  <c r="E8" i="4"/>
  <c r="S17" i="4"/>
  <c r="S12" i="4"/>
  <c r="S10" i="4"/>
  <c r="S6" i="4"/>
  <c r="S5" i="4"/>
  <c r="G16" i="4"/>
  <c r="G14" i="4"/>
  <c r="G11" i="4"/>
  <c r="G10" i="4"/>
  <c r="G7" i="4"/>
  <c r="S37" i="4"/>
  <c r="S31" i="4"/>
  <c r="S30" i="4"/>
  <c r="S29" i="4"/>
  <c r="S28" i="4"/>
  <c r="S26" i="4"/>
  <c r="S25" i="4"/>
  <c r="S24" i="4"/>
  <c r="S23" i="4"/>
  <c r="M30" i="4"/>
  <c r="M26" i="4"/>
  <c r="M25" i="4"/>
  <c r="M24" i="4"/>
  <c r="J37" i="4"/>
  <c r="J36" i="4"/>
  <c r="J35" i="4"/>
  <c r="J31" i="4"/>
  <c r="J30" i="4"/>
  <c r="J29" i="4"/>
  <c r="J28" i="4"/>
  <c r="J26" i="4"/>
  <c r="J25" i="4"/>
  <c r="J24" i="4"/>
  <c r="J23" i="4"/>
  <c r="G37" i="4"/>
  <c r="G36" i="4"/>
  <c r="G35" i="4"/>
  <c r="G31" i="4"/>
  <c r="G29" i="4"/>
  <c r="G28" i="4"/>
  <c r="G26" i="4"/>
  <c r="G25" i="4"/>
  <c r="G24" i="4"/>
  <c r="S57" i="4"/>
  <c r="S56" i="4"/>
  <c r="S55" i="4"/>
  <c r="S54" i="4"/>
  <c r="S51" i="4"/>
  <c r="S50" i="4"/>
  <c r="S49" i="4"/>
  <c r="S48" i="4"/>
  <c r="S46" i="4"/>
  <c r="S45" i="4"/>
  <c r="S44" i="4"/>
  <c r="G57" i="4"/>
  <c r="G56" i="4"/>
  <c r="G55" i="4"/>
  <c r="G54" i="4"/>
  <c r="G51" i="4"/>
  <c r="G50" i="4"/>
  <c r="G49" i="4"/>
  <c r="G48" i="4"/>
  <c r="G46" i="4"/>
  <c r="G45" i="4"/>
  <c r="G44" i="4"/>
  <c r="G43" i="4"/>
  <c r="S76" i="4"/>
  <c r="S75" i="4"/>
  <c r="S74" i="4"/>
  <c r="S73" i="4"/>
  <c r="S70" i="4"/>
  <c r="S69" i="4"/>
  <c r="S68" i="4"/>
  <c r="S67" i="4"/>
  <c r="S65" i="4"/>
  <c r="S64" i="4"/>
  <c r="S63" i="4"/>
  <c r="S62" i="4"/>
  <c r="G70" i="4"/>
  <c r="G69" i="4"/>
  <c r="G68" i="4"/>
  <c r="G67" i="4"/>
  <c r="G65" i="4"/>
  <c r="G64" i="4"/>
  <c r="G63" i="4"/>
  <c r="G62" i="4"/>
  <c r="U76" i="4"/>
  <c r="T76" i="4"/>
  <c r="P76" i="4"/>
  <c r="J76" i="4"/>
  <c r="U75" i="4"/>
  <c r="T75" i="4"/>
  <c r="P75" i="4"/>
  <c r="J75" i="4"/>
  <c r="U74" i="4"/>
  <c r="T74" i="4"/>
  <c r="P74" i="4"/>
  <c r="J74" i="4"/>
  <c r="U73" i="4"/>
  <c r="T73" i="4"/>
  <c r="P73" i="4"/>
  <c r="J73" i="4"/>
  <c r="U70" i="4"/>
  <c r="T70" i="4"/>
  <c r="P70" i="4"/>
  <c r="J70" i="4"/>
  <c r="U69" i="4"/>
  <c r="T69" i="4"/>
  <c r="P69" i="4"/>
  <c r="J69" i="4"/>
  <c r="U68" i="4"/>
  <c r="T68" i="4"/>
  <c r="P68" i="4"/>
  <c r="J68" i="4"/>
  <c r="U67" i="4"/>
  <c r="T67" i="4"/>
  <c r="P67" i="4"/>
  <c r="J67" i="4"/>
  <c r="U65" i="4"/>
  <c r="T65" i="4"/>
  <c r="P65" i="4"/>
  <c r="J65" i="4"/>
  <c r="U64" i="4"/>
  <c r="T64" i="4"/>
  <c r="P64" i="4"/>
  <c r="M64" i="4"/>
  <c r="J64" i="4"/>
  <c r="U63" i="4"/>
  <c r="T63" i="4"/>
  <c r="P63" i="4"/>
  <c r="J63" i="4"/>
  <c r="U62" i="4"/>
  <c r="T62" i="4"/>
  <c r="P62" i="4"/>
  <c r="J62" i="4"/>
  <c r="U57" i="4"/>
  <c r="T57" i="4"/>
  <c r="P57" i="4"/>
  <c r="J57" i="4"/>
  <c r="U56" i="4"/>
  <c r="T56" i="4"/>
  <c r="P56" i="4"/>
  <c r="J56" i="4"/>
  <c r="U55" i="4"/>
  <c r="T55" i="4"/>
  <c r="P55" i="4"/>
  <c r="J55" i="4"/>
  <c r="U54" i="4"/>
  <c r="T54" i="4"/>
  <c r="P54" i="4"/>
  <c r="J54" i="4"/>
  <c r="U51" i="4"/>
  <c r="T51" i="4"/>
  <c r="P51" i="4"/>
  <c r="J51" i="4"/>
  <c r="U50" i="4"/>
  <c r="T50" i="4"/>
  <c r="P50" i="4"/>
  <c r="J50" i="4"/>
  <c r="U49" i="4"/>
  <c r="T49" i="4"/>
  <c r="P49" i="4"/>
  <c r="J49" i="4"/>
  <c r="U48" i="4"/>
  <c r="T48" i="4"/>
  <c r="P48" i="4"/>
  <c r="J48" i="4"/>
  <c r="U46" i="4"/>
  <c r="T46" i="4"/>
  <c r="P46" i="4"/>
  <c r="J46" i="4"/>
  <c r="U45" i="4"/>
  <c r="T45" i="4"/>
  <c r="P45" i="4"/>
  <c r="J45" i="4"/>
  <c r="U44" i="4"/>
  <c r="T44" i="4"/>
  <c r="P44" i="4"/>
  <c r="J44" i="4"/>
  <c r="U43" i="4"/>
  <c r="T43" i="4"/>
  <c r="P43" i="4"/>
  <c r="M43" i="4"/>
  <c r="J43" i="4"/>
  <c r="U37" i="4"/>
  <c r="T37" i="4"/>
  <c r="P37" i="4"/>
  <c r="U36" i="4"/>
  <c r="T36" i="4"/>
  <c r="P36" i="4"/>
  <c r="U35" i="4"/>
  <c r="T35" i="4"/>
  <c r="P35" i="4"/>
  <c r="U34" i="4"/>
  <c r="T34" i="4"/>
  <c r="U31" i="4"/>
  <c r="T31" i="4"/>
  <c r="P31" i="4"/>
  <c r="U30" i="4"/>
  <c r="T30" i="4"/>
  <c r="P30" i="4"/>
  <c r="U29" i="4"/>
  <c r="T29" i="4"/>
  <c r="P29" i="4"/>
  <c r="U28" i="4"/>
  <c r="T28" i="4"/>
  <c r="P28" i="4"/>
  <c r="U26" i="4"/>
  <c r="T26" i="4"/>
  <c r="P26" i="4"/>
  <c r="U25" i="4"/>
  <c r="T25" i="4"/>
  <c r="P25" i="4"/>
  <c r="U24" i="4"/>
  <c r="T24" i="4"/>
  <c r="P24" i="4"/>
  <c r="U23" i="4"/>
  <c r="T23" i="4"/>
  <c r="P23" i="4"/>
  <c r="U17" i="4"/>
  <c r="T17" i="4"/>
  <c r="P17" i="4"/>
  <c r="M17" i="4"/>
  <c r="J17" i="4"/>
  <c r="U16" i="4"/>
  <c r="T16" i="4"/>
  <c r="P16" i="4"/>
  <c r="M16" i="4"/>
  <c r="J16" i="4"/>
  <c r="U15" i="4"/>
  <c r="T15" i="4"/>
  <c r="P15" i="4"/>
  <c r="M15" i="4"/>
  <c r="J15" i="4"/>
  <c r="U14" i="4"/>
  <c r="T14" i="4"/>
  <c r="P14" i="4"/>
  <c r="M14" i="4"/>
  <c r="J14" i="4"/>
  <c r="U12" i="4"/>
  <c r="T12" i="4"/>
  <c r="P12" i="4"/>
  <c r="M12" i="4"/>
  <c r="J12" i="4"/>
  <c r="U11" i="4"/>
  <c r="T11" i="4"/>
  <c r="P11" i="4"/>
  <c r="M11" i="4"/>
  <c r="J11" i="4"/>
  <c r="U10" i="4"/>
  <c r="T10" i="4"/>
  <c r="P10" i="4"/>
  <c r="M10" i="4"/>
  <c r="J10" i="4"/>
  <c r="U9" i="4"/>
  <c r="T9" i="4"/>
  <c r="P9" i="4"/>
  <c r="M9" i="4"/>
  <c r="J9" i="4"/>
  <c r="U7" i="4"/>
  <c r="T7" i="4"/>
  <c r="P7" i="4"/>
  <c r="M7" i="4"/>
  <c r="J7" i="4"/>
  <c r="U6" i="4"/>
  <c r="T6" i="4"/>
  <c r="P6" i="4"/>
  <c r="M6" i="4"/>
  <c r="J6" i="4"/>
  <c r="U5" i="4"/>
  <c r="T5" i="4"/>
  <c r="P5" i="4"/>
  <c r="M5" i="4"/>
  <c r="J5" i="4"/>
  <c r="U4" i="4"/>
  <c r="T4" i="4"/>
  <c r="P4" i="4"/>
  <c r="M4" i="4"/>
  <c r="J4" i="4"/>
  <c r="M39" i="6" l="1"/>
  <c r="L40" i="7"/>
  <c r="M20" i="6"/>
  <c r="V66" i="7"/>
  <c r="M59" i="6"/>
  <c r="M59" i="7"/>
  <c r="T72" i="4"/>
  <c r="U72" i="4"/>
  <c r="L79" i="6"/>
  <c r="K40" i="6"/>
  <c r="S78" i="8"/>
  <c r="V33" i="8"/>
  <c r="I40" i="8"/>
  <c r="J39" i="8"/>
  <c r="U39" i="8"/>
  <c r="L40" i="8"/>
  <c r="M20" i="8"/>
  <c r="G78" i="8"/>
  <c r="M59" i="8"/>
  <c r="M78" i="8"/>
  <c r="S59" i="8"/>
  <c r="L79" i="8"/>
  <c r="U78" i="8"/>
  <c r="F40" i="8"/>
  <c r="V53" i="8"/>
  <c r="V14" i="8"/>
  <c r="V48" i="8"/>
  <c r="V67" i="8"/>
  <c r="J59" i="8"/>
  <c r="V27" i="8"/>
  <c r="K79" i="8"/>
  <c r="H40" i="8"/>
  <c r="R79" i="8"/>
  <c r="U59" i="8"/>
  <c r="G20" i="8"/>
  <c r="S20" i="8"/>
  <c r="F79" i="8"/>
  <c r="G59" i="8"/>
  <c r="P59" i="8"/>
  <c r="O79" i="8"/>
  <c r="R40" i="8"/>
  <c r="Q79" i="8"/>
  <c r="U20" i="8"/>
  <c r="V19" i="8"/>
  <c r="V9" i="8"/>
  <c r="T20" i="8"/>
  <c r="O40" i="8"/>
  <c r="I79" i="8"/>
  <c r="P20" i="8"/>
  <c r="J20" i="8"/>
  <c r="P78" i="8"/>
  <c r="N79" i="8"/>
  <c r="V72" i="8"/>
  <c r="V77" i="8"/>
  <c r="T78" i="8"/>
  <c r="T59" i="8"/>
  <c r="V58" i="8"/>
  <c r="J78" i="8"/>
  <c r="H79" i="8"/>
  <c r="T39" i="8"/>
  <c r="V38" i="8"/>
  <c r="S39" i="8"/>
  <c r="Q40" i="8"/>
  <c r="G39" i="8"/>
  <c r="E40" i="8"/>
  <c r="P39" i="8"/>
  <c r="N40" i="8"/>
  <c r="M39" i="8"/>
  <c r="K40" i="8"/>
  <c r="E79" i="8"/>
  <c r="V77" i="7"/>
  <c r="T78" i="7"/>
  <c r="V72" i="7"/>
  <c r="U78" i="7"/>
  <c r="J59" i="7"/>
  <c r="U59" i="7"/>
  <c r="V47" i="7"/>
  <c r="V38" i="7"/>
  <c r="I40" i="7"/>
  <c r="T39" i="7"/>
  <c r="J39" i="7"/>
  <c r="N40" i="7"/>
  <c r="V27" i="7"/>
  <c r="P39" i="7"/>
  <c r="U39" i="7"/>
  <c r="V13" i="7"/>
  <c r="S20" i="7"/>
  <c r="G20" i="7"/>
  <c r="O40" i="7"/>
  <c r="I79" i="7"/>
  <c r="J20" i="7"/>
  <c r="V8" i="7"/>
  <c r="F40" i="7"/>
  <c r="U20" i="7"/>
  <c r="P59" i="7"/>
  <c r="V58" i="7"/>
  <c r="G59" i="7"/>
  <c r="V53" i="7"/>
  <c r="T59" i="7"/>
  <c r="S59" i="7"/>
  <c r="O79" i="7"/>
  <c r="V33" i="7"/>
  <c r="P20" i="7"/>
  <c r="P78" i="7"/>
  <c r="N79" i="7"/>
  <c r="J78" i="7"/>
  <c r="H79" i="7"/>
  <c r="R40" i="7"/>
  <c r="V19" i="7"/>
  <c r="T20" i="7"/>
  <c r="L79" i="7"/>
  <c r="S78" i="7"/>
  <c r="Q79" i="7"/>
  <c r="S39" i="7"/>
  <c r="Q40" i="7"/>
  <c r="F79" i="7"/>
  <c r="M20" i="7"/>
  <c r="M78" i="7"/>
  <c r="K79" i="7"/>
  <c r="M39" i="7"/>
  <c r="K40" i="7"/>
  <c r="H40" i="7"/>
  <c r="G78" i="7"/>
  <c r="E79" i="7"/>
  <c r="G39" i="7"/>
  <c r="E40" i="7"/>
  <c r="R79" i="7"/>
  <c r="S78" i="6"/>
  <c r="V66" i="6"/>
  <c r="G78" i="6"/>
  <c r="S59" i="6"/>
  <c r="J59" i="6"/>
  <c r="J39" i="6"/>
  <c r="V27" i="6"/>
  <c r="N40" i="6"/>
  <c r="I40" i="6"/>
  <c r="R40" i="6"/>
  <c r="O40" i="6"/>
  <c r="P20" i="6"/>
  <c r="V72" i="6"/>
  <c r="U78" i="6"/>
  <c r="H40" i="6"/>
  <c r="V53" i="6"/>
  <c r="V47" i="6"/>
  <c r="G59" i="6"/>
  <c r="U59" i="6"/>
  <c r="U39" i="6"/>
  <c r="V33" i="6"/>
  <c r="F79" i="6"/>
  <c r="V13" i="6"/>
  <c r="G20" i="6"/>
  <c r="F40" i="6"/>
  <c r="L40" i="6"/>
  <c r="V8" i="6"/>
  <c r="U20" i="6"/>
  <c r="M78" i="6"/>
  <c r="K79" i="6"/>
  <c r="R79" i="6"/>
  <c r="Q79" i="6"/>
  <c r="S20" i="6"/>
  <c r="V58" i="6"/>
  <c r="V19" i="6"/>
  <c r="P59" i="6"/>
  <c r="P39" i="6"/>
  <c r="J20" i="6"/>
  <c r="T20" i="6"/>
  <c r="V77" i="6"/>
  <c r="T78" i="6"/>
  <c r="E79" i="6"/>
  <c r="S39" i="6"/>
  <c r="Q40" i="6"/>
  <c r="I79" i="6"/>
  <c r="O79" i="6"/>
  <c r="T39" i="6"/>
  <c r="V38" i="6"/>
  <c r="P78" i="6"/>
  <c r="N79" i="6"/>
  <c r="G39" i="6"/>
  <c r="E40" i="6"/>
  <c r="T59" i="6"/>
  <c r="J78" i="6"/>
  <c r="H79" i="6"/>
  <c r="T33" i="4"/>
  <c r="U53" i="4"/>
  <c r="T53" i="4"/>
  <c r="U33" i="4"/>
  <c r="V32" i="4"/>
  <c r="S58" i="4"/>
  <c r="S77" i="4"/>
  <c r="I20" i="4"/>
  <c r="O20" i="4"/>
  <c r="F20" i="4"/>
  <c r="T19" i="4"/>
  <c r="H20" i="4"/>
  <c r="Q20" i="4"/>
  <c r="R20" i="4"/>
  <c r="K20" i="4"/>
  <c r="L20" i="4"/>
  <c r="N20" i="4"/>
  <c r="T58" i="4"/>
  <c r="K59" i="4"/>
  <c r="P66" i="4"/>
  <c r="U58" i="4"/>
  <c r="M77" i="4"/>
  <c r="P58" i="4"/>
  <c r="E78" i="4"/>
  <c r="P77" i="4"/>
  <c r="U47" i="4"/>
  <c r="T66" i="4"/>
  <c r="U66" i="4"/>
  <c r="U77" i="4"/>
  <c r="T77" i="4"/>
  <c r="K78" i="4"/>
  <c r="I78" i="4"/>
  <c r="M58" i="4"/>
  <c r="E59" i="4"/>
  <c r="S47" i="4"/>
  <c r="F59" i="4"/>
  <c r="S66" i="4"/>
  <c r="G53" i="4"/>
  <c r="P53" i="4"/>
  <c r="J58" i="4"/>
  <c r="O78" i="4"/>
  <c r="T47" i="4"/>
  <c r="O59" i="4"/>
  <c r="I59" i="4"/>
  <c r="Q78" i="4"/>
  <c r="V18" i="4"/>
  <c r="U19" i="4"/>
  <c r="N59" i="4"/>
  <c r="G77" i="4"/>
  <c r="F78" i="4"/>
  <c r="N78" i="4"/>
  <c r="G47" i="4"/>
  <c r="J53" i="4"/>
  <c r="S53" i="4"/>
  <c r="M66" i="4"/>
  <c r="J77" i="4"/>
  <c r="H59" i="4"/>
  <c r="Q59" i="4"/>
  <c r="H78" i="4"/>
  <c r="R59" i="4"/>
  <c r="R78" i="4"/>
  <c r="G58" i="4"/>
  <c r="U27" i="4"/>
  <c r="U38" i="4"/>
  <c r="M53" i="4"/>
  <c r="V62" i="4"/>
  <c r="V69" i="4"/>
  <c r="V74" i="4"/>
  <c r="L59" i="4"/>
  <c r="L78" i="4"/>
  <c r="G66" i="4"/>
  <c r="J66" i="4"/>
  <c r="M47" i="4"/>
  <c r="J47" i="4"/>
  <c r="P47" i="4"/>
  <c r="O39" i="4"/>
  <c r="E39" i="4"/>
  <c r="V67" i="4"/>
  <c r="J27" i="4"/>
  <c r="J38" i="4"/>
  <c r="P27" i="4"/>
  <c r="K39" i="4"/>
  <c r="M8" i="4"/>
  <c r="G13" i="4"/>
  <c r="J19" i="4"/>
  <c r="G38" i="4"/>
  <c r="Q39" i="4"/>
  <c r="T27" i="4"/>
  <c r="T38" i="4"/>
  <c r="G33" i="4"/>
  <c r="I39" i="4"/>
  <c r="P33" i="4"/>
  <c r="P38" i="4"/>
  <c r="N39" i="4"/>
  <c r="H39" i="4"/>
  <c r="F39" i="4"/>
  <c r="V25" i="4"/>
  <c r="V28" i="4"/>
  <c r="V30" i="4"/>
  <c r="J13" i="4"/>
  <c r="S13" i="4"/>
  <c r="M27" i="4"/>
  <c r="S33" i="4"/>
  <c r="S38" i="4"/>
  <c r="R39" i="4"/>
  <c r="S27" i="4"/>
  <c r="M33" i="4"/>
  <c r="M38" i="4"/>
  <c r="L39" i="4"/>
  <c r="J33" i="4"/>
  <c r="G27" i="4"/>
  <c r="T8" i="4"/>
  <c r="U8" i="4"/>
  <c r="M13" i="4"/>
  <c r="E20" i="4"/>
  <c r="P19" i="4"/>
  <c r="T13" i="4"/>
  <c r="V64" i="4"/>
  <c r="V75" i="4"/>
  <c r="U13" i="4"/>
  <c r="G8" i="4"/>
  <c r="V24" i="4"/>
  <c r="V29" i="4"/>
  <c r="V31" i="4"/>
  <c r="V35" i="4"/>
  <c r="V37" i="4"/>
  <c r="V44" i="4"/>
  <c r="V51" i="4"/>
  <c r="V56" i="4"/>
  <c r="V63" i="4"/>
  <c r="S8" i="4"/>
  <c r="S19" i="4"/>
  <c r="G19" i="4"/>
  <c r="M19" i="4"/>
  <c r="P13" i="4"/>
  <c r="P8" i="4"/>
  <c r="J8" i="4"/>
  <c r="V16" i="4"/>
  <c r="V34" i="4"/>
  <c r="V73" i="4"/>
  <c r="V65" i="4"/>
  <c r="V57" i="4"/>
  <c r="V10" i="4"/>
  <c r="V6" i="4"/>
  <c r="V5" i="4"/>
  <c r="V70" i="4"/>
  <c r="V76" i="4"/>
  <c r="V50" i="4"/>
  <c r="V49" i="4"/>
  <c r="V48" i="4"/>
  <c r="V46" i="4"/>
  <c r="V55" i="4"/>
  <c r="V45" i="4"/>
  <c r="V54" i="4"/>
  <c r="V26" i="4"/>
  <c r="V36" i="4"/>
  <c r="V4" i="4"/>
  <c r="V17" i="4"/>
  <c r="V11" i="4"/>
  <c r="V12" i="4"/>
  <c r="V14" i="4"/>
  <c r="V9" i="4"/>
  <c r="V15" i="4"/>
  <c r="V7" i="4"/>
  <c r="V43" i="4"/>
  <c r="V23" i="4"/>
  <c r="V68" i="4"/>
  <c r="T64" i="3"/>
  <c r="S64" i="3"/>
  <c r="O64" i="3"/>
  <c r="I64" i="3"/>
  <c r="R63" i="3"/>
  <c r="O63" i="3"/>
  <c r="T63" i="3"/>
  <c r="S63" i="3"/>
  <c r="L63" i="3"/>
  <c r="I63" i="3"/>
  <c r="F40" i="4" l="1"/>
  <c r="M40" i="7"/>
  <c r="L40" i="4"/>
  <c r="V72" i="4"/>
  <c r="M40" i="6"/>
  <c r="M79" i="6"/>
  <c r="N40" i="4"/>
  <c r="M79" i="7"/>
  <c r="U64" i="3"/>
  <c r="J40" i="8"/>
  <c r="M40" i="8"/>
  <c r="M79" i="8"/>
  <c r="G40" i="8"/>
  <c r="V59" i="8"/>
  <c r="U79" i="8"/>
  <c r="S79" i="8"/>
  <c r="P79" i="8"/>
  <c r="G79" i="8"/>
  <c r="J79" i="8"/>
  <c r="S40" i="8"/>
  <c r="U40" i="8"/>
  <c r="P40" i="8"/>
  <c r="V20" i="8"/>
  <c r="V78" i="8"/>
  <c r="T79" i="8"/>
  <c r="T81" i="8" s="1"/>
  <c r="T83" i="8" s="1"/>
  <c r="T85" i="8" s="1"/>
  <c r="T40" i="8"/>
  <c r="V39" i="8"/>
  <c r="V78" i="7"/>
  <c r="V59" i="7"/>
  <c r="J40" i="7"/>
  <c r="V39" i="7"/>
  <c r="P40" i="7"/>
  <c r="U79" i="7"/>
  <c r="J79" i="7"/>
  <c r="V20" i="7"/>
  <c r="U40" i="7"/>
  <c r="G40" i="7"/>
  <c r="T40" i="7"/>
  <c r="G79" i="7"/>
  <c r="P79" i="7"/>
  <c r="S79" i="7"/>
  <c r="S40" i="7"/>
  <c r="T79" i="7"/>
  <c r="P40" i="6"/>
  <c r="J40" i="6"/>
  <c r="S40" i="6"/>
  <c r="S79" i="6"/>
  <c r="U40" i="6"/>
  <c r="V59" i="6"/>
  <c r="J79" i="6"/>
  <c r="G79" i="6"/>
  <c r="G40" i="6"/>
  <c r="V20" i="6"/>
  <c r="U79" i="6"/>
  <c r="P79" i="6"/>
  <c r="V78" i="6"/>
  <c r="T79" i="6"/>
  <c r="T40" i="6"/>
  <c r="V39" i="6"/>
  <c r="E40" i="4"/>
  <c r="R40" i="4"/>
  <c r="Q40" i="4"/>
  <c r="V58" i="4"/>
  <c r="H40" i="4"/>
  <c r="K40" i="4"/>
  <c r="O40" i="4"/>
  <c r="I40" i="4"/>
  <c r="U59" i="4"/>
  <c r="T78" i="4"/>
  <c r="U78" i="4"/>
  <c r="M59" i="4"/>
  <c r="U39" i="4"/>
  <c r="V47" i="4"/>
  <c r="V38" i="4"/>
  <c r="V53" i="4"/>
  <c r="G78" i="4"/>
  <c r="J59" i="4"/>
  <c r="V66" i="4"/>
  <c r="P78" i="4"/>
  <c r="J78" i="4"/>
  <c r="V77" i="4"/>
  <c r="M78" i="4"/>
  <c r="S78" i="4"/>
  <c r="O79" i="4"/>
  <c r="P59" i="4"/>
  <c r="G59" i="4"/>
  <c r="T59" i="4"/>
  <c r="V27" i="4"/>
  <c r="E79" i="4"/>
  <c r="G39" i="4"/>
  <c r="P39" i="4"/>
  <c r="S59" i="4"/>
  <c r="V33" i="4"/>
  <c r="S39" i="4"/>
  <c r="V19" i="4"/>
  <c r="M20" i="4"/>
  <c r="V8" i="4"/>
  <c r="S20" i="4"/>
  <c r="U20" i="4"/>
  <c r="G20" i="4"/>
  <c r="J39" i="4"/>
  <c r="Q79" i="4"/>
  <c r="I79" i="4"/>
  <c r="M39" i="4"/>
  <c r="H79" i="4"/>
  <c r="J20" i="4"/>
  <c r="T39" i="4"/>
  <c r="V13" i="4"/>
  <c r="T20" i="4"/>
  <c r="P20" i="4"/>
  <c r="F79" i="4"/>
  <c r="L79" i="4"/>
  <c r="R79" i="4"/>
  <c r="K79" i="4"/>
  <c r="N79" i="4"/>
  <c r="U63" i="3"/>
  <c r="T62" i="3"/>
  <c r="S62" i="3"/>
  <c r="O62" i="3"/>
  <c r="L62" i="3"/>
  <c r="I62" i="3"/>
  <c r="M40" i="4" l="1"/>
  <c r="G40" i="4"/>
  <c r="P40" i="4"/>
  <c r="S40" i="4"/>
  <c r="U62" i="3"/>
  <c r="T40" i="4"/>
  <c r="V79" i="8"/>
  <c r="V40" i="8"/>
  <c r="V79" i="7"/>
  <c r="V40" i="7"/>
  <c r="V40" i="6"/>
  <c r="V79" i="6"/>
  <c r="V78" i="4"/>
  <c r="U40" i="4"/>
  <c r="J40" i="4"/>
  <c r="V59" i="4"/>
  <c r="T79" i="4"/>
  <c r="V39" i="4"/>
  <c r="U79" i="4"/>
  <c r="P79" i="4"/>
  <c r="S79" i="4"/>
  <c r="J79" i="4"/>
  <c r="V20" i="4"/>
  <c r="G79" i="4"/>
  <c r="M79" i="4"/>
  <c r="T61" i="3"/>
  <c r="S61" i="3"/>
  <c r="R61" i="3"/>
  <c r="O61" i="3"/>
  <c r="L61" i="3"/>
  <c r="I61" i="3"/>
  <c r="U61" i="3" l="1"/>
  <c r="V40" i="4"/>
  <c r="V79" i="4"/>
  <c r="T60" i="3"/>
  <c r="S60" i="3"/>
  <c r="O60" i="3"/>
  <c r="I60" i="3"/>
  <c r="U60" i="3" l="1"/>
  <c r="T59" i="3"/>
  <c r="S59" i="3"/>
  <c r="R59" i="3"/>
  <c r="O59" i="3"/>
  <c r="L59" i="3"/>
  <c r="I59" i="3"/>
  <c r="U59" i="3" l="1"/>
  <c r="R58" i="3"/>
  <c r="O58" i="3"/>
  <c r="T58" i="3"/>
  <c r="S58" i="3"/>
  <c r="L58" i="3"/>
  <c r="I58" i="3"/>
  <c r="U58" i="3" l="1"/>
  <c r="T57" i="3"/>
  <c r="S57" i="3"/>
  <c r="O57" i="3"/>
  <c r="L57" i="3"/>
  <c r="I57" i="3"/>
  <c r="T56" i="3"/>
  <c r="S56" i="3"/>
  <c r="O56" i="3"/>
  <c r="L56" i="3"/>
  <c r="I56" i="3"/>
  <c r="U57" i="3" l="1"/>
  <c r="U56" i="3"/>
  <c r="T55" i="3"/>
  <c r="S55" i="3"/>
  <c r="O55" i="3"/>
  <c r="L55" i="3"/>
  <c r="I55" i="3"/>
  <c r="U55" i="3" l="1"/>
  <c r="S54" i="3"/>
  <c r="T54" i="3"/>
  <c r="O54" i="3"/>
  <c r="L54" i="3"/>
  <c r="I54" i="3"/>
  <c r="U54" i="3" l="1"/>
  <c r="T53" i="3"/>
  <c r="S53" i="3"/>
  <c r="O53" i="3"/>
  <c r="L53" i="3"/>
  <c r="I53" i="3"/>
  <c r="U53" i="3" l="1"/>
  <c r="I48" i="3"/>
  <c r="L48" i="3"/>
  <c r="O48" i="3"/>
  <c r="R48" i="3"/>
  <c r="S48" i="3"/>
  <c r="T48" i="3"/>
  <c r="I49" i="3"/>
  <c r="L49" i="3"/>
  <c r="O49" i="3"/>
  <c r="S49" i="3"/>
  <c r="T49" i="3"/>
  <c r="R47" i="3"/>
  <c r="T47" i="3"/>
  <c r="S47" i="3"/>
  <c r="O47" i="3"/>
  <c r="L47" i="3"/>
  <c r="I47" i="3"/>
  <c r="U49" i="3" l="1"/>
  <c r="U48" i="3"/>
  <c r="U47" i="3"/>
  <c r="T43" i="3"/>
  <c r="T44" i="3"/>
  <c r="T45" i="3"/>
  <c r="T46" i="3"/>
  <c r="S43" i="3"/>
  <c r="S44" i="3"/>
  <c r="S45" i="3"/>
  <c r="S46" i="3"/>
  <c r="L43" i="3"/>
  <c r="L44" i="3"/>
  <c r="L45" i="3"/>
  <c r="L46" i="3"/>
  <c r="O43" i="3"/>
  <c r="O44" i="3"/>
  <c r="O45" i="3"/>
  <c r="O46" i="3"/>
  <c r="I43" i="3"/>
  <c r="I44" i="3"/>
  <c r="I45" i="3"/>
  <c r="I46" i="3"/>
  <c r="U44" i="3" l="1"/>
  <c r="U43" i="3"/>
  <c r="U45" i="3"/>
  <c r="U46" i="3"/>
  <c r="O42" i="3"/>
  <c r="T42" i="3"/>
  <c r="S42" i="3"/>
  <c r="L42" i="3"/>
  <c r="I42" i="3"/>
  <c r="U42" i="3" l="1"/>
  <c r="O41" i="3"/>
  <c r="T41" i="3"/>
  <c r="S41" i="3"/>
  <c r="L41" i="3"/>
  <c r="I41" i="3"/>
  <c r="U41" i="3" l="1"/>
  <c r="T40" i="3"/>
  <c r="S40" i="3"/>
  <c r="O40" i="3"/>
  <c r="L40" i="3"/>
  <c r="I40" i="3"/>
  <c r="U40" i="3" l="1"/>
  <c r="T39" i="3"/>
  <c r="S39" i="3"/>
  <c r="O39" i="3"/>
  <c r="L39" i="3"/>
  <c r="I39" i="3"/>
  <c r="U39" i="3" l="1"/>
  <c r="T38" i="3"/>
  <c r="S38" i="3"/>
  <c r="O38" i="3"/>
  <c r="L38" i="3"/>
  <c r="I38" i="3"/>
  <c r="U38" i="3" l="1"/>
  <c r="T37" i="3"/>
  <c r="S37" i="3"/>
  <c r="Q65" i="3"/>
  <c r="P65" i="3"/>
  <c r="N65" i="3"/>
  <c r="M65" i="3"/>
  <c r="K65" i="3"/>
  <c r="J65" i="3"/>
  <c r="H65" i="3"/>
  <c r="G65" i="3"/>
  <c r="E65" i="3"/>
  <c r="D65" i="3"/>
  <c r="Q50" i="3"/>
  <c r="P50" i="3"/>
  <c r="N50" i="3"/>
  <c r="M50" i="3"/>
  <c r="K50" i="3"/>
  <c r="J50" i="3"/>
  <c r="H50" i="3"/>
  <c r="G50" i="3"/>
  <c r="E50" i="3"/>
  <c r="D50" i="3"/>
  <c r="O37" i="3"/>
  <c r="L37" i="3"/>
  <c r="I37" i="3"/>
  <c r="U37" i="3" l="1"/>
  <c r="R50" i="3"/>
  <c r="I50" i="3"/>
  <c r="L50" i="3"/>
  <c r="O65" i="3"/>
  <c r="I65" i="3"/>
  <c r="O50" i="3"/>
  <c r="F50" i="3"/>
  <c r="T50" i="3"/>
  <c r="T65" i="3"/>
  <c r="S65" i="3"/>
  <c r="L65" i="3"/>
  <c r="F65" i="3"/>
  <c r="R65" i="3"/>
  <c r="S50" i="3"/>
  <c r="F29" i="3"/>
  <c r="U65" i="3" l="1"/>
  <c r="U50" i="3"/>
  <c r="L33" i="3"/>
  <c r="L32" i="3"/>
  <c r="L31" i="3"/>
  <c r="L30" i="3"/>
  <c r="L29" i="3"/>
  <c r="L28" i="3"/>
  <c r="L27" i="3"/>
  <c r="L26" i="3"/>
  <c r="L25" i="3"/>
  <c r="L23" i="3"/>
  <c r="L22" i="3"/>
  <c r="L21" i="3"/>
  <c r="R10" i="3"/>
  <c r="R8" i="3"/>
  <c r="R5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F13" i="3"/>
  <c r="F12" i="3"/>
  <c r="F10" i="3"/>
  <c r="Q34" i="3"/>
  <c r="P34" i="3"/>
  <c r="N34" i="3"/>
  <c r="M34" i="3"/>
  <c r="K34" i="3"/>
  <c r="J34" i="3"/>
  <c r="H34" i="3"/>
  <c r="G34" i="3"/>
  <c r="E34" i="3"/>
  <c r="D34" i="3"/>
  <c r="T33" i="3"/>
  <c r="S33" i="3"/>
  <c r="O33" i="3"/>
  <c r="I33" i="3"/>
  <c r="T32" i="3"/>
  <c r="S32" i="3"/>
  <c r="O32" i="3"/>
  <c r="I32" i="3"/>
  <c r="T31" i="3"/>
  <c r="S31" i="3"/>
  <c r="O31" i="3"/>
  <c r="I31" i="3"/>
  <c r="T30" i="3"/>
  <c r="S30" i="3"/>
  <c r="O30" i="3"/>
  <c r="I30" i="3"/>
  <c r="T29" i="3"/>
  <c r="S29" i="3"/>
  <c r="O29" i="3"/>
  <c r="I29" i="3"/>
  <c r="T28" i="3"/>
  <c r="S28" i="3"/>
  <c r="O28" i="3"/>
  <c r="I28" i="3"/>
  <c r="T27" i="3"/>
  <c r="S27" i="3"/>
  <c r="O27" i="3"/>
  <c r="I27" i="3"/>
  <c r="T26" i="3"/>
  <c r="S26" i="3"/>
  <c r="O26" i="3"/>
  <c r="I26" i="3"/>
  <c r="T25" i="3"/>
  <c r="S25" i="3"/>
  <c r="O25" i="3"/>
  <c r="I25" i="3"/>
  <c r="T24" i="3"/>
  <c r="S24" i="3"/>
  <c r="O24" i="3"/>
  <c r="I24" i="3"/>
  <c r="T23" i="3"/>
  <c r="S23" i="3"/>
  <c r="O23" i="3"/>
  <c r="I23" i="3"/>
  <c r="T22" i="3"/>
  <c r="S22" i="3"/>
  <c r="O22" i="3"/>
  <c r="T21" i="3"/>
  <c r="S21" i="3"/>
  <c r="O21" i="3"/>
  <c r="I21" i="3"/>
  <c r="Q18" i="3"/>
  <c r="P18" i="3"/>
  <c r="N18" i="3"/>
  <c r="M18" i="3"/>
  <c r="K18" i="3"/>
  <c r="J18" i="3"/>
  <c r="H18" i="3"/>
  <c r="G18" i="3"/>
  <c r="E18" i="3"/>
  <c r="D18" i="3"/>
  <c r="T17" i="3"/>
  <c r="S17" i="3"/>
  <c r="O17" i="3"/>
  <c r="T16" i="3"/>
  <c r="S16" i="3"/>
  <c r="O16" i="3"/>
  <c r="T15" i="3"/>
  <c r="S15" i="3"/>
  <c r="O15" i="3"/>
  <c r="T14" i="3"/>
  <c r="S14" i="3"/>
  <c r="O14" i="3"/>
  <c r="T13" i="3"/>
  <c r="S13" i="3"/>
  <c r="O13" i="3"/>
  <c r="T12" i="3"/>
  <c r="S12" i="3"/>
  <c r="O12" i="3"/>
  <c r="T11" i="3"/>
  <c r="S11" i="3"/>
  <c r="O11" i="3"/>
  <c r="T10" i="3"/>
  <c r="S10" i="3"/>
  <c r="O10" i="3"/>
  <c r="T9" i="3"/>
  <c r="S9" i="3"/>
  <c r="O9" i="3"/>
  <c r="T8" i="3"/>
  <c r="S8" i="3"/>
  <c r="O8" i="3"/>
  <c r="T7" i="3"/>
  <c r="S7" i="3"/>
  <c r="O7" i="3"/>
  <c r="T6" i="3"/>
  <c r="S6" i="3"/>
  <c r="O6" i="3"/>
  <c r="T5" i="3"/>
  <c r="S5" i="3"/>
  <c r="O5" i="3"/>
  <c r="G66" i="3" l="1"/>
  <c r="H66" i="3"/>
  <c r="Q66" i="3"/>
  <c r="P66" i="3"/>
  <c r="J66" i="3"/>
  <c r="K66" i="3"/>
  <c r="D66" i="3"/>
  <c r="M66" i="3"/>
  <c r="E66" i="3"/>
  <c r="N66" i="3"/>
  <c r="R34" i="3"/>
  <c r="U12" i="3"/>
  <c r="F34" i="3"/>
  <c r="O34" i="3"/>
  <c r="L34" i="3"/>
  <c r="U14" i="3"/>
  <c r="U13" i="3"/>
  <c r="U11" i="3"/>
  <c r="U10" i="3"/>
  <c r="U7" i="3"/>
  <c r="U9" i="3"/>
  <c r="F18" i="3"/>
  <c r="R18" i="3"/>
  <c r="I18" i="3"/>
  <c r="U6" i="3"/>
  <c r="O18" i="3"/>
  <c r="U27" i="3"/>
  <c r="U29" i="3"/>
  <c r="U33" i="3"/>
  <c r="U21" i="3"/>
  <c r="I34" i="3"/>
  <c r="S34" i="3"/>
  <c r="U31" i="3"/>
  <c r="U22" i="3"/>
  <c r="U23" i="3"/>
  <c r="U24" i="3"/>
  <c r="U25" i="3"/>
  <c r="U32" i="3"/>
  <c r="U28" i="3"/>
  <c r="U30" i="3"/>
  <c r="T18" i="3"/>
  <c r="U15" i="3"/>
  <c r="U16" i="3"/>
  <c r="U17" i="3"/>
  <c r="L18" i="3"/>
  <c r="S18" i="3"/>
  <c r="U8" i="3"/>
  <c r="U26" i="3"/>
  <c r="T34" i="3"/>
  <c r="U5" i="3"/>
  <c r="H66" i="1"/>
  <c r="G66" i="1"/>
  <c r="K66" i="1"/>
  <c r="J66" i="1"/>
  <c r="N66" i="1"/>
  <c r="M66" i="1"/>
  <c r="R66" i="3" l="1"/>
  <c r="I66" i="3"/>
  <c r="S66" i="3"/>
  <c r="T66" i="3"/>
  <c r="F66" i="3"/>
  <c r="O66" i="3"/>
  <c r="L66" i="3"/>
  <c r="U18" i="3"/>
  <c r="U34" i="3"/>
  <c r="T65" i="1"/>
  <c r="S65" i="1"/>
  <c r="O65" i="1"/>
  <c r="L65" i="1"/>
  <c r="I65" i="1"/>
  <c r="O59" i="1"/>
  <c r="T64" i="1"/>
  <c r="T63" i="1"/>
  <c r="T62" i="1"/>
  <c r="T61" i="1"/>
  <c r="T60" i="1"/>
  <c r="T59" i="1"/>
  <c r="T58" i="1"/>
  <c r="T57" i="1"/>
  <c r="T56" i="1"/>
  <c r="T55" i="1"/>
  <c r="T54" i="1"/>
  <c r="S64" i="1"/>
  <c r="S63" i="1"/>
  <c r="S62" i="1"/>
  <c r="S61" i="1"/>
  <c r="S60" i="1"/>
  <c r="S59" i="1"/>
  <c r="S58" i="1"/>
  <c r="S57" i="1"/>
  <c r="S56" i="1"/>
  <c r="S55" i="1"/>
  <c r="S54" i="1"/>
  <c r="R63" i="1"/>
  <c r="R62" i="1"/>
  <c r="O60" i="1"/>
  <c r="O61" i="1"/>
  <c r="O63" i="1"/>
  <c r="O64" i="1"/>
  <c r="L59" i="1"/>
  <c r="L60" i="1"/>
  <c r="L61" i="1"/>
  <c r="L62" i="1"/>
  <c r="L63" i="1"/>
  <c r="L64" i="1"/>
  <c r="I59" i="1"/>
  <c r="I60" i="1"/>
  <c r="I61" i="1"/>
  <c r="I62" i="1"/>
  <c r="I63" i="1"/>
  <c r="I64" i="1"/>
  <c r="F59" i="1"/>
  <c r="F60" i="1"/>
  <c r="F61" i="1"/>
  <c r="F64" i="1"/>
  <c r="U66" i="3" l="1"/>
  <c r="U65" i="1"/>
  <c r="U61" i="1"/>
  <c r="U64" i="1"/>
  <c r="U63" i="1"/>
  <c r="U62" i="1"/>
  <c r="U60" i="1"/>
  <c r="U59" i="1"/>
  <c r="U58" i="1"/>
  <c r="O58" i="1"/>
  <c r="L58" i="1"/>
  <c r="F58" i="1"/>
  <c r="I58" i="1"/>
  <c r="U57" i="1" l="1"/>
  <c r="U56" i="1"/>
  <c r="R56" i="1"/>
  <c r="O57" i="1"/>
  <c r="O56" i="1"/>
  <c r="L57" i="1"/>
  <c r="L56" i="1"/>
  <c r="I56" i="1"/>
  <c r="I57" i="1"/>
  <c r="T53" i="1" l="1"/>
  <c r="S53" i="1"/>
  <c r="O55" i="1"/>
  <c r="O54" i="1"/>
  <c r="O53" i="1"/>
  <c r="L55" i="1"/>
  <c r="L54" i="1"/>
  <c r="L53" i="1"/>
  <c r="I55" i="1"/>
  <c r="I54" i="1"/>
  <c r="I53" i="1"/>
  <c r="P66" i="1"/>
  <c r="E66" i="1"/>
  <c r="D66" i="1"/>
  <c r="U53" i="1" l="1"/>
  <c r="T66" i="1"/>
  <c r="U55" i="1"/>
  <c r="Q66" i="1"/>
  <c r="U54" i="1"/>
  <c r="S66" i="1"/>
  <c r="I66" i="1"/>
  <c r="O66" i="1"/>
  <c r="F66" i="1"/>
  <c r="L66" i="1"/>
  <c r="T33" i="1"/>
  <c r="S33" i="1"/>
  <c r="L33" i="1"/>
  <c r="R66" i="1" l="1"/>
  <c r="U66" i="1"/>
  <c r="T49" i="1"/>
  <c r="S49" i="1"/>
  <c r="N18" i="1"/>
  <c r="N34" i="1"/>
  <c r="Q50" i="1"/>
  <c r="P50" i="1"/>
  <c r="N50" i="1"/>
  <c r="M50" i="1"/>
  <c r="K50" i="1"/>
  <c r="J50" i="1"/>
  <c r="H50" i="1"/>
  <c r="G50" i="1"/>
  <c r="E50" i="1"/>
  <c r="D50" i="1"/>
  <c r="Q34" i="1"/>
  <c r="P34" i="1"/>
  <c r="M34" i="1"/>
  <c r="K34" i="1"/>
  <c r="J34" i="1"/>
  <c r="H34" i="1"/>
  <c r="G34" i="1"/>
  <c r="L49" i="1"/>
  <c r="L48" i="1"/>
  <c r="L47" i="1"/>
  <c r="L46" i="1"/>
  <c r="L45" i="1"/>
  <c r="L44" i="1"/>
  <c r="L43" i="1"/>
  <c r="L42" i="1"/>
  <c r="R47" i="1"/>
  <c r="R45" i="1"/>
  <c r="R41" i="1"/>
  <c r="R40" i="1"/>
  <c r="R39" i="1"/>
  <c r="U33" i="1"/>
  <c r="R33" i="1"/>
  <c r="O33" i="1"/>
  <c r="I33" i="1"/>
  <c r="O49" i="1"/>
  <c r="I49" i="1"/>
  <c r="E34" i="1"/>
  <c r="F33" i="1"/>
  <c r="D34" i="1"/>
  <c r="T48" i="1"/>
  <c r="S48" i="1"/>
  <c r="O48" i="1"/>
  <c r="I48" i="1"/>
  <c r="T47" i="1"/>
  <c r="S47" i="1"/>
  <c r="O47" i="1"/>
  <c r="I47" i="1"/>
  <c r="F47" i="1"/>
  <c r="T46" i="1"/>
  <c r="S46" i="1"/>
  <c r="O46" i="1"/>
  <c r="I46" i="1"/>
  <c r="T45" i="1"/>
  <c r="S45" i="1"/>
  <c r="O45" i="1"/>
  <c r="I45" i="1"/>
  <c r="F45" i="1"/>
  <c r="T44" i="1"/>
  <c r="S44" i="1"/>
  <c r="O44" i="1"/>
  <c r="I44" i="1"/>
  <c r="T43" i="1"/>
  <c r="S43" i="1"/>
  <c r="O43" i="1"/>
  <c r="I43" i="1"/>
  <c r="T42" i="1"/>
  <c r="S42" i="1"/>
  <c r="O42" i="1"/>
  <c r="I42" i="1"/>
  <c r="T41" i="1"/>
  <c r="S41" i="1"/>
  <c r="O41" i="1"/>
  <c r="I41" i="1"/>
  <c r="T40" i="1"/>
  <c r="S40" i="1"/>
  <c r="O40" i="1"/>
  <c r="I40" i="1"/>
  <c r="F40" i="1"/>
  <c r="T39" i="1"/>
  <c r="S39" i="1"/>
  <c r="O39" i="1"/>
  <c r="I39" i="1"/>
  <c r="F39" i="1"/>
  <c r="T38" i="1"/>
  <c r="S38" i="1"/>
  <c r="O38" i="1"/>
  <c r="I38" i="1"/>
  <c r="F38" i="1"/>
  <c r="T37" i="1"/>
  <c r="S37" i="1"/>
  <c r="O37" i="1"/>
  <c r="I37" i="1"/>
  <c r="F37" i="1"/>
  <c r="N67" i="1" l="1"/>
  <c r="S50" i="1"/>
  <c r="T50" i="1"/>
  <c r="U49" i="1"/>
  <c r="U48" i="1"/>
  <c r="U47" i="1"/>
  <c r="U44" i="1"/>
  <c r="U43" i="1"/>
  <c r="U41" i="1"/>
  <c r="U46" i="1"/>
  <c r="U39" i="1"/>
  <c r="U38" i="1"/>
  <c r="F50" i="1"/>
  <c r="O50" i="1"/>
  <c r="U42" i="1"/>
  <c r="I50" i="1"/>
  <c r="R50" i="1"/>
  <c r="U40" i="1"/>
  <c r="U45" i="1"/>
  <c r="L50" i="1"/>
  <c r="U37" i="1"/>
  <c r="Q18" i="1"/>
  <c r="Q67" i="1" s="1"/>
  <c r="P18" i="1"/>
  <c r="M18" i="1"/>
  <c r="O18" i="1" s="1"/>
  <c r="K18" i="1"/>
  <c r="K67" i="1" s="1"/>
  <c r="J18" i="1"/>
  <c r="L18" i="1" s="1"/>
  <c r="H18" i="1"/>
  <c r="H67" i="1" s="1"/>
  <c r="G18" i="1"/>
  <c r="G67" i="1" s="1"/>
  <c r="E18" i="1"/>
  <c r="E67" i="1" s="1"/>
  <c r="D18" i="1"/>
  <c r="D67" i="1" s="1"/>
  <c r="F32" i="1"/>
  <c r="F31" i="1"/>
  <c r="F30" i="1"/>
  <c r="F29" i="1"/>
  <c r="F27" i="1"/>
  <c r="F26" i="1"/>
  <c r="F25" i="1"/>
  <c r="F24" i="1"/>
  <c r="F23" i="1"/>
  <c r="F22" i="1"/>
  <c r="F21" i="1"/>
  <c r="I32" i="1"/>
  <c r="I31" i="1"/>
  <c r="I30" i="1"/>
  <c r="I29" i="1"/>
  <c r="I28" i="1"/>
  <c r="I27" i="1"/>
  <c r="I26" i="1"/>
  <c r="I25" i="1"/>
  <c r="I24" i="1"/>
  <c r="I23" i="1"/>
  <c r="I22" i="1"/>
  <c r="I21" i="1"/>
  <c r="L29" i="1"/>
  <c r="L28" i="1"/>
  <c r="O32" i="1"/>
  <c r="O31" i="1"/>
  <c r="O30" i="1"/>
  <c r="O29" i="1"/>
  <c r="O28" i="1"/>
  <c r="O27" i="1"/>
  <c r="O26" i="1"/>
  <c r="O25" i="1"/>
  <c r="O24" i="1"/>
  <c r="O23" i="1"/>
  <c r="O22" i="1"/>
  <c r="O21" i="1"/>
  <c r="R32" i="1"/>
  <c r="R31" i="1"/>
  <c r="R29" i="1"/>
  <c r="R27" i="1"/>
  <c r="R26" i="1"/>
  <c r="R23" i="1"/>
  <c r="R22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M67" i="1" l="1"/>
  <c r="F18" i="1"/>
  <c r="R18" i="1"/>
  <c r="J67" i="1"/>
  <c r="I18" i="1"/>
  <c r="P67" i="1"/>
  <c r="T34" i="1"/>
  <c r="S34" i="1"/>
  <c r="U50" i="1"/>
  <c r="F34" i="1"/>
  <c r="R34" i="1"/>
  <c r="L34" i="1"/>
  <c r="I34" i="1"/>
  <c r="O34" i="1"/>
  <c r="U29" i="1"/>
  <c r="U23" i="1"/>
  <c r="U27" i="1"/>
  <c r="U31" i="1"/>
  <c r="U21" i="1"/>
  <c r="U26" i="1"/>
  <c r="U28" i="1"/>
  <c r="U25" i="1"/>
  <c r="U24" i="1"/>
  <c r="U32" i="1"/>
  <c r="U22" i="1"/>
  <c r="U30" i="1"/>
  <c r="O9" i="1"/>
  <c r="U3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R17" i="1"/>
  <c r="R16" i="1"/>
  <c r="R13" i="1"/>
  <c r="R12" i="1"/>
  <c r="R7" i="1"/>
  <c r="O17" i="1"/>
  <c r="O16" i="1"/>
  <c r="O15" i="1"/>
  <c r="O14" i="1"/>
  <c r="O13" i="1"/>
  <c r="O12" i="1"/>
  <c r="O11" i="1"/>
  <c r="O10" i="1"/>
  <c r="O8" i="1"/>
  <c r="O7" i="1"/>
  <c r="O6" i="1"/>
  <c r="O5" i="1"/>
  <c r="L6" i="1"/>
  <c r="L5" i="1"/>
  <c r="I17" i="1"/>
  <c r="I16" i="1"/>
  <c r="I15" i="1"/>
  <c r="I14" i="1"/>
  <c r="I13" i="1"/>
  <c r="I12" i="1"/>
  <c r="I11" i="1"/>
  <c r="I9" i="1"/>
  <c r="I8" i="1"/>
  <c r="F5" i="1"/>
  <c r="F6" i="1"/>
  <c r="F8" i="1"/>
  <c r="F9" i="1"/>
  <c r="F10" i="1"/>
  <c r="F11" i="1"/>
  <c r="F12" i="1"/>
  <c r="F13" i="1"/>
  <c r="F14" i="1"/>
  <c r="F16" i="1"/>
  <c r="F17" i="1"/>
  <c r="T18" i="1" l="1"/>
  <c r="T67" i="1" s="1"/>
  <c r="S18" i="1"/>
  <c r="S67" i="1" s="1"/>
  <c r="I67" i="1"/>
  <c r="R67" i="1"/>
  <c r="U13" i="1"/>
  <c r="U7" i="1"/>
  <c r="F67" i="1"/>
  <c r="U14" i="1"/>
  <c r="U8" i="1"/>
  <c r="U10" i="1"/>
  <c r="U16" i="1"/>
  <c r="U17" i="1"/>
  <c r="U11" i="1"/>
  <c r="U15" i="1"/>
  <c r="U12" i="1"/>
  <c r="U6" i="1"/>
  <c r="U9" i="1"/>
  <c r="U5" i="1"/>
  <c r="L67" i="1"/>
  <c r="O67" i="1"/>
  <c r="U18" i="1" l="1"/>
  <c r="U67" i="1"/>
</calcChain>
</file>

<file path=xl/sharedStrings.xml><?xml version="1.0" encoding="utf-8"?>
<sst xmlns="http://schemas.openxmlformats.org/spreadsheetml/2006/main" count="1143" uniqueCount="47">
  <si>
    <t>WEEK</t>
  </si>
  <si>
    <t>REVENUE</t>
  </si>
  <si>
    <t>HOURS</t>
  </si>
  <si>
    <t>TPH</t>
  </si>
  <si>
    <t>SCOTT</t>
  </si>
  <si>
    <t>ADAM</t>
  </si>
  <si>
    <t>JEFF</t>
  </si>
  <si>
    <t>GARRETT</t>
  </si>
  <si>
    <t>STEPHEN</t>
  </si>
  <si>
    <t>TOTAL</t>
  </si>
  <si>
    <t>MO</t>
  </si>
  <si>
    <t>JAN</t>
  </si>
  <si>
    <t>FEB</t>
  </si>
  <si>
    <t>MAR</t>
  </si>
  <si>
    <t>APR</t>
  </si>
  <si>
    <t>QTR</t>
  </si>
  <si>
    <t>Q1</t>
  </si>
  <si>
    <t>MAY</t>
  </si>
  <si>
    <t>JUN</t>
  </si>
  <si>
    <t>Q2</t>
  </si>
  <si>
    <t>1ST QUARTER TOTAL</t>
  </si>
  <si>
    <t>2ND QUARTER TOTAL</t>
  </si>
  <si>
    <t>ANNUAL TOTAL</t>
  </si>
  <si>
    <t>JUL</t>
  </si>
  <si>
    <t>AUG</t>
  </si>
  <si>
    <t>SEP</t>
  </si>
  <si>
    <t>Q3</t>
  </si>
  <si>
    <t>PARKER</t>
  </si>
  <si>
    <t>Q4</t>
  </si>
  <si>
    <t>4TH QUARTER TOTAL</t>
  </si>
  <si>
    <t>3RD QUARTER TOTAL</t>
  </si>
  <si>
    <t>OCT</t>
  </si>
  <si>
    <t>NOV</t>
  </si>
  <si>
    <t>DEC</t>
  </si>
  <si>
    <t>KIRK</t>
  </si>
  <si>
    <t>SCOTT ANDRE</t>
  </si>
  <si>
    <t>SUB TOTAL</t>
  </si>
  <si>
    <t>SCOTT GRIFFITHS</t>
  </si>
  <si>
    <t>YEAR TO DATE TOTAL</t>
  </si>
  <si>
    <t>Q1 + Q2 TOTAL</t>
  </si>
  <si>
    <t>CHRIS</t>
  </si>
  <si>
    <t>NATHAN</t>
  </si>
  <si>
    <t>JEREMY</t>
  </si>
  <si>
    <t>TOBY</t>
  </si>
  <si>
    <t>ETHAN</t>
  </si>
  <si>
    <t>JASON</t>
  </si>
  <si>
    <t>REBEKAH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</si>
</sst>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.00"/>
    <numFmt numFmtId="165" formatCode="0.0"/>
    <numFmt numFmtId="166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5" fontId="0" fillId="2" borderId="1" xfId="0" applyNumberFormat="1" applyFill="1" applyBorder="1" applyAlignment="1">
      <alignment horizontal="center"/>
    </xf>
    <xf numFmtId="165" fontId="0" fillId="0" borderId="0" xfId="0" applyNumberFormat="1"/>
    <xf numFmtId="164" fontId="0" fillId="3" borderId="1" xfId="0" applyNumberFormat="1" applyFill="1" applyBorder="1"/>
    <xf numFmtId="165" fontId="0" fillId="3" borderId="1" xfId="0" applyNumberFormat="1" applyFill="1" applyBorder="1"/>
    <xf numFmtId="164" fontId="0" fillId="0" borderId="1" xfId="0" applyNumberFormat="1" applyBorder="1"/>
    <xf numFmtId="165" fontId="0" fillId="0" borderId="1" xfId="0" applyNumberFormat="1" applyBorder="1"/>
    <xf numFmtId="164" fontId="1" fillId="4" borderId="0" xfId="0" applyNumberFormat="1" applyFont="1" applyFill="1"/>
    <xf numFmtId="166" fontId="1" fillId="4" borderId="0" xfId="0" applyNumberFormat="1" applyFont="1" applyFill="1"/>
    <xf numFmtId="16" fontId="0" fillId="0" borderId="1" xfId="0" applyNumberFormat="1" applyBorder="1" applyAlignment="1">
      <alignment horizontal="right"/>
    </xf>
    <xf numFmtId="16" fontId="0" fillId="0" borderId="2" xfId="0" applyNumberFormat="1" applyBorder="1" applyAlignment="1">
      <alignment horizontal="right"/>
    </xf>
    <xf numFmtId="164" fontId="0" fillId="0" borderId="1" xfId="0" applyNumberFormat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64" fontId="0" fillId="0" borderId="2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165" fontId="0" fillId="3" borderId="1" xfId="0" applyNumberFormat="1" applyFill="1" applyBorder="1" applyAlignment="1">
      <alignment vertical="top"/>
    </xf>
    <xf numFmtId="165" fontId="0" fillId="0" borderId="2" xfId="0" applyNumberFormat="1" applyBorder="1" applyAlignment="1">
      <alignment vertical="top"/>
    </xf>
    <xf numFmtId="164" fontId="0" fillId="3" borderId="2" xfId="0" applyNumberFormat="1" applyFill="1" applyBorder="1" applyAlignment="1">
      <alignment vertical="top"/>
    </xf>
    <xf numFmtId="165" fontId="0" fillId="3" borderId="2" xfId="0" applyNumberFormat="1" applyFill="1" applyBorder="1" applyAlignment="1">
      <alignment vertical="top"/>
    </xf>
    <xf numFmtId="164" fontId="3" fillId="0" borderId="6" xfId="0" applyNumberFormat="1" applyFont="1" applyBorder="1" applyAlignment="1">
      <alignment vertical="top"/>
    </xf>
    <xf numFmtId="165" fontId="3" fillId="0" borderId="6" xfId="0" applyNumberFormat="1" applyFont="1" applyBorder="1" applyAlignment="1">
      <alignment vertical="top"/>
    </xf>
    <xf numFmtId="164" fontId="0" fillId="0" borderId="2" xfId="0" applyNumberFormat="1" applyBorder="1"/>
    <xf numFmtId="165" fontId="0" fillId="0" borderId="2" xfId="0" applyNumberFormat="1" applyBorder="1"/>
    <xf numFmtId="164" fontId="0" fillId="3" borderId="2" xfId="0" applyNumberFormat="1" applyFill="1" applyBorder="1"/>
    <xf numFmtId="165" fontId="0" fillId="3" borderId="2" xfId="0" applyNumberFormat="1" applyFill="1" applyBorder="1"/>
    <xf numFmtId="16" fontId="0" fillId="5" borderId="1" xfId="0" applyNumberFormat="1" applyFill="1" applyBorder="1" applyAlignment="1">
      <alignment horizontal="right"/>
    </xf>
    <xf numFmtId="16" fontId="0" fillId="5" borderId="2" xfId="0" applyNumberFormat="1" applyFill="1" applyBorder="1" applyAlignment="1">
      <alignment horizontal="right"/>
    </xf>
    <xf numFmtId="0" fontId="0" fillId="0" borderId="0" xfId="0" applyAlignment="1">
      <alignment horizontal="center" vertical="center"/>
    </xf>
    <xf numFmtId="164" fontId="3" fillId="0" borderId="5" xfId="0" applyNumberFormat="1" applyFont="1" applyBorder="1" applyAlignment="1">
      <alignment vertical="top"/>
    </xf>
    <xf numFmtId="165" fontId="3" fillId="0" borderId="5" xfId="0" applyNumberFormat="1" applyFont="1" applyBorder="1" applyAlignment="1">
      <alignment vertical="top"/>
    </xf>
    <xf numFmtId="164" fontId="3" fillId="0" borderId="11" xfId="0" applyNumberFormat="1" applyFont="1" applyBorder="1" applyAlignment="1">
      <alignment vertical="top"/>
    </xf>
    <xf numFmtId="164" fontId="3" fillId="0" borderId="6" xfId="0" applyNumberFormat="1" applyFont="1" applyBorder="1" applyAlignment="1">
      <alignment vertical="center"/>
    </xf>
    <xf numFmtId="165" fontId="3" fillId="0" borderId="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164" fontId="0" fillId="2" borderId="1" xfId="0" applyNumberFormat="1" applyFill="1" applyBorder="1"/>
    <xf numFmtId="165" fontId="0" fillId="2" borderId="1" xfId="0" applyNumberFormat="1" applyFill="1" applyBorder="1"/>
    <xf numFmtId="164" fontId="0" fillId="2" borderId="1" xfId="0" applyNumberFormat="1" applyFill="1" applyBorder="1" applyAlignment="1">
      <alignment vertical="top"/>
    </xf>
    <xf numFmtId="165" fontId="0" fillId="2" borderId="1" xfId="0" applyNumberFormat="1" applyFill="1" applyBorder="1" applyAlignment="1">
      <alignment vertical="top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right"/>
    </xf>
    <xf numFmtId="164" fontId="0" fillId="6" borderId="1" xfId="0" applyNumberFormat="1" applyFill="1" applyBorder="1"/>
    <xf numFmtId="165" fontId="0" fillId="6" borderId="1" xfId="0" applyNumberFormat="1" applyFill="1" applyBorder="1"/>
    <xf numFmtId="0" fontId="0" fillId="0" borderId="10" xfId="0" applyBorder="1" applyAlignment="1">
      <alignment horizontal="center" vertical="center"/>
    </xf>
    <xf numFmtId="8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6" borderId="1" xfId="0" applyFill="1" applyBorder="1"/>
    <xf numFmtId="164" fontId="0" fillId="6" borderId="1" xfId="0" applyNumberFormat="1" applyFill="1" applyBorder="1" applyAlignment="1">
      <alignment vertical="top"/>
    </xf>
    <xf numFmtId="165" fontId="0" fillId="6" borderId="1" xfId="0" applyNumberFormat="1" applyFill="1" applyBorder="1" applyAlignment="1">
      <alignment vertical="top"/>
    </xf>
    <xf numFmtId="0" fontId="3" fillId="0" borderId="6" xfId="0" applyFont="1" applyBorder="1" applyAlignment="1">
      <alignment horizontal="left" vertical="center"/>
    </xf>
    <xf numFmtId="0" fontId="1" fillId="4" borderId="6" xfId="0" applyFont="1" applyFill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2" borderId="1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0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E12A-14A8-48B1-BC91-6B4DA032D009}">
  <sheetPr codeName="Sheet1"/>
  <dimension ref="A3:U67"/>
  <sheetViews>
    <sheetView view="pageBreakPreview" topLeftCell="A52" zoomScaleNormal="130" zoomScaleSheetLayoutView="100" workbookViewId="0">
      <selection activeCell="S67" sqref="S67"/>
    </sheetView>
  </sheetViews>
  <sheetFormatPr defaultRowHeight="15" x14ac:dyDescent="0.25"/>
  <cols>
    <col min="1" max="2" width="6" bestFit="1" customWidth="1"/>
    <col min="3" max="3" width="7.42578125" bestFit="1" customWidth="1"/>
    <col min="4" max="4" width="13.85546875" style="2" customWidth="1"/>
    <col min="5" max="5" width="8.85546875" style="4" customWidth="1"/>
    <col min="6" max="6" width="8.42578125" style="2" customWidth="1"/>
    <col min="7" max="7" width="13.85546875" style="2" customWidth="1"/>
    <col min="8" max="8" width="8.85546875" style="4" customWidth="1"/>
    <col min="9" max="9" width="8.42578125" style="2" customWidth="1"/>
    <col min="10" max="10" width="13.85546875" style="2" customWidth="1"/>
    <col min="11" max="11" width="8.85546875" style="4" customWidth="1"/>
    <col min="12" max="12" width="8.42578125" style="2" customWidth="1"/>
    <col min="13" max="13" width="13.85546875" style="2" customWidth="1"/>
    <col min="14" max="14" width="8.85546875" style="4" customWidth="1"/>
    <col min="15" max="15" width="8.42578125" style="2" customWidth="1"/>
    <col min="16" max="16" width="13.85546875" style="2" customWidth="1"/>
    <col min="17" max="17" width="8.85546875" style="4" customWidth="1"/>
    <col min="18" max="18" width="8.42578125" style="2" customWidth="1"/>
    <col min="19" max="19" width="13.85546875" style="2" customWidth="1"/>
    <col min="20" max="20" width="8.85546875" style="4" customWidth="1"/>
    <col min="21" max="21" width="8.42578125" style="2" customWidth="1"/>
  </cols>
  <sheetData>
    <row r="3" spans="1:21" x14ac:dyDescent="0.25">
      <c r="A3" s="67" t="s">
        <v>15</v>
      </c>
      <c r="B3" s="67" t="s">
        <v>10</v>
      </c>
      <c r="C3" s="67" t="s">
        <v>0</v>
      </c>
      <c r="D3" s="58" t="s">
        <v>5</v>
      </c>
      <c r="E3" s="58"/>
      <c r="F3" s="58"/>
      <c r="G3" s="58" t="s">
        <v>7</v>
      </c>
      <c r="H3" s="58"/>
      <c r="I3" s="58"/>
      <c r="J3" s="58" t="s">
        <v>6</v>
      </c>
      <c r="K3" s="58"/>
      <c r="L3" s="58"/>
      <c r="M3" s="58" t="s">
        <v>4</v>
      </c>
      <c r="N3" s="58"/>
      <c r="O3" s="58"/>
      <c r="P3" s="58" t="s">
        <v>8</v>
      </c>
      <c r="Q3" s="58"/>
      <c r="R3" s="58"/>
      <c r="S3" s="58" t="s">
        <v>9</v>
      </c>
      <c r="T3" s="58"/>
      <c r="U3" s="58"/>
    </row>
    <row r="4" spans="1:21" x14ac:dyDescent="0.25">
      <c r="A4" s="67"/>
      <c r="B4" s="67"/>
      <c r="C4" s="67"/>
      <c r="D4" s="1" t="s">
        <v>1</v>
      </c>
      <c r="E4" s="3" t="s">
        <v>2</v>
      </c>
      <c r="F4" s="1" t="s">
        <v>3</v>
      </c>
      <c r="G4" s="1" t="s">
        <v>1</v>
      </c>
      <c r="H4" s="3" t="s">
        <v>2</v>
      </c>
      <c r="I4" s="1" t="s">
        <v>3</v>
      </c>
      <c r="J4" s="1" t="s">
        <v>1</v>
      </c>
      <c r="K4" s="3" t="s">
        <v>2</v>
      </c>
      <c r="L4" s="1" t="s">
        <v>3</v>
      </c>
      <c r="M4" s="1" t="s">
        <v>1</v>
      </c>
      <c r="N4" s="3" t="s">
        <v>2</v>
      </c>
      <c r="O4" s="1" t="s">
        <v>3</v>
      </c>
      <c r="P4" s="1" t="s">
        <v>1</v>
      </c>
      <c r="Q4" s="3" t="s">
        <v>2</v>
      </c>
      <c r="R4" s="1" t="s">
        <v>3</v>
      </c>
      <c r="S4" s="1" t="s">
        <v>1</v>
      </c>
      <c r="T4" s="3" t="s">
        <v>2</v>
      </c>
      <c r="U4" s="1" t="s">
        <v>3</v>
      </c>
    </row>
    <row r="5" spans="1:21" ht="23.25" customHeight="1" x14ac:dyDescent="0.25">
      <c r="A5" s="59" t="s">
        <v>16</v>
      </c>
      <c r="B5" s="59" t="s">
        <v>11</v>
      </c>
      <c r="C5" s="11">
        <v>43474</v>
      </c>
      <c r="D5" s="13">
        <v>36515</v>
      </c>
      <c r="E5" s="16">
        <v>485</v>
      </c>
      <c r="F5" s="13">
        <f t="shared" ref="F5:F17" si="0">D5/E5</f>
        <v>75.288659793814432</v>
      </c>
      <c r="G5" s="14"/>
      <c r="H5" s="17"/>
      <c r="I5" s="14"/>
      <c r="J5" s="13">
        <v>23166.5</v>
      </c>
      <c r="K5" s="16">
        <v>287</v>
      </c>
      <c r="L5" s="13">
        <f t="shared" ref="L5:L6" si="1">J5/K5</f>
        <v>80.719512195121951</v>
      </c>
      <c r="M5" s="13">
        <v>231661.75</v>
      </c>
      <c r="N5" s="16">
        <v>2756</v>
      </c>
      <c r="O5" s="13">
        <f t="shared" ref="O5:O17" si="2">M5/N5</f>
        <v>84.057238751814225</v>
      </c>
      <c r="P5" s="14"/>
      <c r="Q5" s="17"/>
      <c r="R5" s="14"/>
      <c r="S5" s="13">
        <f t="shared" ref="S5:S17" si="3">SUM(D5,G5,J5,M5,P5)</f>
        <v>291343.25</v>
      </c>
      <c r="T5" s="16">
        <f t="shared" ref="T5:T17" si="4">SUM(E5,H5,K5,N5,Q5)</f>
        <v>3528</v>
      </c>
      <c r="U5" s="13">
        <f t="shared" ref="U5:U17" si="5">S5/T5</f>
        <v>82.580286281179141</v>
      </c>
    </row>
    <row r="6" spans="1:21" ht="23.25" customHeight="1" x14ac:dyDescent="0.25">
      <c r="A6" s="60"/>
      <c r="B6" s="60"/>
      <c r="C6" s="11">
        <v>43481</v>
      </c>
      <c r="D6" s="13">
        <v>38776.25</v>
      </c>
      <c r="E6" s="16">
        <v>450.8</v>
      </c>
      <c r="F6" s="13">
        <f t="shared" si="0"/>
        <v>86.016526175687659</v>
      </c>
      <c r="G6" s="14"/>
      <c r="H6" s="17"/>
      <c r="I6" s="14"/>
      <c r="J6" s="13">
        <v>19237.5</v>
      </c>
      <c r="K6" s="16">
        <v>284.5</v>
      </c>
      <c r="L6" s="13">
        <f t="shared" si="1"/>
        <v>67.618629173989461</v>
      </c>
      <c r="M6" s="13">
        <v>20505</v>
      </c>
      <c r="N6" s="16">
        <v>187.5</v>
      </c>
      <c r="O6" s="13">
        <f t="shared" si="2"/>
        <v>109.36</v>
      </c>
      <c r="P6" s="14"/>
      <c r="Q6" s="17"/>
      <c r="R6" s="14"/>
      <c r="S6" s="13">
        <f t="shared" si="3"/>
        <v>78518.75</v>
      </c>
      <c r="T6" s="16">
        <f t="shared" si="4"/>
        <v>922.8</v>
      </c>
      <c r="U6" s="13">
        <f t="shared" si="5"/>
        <v>85.087505418292153</v>
      </c>
    </row>
    <row r="7" spans="1:21" ht="23.25" customHeight="1" x14ac:dyDescent="0.25">
      <c r="A7" s="60"/>
      <c r="B7" s="60"/>
      <c r="C7" s="11">
        <v>43488</v>
      </c>
      <c r="D7" s="14"/>
      <c r="E7" s="17"/>
      <c r="F7" s="14"/>
      <c r="G7" s="14"/>
      <c r="H7" s="17"/>
      <c r="I7" s="14"/>
      <c r="J7" s="14"/>
      <c r="K7" s="17"/>
      <c r="L7" s="14"/>
      <c r="M7" s="13">
        <v>156260</v>
      </c>
      <c r="N7" s="16">
        <v>1985.8</v>
      </c>
      <c r="O7" s="13">
        <f t="shared" si="2"/>
        <v>78.688689696847618</v>
      </c>
      <c r="P7" s="13">
        <v>1968.75</v>
      </c>
      <c r="Q7" s="16">
        <v>25.5</v>
      </c>
      <c r="R7" s="13">
        <f t="shared" ref="R7:R17" si="6">P7/Q7</f>
        <v>77.205882352941174</v>
      </c>
      <c r="S7" s="13">
        <f t="shared" si="3"/>
        <v>158228.75</v>
      </c>
      <c r="T7" s="16">
        <f t="shared" si="4"/>
        <v>2011.3</v>
      </c>
      <c r="U7" s="13">
        <f t="shared" si="5"/>
        <v>78.669890120817385</v>
      </c>
    </row>
    <row r="8" spans="1:21" ht="23.25" customHeight="1" x14ac:dyDescent="0.25">
      <c r="A8" s="60"/>
      <c r="B8" s="61"/>
      <c r="C8" s="11">
        <v>43495</v>
      </c>
      <c r="D8" s="13">
        <v>26530</v>
      </c>
      <c r="E8" s="16">
        <v>258</v>
      </c>
      <c r="F8" s="13">
        <f t="shared" si="0"/>
        <v>102.82945736434108</v>
      </c>
      <c r="G8" s="13">
        <v>11772.75</v>
      </c>
      <c r="H8" s="16">
        <v>137.80000000000001</v>
      </c>
      <c r="I8" s="13">
        <f t="shared" ref="I8:I17" si="7">G8/H8</f>
        <v>85.43359941944847</v>
      </c>
      <c r="J8" s="14"/>
      <c r="K8" s="17"/>
      <c r="L8" s="14"/>
      <c r="M8" s="13">
        <v>87620</v>
      </c>
      <c r="N8" s="16">
        <v>1124.8</v>
      </c>
      <c r="O8" s="13">
        <f t="shared" si="2"/>
        <v>77.898293029871979</v>
      </c>
      <c r="P8" s="14"/>
      <c r="Q8" s="17"/>
      <c r="R8" s="14"/>
      <c r="S8" s="13">
        <f t="shared" si="3"/>
        <v>125922.75</v>
      </c>
      <c r="T8" s="16">
        <f t="shared" si="4"/>
        <v>1520.6</v>
      </c>
      <c r="U8" s="13">
        <f t="shared" si="5"/>
        <v>82.811225831908459</v>
      </c>
    </row>
    <row r="9" spans="1:21" ht="23.25" customHeight="1" x14ac:dyDescent="0.25">
      <c r="A9" s="60"/>
      <c r="B9" s="59" t="s">
        <v>12</v>
      </c>
      <c r="C9" s="11">
        <v>43502</v>
      </c>
      <c r="D9" s="13">
        <v>39700</v>
      </c>
      <c r="E9" s="16">
        <v>458.5</v>
      </c>
      <c r="F9" s="13">
        <f t="shared" si="0"/>
        <v>86.586695747001087</v>
      </c>
      <c r="G9" s="13">
        <v>4200</v>
      </c>
      <c r="H9" s="16">
        <v>28</v>
      </c>
      <c r="I9" s="13">
        <f t="shared" si="7"/>
        <v>150</v>
      </c>
      <c r="J9" s="14"/>
      <c r="K9" s="17"/>
      <c r="L9" s="14"/>
      <c r="M9" s="13">
        <v>78166.25</v>
      </c>
      <c r="N9" s="16">
        <v>929.5</v>
      </c>
      <c r="O9" s="13">
        <f t="shared" si="2"/>
        <v>84.094943518020443</v>
      </c>
      <c r="P9" s="14"/>
      <c r="Q9" s="17"/>
      <c r="R9" s="14"/>
      <c r="S9" s="13">
        <f t="shared" si="3"/>
        <v>122066.25</v>
      </c>
      <c r="T9" s="16">
        <f t="shared" si="4"/>
        <v>1416</v>
      </c>
      <c r="U9" s="13">
        <f t="shared" si="5"/>
        <v>86.204978813559322</v>
      </c>
    </row>
    <row r="10" spans="1:21" ht="23.25" customHeight="1" x14ac:dyDescent="0.25">
      <c r="A10" s="60"/>
      <c r="B10" s="60">
        <v>7</v>
      </c>
      <c r="C10" s="11">
        <v>43509</v>
      </c>
      <c r="D10" s="13">
        <v>22875</v>
      </c>
      <c r="E10" s="16">
        <v>249.8</v>
      </c>
      <c r="F10" s="13">
        <f t="shared" si="0"/>
        <v>91.573258606885503</v>
      </c>
      <c r="G10" s="14"/>
      <c r="H10" s="17"/>
      <c r="I10" s="14"/>
      <c r="J10" s="14"/>
      <c r="K10" s="17"/>
      <c r="L10" s="14"/>
      <c r="M10" s="13">
        <v>118170</v>
      </c>
      <c r="N10" s="16">
        <v>1084.3</v>
      </c>
      <c r="O10" s="13">
        <f t="shared" si="2"/>
        <v>108.9827538504104</v>
      </c>
      <c r="P10" s="14"/>
      <c r="Q10" s="17"/>
      <c r="R10" s="14"/>
      <c r="S10" s="13">
        <f t="shared" si="3"/>
        <v>141045</v>
      </c>
      <c r="T10" s="16">
        <f t="shared" si="4"/>
        <v>1334.1</v>
      </c>
      <c r="U10" s="13">
        <f t="shared" si="5"/>
        <v>105.72295929840342</v>
      </c>
    </row>
    <row r="11" spans="1:21" ht="23.25" customHeight="1" x14ac:dyDescent="0.25">
      <c r="A11" s="60"/>
      <c r="B11" s="60">
        <v>8</v>
      </c>
      <c r="C11" s="11">
        <v>43515</v>
      </c>
      <c r="D11" s="13">
        <v>12082.5</v>
      </c>
      <c r="E11" s="16">
        <v>85.5</v>
      </c>
      <c r="F11" s="13">
        <f t="shared" si="0"/>
        <v>141.31578947368422</v>
      </c>
      <c r="G11" s="13">
        <v>5045.25</v>
      </c>
      <c r="H11" s="16">
        <v>63.5</v>
      </c>
      <c r="I11" s="13">
        <f t="shared" si="7"/>
        <v>79.452755905511808</v>
      </c>
      <c r="J11" s="14"/>
      <c r="K11" s="17"/>
      <c r="L11" s="14"/>
      <c r="M11" s="13">
        <v>96100</v>
      </c>
      <c r="N11" s="16">
        <v>1584.8</v>
      </c>
      <c r="O11" s="13">
        <f t="shared" si="2"/>
        <v>60.638566380615849</v>
      </c>
      <c r="P11" s="14"/>
      <c r="Q11" s="17"/>
      <c r="R11" s="14"/>
      <c r="S11" s="13">
        <f t="shared" si="3"/>
        <v>113227.75</v>
      </c>
      <c r="T11" s="16">
        <f t="shared" si="4"/>
        <v>1733.8</v>
      </c>
      <c r="U11" s="13">
        <f t="shared" si="5"/>
        <v>65.306119506286777</v>
      </c>
    </row>
    <row r="12" spans="1:21" ht="23.25" customHeight="1" x14ac:dyDescent="0.25">
      <c r="A12" s="60"/>
      <c r="B12" s="61">
        <v>9</v>
      </c>
      <c r="C12" s="11">
        <v>43523</v>
      </c>
      <c r="D12" s="13">
        <v>32556.63</v>
      </c>
      <c r="E12" s="16">
        <v>374.8</v>
      </c>
      <c r="F12" s="13">
        <f t="shared" si="0"/>
        <v>86.864007470651018</v>
      </c>
      <c r="G12" s="13">
        <v>2585</v>
      </c>
      <c r="H12" s="16">
        <v>69.3</v>
      </c>
      <c r="I12" s="13">
        <f t="shared" si="7"/>
        <v>37.301587301587304</v>
      </c>
      <c r="J12" s="14"/>
      <c r="K12" s="17"/>
      <c r="L12" s="14"/>
      <c r="M12" s="13">
        <v>71075</v>
      </c>
      <c r="N12" s="16">
        <v>791.3</v>
      </c>
      <c r="O12" s="13">
        <f t="shared" si="2"/>
        <v>89.820548464552004</v>
      </c>
      <c r="P12" s="13">
        <v>960</v>
      </c>
      <c r="Q12" s="16">
        <v>12.5</v>
      </c>
      <c r="R12" s="13">
        <f t="shared" si="6"/>
        <v>76.8</v>
      </c>
      <c r="S12" s="13">
        <f t="shared" si="3"/>
        <v>107176.63</v>
      </c>
      <c r="T12" s="16">
        <f t="shared" si="4"/>
        <v>1247.9000000000001</v>
      </c>
      <c r="U12" s="13">
        <f t="shared" si="5"/>
        <v>85.885591794214278</v>
      </c>
    </row>
    <row r="13" spans="1:21" ht="23.25" customHeight="1" x14ac:dyDescent="0.25">
      <c r="A13" s="60"/>
      <c r="B13" s="59" t="s">
        <v>13</v>
      </c>
      <c r="C13" s="11">
        <v>43530</v>
      </c>
      <c r="D13" s="13">
        <v>28180</v>
      </c>
      <c r="E13" s="16">
        <v>366.8</v>
      </c>
      <c r="F13" s="13">
        <f t="shared" si="0"/>
        <v>76.826608505997811</v>
      </c>
      <c r="G13" s="13">
        <v>36413.75</v>
      </c>
      <c r="H13" s="16">
        <v>399.3</v>
      </c>
      <c r="I13" s="13">
        <f t="shared" si="7"/>
        <v>91.193964437766084</v>
      </c>
      <c r="J13" s="14"/>
      <c r="K13" s="17"/>
      <c r="L13" s="14"/>
      <c r="M13" s="13">
        <v>75741.5</v>
      </c>
      <c r="N13" s="16">
        <v>943</v>
      </c>
      <c r="O13" s="13">
        <f t="shared" si="2"/>
        <v>80.319724284199367</v>
      </c>
      <c r="P13" s="13">
        <v>3895</v>
      </c>
      <c r="Q13" s="16">
        <v>63.5</v>
      </c>
      <c r="R13" s="13">
        <f t="shared" si="6"/>
        <v>61.338582677165356</v>
      </c>
      <c r="S13" s="13">
        <f t="shared" si="3"/>
        <v>144230.25</v>
      </c>
      <c r="T13" s="16">
        <f t="shared" si="4"/>
        <v>1772.6</v>
      </c>
      <c r="U13" s="13">
        <f t="shared" si="5"/>
        <v>81.366495543269778</v>
      </c>
    </row>
    <row r="14" spans="1:21" ht="23.25" customHeight="1" x14ac:dyDescent="0.25">
      <c r="A14" s="60"/>
      <c r="B14" s="60">
        <v>11</v>
      </c>
      <c r="C14" s="11">
        <v>43537</v>
      </c>
      <c r="D14" s="13">
        <v>24412</v>
      </c>
      <c r="E14" s="16">
        <v>276</v>
      </c>
      <c r="F14" s="13">
        <f t="shared" si="0"/>
        <v>88.449275362318843</v>
      </c>
      <c r="G14" s="13">
        <v>39224</v>
      </c>
      <c r="H14" s="16">
        <v>473</v>
      </c>
      <c r="I14" s="13">
        <f t="shared" si="7"/>
        <v>82.926004228329816</v>
      </c>
      <c r="J14" s="14"/>
      <c r="K14" s="17"/>
      <c r="L14" s="14"/>
      <c r="M14" s="13">
        <v>194596</v>
      </c>
      <c r="N14" s="16">
        <v>1965.8</v>
      </c>
      <c r="O14" s="13">
        <f t="shared" si="2"/>
        <v>98.990741682775464</v>
      </c>
      <c r="P14" s="14"/>
      <c r="Q14" s="17"/>
      <c r="R14" s="14"/>
      <c r="S14" s="13">
        <f t="shared" si="3"/>
        <v>258232</v>
      </c>
      <c r="T14" s="16">
        <f t="shared" si="4"/>
        <v>2714.8</v>
      </c>
      <c r="U14" s="13">
        <f t="shared" si="5"/>
        <v>95.120082510682181</v>
      </c>
    </row>
    <row r="15" spans="1:21" ht="23.25" customHeight="1" x14ac:dyDescent="0.25">
      <c r="A15" s="60"/>
      <c r="B15" s="60">
        <v>12</v>
      </c>
      <c r="C15" s="11">
        <v>43544</v>
      </c>
      <c r="D15" s="14"/>
      <c r="E15" s="17"/>
      <c r="F15" s="14"/>
      <c r="G15" s="13">
        <v>18510</v>
      </c>
      <c r="H15" s="16">
        <v>184.5</v>
      </c>
      <c r="I15" s="13">
        <f t="shared" si="7"/>
        <v>100.32520325203252</v>
      </c>
      <c r="J15" s="14"/>
      <c r="K15" s="17"/>
      <c r="L15" s="14"/>
      <c r="M15" s="13">
        <v>86094</v>
      </c>
      <c r="N15" s="16">
        <v>988</v>
      </c>
      <c r="O15" s="13">
        <f t="shared" si="2"/>
        <v>87.139676113360323</v>
      </c>
      <c r="P15" s="14"/>
      <c r="Q15" s="17"/>
      <c r="R15" s="14"/>
      <c r="S15" s="13">
        <f t="shared" si="3"/>
        <v>104604</v>
      </c>
      <c r="T15" s="16">
        <f t="shared" si="4"/>
        <v>1172.5</v>
      </c>
      <c r="U15" s="13">
        <f t="shared" si="5"/>
        <v>89.214498933901922</v>
      </c>
    </row>
    <row r="16" spans="1:21" ht="23.25" customHeight="1" x14ac:dyDescent="0.25">
      <c r="A16" s="60"/>
      <c r="B16" s="60">
        <v>13</v>
      </c>
      <c r="C16" s="11">
        <v>43551</v>
      </c>
      <c r="D16" s="13">
        <v>32114</v>
      </c>
      <c r="E16" s="16">
        <v>355</v>
      </c>
      <c r="F16" s="13">
        <f t="shared" si="0"/>
        <v>90.461971830985917</v>
      </c>
      <c r="G16" s="13">
        <v>14302.5</v>
      </c>
      <c r="H16" s="16">
        <v>158.30000000000001</v>
      </c>
      <c r="I16" s="13">
        <f t="shared" si="7"/>
        <v>90.350600126342385</v>
      </c>
      <c r="J16" s="14"/>
      <c r="K16" s="17"/>
      <c r="L16" s="14"/>
      <c r="M16" s="13">
        <v>25602.5</v>
      </c>
      <c r="N16" s="16">
        <v>305</v>
      </c>
      <c r="O16" s="13">
        <f t="shared" si="2"/>
        <v>83.942622950819668</v>
      </c>
      <c r="P16" s="13">
        <v>4300</v>
      </c>
      <c r="Q16" s="16">
        <v>41.3</v>
      </c>
      <c r="R16" s="13">
        <f t="shared" si="6"/>
        <v>104.11622276029057</v>
      </c>
      <c r="S16" s="13">
        <f t="shared" si="3"/>
        <v>76319</v>
      </c>
      <c r="T16" s="16">
        <f t="shared" si="4"/>
        <v>859.59999999999991</v>
      </c>
      <c r="U16" s="13">
        <f t="shared" si="5"/>
        <v>88.78431828757563</v>
      </c>
    </row>
    <row r="17" spans="1:21" ht="23.25" customHeight="1" x14ac:dyDescent="0.25">
      <c r="A17" s="61"/>
      <c r="B17" s="60"/>
      <c r="C17" s="12">
        <v>43557</v>
      </c>
      <c r="D17" s="15">
        <v>31294.75</v>
      </c>
      <c r="E17" s="18">
        <v>321.8</v>
      </c>
      <c r="F17" s="15">
        <f t="shared" si="0"/>
        <v>97.24906774394033</v>
      </c>
      <c r="G17" s="15">
        <v>7765</v>
      </c>
      <c r="H17" s="18">
        <v>88.5</v>
      </c>
      <c r="I17" s="15">
        <f t="shared" si="7"/>
        <v>87.740112994350284</v>
      </c>
      <c r="J17" s="19"/>
      <c r="K17" s="20"/>
      <c r="L17" s="19"/>
      <c r="M17" s="15">
        <v>8292.5</v>
      </c>
      <c r="N17" s="18">
        <v>99.5</v>
      </c>
      <c r="O17" s="15">
        <f t="shared" si="2"/>
        <v>83.341708542713562</v>
      </c>
      <c r="P17" s="15">
        <v>4300</v>
      </c>
      <c r="Q17" s="18">
        <v>41.3</v>
      </c>
      <c r="R17" s="15">
        <f t="shared" si="6"/>
        <v>104.11622276029057</v>
      </c>
      <c r="S17" s="15">
        <f t="shared" si="3"/>
        <v>51652.25</v>
      </c>
      <c r="T17" s="18">
        <f t="shared" si="4"/>
        <v>551.1</v>
      </c>
      <c r="U17" s="15">
        <f t="shared" si="5"/>
        <v>93.725730357466887</v>
      </c>
    </row>
    <row r="18" spans="1:21" ht="39" customHeight="1" x14ac:dyDescent="0.25">
      <c r="A18" s="64" t="s">
        <v>20</v>
      </c>
      <c r="B18" s="64"/>
      <c r="C18" s="64"/>
      <c r="D18" s="21">
        <f>SUM(D5:D17)</f>
        <v>325036.13</v>
      </c>
      <c r="E18" s="22">
        <f>SUM(E5:E17)</f>
        <v>3682.0000000000005</v>
      </c>
      <c r="F18" s="21">
        <f>D18/E18</f>
        <v>88.277058663769679</v>
      </c>
      <c r="G18" s="21">
        <f>SUM(G5:G17)</f>
        <v>139818.25</v>
      </c>
      <c r="H18" s="22">
        <f>SUM(H5:H17)</f>
        <v>1602.2</v>
      </c>
      <c r="I18" s="21">
        <f>G18/H18</f>
        <v>87.266414929471978</v>
      </c>
      <c r="J18" s="21">
        <f>SUM(J5:J17)</f>
        <v>42404</v>
      </c>
      <c r="K18" s="22">
        <f>SUM(K5:K17)</f>
        <v>571.5</v>
      </c>
      <c r="L18" s="21">
        <f>J18/K18</f>
        <v>74.197725284339455</v>
      </c>
      <c r="M18" s="21">
        <f>SUM(M5:M17)</f>
        <v>1249884.5</v>
      </c>
      <c r="N18" s="22">
        <f>SUM(N5:N17)</f>
        <v>14745.3</v>
      </c>
      <c r="O18" s="21">
        <f>M18/N18</f>
        <v>84.764942049330983</v>
      </c>
      <c r="P18" s="21">
        <f>SUM(P5:P17)</f>
        <v>15423.75</v>
      </c>
      <c r="Q18" s="22">
        <f>SUM(Q5:Q17)</f>
        <v>184.10000000000002</v>
      </c>
      <c r="R18" s="21">
        <f>P18/Q18</f>
        <v>83.779196089082006</v>
      </c>
      <c r="S18" s="21">
        <f>SUM(S5:S17)</f>
        <v>1772566.63</v>
      </c>
      <c r="T18" s="22">
        <f>SUM(T5:T17)</f>
        <v>20785.099999999999</v>
      </c>
      <c r="U18" s="21">
        <f>S18/T18</f>
        <v>85.280639977676316</v>
      </c>
    </row>
    <row r="19" spans="1:21" x14ac:dyDescent="0.25">
      <c r="A19" s="67" t="s">
        <v>15</v>
      </c>
      <c r="B19" s="67" t="s">
        <v>10</v>
      </c>
      <c r="C19" s="67" t="s">
        <v>0</v>
      </c>
      <c r="D19" s="58" t="s">
        <v>5</v>
      </c>
      <c r="E19" s="58"/>
      <c r="F19" s="58"/>
      <c r="G19" s="58" t="s">
        <v>7</v>
      </c>
      <c r="H19" s="58"/>
      <c r="I19" s="58"/>
      <c r="J19" s="58" t="s">
        <v>6</v>
      </c>
      <c r="K19" s="58"/>
      <c r="L19" s="58"/>
      <c r="M19" s="58" t="s">
        <v>4</v>
      </c>
      <c r="N19" s="58"/>
      <c r="O19" s="58"/>
      <c r="P19" s="58" t="s">
        <v>8</v>
      </c>
      <c r="Q19" s="58"/>
      <c r="R19" s="58"/>
      <c r="S19" s="58" t="s">
        <v>9</v>
      </c>
      <c r="T19" s="58"/>
      <c r="U19" s="58"/>
    </row>
    <row r="20" spans="1:21" x14ac:dyDescent="0.25">
      <c r="A20" s="67"/>
      <c r="B20" s="67"/>
      <c r="C20" s="67"/>
      <c r="D20" s="1" t="s">
        <v>1</v>
      </c>
      <c r="E20" s="3" t="s">
        <v>2</v>
      </c>
      <c r="F20" s="1" t="s">
        <v>3</v>
      </c>
      <c r="G20" s="1" t="s">
        <v>1</v>
      </c>
      <c r="H20" s="3" t="s">
        <v>2</v>
      </c>
      <c r="I20" s="1" t="s">
        <v>3</v>
      </c>
      <c r="J20" s="1" t="s">
        <v>1</v>
      </c>
      <c r="K20" s="3" t="s">
        <v>2</v>
      </c>
      <c r="L20" s="1" t="s">
        <v>3</v>
      </c>
      <c r="M20" s="1" t="s">
        <v>1</v>
      </c>
      <c r="N20" s="3" t="s">
        <v>2</v>
      </c>
      <c r="O20" s="1" t="s">
        <v>3</v>
      </c>
      <c r="P20" s="1" t="s">
        <v>1</v>
      </c>
      <c r="Q20" s="3" t="s">
        <v>2</v>
      </c>
      <c r="R20" s="1" t="s">
        <v>3</v>
      </c>
      <c r="S20" s="1" t="s">
        <v>1</v>
      </c>
      <c r="T20" s="3" t="s">
        <v>2</v>
      </c>
      <c r="U20" s="1" t="s">
        <v>3</v>
      </c>
    </row>
    <row r="21" spans="1:21" ht="23.25" customHeight="1" x14ac:dyDescent="0.25">
      <c r="A21" s="59" t="s">
        <v>19</v>
      </c>
      <c r="B21" s="62" t="s">
        <v>14</v>
      </c>
      <c r="C21" s="11">
        <v>43564</v>
      </c>
      <c r="D21" s="7">
        <v>23440</v>
      </c>
      <c r="E21" s="8">
        <v>247.5</v>
      </c>
      <c r="F21" s="7">
        <f t="shared" ref="F21:F33" si="8">D21/E21</f>
        <v>94.707070707070713</v>
      </c>
      <c r="G21" s="7">
        <v>17192.75</v>
      </c>
      <c r="H21" s="8">
        <v>192.8</v>
      </c>
      <c r="I21" s="7">
        <f t="shared" ref="I21:I33" si="9">G21/H21</f>
        <v>89.174014522821565</v>
      </c>
      <c r="J21" s="5"/>
      <c r="K21" s="6"/>
      <c r="L21" s="5"/>
      <c r="M21" s="7">
        <v>175941</v>
      </c>
      <c r="N21" s="8">
        <v>1935.3</v>
      </c>
      <c r="O21" s="7">
        <f t="shared" ref="O21:O33" si="10">M21/N21</f>
        <v>90.911486591226165</v>
      </c>
      <c r="P21" s="5"/>
      <c r="Q21" s="6"/>
      <c r="R21" s="5"/>
      <c r="S21" s="7">
        <f t="shared" ref="S21:S32" si="11">SUM(D21,G21,J21,M21,P21)</f>
        <v>216573.75</v>
      </c>
      <c r="T21" s="8">
        <f t="shared" ref="T21:T32" si="12">SUM(E21,H21,K21,N21,Q21)</f>
        <v>2375.6</v>
      </c>
      <c r="U21" s="7">
        <f t="shared" ref="U21:U33" si="13">S21/T21</f>
        <v>91.165915979121067</v>
      </c>
    </row>
    <row r="22" spans="1:21" ht="23.25" customHeight="1" x14ac:dyDescent="0.25">
      <c r="A22" s="60"/>
      <c r="B22" s="62"/>
      <c r="C22" s="11">
        <v>43572</v>
      </c>
      <c r="D22" s="7">
        <v>4770</v>
      </c>
      <c r="E22" s="8">
        <v>52</v>
      </c>
      <c r="F22" s="7">
        <f t="shared" si="8"/>
        <v>91.730769230769226</v>
      </c>
      <c r="G22" s="7">
        <v>16570</v>
      </c>
      <c r="H22" s="8">
        <v>172.5</v>
      </c>
      <c r="I22" s="7">
        <f t="shared" si="9"/>
        <v>96.05797101449275</v>
      </c>
      <c r="J22" s="5"/>
      <c r="K22" s="6"/>
      <c r="L22" s="5"/>
      <c r="M22" s="7">
        <v>167138.75</v>
      </c>
      <c r="N22" s="8">
        <v>1787</v>
      </c>
      <c r="O22" s="7">
        <f t="shared" si="10"/>
        <v>93.530358142137658</v>
      </c>
      <c r="P22" s="7">
        <v>6665</v>
      </c>
      <c r="Q22" s="8">
        <v>78.5</v>
      </c>
      <c r="R22" s="7">
        <f t="shared" ref="R22:R33" si="14">P22/Q22</f>
        <v>84.904458598726109</v>
      </c>
      <c r="S22" s="7">
        <f t="shared" si="11"/>
        <v>195143.75</v>
      </c>
      <c r="T22" s="8">
        <f t="shared" si="12"/>
        <v>2090</v>
      </c>
      <c r="U22" s="7">
        <f t="shared" si="13"/>
        <v>93.370215311004785</v>
      </c>
    </row>
    <row r="23" spans="1:21" ht="23.25" customHeight="1" x14ac:dyDescent="0.25">
      <c r="A23" s="60"/>
      <c r="B23" s="62"/>
      <c r="C23" s="11">
        <v>43578</v>
      </c>
      <c r="D23" s="7">
        <v>20652.5</v>
      </c>
      <c r="E23" s="8">
        <v>242</v>
      </c>
      <c r="F23" s="7">
        <f t="shared" si="8"/>
        <v>85.340909090909093</v>
      </c>
      <c r="G23" s="7">
        <v>2155</v>
      </c>
      <c r="H23" s="8">
        <v>19</v>
      </c>
      <c r="I23" s="7">
        <f t="shared" si="9"/>
        <v>113.42105263157895</v>
      </c>
      <c r="J23" s="5"/>
      <c r="K23" s="6"/>
      <c r="L23" s="5"/>
      <c r="M23" s="7">
        <v>41775</v>
      </c>
      <c r="N23" s="8">
        <v>446.5</v>
      </c>
      <c r="O23" s="7">
        <f t="shared" si="10"/>
        <v>93.561030235162377</v>
      </c>
      <c r="P23" s="7">
        <v>45557.5</v>
      </c>
      <c r="Q23" s="8">
        <v>511</v>
      </c>
      <c r="R23" s="7">
        <f t="shared" si="14"/>
        <v>89.153620352250485</v>
      </c>
      <c r="S23" s="7">
        <f t="shared" si="11"/>
        <v>110140</v>
      </c>
      <c r="T23" s="8">
        <f t="shared" si="12"/>
        <v>1218.5</v>
      </c>
      <c r="U23" s="7">
        <f t="shared" si="13"/>
        <v>90.389823553549448</v>
      </c>
    </row>
    <row r="24" spans="1:21" ht="23.25" customHeight="1" x14ac:dyDescent="0.25">
      <c r="A24" s="60"/>
      <c r="B24" s="62"/>
      <c r="C24" s="11">
        <v>43585</v>
      </c>
      <c r="D24" s="7">
        <v>13395</v>
      </c>
      <c r="E24" s="8">
        <v>147.30000000000001</v>
      </c>
      <c r="F24" s="7">
        <f t="shared" si="8"/>
        <v>90.936863543788178</v>
      </c>
      <c r="G24" s="7">
        <v>7224.5</v>
      </c>
      <c r="H24" s="8">
        <v>84.3</v>
      </c>
      <c r="I24" s="7">
        <f t="shared" si="9"/>
        <v>85.699881376037965</v>
      </c>
      <c r="J24" s="5"/>
      <c r="K24" s="6"/>
      <c r="L24" s="5"/>
      <c r="M24" s="7">
        <v>79137.25</v>
      </c>
      <c r="N24" s="8">
        <v>989.8</v>
      </c>
      <c r="O24" s="7">
        <f t="shared" si="10"/>
        <v>79.952768236007273</v>
      </c>
      <c r="P24" s="5"/>
      <c r="Q24" s="6"/>
      <c r="R24" s="5"/>
      <c r="S24" s="7">
        <f t="shared" si="11"/>
        <v>99756.75</v>
      </c>
      <c r="T24" s="8">
        <f t="shared" si="12"/>
        <v>1221.4000000000001</v>
      </c>
      <c r="U24" s="7">
        <f t="shared" si="13"/>
        <v>81.674103487800878</v>
      </c>
    </row>
    <row r="25" spans="1:21" ht="23.25" customHeight="1" x14ac:dyDescent="0.25">
      <c r="A25" s="60"/>
      <c r="B25" s="62" t="s">
        <v>17</v>
      </c>
      <c r="C25" s="11">
        <v>43593</v>
      </c>
      <c r="D25" s="7">
        <v>20193</v>
      </c>
      <c r="E25" s="8">
        <v>231.5</v>
      </c>
      <c r="F25" s="7">
        <f t="shared" si="8"/>
        <v>87.2267818574514</v>
      </c>
      <c r="G25" s="7">
        <v>70416.25</v>
      </c>
      <c r="H25" s="8">
        <v>828.4</v>
      </c>
      <c r="I25" s="7">
        <f t="shared" si="9"/>
        <v>85.002716079188801</v>
      </c>
      <c r="J25" s="5"/>
      <c r="K25" s="6"/>
      <c r="L25" s="5"/>
      <c r="M25" s="7">
        <v>74486</v>
      </c>
      <c r="N25" s="8">
        <v>925</v>
      </c>
      <c r="O25" s="7">
        <f t="shared" si="10"/>
        <v>80.525405405405408</v>
      </c>
      <c r="P25" s="5"/>
      <c r="Q25" s="6"/>
      <c r="R25" s="5"/>
      <c r="S25" s="7">
        <f t="shared" si="11"/>
        <v>165095.25</v>
      </c>
      <c r="T25" s="8">
        <f t="shared" si="12"/>
        <v>1984.9</v>
      </c>
      <c r="U25" s="7">
        <f t="shared" si="13"/>
        <v>83.175600785933796</v>
      </c>
    </row>
    <row r="26" spans="1:21" ht="23.25" customHeight="1" x14ac:dyDescent="0.25">
      <c r="A26" s="60"/>
      <c r="B26" s="62">
        <v>7</v>
      </c>
      <c r="C26" s="11">
        <v>43600</v>
      </c>
      <c r="D26" s="7">
        <v>61475</v>
      </c>
      <c r="E26" s="8">
        <v>619</v>
      </c>
      <c r="F26" s="7">
        <f t="shared" si="8"/>
        <v>99.313408723747983</v>
      </c>
      <c r="G26" s="7">
        <v>191946</v>
      </c>
      <c r="H26" s="8">
        <v>1392.3</v>
      </c>
      <c r="I26" s="7">
        <f t="shared" si="9"/>
        <v>137.86252962723552</v>
      </c>
      <c r="J26" s="5"/>
      <c r="K26" s="6"/>
      <c r="L26" s="5"/>
      <c r="M26" s="7">
        <v>144180</v>
      </c>
      <c r="N26" s="8">
        <v>1324.5</v>
      </c>
      <c r="O26" s="7">
        <f t="shared" si="10"/>
        <v>108.85617214043035</v>
      </c>
      <c r="P26" s="7">
        <v>7800</v>
      </c>
      <c r="Q26" s="8">
        <v>94</v>
      </c>
      <c r="R26" s="7">
        <f t="shared" si="14"/>
        <v>82.978723404255319</v>
      </c>
      <c r="S26" s="7">
        <f t="shared" si="11"/>
        <v>405401</v>
      </c>
      <c r="T26" s="8">
        <f t="shared" si="12"/>
        <v>3429.8</v>
      </c>
      <c r="U26" s="7">
        <f t="shared" si="13"/>
        <v>118.1996034754213</v>
      </c>
    </row>
    <row r="27" spans="1:21" ht="23.25" customHeight="1" x14ac:dyDescent="0.25">
      <c r="A27" s="60"/>
      <c r="B27" s="62">
        <v>8</v>
      </c>
      <c r="C27" s="11">
        <v>43606</v>
      </c>
      <c r="D27" s="7">
        <v>11085</v>
      </c>
      <c r="E27" s="8">
        <v>113.3</v>
      </c>
      <c r="F27" s="7">
        <f t="shared" si="8"/>
        <v>97.837599293909975</v>
      </c>
      <c r="G27" s="7">
        <v>61049.45</v>
      </c>
      <c r="H27" s="8">
        <v>709.5</v>
      </c>
      <c r="I27" s="7">
        <f t="shared" si="9"/>
        <v>86.04573643410852</v>
      </c>
      <c r="J27" s="5"/>
      <c r="K27" s="6"/>
      <c r="L27" s="5"/>
      <c r="M27" s="7">
        <v>109505.5</v>
      </c>
      <c r="N27" s="8">
        <v>1411.3</v>
      </c>
      <c r="O27" s="7">
        <f t="shared" si="10"/>
        <v>77.591936512435339</v>
      </c>
      <c r="P27" s="7">
        <v>7660</v>
      </c>
      <c r="Q27" s="8">
        <v>84.8</v>
      </c>
      <c r="R27" s="7">
        <f t="shared" si="14"/>
        <v>90.330188679245282</v>
      </c>
      <c r="S27" s="7">
        <f t="shared" si="11"/>
        <v>189299.95</v>
      </c>
      <c r="T27" s="8">
        <f t="shared" si="12"/>
        <v>2318.9</v>
      </c>
      <c r="U27" s="7">
        <f t="shared" si="13"/>
        <v>81.633511578765791</v>
      </c>
    </row>
    <row r="28" spans="1:21" ht="23.25" customHeight="1" x14ac:dyDescent="0.25">
      <c r="A28" s="60"/>
      <c r="B28" s="62">
        <v>9</v>
      </c>
      <c r="C28" s="11">
        <v>43614</v>
      </c>
      <c r="D28" s="5"/>
      <c r="E28" s="6"/>
      <c r="F28" s="5"/>
      <c r="G28" s="7">
        <v>7020</v>
      </c>
      <c r="H28" s="8">
        <v>97.5</v>
      </c>
      <c r="I28" s="7">
        <f t="shared" si="9"/>
        <v>72</v>
      </c>
      <c r="J28" s="7">
        <v>4080</v>
      </c>
      <c r="K28" s="8">
        <v>40.5</v>
      </c>
      <c r="L28" s="7">
        <f t="shared" ref="L28:L29" si="15">J28/K28</f>
        <v>100.74074074074075</v>
      </c>
      <c r="M28" s="7">
        <v>74260.5</v>
      </c>
      <c r="N28" s="8">
        <v>811.3</v>
      </c>
      <c r="O28" s="7">
        <f t="shared" si="10"/>
        <v>91.532725255762358</v>
      </c>
      <c r="P28" s="5"/>
      <c r="Q28" s="6"/>
      <c r="R28" s="5"/>
      <c r="S28" s="7">
        <f t="shared" si="11"/>
        <v>85360.5</v>
      </c>
      <c r="T28" s="8">
        <f t="shared" si="12"/>
        <v>949.3</v>
      </c>
      <c r="U28" s="7">
        <f t="shared" si="13"/>
        <v>89.919414305277584</v>
      </c>
    </row>
    <row r="29" spans="1:21" ht="23.25" customHeight="1" x14ac:dyDescent="0.25">
      <c r="A29" s="60"/>
      <c r="B29" s="59" t="s">
        <v>18</v>
      </c>
      <c r="C29" s="11">
        <v>43621</v>
      </c>
      <c r="D29" s="7">
        <v>16930</v>
      </c>
      <c r="E29" s="8">
        <v>182.5</v>
      </c>
      <c r="F29" s="7">
        <f t="shared" si="8"/>
        <v>92.767123287671239</v>
      </c>
      <c r="G29" s="7">
        <v>14538</v>
      </c>
      <c r="H29" s="8">
        <v>164</v>
      </c>
      <c r="I29" s="7">
        <f t="shared" si="9"/>
        <v>88.646341463414629</v>
      </c>
      <c r="J29" s="7">
        <v>13225</v>
      </c>
      <c r="K29" s="8">
        <v>145</v>
      </c>
      <c r="L29" s="7">
        <f t="shared" si="15"/>
        <v>91.206896551724142</v>
      </c>
      <c r="M29" s="7">
        <v>134145.75</v>
      </c>
      <c r="N29" s="8">
        <v>1589.5</v>
      </c>
      <c r="O29" s="7">
        <f t="shared" si="10"/>
        <v>84.394935514312678</v>
      </c>
      <c r="P29" s="7">
        <v>15190</v>
      </c>
      <c r="Q29" s="8">
        <v>172.5</v>
      </c>
      <c r="R29" s="7">
        <f t="shared" si="14"/>
        <v>88.05797101449275</v>
      </c>
      <c r="S29" s="7">
        <f t="shared" si="11"/>
        <v>194028.75</v>
      </c>
      <c r="T29" s="8">
        <f t="shared" si="12"/>
        <v>2253.5</v>
      </c>
      <c r="U29" s="7">
        <f t="shared" si="13"/>
        <v>86.101065009984467</v>
      </c>
    </row>
    <row r="30" spans="1:21" ht="23.25" customHeight="1" x14ac:dyDescent="0.25">
      <c r="A30" s="60"/>
      <c r="B30" s="60">
        <v>11</v>
      </c>
      <c r="C30" s="11">
        <v>43628</v>
      </c>
      <c r="D30" s="7">
        <v>14204</v>
      </c>
      <c r="E30" s="8">
        <v>196.3</v>
      </c>
      <c r="F30" s="7">
        <f t="shared" si="8"/>
        <v>72.358634742740705</v>
      </c>
      <c r="G30" s="7">
        <v>56812</v>
      </c>
      <c r="H30" s="8">
        <v>689</v>
      </c>
      <c r="I30" s="7">
        <f t="shared" si="9"/>
        <v>82.45573294629898</v>
      </c>
      <c r="J30" s="5"/>
      <c r="K30" s="6"/>
      <c r="L30" s="5"/>
      <c r="M30" s="7">
        <v>368039.75</v>
      </c>
      <c r="N30" s="8">
        <v>4623</v>
      </c>
      <c r="O30" s="7">
        <f t="shared" si="10"/>
        <v>79.610588362535154</v>
      </c>
      <c r="P30" s="5"/>
      <c r="Q30" s="6"/>
      <c r="R30" s="5"/>
      <c r="S30" s="7">
        <f t="shared" si="11"/>
        <v>439055.75</v>
      </c>
      <c r="T30" s="8">
        <f t="shared" si="12"/>
        <v>5508.3</v>
      </c>
      <c r="U30" s="7">
        <f t="shared" si="13"/>
        <v>79.708031516075735</v>
      </c>
    </row>
    <row r="31" spans="1:21" ht="23.25" customHeight="1" x14ac:dyDescent="0.25">
      <c r="A31" s="60"/>
      <c r="B31" s="60">
        <v>12</v>
      </c>
      <c r="C31" s="11">
        <v>43635</v>
      </c>
      <c r="D31" s="7">
        <v>5040</v>
      </c>
      <c r="E31" s="8">
        <v>53.3</v>
      </c>
      <c r="F31" s="7">
        <f t="shared" si="8"/>
        <v>94.55909943714822</v>
      </c>
      <c r="G31" s="7">
        <v>33158.25</v>
      </c>
      <c r="H31" s="8">
        <v>403</v>
      </c>
      <c r="I31" s="7">
        <f t="shared" si="9"/>
        <v>82.278535980148888</v>
      </c>
      <c r="J31" s="5"/>
      <c r="K31" s="6"/>
      <c r="L31" s="5"/>
      <c r="M31" s="7">
        <v>45540</v>
      </c>
      <c r="N31" s="8">
        <v>626</v>
      </c>
      <c r="O31" s="7">
        <f t="shared" si="10"/>
        <v>72.74760383386581</v>
      </c>
      <c r="P31" s="7">
        <v>2362.5</v>
      </c>
      <c r="Q31" s="8">
        <v>13.5</v>
      </c>
      <c r="R31" s="7">
        <f t="shared" si="14"/>
        <v>175</v>
      </c>
      <c r="S31" s="7">
        <f t="shared" si="11"/>
        <v>86100.75</v>
      </c>
      <c r="T31" s="8">
        <f t="shared" si="12"/>
        <v>1095.8</v>
      </c>
      <c r="U31" s="7">
        <f t="shared" si="13"/>
        <v>78.573416681876253</v>
      </c>
    </row>
    <row r="32" spans="1:21" ht="23.25" customHeight="1" x14ac:dyDescent="0.25">
      <c r="A32" s="60"/>
      <c r="B32" s="60">
        <v>13</v>
      </c>
      <c r="C32" s="11">
        <v>43642</v>
      </c>
      <c r="D32" s="7">
        <v>22755.25</v>
      </c>
      <c r="E32" s="8">
        <v>214.3</v>
      </c>
      <c r="F32" s="7">
        <f t="shared" si="8"/>
        <v>106.18408772748482</v>
      </c>
      <c r="G32" s="7">
        <v>43702</v>
      </c>
      <c r="H32" s="8">
        <v>439.5</v>
      </c>
      <c r="I32" s="7">
        <f t="shared" si="9"/>
        <v>99.435722411831634</v>
      </c>
      <c r="J32" s="5"/>
      <c r="K32" s="6"/>
      <c r="L32" s="5"/>
      <c r="M32" s="7">
        <v>119499.05</v>
      </c>
      <c r="N32" s="8">
        <v>1236</v>
      </c>
      <c r="O32" s="7">
        <f t="shared" si="10"/>
        <v>96.682079288025889</v>
      </c>
      <c r="P32" s="7">
        <v>2450</v>
      </c>
      <c r="Q32" s="8">
        <v>25</v>
      </c>
      <c r="R32" s="7">
        <f t="shared" si="14"/>
        <v>98</v>
      </c>
      <c r="S32" s="7">
        <f t="shared" si="11"/>
        <v>188406.3</v>
      </c>
      <c r="T32" s="8">
        <f t="shared" si="12"/>
        <v>1914.8</v>
      </c>
      <c r="U32" s="7">
        <f t="shared" si="13"/>
        <v>98.394767077501569</v>
      </c>
    </row>
    <row r="33" spans="1:21" ht="23.25" customHeight="1" x14ac:dyDescent="0.25">
      <c r="A33" s="61"/>
      <c r="B33" s="61"/>
      <c r="C33" s="11">
        <v>43649</v>
      </c>
      <c r="D33" s="7">
        <v>10603.75</v>
      </c>
      <c r="E33" s="8">
        <v>135.25</v>
      </c>
      <c r="F33" s="7">
        <f t="shared" si="8"/>
        <v>78.401109057301298</v>
      </c>
      <c r="G33" s="7">
        <v>112682</v>
      </c>
      <c r="H33" s="8">
        <v>1543.4</v>
      </c>
      <c r="I33" s="7">
        <f t="shared" si="9"/>
        <v>73.008941298432035</v>
      </c>
      <c r="J33" s="7">
        <v>41787.25</v>
      </c>
      <c r="K33" s="8">
        <v>462</v>
      </c>
      <c r="L33" s="7">
        <f t="shared" ref="L33" si="16">J33/K33</f>
        <v>90.448593073593074</v>
      </c>
      <c r="M33" s="7">
        <v>198102.5</v>
      </c>
      <c r="N33" s="8">
        <v>2803.25</v>
      </c>
      <c r="O33" s="7">
        <f t="shared" si="10"/>
        <v>70.668866494247752</v>
      </c>
      <c r="P33" s="7">
        <v>2395</v>
      </c>
      <c r="Q33" s="8">
        <v>16.75</v>
      </c>
      <c r="R33" s="7">
        <f t="shared" si="14"/>
        <v>142.98507462686567</v>
      </c>
      <c r="S33" s="7">
        <f t="shared" ref="S33" si="17">SUM(D33,G33,J33,M33,P33)</f>
        <v>365570.5</v>
      </c>
      <c r="T33" s="8">
        <f t="shared" ref="T33" si="18">SUM(E33,H33,K33,N33,Q33)</f>
        <v>4960.6499999999996</v>
      </c>
      <c r="U33" s="7">
        <f t="shared" si="13"/>
        <v>73.6940723493897</v>
      </c>
    </row>
    <row r="34" spans="1:21" ht="39" customHeight="1" x14ac:dyDescent="0.25">
      <c r="A34" s="64" t="s">
        <v>21</v>
      </c>
      <c r="B34" s="64"/>
      <c r="C34" s="64"/>
      <c r="D34" s="21">
        <f>SUM(D21:D33)</f>
        <v>224543.5</v>
      </c>
      <c r="E34" s="22">
        <f>SUM(E21:E33)</f>
        <v>2434.25</v>
      </c>
      <c r="F34" s="21">
        <f>D34/E34</f>
        <v>92.243401458354725</v>
      </c>
      <c r="G34" s="21">
        <f t="shared" ref="G34:H34" si="19">SUM(G21:G33)</f>
        <v>634466.19999999995</v>
      </c>
      <c r="H34" s="22">
        <f t="shared" si="19"/>
        <v>6735.2000000000007</v>
      </c>
      <c r="I34" s="21">
        <f>G34/H34</f>
        <v>94.201538187433172</v>
      </c>
      <c r="J34" s="21">
        <f t="shared" ref="J34:K34" si="20">SUM(J21:J33)</f>
        <v>59092.25</v>
      </c>
      <c r="K34" s="22">
        <f t="shared" si="20"/>
        <v>647.5</v>
      </c>
      <c r="L34" s="21">
        <f>J34/K34</f>
        <v>91.262162162162156</v>
      </c>
      <c r="M34" s="21">
        <f t="shared" ref="M34" si="21">SUM(M21:M33)</f>
        <v>1731751.05</v>
      </c>
      <c r="N34" s="22">
        <f>SUM(N21:N33)</f>
        <v>20508.449999999997</v>
      </c>
      <c r="O34" s="21">
        <f>M34/N34</f>
        <v>84.440854867140146</v>
      </c>
      <c r="P34" s="21">
        <f t="shared" ref="P34:Q34" si="22">SUM(P21:P33)</f>
        <v>90080</v>
      </c>
      <c r="Q34" s="22">
        <f t="shared" si="22"/>
        <v>996.05</v>
      </c>
      <c r="R34" s="21">
        <f>P34/Q34</f>
        <v>90.437227046835005</v>
      </c>
      <c r="S34" s="21">
        <f t="shared" ref="S34:T34" si="23">SUM(S21:S33)</f>
        <v>2739933</v>
      </c>
      <c r="T34" s="22">
        <f t="shared" si="23"/>
        <v>31321.449999999997</v>
      </c>
      <c r="U34" s="21">
        <f>S34/T34</f>
        <v>87.477846651416215</v>
      </c>
    </row>
    <row r="35" spans="1:21" x14ac:dyDescent="0.25">
      <c r="A35" s="67" t="s">
        <v>15</v>
      </c>
      <c r="B35" s="67" t="s">
        <v>10</v>
      </c>
      <c r="C35" s="67" t="s">
        <v>0</v>
      </c>
      <c r="D35" s="58" t="s">
        <v>5</v>
      </c>
      <c r="E35" s="58"/>
      <c r="F35" s="58"/>
      <c r="G35" s="58" t="s">
        <v>7</v>
      </c>
      <c r="H35" s="58"/>
      <c r="I35" s="58"/>
      <c r="J35" s="58" t="s">
        <v>27</v>
      </c>
      <c r="K35" s="58"/>
      <c r="L35" s="58"/>
      <c r="M35" s="58" t="s">
        <v>4</v>
      </c>
      <c r="N35" s="58"/>
      <c r="O35" s="58"/>
      <c r="P35" s="58" t="s">
        <v>8</v>
      </c>
      <c r="Q35" s="58"/>
      <c r="R35" s="58"/>
      <c r="S35" s="58" t="s">
        <v>9</v>
      </c>
      <c r="T35" s="58"/>
      <c r="U35" s="58"/>
    </row>
    <row r="36" spans="1:21" x14ac:dyDescent="0.25">
      <c r="A36" s="67"/>
      <c r="B36" s="67"/>
      <c r="C36" s="67"/>
      <c r="D36" s="1" t="s">
        <v>1</v>
      </c>
      <c r="E36" s="3" t="s">
        <v>2</v>
      </c>
      <c r="F36" s="1" t="s">
        <v>3</v>
      </c>
      <c r="G36" s="1" t="s">
        <v>1</v>
      </c>
      <c r="H36" s="3" t="s">
        <v>2</v>
      </c>
      <c r="I36" s="1" t="s">
        <v>3</v>
      </c>
      <c r="J36" s="1" t="s">
        <v>1</v>
      </c>
      <c r="K36" s="3" t="s">
        <v>2</v>
      </c>
      <c r="L36" s="1" t="s">
        <v>3</v>
      </c>
      <c r="M36" s="1" t="s">
        <v>1</v>
      </c>
      <c r="N36" s="3" t="s">
        <v>2</v>
      </c>
      <c r="O36" s="1" t="s">
        <v>3</v>
      </c>
      <c r="P36" s="1" t="s">
        <v>1</v>
      </c>
      <c r="Q36" s="3" t="s">
        <v>2</v>
      </c>
      <c r="R36" s="1" t="s">
        <v>3</v>
      </c>
      <c r="S36" s="1" t="s">
        <v>1</v>
      </c>
      <c r="T36" s="3" t="s">
        <v>2</v>
      </c>
      <c r="U36" s="1" t="s">
        <v>3</v>
      </c>
    </row>
    <row r="37" spans="1:21" ht="23.25" customHeight="1" x14ac:dyDescent="0.25">
      <c r="A37" s="59" t="s">
        <v>26</v>
      </c>
      <c r="B37" s="59" t="s">
        <v>23</v>
      </c>
      <c r="C37" s="11">
        <v>43656</v>
      </c>
      <c r="D37" s="7">
        <v>15082.5</v>
      </c>
      <c r="E37" s="8">
        <v>150</v>
      </c>
      <c r="F37" s="7">
        <f t="shared" ref="F37:F40" si="24">D37/E37</f>
        <v>100.55</v>
      </c>
      <c r="G37" s="7">
        <v>29530.75</v>
      </c>
      <c r="H37" s="8">
        <v>303.5</v>
      </c>
      <c r="I37" s="7">
        <f t="shared" ref="I37:I49" si="25">G37/H37</f>
        <v>97.300658978583201</v>
      </c>
      <c r="J37" s="5"/>
      <c r="K37" s="6"/>
      <c r="L37" s="5"/>
      <c r="M37" s="7">
        <v>43754.3</v>
      </c>
      <c r="N37" s="8">
        <v>515.79999999999995</v>
      </c>
      <c r="O37" s="7">
        <f t="shared" ref="O37:O49" si="26">M37/N37</f>
        <v>84.828034121752637</v>
      </c>
      <c r="P37" s="5"/>
      <c r="Q37" s="6"/>
      <c r="R37" s="5"/>
      <c r="S37" s="7">
        <f t="shared" ref="S37:S48" si="27">SUM(D37,G37,J37,M37,P37)</f>
        <v>88367.55</v>
      </c>
      <c r="T37" s="8">
        <f t="shared" ref="T37:T48" si="28">SUM(E37,H37,K37,N37,Q37)</f>
        <v>969.3</v>
      </c>
      <c r="U37" s="7">
        <f t="shared" ref="U37:U49" si="29">S37/T37</f>
        <v>91.16635716496441</v>
      </c>
    </row>
    <row r="38" spans="1:21" ht="23.25" customHeight="1" x14ac:dyDescent="0.25">
      <c r="A38" s="60"/>
      <c r="B38" s="60"/>
      <c r="C38" s="11">
        <v>43663</v>
      </c>
      <c r="D38" s="7">
        <v>106458.75</v>
      </c>
      <c r="E38" s="8">
        <v>1194.3</v>
      </c>
      <c r="F38" s="7">
        <f t="shared" si="24"/>
        <v>89.139035418236631</v>
      </c>
      <c r="G38" s="7">
        <v>56938</v>
      </c>
      <c r="H38" s="8">
        <v>851.8</v>
      </c>
      <c r="I38" s="7">
        <f t="shared" si="25"/>
        <v>66.844329654848565</v>
      </c>
      <c r="J38" s="5"/>
      <c r="K38" s="6"/>
      <c r="L38" s="5"/>
      <c r="M38" s="7">
        <v>141119.25</v>
      </c>
      <c r="N38" s="8">
        <v>1650.8</v>
      </c>
      <c r="O38" s="7">
        <f t="shared" si="26"/>
        <v>85.485370729343344</v>
      </c>
      <c r="P38" s="5"/>
      <c r="Q38" s="6"/>
      <c r="R38" s="5"/>
      <c r="S38" s="7">
        <f t="shared" si="27"/>
        <v>304516</v>
      </c>
      <c r="T38" s="8">
        <f t="shared" si="28"/>
        <v>3696.8999999999996</v>
      </c>
      <c r="U38" s="7">
        <f t="shared" si="29"/>
        <v>82.370634856230907</v>
      </c>
    </row>
    <row r="39" spans="1:21" ht="23.25" customHeight="1" x14ac:dyDescent="0.25">
      <c r="A39" s="60"/>
      <c r="B39" s="60"/>
      <c r="C39" s="11">
        <v>43670</v>
      </c>
      <c r="D39" s="7">
        <v>3745</v>
      </c>
      <c r="E39" s="8">
        <v>42</v>
      </c>
      <c r="F39" s="7">
        <f t="shared" si="24"/>
        <v>89.166666666666671</v>
      </c>
      <c r="G39" s="7">
        <v>53282.5</v>
      </c>
      <c r="H39" s="8">
        <v>602.29999999999995</v>
      </c>
      <c r="I39" s="7">
        <f t="shared" si="25"/>
        <v>88.465050639216344</v>
      </c>
      <c r="J39" s="5"/>
      <c r="K39" s="6"/>
      <c r="L39" s="5"/>
      <c r="M39" s="7">
        <v>56078.75</v>
      </c>
      <c r="N39" s="8">
        <v>651.5</v>
      </c>
      <c r="O39" s="7">
        <f t="shared" si="26"/>
        <v>86.076362240982348</v>
      </c>
      <c r="P39" s="7">
        <v>4605</v>
      </c>
      <c r="Q39" s="8">
        <v>45</v>
      </c>
      <c r="R39" s="7">
        <f t="shared" ref="R39:R47" si="30">P39/Q39</f>
        <v>102.33333333333333</v>
      </c>
      <c r="S39" s="7">
        <f t="shared" si="27"/>
        <v>117711.25</v>
      </c>
      <c r="T39" s="8">
        <f t="shared" si="28"/>
        <v>1340.8</v>
      </c>
      <c r="U39" s="7">
        <f t="shared" si="29"/>
        <v>87.791803400954663</v>
      </c>
    </row>
    <row r="40" spans="1:21" ht="23.25" customHeight="1" x14ac:dyDescent="0.25">
      <c r="A40" s="60"/>
      <c r="B40" s="61"/>
      <c r="C40" s="11">
        <v>43677</v>
      </c>
      <c r="D40" s="7">
        <v>4880</v>
      </c>
      <c r="E40" s="8">
        <v>53</v>
      </c>
      <c r="F40" s="7">
        <f t="shared" si="24"/>
        <v>92.075471698113205</v>
      </c>
      <c r="G40" s="7">
        <v>105494.75</v>
      </c>
      <c r="H40" s="8">
        <v>1204.8</v>
      </c>
      <c r="I40" s="7">
        <f t="shared" si="25"/>
        <v>87.562043492695892</v>
      </c>
      <c r="J40" s="5"/>
      <c r="K40" s="6"/>
      <c r="L40" s="5"/>
      <c r="M40" s="7">
        <v>44878.5</v>
      </c>
      <c r="N40" s="8">
        <v>508.5</v>
      </c>
      <c r="O40" s="7">
        <f t="shared" si="26"/>
        <v>88.256637168141594</v>
      </c>
      <c r="P40" s="7">
        <v>5865</v>
      </c>
      <c r="Q40" s="8">
        <v>84.3</v>
      </c>
      <c r="R40" s="7">
        <f t="shared" si="30"/>
        <v>69.57295373665481</v>
      </c>
      <c r="S40" s="7">
        <f t="shared" si="27"/>
        <v>161118.25</v>
      </c>
      <c r="T40" s="8">
        <f t="shared" si="28"/>
        <v>1850.6</v>
      </c>
      <c r="U40" s="7">
        <f t="shared" si="29"/>
        <v>87.062709391548694</v>
      </c>
    </row>
    <row r="41" spans="1:21" ht="23.25" customHeight="1" x14ac:dyDescent="0.25">
      <c r="A41" s="60"/>
      <c r="B41" s="59" t="s">
        <v>24</v>
      </c>
      <c r="C41" s="11">
        <v>43684</v>
      </c>
      <c r="D41" s="5"/>
      <c r="E41" s="6"/>
      <c r="F41" s="5"/>
      <c r="G41" s="7">
        <v>54212.5</v>
      </c>
      <c r="H41" s="8">
        <v>643.29999999999995</v>
      </c>
      <c r="I41" s="7">
        <f t="shared" si="25"/>
        <v>84.272501165863517</v>
      </c>
      <c r="J41" s="5"/>
      <c r="K41" s="6"/>
      <c r="L41" s="5"/>
      <c r="M41" s="7">
        <v>157922.29999999999</v>
      </c>
      <c r="N41" s="8">
        <v>1671.8</v>
      </c>
      <c r="O41" s="7">
        <f t="shared" si="26"/>
        <v>94.462435698050001</v>
      </c>
      <c r="P41" s="7">
        <v>10552.5</v>
      </c>
      <c r="Q41" s="8">
        <v>163</v>
      </c>
      <c r="R41" s="7">
        <f t="shared" si="30"/>
        <v>64.739263803680984</v>
      </c>
      <c r="S41" s="7">
        <f t="shared" si="27"/>
        <v>222687.3</v>
      </c>
      <c r="T41" s="8">
        <f t="shared" si="28"/>
        <v>2478.1</v>
      </c>
      <c r="U41" s="7">
        <f t="shared" si="29"/>
        <v>89.86211210201364</v>
      </c>
    </row>
    <row r="42" spans="1:21" ht="23.25" customHeight="1" x14ac:dyDescent="0.25">
      <c r="A42" s="60"/>
      <c r="B42" s="60">
        <v>7</v>
      </c>
      <c r="C42" s="11">
        <v>43691</v>
      </c>
      <c r="D42" s="5"/>
      <c r="E42" s="6"/>
      <c r="F42" s="5"/>
      <c r="G42" s="7">
        <v>50805</v>
      </c>
      <c r="H42" s="8">
        <v>637.79999999999995</v>
      </c>
      <c r="I42" s="7">
        <f t="shared" si="25"/>
        <v>79.656632173095019</v>
      </c>
      <c r="J42" s="7">
        <v>26955</v>
      </c>
      <c r="K42" s="8">
        <v>340.8</v>
      </c>
      <c r="L42" s="7">
        <f t="shared" ref="L42:L49" si="31">J42/K42</f>
        <v>79.093309859154928</v>
      </c>
      <c r="M42" s="7">
        <v>146677.75</v>
      </c>
      <c r="N42" s="8">
        <v>1575.5</v>
      </c>
      <c r="O42" s="7">
        <f t="shared" si="26"/>
        <v>93.09917486512218</v>
      </c>
      <c r="P42" s="5"/>
      <c r="Q42" s="6"/>
      <c r="R42" s="5"/>
      <c r="S42" s="7">
        <f t="shared" si="27"/>
        <v>224437.75</v>
      </c>
      <c r="T42" s="8">
        <f t="shared" si="28"/>
        <v>2554.1</v>
      </c>
      <c r="U42" s="7">
        <f t="shared" si="29"/>
        <v>87.873517090168747</v>
      </c>
    </row>
    <row r="43" spans="1:21" ht="23.25" customHeight="1" x14ac:dyDescent="0.25">
      <c r="A43" s="60"/>
      <c r="B43" s="60">
        <v>8</v>
      </c>
      <c r="C43" s="11">
        <v>43698</v>
      </c>
      <c r="D43" s="5"/>
      <c r="E43" s="6"/>
      <c r="F43" s="5"/>
      <c r="G43" s="7">
        <v>59266.75</v>
      </c>
      <c r="H43" s="8">
        <v>744</v>
      </c>
      <c r="I43" s="7">
        <f t="shared" si="25"/>
        <v>79.65961021505376</v>
      </c>
      <c r="J43" s="7">
        <v>22915</v>
      </c>
      <c r="K43" s="8">
        <v>263</v>
      </c>
      <c r="L43" s="7">
        <f t="shared" si="31"/>
        <v>87.129277566539926</v>
      </c>
      <c r="M43" s="7">
        <v>128514.75</v>
      </c>
      <c r="N43" s="8">
        <v>1392</v>
      </c>
      <c r="O43" s="7">
        <f t="shared" si="26"/>
        <v>92.323814655172413</v>
      </c>
      <c r="P43" s="5"/>
      <c r="Q43" s="6"/>
      <c r="R43" s="5"/>
      <c r="S43" s="7">
        <f t="shared" si="27"/>
        <v>210696.5</v>
      </c>
      <c r="T43" s="8">
        <f t="shared" si="28"/>
        <v>2399</v>
      </c>
      <c r="U43" s="7">
        <f t="shared" si="29"/>
        <v>87.826802834514382</v>
      </c>
    </row>
    <row r="44" spans="1:21" ht="23.25" customHeight="1" x14ac:dyDescent="0.25">
      <c r="A44" s="60"/>
      <c r="B44" s="61">
        <v>9</v>
      </c>
      <c r="C44" s="11">
        <v>43705</v>
      </c>
      <c r="D44" s="5"/>
      <c r="E44" s="6"/>
      <c r="F44" s="5"/>
      <c r="G44" s="7">
        <v>112019.25</v>
      </c>
      <c r="H44" s="8">
        <v>1372.3</v>
      </c>
      <c r="I44" s="7">
        <f t="shared" si="25"/>
        <v>81.628834802885663</v>
      </c>
      <c r="J44" s="7">
        <v>9085</v>
      </c>
      <c r="K44" s="8">
        <v>99.8</v>
      </c>
      <c r="L44" s="7">
        <f t="shared" si="31"/>
        <v>91.032064128256522</v>
      </c>
      <c r="M44" s="7">
        <v>101022.5</v>
      </c>
      <c r="N44" s="8">
        <v>1159.8</v>
      </c>
      <c r="O44" s="7">
        <f t="shared" si="26"/>
        <v>87.10337989308502</v>
      </c>
      <c r="P44" s="5"/>
      <c r="Q44" s="6"/>
      <c r="R44" s="5"/>
      <c r="S44" s="7">
        <f t="shared" si="27"/>
        <v>222126.75</v>
      </c>
      <c r="T44" s="8">
        <f t="shared" si="28"/>
        <v>2631.8999999999996</v>
      </c>
      <c r="U44" s="7">
        <f t="shared" si="29"/>
        <v>84.397868460047889</v>
      </c>
    </row>
    <row r="45" spans="1:21" ht="23.25" customHeight="1" x14ac:dyDescent="0.25">
      <c r="A45" s="60"/>
      <c r="B45" s="59" t="s">
        <v>25</v>
      </c>
      <c r="C45" s="11">
        <v>43712</v>
      </c>
      <c r="D45" s="7">
        <v>4605</v>
      </c>
      <c r="E45" s="8">
        <v>45</v>
      </c>
      <c r="F45" s="7">
        <f t="shared" ref="F45:F47" si="32">D45/E45</f>
        <v>102.33333333333333</v>
      </c>
      <c r="G45" s="7">
        <v>25775</v>
      </c>
      <c r="H45" s="8">
        <v>328.8</v>
      </c>
      <c r="I45" s="7">
        <f t="shared" si="25"/>
        <v>78.391119221411188</v>
      </c>
      <c r="J45" s="7">
        <v>5775</v>
      </c>
      <c r="K45" s="8">
        <v>106</v>
      </c>
      <c r="L45" s="7">
        <f t="shared" si="31"/>
        <v>54.481132075471699</v>
      </c>
      <c r="M45" s="7">
        <v>53881.75</v>
      </c>
      <c r="N45" s="8">
        <v>664</v>
      </c>
      <c r="O45" s="7">
        <f t="shared" si="26"/>
        <v>81.147213855421683</v>
      </c>
      <c r="P45" s="7">
        <v>8005</v>
      </c>
      <c r="Q45" s="8">
        <v>77</v>
      </c>
      <c r="R45" s="7">
        <f t="shared" si="30"/>
        <v>103.96103896103897</v>
      </c>
      <c r="S45" s="7">
        <f t="shared" si="27"/>
        <v>98041.75</v>
      </c>
      <c r="T45" s="8">
        <f t="shared" si="28"/>
        <v>1220.8</v>
      </c>
      <c r="U45" s="7">
        <f t="shared" si="29"/>
        <v>80.309428243774576</v>
      </c>
    </row>
    <row r="46" spans="1:21" ht="23.25" customHeight="1" x14ac:dyDescent="0.25">
      <c r="A46" s="60"/>
      <c r="B46" s="60">
        <v>11</v>
      </c>
      <c r="C46" s="11">
        <v>43719</v>
      </c>
      <c r="D46" s="5"/>
      <c r="E46" s="6"/>
      <c r="F46" s="5"/>
      <c r="G46" s="7">
        <v>4565</v>
      </c>
      <c r="H46" s="8">
        <v>48.5</v>
      </c>
      <c r="I46" s="7">
        <f t="shared" si="25"/>
        <v>94.123711340206185</v>
      </c>
      <c r="J46" s="7">
        <v>7480</v>
      </c>
      <c r="K46" s="8">
        <v>102.8</v>
      </c>
      <c r="L46" s="7">
        <f t="shared" si="31"/>
        <v>72.762645914396884</v>
      </c>
      <c r="M46" s="7">
        <v>147019.5</v>
      </c>
      <c r="N46" s="8">
        <v>1762.8</v>
      </c>
      <c r="O46" s="7">
        <f t="shared" si="26"/>
        <v>83.401123213070122</v>
      </c>
      <c r="P46" s="5"/>
      <c r="Q46" s="6"/>
      <c r="R46" s="5"/>
      <c r="S46" s="7">
        <f t="shared" si="27"/>
        <v>159064.5</v>
      </c>
      <c r="T46" s="8">
        <f t="shared" si="28"/>
        <v>1914.1</v>
      </c>
      <c r="U46" s="7">
        <f t="shared" si="29"/>
        <v>83.101457604095927</v>
      </c>
    </row>
    <row r="47" spans="1:21" ht="23.25" customHeight="1" x14ac:dyDescent="0.25">
      <c r="A47" s="60"/>
      <c r="B47" s="60">
        <v>12</v>
      </c>
      <c r="C47" s="11">
        <v>43726</v>
      </c>
      <c r="D47" s="7">
        <v>8686</v>
      </c>
      <c r="E47" s="8">
        <v>132.5</v>
      </c>
      <c r="F47" s="7">
        <f t="shared" si="32"/>
        <v>65.554716981132074</v>
      </c>
      <c r="G47" s="7">
        <v>28370.5</v>
      </c>
      <c r="H47" s="8">
        <v>344.5</v>
      </c>
      <c r="I47" s="7">
        <f t="shared" si="25"/>
        <v>82.352685050798257</v>
      </c>
      <c r="J47" s="7">
        <v>37926.25</v>
      </c>
      <c r="K47" s="8">
        <v>467</v>
      </c>
      <c r="L47" s="7">
        <f t="shared" si="31"/>
        <v>81.212526766595289</v>
      </c>
      <c r="M47" s="7">
        <v>27890.5</v>
      </c>
      <c r="N47" s="8">
        <v>378.3</v>
      </c>
      <c r="O47" s="7">
        <f t="shared" si="26"/>
        <v>73.725878932064504</v>
      </c>
      <c r="P47" s="7">
        <v>16500</v>
      </c>
      <c r="Q47" s="8">
        <v>208.8</v>
      </c>
      <c r="R47" s="7">
        <f t="shared" si="30"/>
        <v>79.022988505747122</v>
      </c>
      <c r="S47" s="7">
        <f t="shared" si="27"/>
        <v>119373.25</v>
      </c>
      <c r="T47" s="8">
        <f t="shared" si="28"/>
        <v>1531.1</v>
      </c>
      <c r="U47" s="7">
        <f t="shared" si="29"/>
        <v>77.965678270524464</v>
      </c>
    </row>
    <row r="48" spans="1:21" ht="23.25" customHeight="1" x14ac:dyDescent="0.25">
      <c r="A48" s="60"/>
      <c r="B48" s="60">
        <v>13</v>
      </c>
      <c r="C48" s="12">
        <v>43733</v>
      </c>
      <c r="D48" s="25"/>
      <c r="E48" s="26"/>
      <c r="F48" s="25"/>
      <c r="G48" s="23">
        <v>29772.5</v>
      </c>
      <c r="H48" s="24">
        <v>355.3</v>
      </c>
      <c r="I48" s="23">
        <f t="shared" si="25"/>
        <v>83.795384182381085</v>
      </c>
      <c r="J48" s="23">
        <v>11520</v>
      </c>
      <c r="K48" s="24">
        <v>110.8</v>
      </c>
      <c r="L48" s="23">
        <f t="shared" si="31"/>
        <v>103.97111913357401</v>
      </c>
      <c r="M48" s="23">
        <v>141903.25</v>
      </c>
      <c r="N48" s="24">
        <v>1350</v>
      </c>
      <c r="O48" s="23">
        <f t="shared" si="26"/>
        <v>105.11351851851852</v>
      </c>
      <c r="P48" s="25"/>
      <c r="Q48" s="26"/>
      <c r="R48" s="25"/>
      <c r="S48" s="23">
        <f t="shared" si="27"/>
        <v>183195.75</v>
      </c>
      <c r="T48" s="24">
        <f t="shared" si="28"/>
        <v>1816.1</v>
      </c>
      <c r="U48" s="23">
        <f t="shared" si="29"/>
        <v>100.87316227080007</v>
      </c>
    </row>
    <row r="49" spans="1:21" ht="23.25" customHeight="1" x14ac:dyDescent="0.25">
      <c r="A49" s="61"/>
      <c r="B49" s="61"/>
      <c r="C49" s="11">
        <v>43740</v>
      </c>
      <c r="D49" s="5"/>
      <c r="E49" s="6"/>
      <c r="F49" s="5"/>
      <c r="G49" s="7">
        <v>3685</v>
      </c>
      <c r="H49" s="8">
        <v>42</v>
      </c>
      <c r="I49" s="7">
        <f t="shared" si="25"/>
        <v>87.738095238095241</v>
      </c>
      <c r="J49" s="7">
        <v>59269</v>
      </c>
      <c r="K49" s="8">
        <v>754.8</v>
      </c>
      <c r="L49" s="7">
        <f t="shared" si="31"/>
        <v>78.522787493375731</v>
      </c>
      <c r="M49" s="7">
        <v>97848.75</v>
      </c>
      <c r="N49" s="8">
        <v>1102.3</v>
      </c>
      <c r="O49" s="7">
        <f t="shared" si="26"/>
        <v>88.767803683207845</v>
      </c>
      <c r="P49" s="5"/>
      <c r="Q49" s="6"/>
      <c r="R49" s="5"/>
      <c r="S49" s="7">
        <f t="shared" ref="S49" si="33">SUM(D49,G49,J49,M49,P49)</f>
        <v>160802.75</v>
      </c>
      <c r="T49" s="8">
        <f t="shared" ref="T49" si="34">SUM(E49,H49,K49,N49,Q49)</f>
        <v>1899.1</v>
      </c>
      <c r="U49" s="7">
        <f t="shared" si="29"/>
        <v>84.6731346427255</v>
      </c>
    </row>
    <row r="50" spans="1:21" ht="39" customHeight="1" x14ac:dyDescent="0.25">
      <c r="A50" s="64" t="s">
        <v>30</v>
      </c>
      <c r="B50" s="64"/>
      <c r="C50" s="64"/>
      <c r="D50" s="21">
        <f>SUM(D37:D49)</f>
        <v>143457.25</v>
      </c>
      <c r="E50" s="22">
        <f>SUM(E37:E49)</f>
        <v>1616.8</v>
      </c>
      <c r="F50" s="21">
        <f>D50/E50</f>
        <v>88.729125432953992</v>
      </c>
      <c r="G50" s="21">
        <f>SUM(G37:G49)</f>
        <v>613717.5</v>
      </c>
      <c r="H50" s="22">
        <f>SUM(H37:H49)</f>
        <v>7478.9000000000005</v>
      </c>
      <c r="I50" s="21">
        <f>G50/H50</f>
        <v>82.05986174437416</v>
      </c>
      <c r="J50" s="21">
        <f>SUM(J37:J49)</f>
        <v>180925.25</v>
      </c>
      <c r="K50" s="22">
        <f>SUM(K37:K49)</f>
        <v>2245</v>
      </c>
      <c r="L50" s="21">
        <f>J50/K50</f>
        <v>80.590311804008905</v>
      </c>
      <c r="M50" s="21">
        <f>SUM(M37:M49)</f>
        <v>1288511.8500000001</v>
      </c>
      <c r="N50" s="22">
        <f>SUM(N37:N49)</f>
        <v>14383.099999999997</v>
      </c>
      <c r="O50" s="21">
        <f>M50/N50</f>
        <v>89.585127684574289</v>
      </c>
      <c r="P50" s="21">
        <f>SUM(P37:P49)</f>
        <v>45527.5</v>
      </c>
      <c r="Q50" s="22">
        <f>SUM(Q37:Q49)</f>
        <v>578.1</v>
      </c>
      <c r="R50" s="21">
        <f>P50/Q50</f>
        <v>78.753675834630684</v>
      </c>
      <c r="S50" s="21">
        <f>SUM(S37:S49)</f>
        <v>2272139.35</v>
      </c>
      <c r="T50" s="22">
        <f>SUM(T37:T49)</f>
        <v>26301.899999999994</v>
      </c>
      <c r="U50" s="21">
        <f>S50/T50</f>
        <v>86.386890300700728</v>
      </c>
    </row>
    <row r="51" spans="1:21" x14ac:dyDescent="0.25">
      <c r="A51" s="67" t="s">
        <v>15</v>
      </c>
      <c r="B51" s="67" t="s">
        <v>10</v>
      </c>
      <c r="C51" s="67" t="s">
        <v>0</v>
      </c>
      <c r="D51" s="58" t="s">
        <v>34</v>
      </c>
      <c r="E51" s="58"/>
      <c r="F51" s="58"/>
      <c r="G51" s="58" t="s">
        <v>7</v>
      </c>
      <c r="H51" s="58"/>
      <c r="I51" s="58"/>
      <c r="J51" s="58" t="s">
        <v>27</v>
      </c>
      <c r="K51" s="58"/>
      <c r="L51" s="58"/>
      <c r="M51" s="58" t="s">
        <v>4</v>
      </c>
      <c r="N51" s="58"/>
      <c r="O51" s="58"/>
      <c r="P51" s="58" t="s">
        <v>8</v>
      </c>
      <c r="Q51" s="58"/>
      <c r="R51" s="58"/>
      <c r="S51" s="58" t="s">
        <v>9</v>
      </c>
      <c r="T51" s="58"/>
      <c r="U51" s="58"/>
    </row>
    <row r="52" spans="1:21" x14ac:dyDescent="0.25">
      <c r="A52" s="67"/>
      <c r="B52" s="67"/>
      <c r="C52" s="67"/>
      <c r="D52" s="1" t="s">
        <v>1</v>
      </c>
      <c r="E52" s="3" t="s">
        <v>2</v>
      </c>
      <c r="F52" s="1" t="s">
        <v>3</v>
      </c>
      <c r="G52" s="1" t="s">
        <v>1</v>
      </c>
      <c r="H52" s="3" t="s">
        <v>2</v>
      </c>
      <c r="I52" s="1" t="s">
        <v>3</v>
      </c>
      <c r="J52" s="1" t="s">
        <v>1</v>
      </c>
      <c r="K52" s="3" t="s">
        <v>2</v>
      </c>
      <c r="L52" s="1" t="s">
        <v>3</v>
      </c>
      <c r="M52" s="1" t="s">
        <v>1</v>
      </c>
      <c r="N52" s="3" t="s">
        <v>2</v>
      </c>
      <c r="O52" s="1" t="s">
        <v>3</v>
      </c>
      <c r="P52" s="1" t="s">
        <v>1</v>
      </c>
      <c r="Q52" s="3" t="s">
        <v>2</v>
      </c>
      <c r="R52" s="1" t="s">
        <v>3</v>
      </c>
      <c r="S52" s="1" t="s">
        <v>1</v>
      </c>
      <c r="T52" s="3" t="s">
        <v>2</v>
      </c>
      <c r="U52" s="1" t="s">
        <v>3</v>
      </c>
    </row>
    <row r="53" spans="1:21" ht="23.25" customHeight="1" x14ac:dyDescent="0.25">
      <c r="A53" s="62" t="s">
        <v>28</v>
      </c>
      <c r="B53" s="69" t="s">
        <v>31</v>
      </c>
      <c r="C53" s="11">
        <v>43747</v>
      </c>
      <c r="D53" s="5"/>
      <c r="E53" s="6"/>
      <c r="F53" s="5"/>
      <c r="G53" s="7">
        <v>89571.97</v>
      </c>
      <c r="H53" s="8">
        <v>875</v>
      </c>
      <c r="I53" s="7">
        <f t="shared" ref="I53:I64" si="35">G53/H53</f>
        <v>102.36796571428572</v>
      </c>
      <c r="J53" s="7">
        <v>52416.25</v>
      </c>
      <c r="K53" s="8">
        <v>558.5</v>
      </c>
      <c r="L53" s="7">
        <f t="shared" ref="L53:L64" si="36">J53/K53</f>
        <v>93.851835273052814</v>
      </c>
      <c r="M53" s="7">
        <v>201173.63</v>
      </c>
      <c r="N53" s="8">
        <v>2513.5</v>
      </c>
      <c r="O53" s="7">
        <f t="shared" ref="O53:O64" si="37">M53/N53</f>
        <v>80.037250845434656</v>
      </c>
      <c r="P53" s="5"/>
      <c r="Q53" s="6"/>
      <c r="R53" s="5"/>
      <c r="S53" s="7">
        <f t="shared" ref="S53:S64" si="38">SUM(D53,G53,J53,M53,P53)</f>
        <v>343161.85</v>
      </c>
      <c r="T53" s="8">
        <f t="shared" ref="T53:T64" si="39">SUM(E53,H53,K53,N53,Q53)</f>
        <v>3947</v>
      </c>
      <c r="U53" s="7">
        <f t="shared" ref="U53:U64" si="40">S53/T53</f>
        <v>86.942449961996445</v>
      </c>
    </row>
    <row r="54" spans="1:21" ht="23.25" customHeight="1" x14ac:dyDescent="0.25">
      <c r="A54" s="62"/>
      <c r="B54" s="70"/>
      <c r="C54" s="11">
        <v>43754</v>
      </c>
      <c r="D54" s="5"/>
      <c r="E54" s="6"/>
      <c r="F54" s="5"/>
      <c r="G54" s="7">
        <v>31005</v>
      </c>
      <c r="H54" s="8">
        <v>344.5</v>
      </c>
      <c r="I54" s="7">
        <f t="shared" si="35"/>
        <v>90</v>
      </c>
      <c r="J54" s="7">
        <v>76545</v>
      </c>
      <c r="K54" s="8">
        <v>912</v>
      </c>
      <c r="L54" s="7">
        <f t="shared" si="36"/>
        <v>83.930921052631575</v>
      </c>
      <c r="M54" s="7">
        <v>154746.38</v>
      </c>
      <c r="N54" s="8">
        <v>1862.8</v>
      </c>
      <c r="O54" s="7">
        <f t="shared" si="37"/>
        <v>83.071923985398328</v>
      </c>
      <c r="P54" s="7">
        <v>11785</v>
      </c>
      <c r="Q54" s="8">
        <v>132.5</v>
      </c>
      <c r="R54" s="7"/>
      <c r="S54" s="7">
        <f t="shared" si="38"/>
        <v>274081.38</v>
      </c>
      <c r="T54" s="8">
        <f t="shared" si="39"/>
        <v>3251.8</v>
      </c>
      <c r="U54" s="7">
        <f t="shared" si="40"/>
        <v>84.286050802632388</v>
      </c>
    </row>
    <row r="55" spans="1:21" ht="23.25" customHeight="1" x14ac:dyDescent="0.25">
      <c r="A55" s="62"/>
      <c r="B55" s="70"/>
      <c r="C55" s="11">
        <v>43761</v>
      </c>
      <c r="D55" s="5"/>
      <c r="E55" s="6"/>
      <c r="F55" s="5"/>
      <c r="G55" s="7">
        <v>13000</v>
      </c>
      <c r="H55" s="8">
        <v>165</v>
      </c>
      <c r="I55" s="7">
        <f t="shared" si="35"/>
        <v>78.787878787878782</v>
      </c>
      <c r="J55" s="7">
        <v>43029</v>
      </c>
      <c r="K55" s="8">
        <v>550.29999999999995</v>
      </c>
      <c r="L55" s="7">
        <f t="shared" si="36"/>
        <v>78.191895329820099</v>
      </c>
      <c r="M55" s="7">
        <v>53701.55</v>
      </c>
      <c r="N55" s="8">
        <v>610.79999999999995</v>
      </c>
      <c r="O55" s="7">
        <f t="shared" si="37"/>
        <v>87.920022920759678</v>
      </c>
      <c r="P55" s="5"/>
      <c r="Q55" s="6"/>
      <c r="R55" s="5"/>
      <c r="S55" s="7">
        <f t="shared" si="38"/>
        <v>109730.55</v>
      </c>
      <c r="T55" s="8">
        <f t="shared" si="39"/>
        <v>1326.1</v>
      </c>
      <c r="U55" s="7">
        <f t="shared" si="40"/>
        <v>82.746813965764275</v>
      </c>
    </row>
    <row r="56" spans="1:21" ht="23.25" customHeight="1" x14ac:dyDescent="0.25">
      <c r="A56" s="62"/>
      <c r="B56" s="71"/>
      <c r="C56" s="11">
        <v>43768</v>
      </c>
      <c r="D56" s="5"/>
      <c r="E56" s="6"/>
      <c r="F56" s="5"/>
      <c r="G56" s="7">
        <v>39910</v>
      </c>
      <c r="H56" s="8">
        <v>496.8</v>
      </c>
      <c r="I56" s="7">
        <f t="shared" si="35"/>
        <v>80.334138486312398</v>
      </c>
      <c r="J56" s="7">
        <v>32962.5</v>
      </c>
      <c r="K56" s="8">
        <v>368.5</v>
      </c>
      <c r="L56" s="7">
        <f t="shared" si="36"/>
        <v>89.450474898236095</v>
      </c>
      <c r="M56" s="7">
        <v>127390</v>
      </c>
      <c r="N56" s="8">
        <v>1136.3</v>
      </c>
      <c r="O56" s="7">
        <f t="shared" si="37"/>
        <v>112.10947813077533</v>
      </c>
      <c r="P56" s="7">
        <v>13545</v>
      </c>
      <c r="Q56" s="8">
        <v>153.30000000000001</v>
      </c>
      <c r="R56" s="7">
        <f t="shared" ref="R56" si="41">P56/Q56</f>
        <v>88.356164383561634</v>
      </c>
      <c r="S56" s="7">
        <f t="shared" si="38"/>
        <v>213807.5</v>
      </c>
      <c r="T56" s="8">
        <f t="shared" si="39"/>
        <v>2154.9</v>
      </c>
      <c r="U56" s="7">
        <f t="shared" si="40"/>
        <v>99.219221309573527</v>
      </c>
    </row>
    <row r="57" spans="1:21" ht="23.25" customHeight="1" x14ac:dyDescent="0.25">
      <c r="A57" s="62"/>
      <c r="B57" s="69" t="s">
        <v>32</v>
      </c>
      <c r="C57" s="11">
        <v>43776</v>
      </c>
      <c r="D57" s="5"/>
      <c r="E57" s="6"/>
      <c r="F57" s="5"/>
      <c r="G57" s="7">
        <v>12060</v>
      </c>
      <c r="H57" s="8">
        <v>145</v>
      </c>
      <c r="I57" s="7">
        <f t="shared" si="35"/>
        <v>83.172413793103445</v>
      </c>
      <c r="J57" s="7">
        <v>43105</v>
      </c>
      <c r="K57" s="8">
        <v>556.79999999999995</v>
      </c>
      <c r="L57" s="7">
        <f t="shared" si="36"/>
        <v>77.415589080459782</v>
      </c>
      <c r="M57" s="7">
        <v>150755</v>
      </c>
      <c r="N57" s="8">
        <v>1725.8</v>
      </c>
      <c r="O57" s="7">
        <f t="shared" si="37"/>
        <v>87.353691041835674</v>
      </c>
      <c r="P57" s="5"/>
      <c r="Q57" s="6"/>
      <c r="R57" s="5"/>
      <c r="S57" s="7">
        <f t="shared" si="38"/>
        <v>205920</v>
      </c>
      <c r="T57" s="8">
        <f t="shared" si="39"/>
        <v>2427.6</v>
      </c>
      <c r="U57" s="7">
        <f t="shared" si="40"/>
        <v>84.82451804251113</v>
      </c>
    </row>
    <row r="58" spans="1:21" ht="23.25" customHeight="1" x14ac:dyDescent="0.25">
      <c r="A58" s="62"/>
      <c r="B58" s="70">
        <v>7</v>
      </c>
      <c r="C58" s="11">
        <v>43783</v>
      </c>
      <c r="D58" s="7">
        <v>26620</v>
      </c>
      <c r="E58" s="8">
        <v>255.5</v>
      </c>
      <c r="F58" s="7">
        <f t="shared" ref="F58:F64" si="42">D58/E58</f>
        <v>104.18786692759295</v>
      </c>
      <c r="G58" s="7">
        <v>59300.75</v>
      </c>
      <c r="H58" s="8">
        <v>803.8</v>
      </c>
      <c r="I58" s="7">
        <f t="shared" si="35"/>
        <v>73.775503856680771</v>
      </c>
      <c r="J58" s="7">
        <v>42382</v>
      </c>
      <c r="K58" s="8">
        <v>418.5</v>
      </c>
      <c r="L58" s="7">
        <f t="shared" si="36"/>
        <v>101.27120669056153</v>
      </c>
      <c r="M58" s="7">
        <v>208388.03</v>
      </c>
      <c r="N58" s="8">
        <v>2129.3000000000002</v>
      </c>
      <c r="O58" s="7">
        <f t="shared" si="37"/>
        <v>97.866918705677918</v>
      </c>
      <c r="P58" s="5"/>
      <c r="Q58" s="6"/>
      <c r="R58" s="5"/>
      <c r="S58" s="7">
        <f t="shared" si="38"/>
        <v>336690.78</v>
      </c>
      <c r="T58" s="8">
        <f t="shared" si="39"/>
        <v>3607.1000000000004</v>
      </c>
      <c r="U58" s="7">
        <f t="shared" si="40"/>
        <v>93.341127221313513</v>
      </c>
    </row>
    <row r="59" spans="1:21" ht="23.25" customHeight="1" x14ac:dyDescent="0.25">
      <c r="A59" s="62"/>
      <c r="B59" s="70">
        <v>8</v>
      </c>
      <c r="C59" s="11">
        <v>43790</v>
      </c>
      <c r="D59" s="7">
        <v>720</v>
      </c>
      <c r="E59" s="8">
        <v>9.5</v>
      </c>
      <c r="F59" s="7">
        <f t="shared" si="42"/>
        <v>75.78947368421052</v>
      </c>
      <c r="G59" s="7">
        <v>42193.25</v>
      </c>
      <c r="H59" s="8">
        <v>563.79999999999995</v>
      </c>
      <c r="I59" s="7">
        <f t="shared" si="35"/>
        <v>74.837264987584263</v>
      </c>
      <c r="J59" s="7">
        <v>34067.25</v>
      </c>
      <c r="K59" s="8">
        <v>379.5</v>
      </c>
      <c r="L59" s="7">
        <f t="shared" si="36"/>
        <v>89.768774703557312</v>
      </c>
      <c r="M59" s="7">
        <v>140909.5</v>
      </c>
      <c r="N59" s="8">
        <v>2004.8</v>
      </c>
      <c r="O59" s="7">
        <f t="shared" si="37"/>
        <v>70.286063447725454</v>
      </c>
      <c r="P59" s="5"/>
      <c r="Q59" s="6"/>
      <c r="R59" s="5"/>
      <c r="S59" s="7">
        <f t="shared" si="38"/>
        <v>217890</v>
      </c>
      <c r="T59" s="8">
        <f t="shared" si="39"/>
        <v>2957.6</v>
      </c>
      <c r="U59" s="7">
        <f t="shared" si="40"/>
        <v>73.671219908033549</v>
      </c>
    </row>
    <row r="60" spans="1:21" ht="23.25" customHeight="1" x14ac:dyDescent="0.25">
      <c r="A60" s="62"/>
      <c r="B60" s="71">
        <v>9</v>
      </c>
      <c r="C60" s="27">
        <v>43797</v>
      </c>
      <c r="D60" s="7">
        <v>300</v>
      </c>
      <c r="E60" s="8">
        <v>2</v>
      </c>
      <c r="F60" s="7">
        <f t="shared" si="42"/>
        <v>150</v>
      </c>
      <c r="G60" s="7">
        <v>65607.5</v>
      </c>
      <c r="H60" s="8">
        <v>756.25</v>
      </c>
      <c r="I60" s="7">
        <f t="shared" si="35"/>
        <v>86.753719008264468</v>
      </c>
      <c r="J60" s="7">
        <v>87230.75</v>
      </c>
      <c r="K60" s="8">
        <v>991.16200000000003</v>
      </c>
      <c r="L60" s="7">
        <f t="shared" si="36"/>
        <v>88.008569739356432</v>
      </c>
      <c r="M60" s="7">
        <v>155010</v>
      </c>
      <c r="N60" s="8">
        <v>1751.25</v>
      </c>
      <c r="O60" s="7">
        <f t="shared" si="37"/>
        <v>88.513918629550318</v>
      </c>
      <c r="P60" s="5"/>
      <c r="Q60" s="6"/>
      <c r="R60" s="5"/>
      <c r="S60" s="7">
        <f t="shared" si="38"/>
        <v>308148.25</v>
      </c>
      <c r="T60" s="8">
        <f t="shared" si="39"/>
        <v>3500.6620000000003</v>
      </c>
      <c r="U60" s="7">
        <f t="shared" si="40"/>
        <v>88.025707708999036</v>
      </c>
    </row>
    <row r="61" spans="1:21" ht="23.25" customHeight="1" x14ac:dyDescent="0.25">
      <c r="A61" s="62"/>
      <c r="B61" s="69" t="s">
        <v>33</v>
      </c>
      <c r="C61" s="11">
        <v>43803</v>
      </c>
      <c r="D61" s="7">
        <v>300</v>
      </c>
      <c r="E61" s="8">
        <v>2</v>
      </c>
      <c r="F61" s="7">
        <f t="shared" si="42"/>
        <v>150</v>
      </c>
      <c r="G61" s="7">
        <v>33978</v>
      </c>
      <c r="H61" s="8">
        <v>379.3</v>
      </c>
      <c r="I61" s="7">
        <f t="shared" si="35"/>
        <v>89.580806749274984</v>
      </c>
      <c r="J61" s="7">
        <v>39725</v>
      </c>
      <c r="K61" s="8">
        <v>477.3</v>
      </c>
      <c r="L61" s="7">
        <f t="shared" si="36"/>
        <v>83.228577414623928</v>
      </c>
      <c r="M61" s="7">
        <v>22770</v>
      </c>
      <c r="N61" s="8">
        <v>257.3</v>
      </c>
      <c r="O61" s="7">
        <f t="shared" si="37"/>
        <v>88.495919160513012</v>
      </c>
      <c r="P61" s="5"/>
      <c r="Q61" s="6"/>
      <c r="R61" s="5"/>
      <c r="S61" s="7">
        <f t="shared" si="38"/>
        <v>96773</v>
      </c>
      <c r="T61" s="8">
        <f t="shared" si="39"/>
        <v>1115.9000000000001</v>
      </c>
      <c r="U61" s="7">
        <f t="shared" si="40"/>
        <v>86.721928488215781</v>
      </c>
    </row>
    <row r="62" spans="1:21" ht="23.25" customHeight="1" x14ac:dyDescent="0.25">
      <c r="A62" s="62"/>
      <c r="B62" s="70">
        <v>11</v>
      </c>
      <c r="C62" s="11">
        <v>43810</v>
      </c>
      <c r="D62" s="5"/>
      <c r="E62" s="6"/>
      <c r="F62" s="5"/>
      <c r="G62" s="7">
        <v>10830</v>
      </c>
      <c r="H62" s="8">
        <v>101.5</v>
      </c>
      <c r="I62" s="7">
        <f t="shared" si="35"/>
        <v>106.69950738916256</v>
      </c>
      <c r="J62" s="7">
        <v>121433.25</v>
      </c>
      <c r="K62" s="8">
        <v>1425.8</v>
      </c>
      <c r="L62" s="7">
        <f t="shared" si="36"/>
        <v>85.168501893673735</v>
      </c>
      <c r="M62" s="5"/>
      <c r="N62" s="6"/>
      <c r="O62" s="5"/>
      <c r="P62" s="7">
        <v>5650</v>
      </c>
      <c r="Q62" s="8">
        <v>64</v>
      </c>
      <c r="R62" s="7">
        <f t="shared" ref="R62:R63" si="43">P62/Q62</f>
        <v>88.28125</v>
      </c>
      <c r="S62" s="7">
        <f t="shared" si="38"/>
        <v>137913.25</v>
      </c>
      <c r="T62" s="8">
        <f t="shared" si="39"/>
        <v>1591.3</v>
      </c>
      <c r="U62" s="7">
        <f t="shared" si="40"/>
        <v>86.667033243260235</v>
      </c>
    </row>
    <row r="63" spans="1:21" ht="23.25" customHeight="1" x14ac:dyDescent="0.25">
      <c r="A63" s="62"/>
      <c r="B63" s="70">
        <v>12</v>
      </c>
      <c r="C63" s="11">
        <v>43817</v>
      </c>
      <c r="D63" s="5"/>
      <c r="E63" s="6"/>
      <c r="F63" s="5"/>
      <c r="G63" s="7">
        <v>83523</v>
      </c>
      <c r="H63" s="8">
        <v>1002.8</v>
      </c>
      <c r="I63" s="7">
        <f t="shared" si="35"/>
        <v>83.289788591942568</v>
      </c>
      <c r="J63" s="7">
        <v>5725</v>
      </c>
      <c r="K63" s="8">
        <v>72.5</v>
      </c>
      <c r="L63" s="7">
        <f t="shared" si="36"/>
        <v>78.965517241379317</v>
      </c>
      <c r="M63" s="7">
        <v>130914.11</v>
      </c>
      <c r="N63" s="8">
        <v>1206.8</v>
      </c>
      <c r="O63" s="7">
        <f t="shared" si="37"/>
        <v>108.48036957242294</v>
      </c>
      <c r="P63" s="7">
        <v>595</v>
      </c>
      <c r="Q63" s="8">
        <v>8</v>
      </c>
      <c r="R63" s="7">
        <f t="shared" si="43"/>
        <v>74.375</v>
      </c>
      <c r="S63" s="7">
        <f t="shared" si="38"/>
        <v>220757.11</v>
      </c>
      <c r="T63" s="8">
        <f t="shared" si="39"/>
        <v>2290.1</v>
      </c>
      <c r="U63" s="7">
        <f t="shared" si="40"/>
        <v>96.396275271822191</v>
      </c>
    </row>
    <row r="64" spans="1:21" ht="23.25" customHeight="1" x14ac:dyDescent="0.25">
      <c r="A64" s="62"/>
      <c r="B64" s="70">
        <v>13</v>
      </c>
      <c r="C64" s="28">
        <v>44190</v>
      </c>
      <c r="D64" s="23">
        <v>17850</v>
      </c>
      <c r="E64" s="24">
        <v>219.5</v>
      </c>
      <c r="F64" s="7">
        <f t="shared" si="42"/>
        <v>81.321184510250575</v>
      </c>
      <c r="G64" s="23">
        <v>38227.75</v>
      </c>
      <c r="H64" s="24">
        <v>458.22500000000002</v>
      </c>
      <c r="I64" s="7">
        <f t="shared" si="35"/>
        <v>83.425718806263291</v>
      </c>
      <c r="J64" s="23">
        <v>41178</v>
      </c>
      <c r="K64" s="24">
        <v>426</v>
      </c>
      <c r="L64" s="7">
        <f t="shared" si="36"/>
        <v>96.661971830985919</v>
      </c>
      <c r="M64" s="23">
        <v>27447.75</v>
      </c>
      <c r="N64" s="24">
        <v>284.5</v>
      </c>
      <c r="O64" s="7">
        <f t="shared" si="37"/>
        <v>96.477152899824247</v>
      </c>
      <c r="P64" s="25"/>
      <c r="Q64" s="26"/>
      <c r="R64" s="25"/>
      <c r="S64" s="23">
        <f t="shared" si="38"/>
        <v>124703.5</v>
      </c>
      <c r="T64" s="24">
        <f t="shared" si="39"/>
        <v>1388.2249999999999</v>
      </c>
      <c r="U64" s="7">
        <f t="shared" si="40"/>
        <v>89.829458481153992</v>
      </c>
    </row>
    <row r="65" spans="1:21" ht="23.25" customHeight="1" x14ac:dyDescent="0.25">
      <c r="A65" s="62"/>
      <c r="B65" s="29"/>
      <c r="C65" s="28">
        <v>43831</v>
      </c>
      <c r="D65" s="25"/>
      <c r="E65" s="26"/>
      <c r="F65" s="5"/>
      <c r="G65" s="23">
        <v>7556.25</v>
      </c>
      <c r="H65" s="24">
        <v>83.5</v>
      </c>
      <c r="I65" s="7">
        <f t="shared" ref="I65" si="44">G65/H65</f>
        <v>90.494011976047901</v>
      </c>
      <c r="J65" s="23">
        <v>28485</v>
      </c>
      <c r="K65" s="24">
        <v>173</v>
      </c>
      <c r="L65" s="7">
        <f t="shared" ref="L65" si="45">J65/K65</f>
        <v>164.65317919075144</v>
      </c>
      <c r="M65" s="23">
        <v>17670</v>
      </c>
      <c r="N65" s="24">
        <v>200.25</v>
      </c>
      <c r="O65" s="7">
        <f t="shared" ref="O65" si="46">M65/N65</f>
        <v>88.239700374531836</v>
      </c>
      <c r="P65" s="25"/>
      <c r="Q65" s="26"/>
      <c r="R65" s="25"/>
      <c r="S65" s="23">
        <f t="shared" ref="S65" si="47">SUM(D65,G65,J65,M65,P65)</f>
        <v>53711.25</v>
      </c>
      <c r="T65" s="24">
        <f t="shared" ref="T65" si="48">SUM(E65,H65,K65,N65,Q65)</f>
        <v>456.75</v>
      </c>
      <c r="U65" s="7">
        <f t="shared" ref="U65" si="49">S65/T65</f>
        <v>117.59441707717569</v>
      </c>
    </row>
    <row r="66" spans="1:21" ht="39" customHeight="1" x14ac:dyDescent="0.25">
      <c r="A66" s="64" t="s">
        <v>29</v>
      </c>
      <c r="B66" s="64"/>
      <c r="C66" s="64"/>
      <c r="D66" s="21">
        <f>SUM(D53:D64)</f>
        <v>45790</v>
      </c>
      <c r="E66" s="22">
        <f>SUM(E53:E64)</f>
        <v>488.5</v>
      </c>
      <c r="F66" s="21">
        <f>D66/E66</f>
        <v>93.735926305015354</v>
      </c>
      <c r="G66" s="21">
        <f>SUM(G53:G65)</f>
        <v>526763.47</v>
      </c>
      <c r="H66" s="22">
        <f>SUM(H53:H65)</f>
        <v>6175.4750000000004</v>
      </c>
      <c r="I66" s="21">
        <f>G66/H66</f>
        <v>85.299263619397692</v>
      </c>
      <c r="J66" s="21">
        <f>SUM(J53:J65)</f>
        <v>648284</v>
      </c>
      <c r="K66" s="22">
        <f>SUM(K53:K65)</f>
        <v>7309.862000000001</v>
      </c>
      <c r="L66" s="21">
        <f>J66/K66</f>
        <v>88.686215964131733</v>
      </c>
      <c r="M66" s="21">
        <f>SUM(M53:M65)</f>
        <v>1390875.9500000002</v>
      </c>
      <c r="N66" s="22">
        <f>SUM(N53:N65)</f>
        <v>15683.399999999998</v>
      </c>
      <c r="O66" s="21">
        <f>M66/N66</f>
        <v>88.684593264215692</v>
      </c>
      <c r="P66" s="21">
        <f>SUM(P53:P64)</f>
        <v>31575</v>
      </c>
      <c r="Q66" s="22">
        <f>SUM(Q53:Q64)</f>
        <v>357.8</v>
      </c>
      <c r="R66" s="21">
        <f>P66/Q66</f>
        <v>88.247624371157073</v>
      </c>
      <c r="S66" s="21">
        <f>SUM(S53:S64)</f>
        <v>2589577.17</v>
      </c>
      <c r="T66" s="22">
        <f>SUM(T53:T64)</f>
        <v>29558.286999999997</v>
      </c>
      <c r="U66" s="21">
        <f>S66/T66</f>
        <v>87.609176066258513</v>
      </c>
    </row>
    <row r="67" spans="1:21" ht="23.25" customHeight="1" x14ac:dyDescent="0.25">
      <c r="A67" s="53" t="s">
        <v>22</v>
      </c>
      <c r="B67" s="54"/>
      <c r="C67" s="54"/>
      <c r="D67" s="9">
        <f t="shared" ref="D67:E67" si="50">SUM(D34,D18,D50,D66)</f>
        <v>738826.88</v>
      </c>
      <c r="E67" s="10">
        <f t="shared" si="50"/>
        <v>8221.5499999999993</v>
      </c>
      <c r="F67" s="9">
        <f>D67/E67</f>
        <v>89.864670287232954</v>
      </c>
      <c r="G67" s="9">
        <f>SUM(G34,G18,G50,G66)</f>
        <v>1914765.42</v>
      </c>
      <c r="H67" s="10">
        <f t="shared" ref="H67" si="51">SUM(H34,H18,H50,H66)</f>
        <v>21991.775000000001</v>
      </c>
      <c r="I67" s="9">
        <f>G67/H67</f>
        <v>87.067343131693548</v>
      </c>
      <c r="J67" s="9">
        <f t="shared" ref="J67:K67" si="52">SUM(J34,J18,J50,J66)</f>
        <v>930705.5</v>
      </c>
      <c r="K67" s="10">
        <f t="shared" si="52"/>
        <v>10773.862000000001</v>
      </c>
      <c r="L67" s="9">
        <f>J67/K67</f>
        <v>86.385504102428627</v>
      </c>
      <c r="M67" s="9">
        <f t="shared" ref="M67:N67" si="53">SUM(M34,M18,M50,M66)</f>
        <v>5661023.3500000006</v>
      </c>
      <c r="N67" s="10">
        <f t="shared" si="53"/>
        <v>65320.25</v>
      </c>
      <c r="O67" s="9">
        <f>M67/N67</f>
        <v>86.665671824587335</v>
      </c>
      <c r="P67" s="9">
        <f t="shared" ref="P67:Q67" si="54">SUM(P34,P18,P50,P66)</f>
        <v>182606.25</v>
      </c>
      <c r="Q67" s="10">
        <f t="shared" si="54"/>
        <v>2116.0500000000002</v>
      </c>
      <c r="R67" s="9">
        <f>P67/Q67</f>
        <v>86.29581059048698</v>
      </c>
      <c r="S67" s="9">
        <f t="shared" ref="S67:T67" si="55">SUM(S34,S18,S50,S66)</f>
        <v>9374216.1500000004</v>
      </c>
      <c r="T67" s="10">
        <f t="shared" si="55"/>
        <v>107966.73699999998</v>
      </c>
      <c r="U67" s="9">
        <f>S67/T67</f>
        <v>86.825038993259582</v>
      </c>
    </row>
  </sheetData>
  <mergeCells count="57">
    <mergeCell ref="S35:U35"/>
    <mergeCell ref="B37:B40"/>
    <mergeCell ref="B41:B44"/>
    <mergeCell ref="A37:A49"/>
    <mergeCell ref="B45:B49"/>
    <mergeCell ref="D35:F35"/>
    <mergeCell ref="G35:I35"/>
    <mergeCell ref="J35:L35"/>
    <mergeCell ref="M35:O35"/>
    <mergeCell ref="P35:R35"/>
    <mergeCell ref="P19:R19"/>
    <mergeCell ref="S19:U19"/>
    <mergeCell ref="B21:B24"/>
    <mergeCell ref="B25:B28"/>
    <mergeCell ref="A19:A20"/>
    <mergeCell ref="B19:B20"/>
    <mergeCell ref="C19:C20"/>
    <mergeCell ref="D19:F19"/>
    <mergeCell ref="G19:I19"/>
    <mergeCell ref="J19:L19"/>
    <mergeCell ref="M19:O19"/>
    <mergeCell ref="A21:A33"/>
    <mergeCell ref="B29:B33"/>
    <mergeCell ref="A3:A4"/>
    <mergeCell ref="A5:A17"/>
    <mergeCell ref="A18:C18"/>
    <mergeCell ref="A34:C34"/>
    <mergeCell ref="A67:C67"/>
    <mergeCell ref="B3:B4"/>
    <mergeCell ref="B5:B8"/>
    <mergeCell ref="B9:B12"/>
    <mergeCell ref="B13:B17"/>
    <mergeCell ref="C3:C4"/>
    <mergeCell ref="A35:A36"/>
    <mergeCell ref="B35:B36"/>
    <mergeCell ref="C35:C36"/>
    <mergeCell ref="A50:C50"/>
    <mergeCell ref="A51:A52"/>
    <mergeCell ref="B51:B52"/>
    <mergeCell ref="S3:U3"/>
    <mergeCell ref="D3:F3"/>
    <mergeCell ref="G3:I3"/>
    <mergeCell ref="J3:L3"/>
    <mergeCell ref="M3:O3"/>
    <mergeCell ref="P3:R3"/>
    <mergeCell ref="A66:C66"/>
    <mergeCell ref="P51:R51"/>
    <mergeCell ref="S51:U51"/>
    <mergeCell ref="B53:B56"/>
    <mergeCell ref="B57:B60"/>
    <mergeCell ref="B61:B64"/>
    <mergeCell ref="C51:C52"/>
    <mergeCell ref="D51:F51"/>
    <mergeCell ref="G51:I51"/>
    <mergeCell ref="J51:L51"/>
    <mergeCell ref="M51:O51"/>
    <mergeCell ref="A53:A65"/>
  </mergeCells>
  <printOptions horizontalCentered="1"/>
  <pageMargins left="0.7" right="0.7" top="0.75" bottom="0.75" header="0.3" footer="0.3"/>
  <pageSetup paperSize="17" scale="89" orientation="landscape" r:id="rId1"/>
  <headerFooter>
    <oddHeader xml:space="preserve">&amp;C&amp;"Arial Black,Regular"&amp;16 2019 SALES REPORT
&amp;12REVENUE BY ARBORIST </oddHeader>
    <oddFooter>&amp;L&amp;Z&amp;F&amp;R&amp;D</oddFooter>
  </headerFooter>
  <rowBreaks count="1" manualBreakCount="1">
    <brk id="34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A0C0-1A4F-49E6-B87D-E79778A87AAE}">
  <sheetPr codeName="Sheet2"/>
  <dimension ref="A3:U66"/>
  <sheetViews>
    <sheetView view="pageBreakPreview" zoomScale="115" zoomScaleNormal="130" zoomScaleSheetLayoutView="115" workbookViewId="0">
      <pane xSplit="2" ySplit="4" topLeftCell="C65" activePane="bottomRight" state="frozen"/>
      <selection pane="topRight" activeCell="C1" sqref="C1"/>
      <selection pane="bottomLeft" activeCell="A5" sqref="A5"/>
      <selection pane="bottomRight" activeCell="S66" sqref="S66"/>
    </sheetView>
  </sheetViews>
  <sheetFormatPr defaultRowHeight="15" x14ac:dyDescent="0.25"/>
  <cols>
    <col min="1" max="2" width="6" bestFit="1" customWidth="1"/>
    <col min="3" max="3" width="7.42578125" bestFit="1" customWidth="1"/>
    <col min="4" max="4" width="13.85546875" style="2" customWidth="1"/>
    <col min="5" max="5" width="8.85546875" style="4" customWidth="1"/>
    <col min="6" max="6" width="8.42578125" style="2" customWidth="1"/>
    <col min="7" max="7" width="13.85546875" style="2" customWidth="1"/>
    <col min="8" max="8" width="8.85546875" style="4" customWidth="1"/>
    <col min="9" max="9" width="8.42578125" style="2" customWidth="1"/>
    <col min="10" max="10" width="13.85546875" style="2" customWidth="1"/>
    <col min="11" max="11" width="8.85546875" style="4" customWidth="1"/>
    <col min="12" max="12" width="8.42578125" style="2" customWidth="1"/>
    <col min="13" max="13" width="14.7109375" style="2" bestFit="1" customWidth="1"/>
    <col min="14" max="14" width="8.85546875" style="4" customWidth="1"/>
    <col min="15" max="15" width="8.42578125" style="2" customWidth="1"/>
    <col min="16" max="16" width="13.85546875" style="2" customWidth="1"/>
    <col min="17" max="17" width="8.85546875" style="4" customWidth="1"/>
    <col min="18" max="18" width="9.140625" style="2" bestFit="1" customWidth="1"/>
    <col min="19" max="19" width="14.7109375" style="2" bestFit="1" customWidth="1"/>
    <col min="20" max="20" width="10.140625" style="4" bestFit="1" customWidth="1"/>
    <col min="21" max="21" width="8.42578125" style="2" customWidth="1"/>
  </cols>
  <sheetData>
    <row r="3" spans="1:21" x14ac:dyDescent="0.25">
      <c r="A3" s="67" t="s">
        <v>15</v>
      </c>
      <c r="B3" s="67" t="s">
        <v>10</v>
      </c>
      <c r="C3" s="67" t="s">
        <v>0</v>
      </c>
      <c r="D3" s="58" t="s">
        <v>34</v>
      </c>
      <c r="E3" s="58"/>
      <c r="F3" s="58"/>
      <c r="G3" s="58" t="s">
        <v>7</v>
      </c>
      <c r="H3" s="58"/>
      <c r="I3" s="58"/>
      <c r="J3" s="58" t="s">
        <v>27</v>
      </c>
      <c r="K3" s="58"/>
      <c r="L3" s="58"/>
      <c r="M3" s="58" t="s">
        <v>4</v>
      </c>
      <c r="N3" s="58"/>
      <c r="O3" s="58"/>
      <c r="P3" s="58" t="s">
        <v>8</v>
      </c>
      <c r="Q3" s="58"/>
      <c r="R3" s="58"/>
      <c r="S3" s="58" t="s">
        <v>9</v>
      </c>
      <c r="T3" s="58"/>
      <c r="U3" s="58"/>
    </row>
    <row r="4" spans="1:21" x14ac:dyDescent="0.25">
      <c r="A4" s="67"/>
      <c r="B4" s="67"/>
      <c r="C4" s="67"/>
      <c r="D4" s="1" t="s">
        <v>1</v>
      </c>
      <c r="E4" s="3" t="s">
        <v>2</v>
      </c>
      <c r="F4" s="1" t="s">
        <v>3</v>
      </c>
      <c r="G4" s="1" t="s">
        <v>1</v>
      </c>
      <c r="H4" s="3" t="s">
        <v>2</v>
      </c>
      <c r="I4" s="1" t="s">
        <v>3</v>
      </c>
      <c r="J4" s="1" t="s">
        <v>1</v>
      </c>
      <c r="K4" s="3" t="s">
        <v>2</v>
      </c>
      <c r="L4" s="1" t="s">
        <v>3</v>
      </c>
      <c r="M4" s="1" t="s">
        <v>1</v>
      </c>
      <c r="N4" s="3" t="s">
        <v>2</v>
      </c>
      <c r="O4" s="1" t="s">
        <v>3</v>
      </c>
      <c r="P4" s="1" t="s">
        <v>1</v>
      </c>
      <c r="Q4" s="3" t="s">
        <v>2</v>
      </c>
      <c r="R4" s="1" t="s">
        <v>3</v>
      </c>
      <c r="S4" s="1" t="s">
        <v>1</v>
      </c>
      <c r="T4" s="3" t="s">
        <v>2</v>
      </c>
      <c r="U4" s="1" t="s">
        <v>3</v>
      </c>
    </row>
    <row r="5" spans="1:21" ht="23.25" customHeight="1" x14ac:dyDescent="0.25">
      <c r="A5" s="59" t="s">
        <v>16</v>
      </c>
      <c r="B5" s="59" t="s">
        <v>11</v>
      </c>
      <c r="C5" s="11">
        <v>43838</v>
      </c>
      <c r="D5" s="14"/>
      <c r="E5" s="17"/>
      <c r="F5" s="14"/>
      <c r="G5" s="13">
        <v>66963</v>
      </c>
      <c r="H5" s="16">
        <v>840</v>
      </c>
      <c r="I5" s="13">
        <f t="shared" ref="I5:I17" si="0">G5/H5</f>
        <v>79.717857142857142</v>
      </c>
      <c r="J5" s="13">
        <v>8590</v>
      </c>
      <c r="K5" s="16">
        <v>75.5</v>
      </c>
      <c r="L5" s="13">
        <f t="shared" ref="L5:L17" si="1">J5/K5</f>
        <v>113.7748344370861</v>
      </c>
      <c r="M5" s="13">
        <v>49397.5</v>
      </c>
      <c r="N5" s="16">
        <v>392</v>
      </c>
      <c r="O5" s="13">
        <f t="shared" ref="O5:O17" si="2">M5/N5</f>
        <v>126.01403061224489</v>
      </c>
      <c r="P5" s="13">
        <v>8165</v>
      </c>
      <c r="Q5" s="16">
        <v>145.80000000000001</v>
      </c>
      <c r="R5" s="13">
        <f t="shared" ref="R5:R10" si="3">P5/Q5</f>
        <v>56.001371742112475</v>
      </c>
      <c r="S5" s="13">
        <f t="shared" ref="S5:T17" si="4">SUM(D5,G5,J5,M5,P5)</f>
        <v>133115.5</v>
      </c>
      <c r="T5" s="16">
        <f t="shared" si="4"/>
        <v>1453.3</v>
      </c>
      <c r="U5" s="13">
        <f t="shared" ref="U5:U17" si="5">S5/T5</f>
        <v>91.5953347553843</v>
      </c>
    </row>
    <row r="6" spans="1:21" ht="23.25" customHeight="1" x14ac:dyDescent="0.25">
      <c r="A6" s="60"/>
      <c r="B6" s="60"/>
      <c r="C6" s="11">
        <v>43845</v>
      </c>
      <c r="D6" s="14"/>
      <c r="E6" s="17"/>
      <c r="F6" s="14"/>
      <c r="G6" s="13">
        <v>55816.75</v>
      </c>
      <c r="H6" s="16">
        <v>620</v>
      </c>
      <c r="I6" s="13">
        <f t="shared" si="0"/>
        <v>90.027016129032262</v>
      </c>
      <c r="J6" s="13">
        <v>56979.25</v>
      </c>
      <c r="K6" s="16">
        <v>682</v>
      </c>
      <c r="L6" s="13">
        <f t="shared" si="1"/>
        <v>83.547287390029325</v>
      </c>
      <c r="M6" s="13">
        <v>229200.28</v>
      </c>
      <c r="N6" s="16">
        <v>2949.3</v>
      </c>
      <c r="O6" s="13">
        <f t="shared" si="2"/>
        <v>77.713450649306608</v>
      </c>
      <c r="P6" s="14"/>
      <c r="Q6" s="17"/>
      <c r="R6" s="14"/>
      <c r="S6" s="13">
        <f t="shared" si="4"/>
        <v>341996.28</v>
      </c>
      <c r="T6" s="16">
        <f t="shared" si="4"/>
        <v>4251.3</v>
      </c>
      <c r="U6" s="13">
        <f t="shared" si="5"/>
        <v>80.44510620280856</v>
      </c>
    </row>
    <row r="7" spans="1:21" ht="23.25" customHeight="1" x14ac:dyDescent="0.25">
      <c r="A7" s="60"/>
      <c r="B7" s="60"/>
      <c r="C7" s="11">
        <v>43852</v>
      </c>
      <c r="D7" s="14"/>
      <c r="E7" s="17"/>
      <c r="F7" s="14"/>
      <c r="G7" s="13">
        <v>14045</v>
      </c>
      <c r="H7" s="16">
        <v>141</v>
      </c>
      <c r="I7" s="13">
        <f t="shared" si="0"/>
        <v>99.60992907801419</v>
      </c>
      <c r="J7" s="13">
        <v>47786.25</v>
      </c>
      <c r="K7" s="16">
        <v>473.3</v>
      </c>
      <c r="L7" s="13">
        <f t="shared" si="1"/>
        <v>100.96397633636171</v>
      </c>
      <c r="M7" s="13">
        <v>191562.5</v>
      </c>
      <c r="N7" s="16">
        <v>2225</v>
      </c>
      <c r="O7" s="13">
        <f t="shared" si="2"/>
        <v>86.095505617977523</v>
      </c>
      <c r="P7" s="14"/>
      <c r="Q7" s="17"/>
      <c r="R7" s="14"/>
      <c r="S7" s="13">
        <f t="shared" si="4"/>
        <v>253393.75</v>
      </c>
      <c r="T7" s="16">
        <f t="shared" si="4"/>
        <v>2839.3</v>
      </c>
      <c r="U7" s="13">
        <f t="shared" si="5"/>
        <v>89.245148452083257</v>
      </c>
    </row>
    <row r="8" spans="1:21" ht="23.25" customHeight="1" x14ac:dyDescent="0.25">
      <c r="A8" s="60"/>
      <c r="B8" s="61"/>
      <c r="C8" s="11">
        <v>43859</v>
      </c>
      <c r="D8" s="14"/>
      <c r="E8" s="17"/>
      <c r="F8" s="14"/>
      <c r="G8" s="13">
        <v>96905.75</v>
      </c>
      <c r="H8" s="16">
        <v>1049.3</v>
      </c>
      <c r="I8" s="13">
        <f t="shared" si="0"/>
        <v>92.352758982178599</v>
      </c>
      <c r="J8" s="13">
        <v>81912.5</v>
      </c>
      <c r="K8" s="16">
        <v>873.8</v>
      </c>
      <c r="L8" s="13">
        <f t="shared" si="1"/>
        <v>93.742847333485926</v>
      </c>
      <c r="M8" s="13">
        <v>39832.5</v>
      </c>
      <c r="N8" s="16">
        <v>480</v>
      </c>
      <c r="O8" s="13">
        <f t="shared" si="2"/>
        <v>82.984375</v>
      </c>
      <c r="P8" s="13">
        <v>2045</v>
      </c>
      <c r="Q8" s="16">
        <v>24</v>
      </c>
      <c r="R8" s="13">
        <f t="shared" si="3"/>
        <v>85.208333333333329</v>
      </c>
      <c r="S8" s="13">
        <f t="shared" si="4"/>
        <v>220695.75</v>
      </c>
      <c r="T8" s="16">
        <f t="shared" si="4"/>
        <v>2427.1</v>
      </c>
      <c r="U8" s="13">
        <f t="shared" si="5"/>
        <v>90.929813357504841</v>
      </c>
    </row>
    <row r="9" spans="1:21" ht="23.25" customHeight="1" x14ac:dyDescent="0.25">
      <c r="A9" s="60"/>
      <c r="B9" s="59" t="s">
        <v>12</v>
      </c>
      <c r="C9" s="11">
        <v>43502</v>
      </c>
      <c r="D9" s="14"/>
      <c r="E9" s="17"/>
      <c r="F9" s="14"/>
      <c r="G9" s="13">
        <v>34708</v>
      </c>
      <c r="H9" s="16">
        <v>418.5</v>
      </c>
      <c r="I9" s="13">
        <f t="shared" si="0"/>
        <v>82.934289127837516</v>
      </c>
      <c r="J9" s="13">
        <v>17960</v>
      </c>
      <c r="K9" s="16">
        <v>196.3</v>
      </c>
      <c r="L9" s="13">
        <f t="shared" si="1"/>
        <v>91.492613346917977</v>
      </c>
      <c r="M9" s="13">
        <v>113608.8</v>
      </c>
      <c r="N9" s="16">
        <v>1197</v>
      </c>
      <c r="O9" s="13">
        <f t="shared" si="2"/>
        <v>94.91127819548872</v>
      </c>
      <c r="P9" s="14"/>
      <c r="Q9" s="17"/>
      <c r="R9" s="14"/>
      <c r="S9" s="13">
        <f t="shared" si="4"/>
        <v>166276.79999999999</v>
      </c>
      <c r="T9" s="16">
        <f t="shared" si="4"/>
        <v>1811.8</v>
      </c>
      <c r="U9" s="13">
        <f t="shared" si="5"/>
        <v>91.774368031791582</v>
      </c>
    </row>
    <row r="10" spans="1:21" ht="23.25" customHeight="1" x14ac:dyDescent="0.25">
      <c r="A10" s="60"/>
      <c r="B10" s="60">
        <v>7</v>
      </c>
      <c r="C10" s="11">
        <v>43509</v>
      </c>
      <c r="D10" s="13">
        <v>1050</v>
      </c>
      <c r="E10" s="16">
        <v>24.5</v>
      </c>
      <c r="F10" s="13">
        <f t="shared" ref="F10:F13" si="6">D10/E10</f>
        <v>42.857142857142854</v>
      </c>
      <c r="G10" s="13">
        <v>84175.25</v>
      </c>
      <c r="H10" s="16">
        <v>943.3</v>
      </c>
      <c r="I10" s="13">
        <f t="shared" si="0"/>
        <v>89.234866956429556</v>
      </c>
      <c r="J10" s="13">
        <v>18070</v>
      </c>
      <c r="K10" s="16">
        <v>185.5</v>
      </c>
      <c r="L10" s="13">
        <f t="shared" si="1"/>
        <v>97.412398921832889</v>
      </c>
      <c r="M10" s="13">
        <v>24369.25</v>
      </c>
      <c r="N10" s="16">
        <v>201.5</v>
      </c>
      <c r="O10" s="13">
        <f t="shared" si="2"/>
        <v>120.93920595533498</v>
      </c>
      <c r="P10" s="13">
        <v>16660</v>
      </c>
      <c r="Q10" s="16">
        <v>152</v>
      </c>
      <c r="R10" s="13">
        <f t="shared" si="3"/>
        <v>109.60526315789474</v>
      </c>
      <c r="S10" s="13">
        <f t="shared" si="4"/>
        <v>144324.5</v>
      </c>
      <c r="T10" s="16">
        <f t="shared" si="4"/>
        <v>1506.8</v>
      </c>
      <c r="U10" s="13">
        <f t="shared" si="5"/>
        <v>95.782121051234412</v>
      </c>
    </row>
    <row r="11" spans="1:21" ht="23.25" customHeight="1" x14ac:dyDescent="0.25">
      <c r="A11" s="60"/>
      <c r="B11" s="60">
        <v>8</v>
      </c>
      <c r="C11" s="11">
        <v>43515</v>
      </c>
      <c r="D11" s="14"/>
      <c r="E11" s="17"/>
      <c r="F11" s="14"/>
      <c r="G11" s="13">
        <v>97037.5</v>
      </c>
      <c r="H11" s="16">
        <v>1124.3</v>
      </c>
      <c r="I11" s="13">
        <f t="shared" si="0"/>
        <v>86.309259094547727</v>
      </c>
      <c r="J11" s="13">
        <v>1590</v>
      </c>
      <c r="K11" s="16">
        <v>17.5</v>
      </c>
      <c r="L11" s="13">
        <f t="shared" si="1"/>
        <v>90.857142857142861</v>
      </c>
      <c r="M11" s="13">
        <v>19021.95</v>
      </c>
      <c r="N11" s="16">
        <v>211.8</v>
      </c>
      <c r="O11" s="13">
        <f t="shared" si="2"/>
        <v>89.81090651558074</v>
      </c>
      <c r="P11" s="14"/>
      <c r="Q11" s="17"/>
      <c r="R11" s="14"/>
      <c r="S11" s="13">
        <f t="shared" si="4"/>
        <v>117649.45</v>
      </c>
      <c r="T11" s="16">
        <f t="shared" si="4"/>
        <v>1353.6</v>
      </c>
      <c r="U11" s="13">
        <f t="shared" si="5"/>
        <v>86.915964834515364</v>
      </c>
    </row>
    <row r="12" spans="1:21" ht="23.25" customHeight="1" x14ac:dyDescent="0.25">
      <c r="A12" s="60"/>
      <c r="B12" s="61">
        <v>9</v>
      </c>
      <c r="C12" s="11">
        <v>43523</v>
      </c>
      <c r="D12" s="13">
        <v>4615</v>
      </c>
      <c r="E12" s="16">
        <v>50.5</v>
      </c>
      <c r="F12" s="13">
        <f t="shared" si="6"/>
        <v>91.386138613861391</v>
      </c>
      <c r="G12" s="13">
        <v>82364.25</v>
      </c>
      <c r="H12" s="16">
        <v>807</v>
      </c>
      <c r="I12" s="13">
        <f t="shared" si="0"/>
        <v>102.06226765799256</v>
      </c>
      <c r="J12" s="13">
        <v>66033.25</v>
      </c>
      <c r="K12" s="16">
        <v>736</v>
      </c>
      <c r="L12" s="13">
        <f t="shared" si="1"/>
        <v>89.719089673913047</v>
      </c>
      <c r="M12" s="13">
        <v>101490.45</v>
      </c>
      <c r="N12" s="16">
        <v>1327.8</v>
      </c>
      <c r="O12" s="13">
        <f t="shared" si="2"/>
        <v>76.43504292815183</v>
      </c>
      <c r="P12" s="14"/>
      <c r="Q12" s="17"/>
      <c r="R12" s="14"/>
      <c r="S12" s="13">
        <f t="shared" si="4"/>
        <v>254502.95</v>
      </c>
      <c r="T12" s="16">
        <f t="shared" si="4"/>
        <v>2921.3</v>
      </c>
      <c r="U12" s="13">
        <f t="shared" si="5"/>
        <v>87.119758326772327</v>
      </c>
    </row>
    <row r="13" spans="1:21" ht="23.25" customHeight="1" x14ac:dyDescent="0.25">
      <c r="A13" s="60"/>
      <c r="B13" s="59" t="s">
        <v>13</v>
      </c>
      <c r="C13" s="11">
        <v>43529</v>
      </c>
      <c r="D13" s="13">
        <v>76483</v>
      </c>
      <c r="E13" s="16">
        <v>770.3</v>
      </c>
      <c r="F13" s="13">
        <f t="shared" si="6"/>
        <v>99.289887056990793</v>
      </c>
      <c r="G13" s="13">
        <v>22665</v>
      </c>
      <c r="H13" s="16">
        <v>219.5</v>
      </c>
      <c r="I13" s="13">
        <f t="shared" si="0"/>
        <v>103.25740318906605</v>
      </c>
      <c r="J13" s="13">
        <v>99227.25</v>
      </c>
      <c r="K13" s="16">
        <v>989.3</v>
      </c>
      <c r="L13" s="13">
        <f t="shared" si="1"/>
        <v>100.30046497523502</v>
      </c>
      <c r="M13" s="13">
        <v>77198.38</v>
      </c>
      <c r="N13" s="16">
        <v>463.8</v>
      </c>
      <c r="O13" s="13">
        <f t="shared" si="2"/>
        <v>166.44756360500216</v>
      </c>
      <c r="P13" s="14"/>
      <c r="Q13" s="17"/>
      <c r="R13" s="14"/>
      <c r="S13" s="13">
        <f t="shared" si="4"/>
        <v>275573.63</v>
      </c>
      <c r="T13" s="16">
        <f t="shared" si="4"/>
        <v>2442.9</v>
      </c>
      <c r="U13" s="13">
        <f t="shared" si="5"/>
        <v>112.80593966187728</v>
      </c>
    </row>
    <row r="14" spans="1:21" ht="23.25" customHeight="1" x14ac:dyDescent="0.25">
      <c r="A14" s="60"/>
      <c r="B14" s="60">
        <v>11</v>
      </c>
      <c r="C14" s="11">
        <v>43536</v>
      </c>
      <c r="D14" s="14"/>
      <c r="E14" s="17"/>
      <c r="F14" s="14"/>
      <c r="G14" s="13">
        <v>41170.25</v>
      </c>
      <c r="H14" s="16">
        <v>446</v>
      </c>
      <c r="I14" s="13">
        <f t="shared" si="0"/>
        <v>92.30997757847534</v>
      </c>
      <c r="J14" s="13">
        <v>44280</v>
      </c>
      <c r="K14" s="16">
        <v>576</v>
      </c>
      <c r="L14" s="13">
        <f t="shared" si="1"/>
        <v>76.875</v>
      </c>
      <c r="M14" s="13">
        <v>78765.2</v>
      </c>
      <c r="N14" s="16">
        <v>926.5</v>
      </c>
      <c r="O14" s="13">
        <f t="shared" si="2"/>
        <v>85.01370750134916</v>
      </c>
      <c r="P14" s="14"/>
      <c r="Q14" s="17"/>
      <c r="R14" s="14"/>
      <c r="S14" s="13">
        <f t="shared" si="4"/>
        <v>164215.45000000001</v>
      </c>
      <c r="T14" s="16">
        <f t="shared" si="4"/>
        <v>1948.5</v>
      </c>
      <c r="U14" s="13">
        <f t="shared" si="5"/>
        <v>84.277880420836553</v>
      </c>
    </row>
    <row r="15" spans="1:21" ht="23.25" customHeight="1" x14ac:dyDescent="0.25">
      <c r="A15" s="60"/>
      <c r="B15" s="60">
        <v>12</v>
      </c>
      <c r="C15" s="11">
        <v>43543</v>
      </c>
      <c r="D15" s="14"/>
      <c r="E15" s="17"/>
      <c r="F15" s="14"/>
      <c r="G15" s="13">
        <v>13285</v>
      </c>
      <c r="H15" s="16">
        <v>122</v>
      </c>
      <c r="I15" s="13">
        <f t="shared" si="0"/>
        <v>108.89344262295081</v>
      </c>
      <c r="J15" s="13">
        <v>8200</v>
      </c>
      <c r="K15" s="16">
        <v>78.5</v>
      </c>
      <c r="L15" s="13">
        <f t="shared" si="1"/>
        <v>104.45859872611464</v>
      </c>
      <c r="M15" s="13">
        <v>158441.41</v>
      </c>
      <c r="N15" s="16">
        <v>1659</v>
      </c>
      <c r="O15" s="13">
        <f t="shared" si="2"/>
        <v>95.504165159734782</v>
      </c>
      <c r="P15" s="14"/>
      <c r="Q15" s="17"/>
      <c r="R15" s="14"/>
      <c r="S15" s="13">
        <f t="shared" si="4"/>
        <v>179926.41</v>
      </c>
      <c r="T15" s="16">
        <f t="shared" si="4"/>
        <v>1859.5</v>
      </c>
      <c r="U15" s="13">
        <f t="shared" si="5"/>
        <v>96.760639956977684</v>
      </c>
    </row>
    <row r="16" spans="1:21" ht="23.25" customHeight="1" x14ac:dyDescent="0.25">
      <c r="A16" s="60"/>
      <c r="B16" s="60">
        <v>13</v>
      </c>
      <c r="C16" s="11">
        <v>43550</v>
      </c>
      <c r="D16" s="14"/>
      <c r="E16" s="17"/>
      <c r="F16" s="14"/>
      <c r="G16" s="13">
        <v>23041.25</v>
      </c>
      <c r="H16" s="16">
        <v>269</v>
      </c>
      <c r="I16" s="13">
        <f t="shared" si="0"/>
        <v>85.655204460966544</v>
      </c>
      <c r="J16" s="13">
        <v>4487.5</v>
      </c>
      <c r="K16" s="16">
        <v>40.75</v>
      </c>
      <c r="L16" s="13">
        <f t="shared" si="1"/>
        <v>110.12269938650307</v>
      </c>
      <c r="M16" s="13">
        <v>180104.74</v>
      </c>
      <c r="N16" s="16">
        <v>2101.8960000000002</v>
      </c>
      <c r="O16" s="13">
        <f t="shared" si="2"/>
        <v>85.686798966266636</v>
      </c>
      <c r="P16" s="14"/>
      <c r="Q16" s="17"/>
      <c r="R16" s="14"/>
      <c r="S16" s="13">
        <f t="shared" si="4"/>
        <v>207633.49</v>
      </c>
      <c r="T16" s="16">
        <f t="shared" si="4"/>
        <v>2411.6460000000002</v>
      </c>
      <c r="U16" s="13">
        <f t="shared" si="5"/>
        <v>86.096172489660574</v>
      </c>
    </row>
    <row r="17" spans="1:21" ht="23.25" customHeight="1" x14ac:dyDescent="0.25">
      <c r="A17" s="61"/>
      <c r="B17" s="60"/>
      <c r="C17" s="12">
        <v>43557</v>
      </c>
      <c r="D17" s="19"/>
      <c r="E17" s="20"/>
      <c r="F17" s="19"/>
      <c r="G17" s="15">
        <v>36050.25</v>
      </c>
      <c r="H17" s="18">
        <v>357</v>
      </c>
      <c r="I17" s="15">
        <f t="shared" si="0"/>
        <v>100.98109243697479</v>
      </c>
      <c r="J17" s="15">
        <v>675</v>
      </c>
      <c r="K17" s="18">
        <v>4.5</v>
      </c>
      <c r="L17" s="15">
        <f t="shared" si="1"/>
        <v>150</v>
      </c>
      <c r="M17" s="15">
        <v>6095</v>
      </c>
      <c r="N17" s="18">
        <v>55.5</v>
      </c>
      <c r="O17" s="15">
        <f t="shared" si="2"/>
        <v>109.81981981981981</v>
      </c>
      <c r="P17" s="19"/>
      <c r="Q17" s="20"/>
      <c r="R17" s="19"/>
      <c r="S17" s="15">
        <f t="shared" si="4"/>
        <v>42820.25</v>
      </c>
      <c r="T17" s="18">
        <f t="shared" si="4"/>
        <v>417</v>
      </c>
      <c r="U17" s="15">
        <f t="shared" si="5"/>
        <v>102.68645083932854</v>
      </c>
    </row>
    <row r="18" spans="1:21" ht="39" customHeight="1" x14ac:dyDescent="0.25">
      <c r="A18" s="64" t="s">
        <v>20</v>
      </c>
      <c r="B18" s="64"/>
      <c r="C18" s="64"/>
      <c r="D18" s="21">
        <f>SUM(D5:D17)</f>
        <v>82148</v>
      </c>
      <c r="E18" s="22">
        <f>SUM(E5:E17)</f>
        <v>845.3</v>
      </c>
      <c r="F18" s="21">
        <f>D18/E18</f>
        <v>97.182065538861949</v>
      </c>
      <c r="G18" s="21">
        <f>SUM(G5:G17)</f>
        <v>668227.25</v>
      </c>
      <c r="H18" s="22">
        <f>SUM(H5:H17)</f>
        <v>7356.9000000000005</v>
      </c>
      <c r="I18" s="21">
        <f>G18/H18</f>
        <v>90.830003126316782</v>
      </c>
      <c r="J18" s="21">
        <f>SUM(J5:J17)</f>
        <v>455791</v>
      </c>
      <c r="K18" s="22">
        <f>SUM(K5:K17)</f>
        <v>4928.95</v>
      </c>
      <c r="L18" s="21">
        <f>J18/K18</f>
        <v>92.472230393897277</v>
      </c>
      <c r="M18" s="21">
        <f>SUM(M5:M17)</f>
        <v>1269087.96</v>
      </c>
      <c r="N18" s="22">
        <f>SUM(N5:N17)</f>
        <v>14191.096</v>
      </c>
      <c r="O18" s="21">
        <f>M18/N18</f>
        <v>89.428466976757818</v>
      </c>
      <c r="P18" s="21">
        <f>SUM(P5:P17)</f>
        <v>26870</v>
      </c>
      <c r="Q18" s="22">
        <f>SUM(Q5:Q17)</f>
        <v>321.8</v>
      </c>
      <c r="R18" s="21">
        <f>P18/Q18</f>
        <v>83.49906774394033</v>
      </c>
      <c r="S18" s="21">
        <f>SUM(S5:S17)</f>
        <v>2502124.21</v>
      </c>
      <c r="T18" s="22">
        <f>SUM(T5:T17)</f>
        <v>27644.046000000002</v>
      </c>
      <c r="U18" s="21">
        <f>S18/T18</f>
        <v>90.512228564516192</v>
      </c>
    </row>
    <row r="19" spans="1:21" x14ac:dyDescent="0.25">
      <c r="A19" s="67" t="s">
        <v>15</v>
      </c>
      <c r="B19" s="67" t="s">
        <v>10</v>
      </c>
      <c r="C19" s="67" t="s">
        <v>0</v>
      </c>
      <c r="D19" s="58" t="s">
        <v>34</v>
      </c>
      <c r="E19" s="58"/>
      <c r="F19" s="58"/>
      <c r="G19" s="58" t="s">
        <v>7</v>
      </c>
      <c r="H19" s="58"/>
      <c r="I19" s="58"/>
      <c r="J19" s="58" t="s">
        <v>27</v>
      </c>
      <c r="K19" s="58"/>
      <c r="L19" s="58"/>
      <c r="M19" s="58" t="s">
        <v>4</v>
      </c>
      <c r="N19" s="58"/>
      <c r="O19" s="58"/>
      <c r="P19" s="58" t="s">
        <v>8</v>
      </c>
      <c r="Q19" s="58"/>
      <c r="R19" s="58"/>
      <c r="S19" s="58" t="s">
        <v>9</v>
      </c>
      <c r="T19" s="58"/>
      <c r="U19" s="58"/>
    </row>
    <row r="20" spans="1:21" x14ac:dyDescent="0.25">
      <c r="A20" s="67"/>
      <c r="B20" s="67"/>
      <c r="C20" s="67"/>
      <c r="D20" s="1" t="s">
        <v>1</v>
      </c>
      <c r="E20" s="3" t="s">
        <v>2</v>
      </c>
      <c r="F20" s="1" t="s">
        <v>3</v>
      </c>
      <c r="G20" s="1" t="s">
        <v>1</v>
      </c>
      <c r="H20" s="3" t="s">
        <v>2</v>
      </c>
      <c r="I20" s="1" t="s">
        <v>3</v>
      </c>
      <c r="J20" s="1" t="s">
        <v>1</v>
      </c>
      <c r="K20" s="3" t="s">
        <v>2</v>
      </c>
      <c r="L20" s="1" t="s">
        <v>3</v>
      </c>
      <c r="M20" s="1" t="s">
        <v>1</v>
      </c>
      <c r="N20" s="3" t="s">
        <v>2</v>
      </c>
      <c r="O20" s="1" t="s">
        <v>3</v>
      </c>
      <c r="P20" s="1" t="s">
        <v>1</v>
      </c>
      <c r="Q20" s="3" t="s">
        <v>2</v>
      </c>
      <c r="R20" s="1" t="s">
        <v>3</v>
      </c>
      <c r="S20" s="1" t="s">
        <v>1</v>
      </c>
      <c r="T20" s="3" t="s">
        <v>2</v>
      </c>
      <c r="U20" s="1" t="s">
        <v>3</v>
      </c>
    </row>
    <row r="21" spans="1:21" ht="23.25" customHeight="1" x14ac:dyDescent="0.25">
      <c r="A21" s="59" t="s">
        <v>19</v>
      </c>
      <c r="B21" s="62" t="s">
        <v>14</v>
      </c>
      <c r="C21" s="11">
        <v>43564</v>
      </c>
      <c r="D21" s="5"/>
      <c r="E21" s="6"/>
      <c r="F21" s="5"/>
      <c r="G21" s="7">
        <v>1470</v>
      </c>
      <c r="H21" s="8">
        <v>12</v>
      </c>
      <c r="I21" s="7">
        <f t="shared" ref="I21:I33" si="7">G21/H21</f>
        <v>122.5</v>
      </c>
      <c r="J21" s="7">
        <v>1125</v>
      </c>
      <c r="K21" s="8">
        <v>7.5</v>
      </c>
      <c r="L21" s="7">
        <f t="shared" ref="L21:L33" si="8">J21/K21</f>
        <v>150</v>
      </c>
      <c r="M21" s="7">
        <v>8205</v>
      </c>
      <c r="N21" s="8">
        <v>28.5</v>
      </c>
      <c r="O21" s="7">
        <f t="shared" ref="O21:O33" si="9">M21/N21</f>
        <v>287.89473684210526</v>
      </c>
      <c r="P21" s="5"/>
      <c r="Q21" s="6"/>
      <c r="R21" s="5"/>
      <c r="S21" s="7">
        <f t="shared" ref="S21:T33" si="10">SUM(D21,G21,J21,M21,P21)</f>
        <v>10800</v>
      </c>
      <c r="T21" s="8">
        <f t="shared" si="10"/>
        <v>48</v>
      </c>
      <c r="U21" s="7">
        <f t="shared" ref="U21:U33" si="11">S21/T21</f>
        <v>225</v>
      </c>
    </row>
    <row r="22" spans="1:21" ht="23.25" customHeight="1" x14ac:dyDescent="0.25">
      <c r="A22" s="60"/>
      <c r="B22" s="62"/>
      <c r="C22" s="11">
        <v>43571</v>
      </c>
      <c r="D22" s="5"/>
      <c r="E22" s="6"/>
      <c r="F22" s="5"/>
      <c r="G22" s="5"/>
      <c r="H22" s="6"/>
      <c r="I22" s="5"/>
      <c r="J22" s="7">
        <v>1300</v>
      </c>
      <c r="K22" s="8">
        <v>4</v>
      </c>
      <c r="L22" s="7">
        <f t="shared" si="8"/>
        <v>325</v>
      </c>
      <c r="M22" s="7">
        <v>8635</v>
      </c>
      <c r="N22" s="8">
        <v>96</v>
      </c>
      <c r="O22" s="7">
        <f t="shared" si="9"/>
        <v>89.947916666666671</v>
      </c>
      <c r="P22" s="5"/>
      <c r="Q22" s="6"/>
      <c r="R22" s="5"/>
      <c r="S22" s="7">
        <f t="shared" si="10"/>
        <v>9935</v>
      </c>
      <c r="T22" s="8">
        <f t="shared" si="10"/>
        <v>100</v>
      </c>
      <c r="U22" s="7">
        <f t="shared" si="11"/>
        <v>99.35</v>
      </c>
    </row>
    <row r="23" spans="1:21" ht="23.25" customHeight="1" x14ac:dyDescent="0.25">
      <c r="A23" s="60"/>
      <c r="B23" s="62"/>
      <c r="C23" s="11">
        <v>43578</v>
      </c>
      <c r="D23" s="5"/>
      <c r="E23" s="6"/>
      <c r="F23" s="5"/>
      <c r="G23" s="7">
        <v>8031.25</v>
      </c>
      <c r="H23" s="8">
        <v>82.5</v>
      </c>
      <c r="I23" s="7">
        <f t="shared" si="7"/>
        <v>97.348484848484844</v>
      </c>
      <c r="J23" s="7">
        <v>8745</v>
      </c>
      <c r="K23" s="8">
        <v>56</v>
      </c>
      <c r="L23" s="7">
        <f t="shared" si="8"/>
        <v>156.16071428571428</v>
      </c>
      <c r="M23" s="7">
        <v>39675</v>
      </c>
      <c r="N23" s="8">
        <v>202.5</v>
      </c>
      <c r="O23" s="7">
        <f t="shared" si="9"/>
        <v>195.92592592592592</v>
      </c>
      <c r="P23" s="5"/>
      <c r="Q23" s="6"/>
      <c r="R23" s="5"/>
      <c r="S23" s="7">
        <f t="shared" si="10"/>
        <v>56451.25</v>
      </c>
      <c r="T23" s="8">
        <f t="shared" si="10"/>
        <v>341</v>
      </c>
      <c r="U23" s="7">
        <f t="shared" si="11"/>
        <v>165.54618768328444</v>
      </c>
    </row>
    <row r="24" spans="1:21" ht="23.25" customHeight="1" x14ac:dyDescent="0.25">
      <c r="A24" s="60"/>
      <c r="B24" s="62"/>
      <c r="C24" s="11">
        <v>43585</v>
      </c>
      <c r="D24" s="5"/>
      <c r="E24" s="6"/>
      <c r="F24" s="5"/>
      <c r="G24" s="7">
        <v>9720</v>
      </c>
      <c r="H24" s="8">
        <v>192</v>
      </c>
      <c r="I24" s="7">
        <f t="shared" si="7"/>
        <v>50.625</v>
      </c>
      <c r="J24" s="5"/>
      <c r="K24" s="6"/>
      <c r="L24" s="5"/>
      <c r="M24" s="7">
        <v>32125</v>
      </c>
      <c r="N24" s="8">
        <v>310</v>
      </c>
      <c r="O24" s="7">
        <f t="shared" si="9"/>
        <v>103.62903225806451</v>
      </c>
      <c r="P24" s="5"/>
      <c r="Q24" s="6"/>
      <c r="R24" s="5"/>
      <c r="S24" s="7">
        <f t="shared" si="10"/>
        <v>41845</v>
      </c>
      <c r="T24" s="8">
        <f t="shared" si="10"/>
        <v>502</v>
      </c>
      <c r="U24" s="7">
        <f t="shared" si="11"/>
        <v>83.356573705179287</v>
      </c>
    </row>
    <row r="25" spans="1:21" ht="23.25" customHeight="1" x14ac:dyDescent="0.25">
      <c r="A25" s="60"/>
      <c r="B25" s="62" t="s">
        <v>17</v>
      </c>
      <c r="C25" s="11">
        <v>43592</v>
      </c>
      <c r="D25" s="5"/>
      <c r="E25" s="6"/>
      <c r="F25" s="5"/>
      <c r="G25" s="7">
        <v>3311</v>
      </c>
      <c r="H25" s="8">
        <v>28.5</v>
      </c>
      <c r="I25" s="7">
        <f t="shared" si="7"/>
        <v>116.17543859649123</v>
      </c>
      <c r="J25" s="7">
        <v>18420</v>
      </c>
      <c r="K25" s="8">
        <v>214.5</v>
      </c>
      <c r="L25" s="7">
        <f t="shared" si="8"/>
        <v>85.87412587412588</v>
      </c>
      <c r="M25" s="7">
        <v>125287.5</v>
      </c>
      <c r="N25" s="8">
        <v>1523.8</v>
      </c>
      <c r="O25" s="7">
        <f t="shared" si="9"/>
        <v>82.220435752723461</v>
      </c>
      <c r="P25" s="5"/>
      <c r="Q25" s="6"/>
      <c r="R25" s="5"/>
      <c r="S25" s="7">
        <f t="shared" si="10"/>
        <v>147018.5</v>
      </c>
      <c r="T25" s="8">
        <f t="shared" si="10"/>
        <v>1766.8</v>
      </c>
      <c r="U25" s="7">
        <f t="shared" si="11"/>
        <v>83.211738736699118</v>
      </c>
    </row>
    <row r="26" spans="1:21" ht="23.25" customHeight="1" x14ac:dyDescent="0.25">
      <c r="A26" s="60"/>
      <c r="B26" s="62">
        <v>7</v>
      </c>
      <c r="C26" s="11">
        <v>43599</v>
      </c>
      <c r="D26" s="5"/>
      <c r="E26" s="6"/>
      <c r="F26" s="5"/>
      <c r="G26" s="7">
        <v>92260</v>
      </c>
      <c r="H26" s="8">
        <v>1043</v>
      </c>
      <c r="I26" s="7">
        <f t="shared" si="7"/>
        <v>88.456375838926178</v>
      </c>
      <c r="J26" s="7">
        <v>29914</v>
      </c>
      <c r="K26" s="8">
        <v>366.5</v>
      </c>
      <c r="L26" s="7">
        <f t="shared" si="8"/>
        <v>81.620736698499314</v>
      </c>
      <c r="M26" s="7">
        <v>15445</v>
      </c>
      <c r="N26" s="8">
        <v>172</v>
      </c>
      <c r="O26" s="7">
        <f t="shared" si="9"/>
        <v>89.79651162790698</v>
      </c>
      <c r="P26" s="5"/>
      <c r="Q26" s="6"/>
      <c r="R26" s="5"/>
      <c r="S26" s="7">
        <f t="shared" si="10"/>
        <v>137619</v>
      </c>
      <c r="T26" s="8">
        <f t="shared" si="10"/>
        <v>1581.5</v>
      </c>
      <c r="U26" s="7">
        <f t="shared" si="11"/>
        <v>87.018020866266198</v>
      </c>
    </row>
    <row r="27" spans="1:21" ht="23.25" customHeight="1" x14ac:dyDescent="0.25">
      <c r="A27" s="60"/>
      <c r="B27" s="62">
        <v>8</v>
      </c>
      <c r="C27" s="11">
        <v>43606</v>
      </c>
      <c r="D27" s="5"/>
      <c r="E27" s="6"/>
      <c r="F27" s="5"/>
      <c r="G27" s="7">
        <v>136427</v>
      </c>
      <c r="H27" s="8">
        <v>1668.5</v>
      </c>
      <c r="I27" s="7">
        <f t="shared" si="7"/>
        <v>81.766257117171108</v>
      </c>
      <c r="J27" s="7">
        <v>1295</v>
      </c>
      <c r="K27" s="8">
        <v>18</v>
      </c>
      <c r="L27" s="7">
        <f t="shared" si="8"/>
        <v>71.944444444444443</v>
      </c>
      <c r="M27" s="7">
        <v>144319.09</v>
      </c>
      <c r="N27" s="8">
        <v>1692.5</v>
      </c>
      <c r="O27" s="7">
        <f t="shared" si="9"/>
        <v>85.269772525849334</v>
      </c>
      <c r="P27" s="5"/>
      <c r="Q27" s="6"/>
      <c r="R27" s="5"/>
      <c r="S27" s="7">
        <f t="shared" si="10"/>
        <v>282041.08999999997</v>
      </c>
      <c r="T27" s="8">
        <f t="shared" si="10"/>
        <v>3379</v>
      </c>
      <c r="U27" s="7">
        <f t="shared" si="11"/>
        <v>83.468804379994069</v>
      </c>
    </row>
    <row r="28" spans="1:21" ht="23.25" customHeight="1" x14ac:dyDescent="0.25">
      <c r="A28" s="60"/>
      <c r="B28" s="62">
        <v>9</v>
      </c>
      <c r="C28" s="11">
        <v>43613</v>
      </c>
      <c r="D28" s="5"/>
      <c r="E28" s="6"/>
      <c r="F28" s="5"/>
      <c r="G28" s="7">
        <v>95606.25</v>
      </c>
      <c r="H28" s="8">
        <v>1130.5</v>
      </c>
      <c r="I28" s="7">
        <f t="shared" si="7"/>
        <v>84.569880583812477</v>
      </c>
      <c r="J28" s="7">
        <v>56570.25</v>
      </c>
      <c r="K28" s="8">
        <v>631</v>
      </c>
      <c r="L28" s="7">
        <f t="shared" si="8"/>
        <v>89.651743264659274</v>
      </c>
      <c r="M28" s="7">
        <v>30624.25</v>
      </c>
      <c r="N28" s="8">
        <v>356.8</v>
      </c>
      <c r="O28" s="7">
        <f t="shared" si="9"/>
        <v>85.830297085201792</v>
      </c>
      <c r="P28" s="5"/>
      <c r="Q28" s="6"/>
      <c r="R28" s="5"/>
      <c r="S28" s="7">
        <f t="shared" si="10"/>
        <v>182800.75</v>
      </c>
      <c r="T28" s="8">
        <f t="shared" si="10"/>
        <v>2118.3000000000002</v>
      </c>
      <c r="U28" s="7">
        <f t="shared" si="11"/>
        <v>86.295968465278747</v>
      </c>
    </row>
    <row r="29" spans="1:21" ht="23.25" customHeight="1" x14ac:dyDescent="0.25">
      <c r="A29" s="60"/>
      <c r="B29" s="59" t="s">
        <v>18</v>
      </c>
      <c r="C29" s="11">
        <v>43620</v>
      </c>
      <c r="D29" s="7">
        <v>2350</v>
      </c>
      <c r="E29" s="8">
        <v>45</v>
      </c>
      <c r="F29" s="7">
        <f t="shared" ref="F29" si="12">D29/E29</f>
        <v>52.222222222222221</v>
      </c>
      <c r="G29" s="7">
        <v>13755</v>
      </c>
      <c r="H29" s="8">
        <v>189.3</v>
      </c>
      <c r="I29" s="7">
        <f t="shared" si="7"/>
        <v>72.662440570522975</v>
      </c>
      <c r="J29" s="7">
        <v>13360</v>
      </c>
      <c r="K29" s="8">
        <v>144</v>
      </c>
      <c r="L29" s="7">
        <f t="shared" si="8"/>
        <v>92.777777777777771</v>
      </c>
      <c r="M29" s="7">
        <v>139337.25</v>
      </c>
      <c r="N29" s="8">
        <v>1861.5</v>
      </c>
      <c r="O29" s="7">
        <f t="shared" si="9"/>
        <v>74.852135374697824</v>
      </c>
      <c r="P29" s="5"/>
      <c r="Q29" s="6"/>
      <c r="R29" s="5"/>
      <c r="S29" s="7">
        <f t="shared" si="10"/>
        <v>168802.25</v>
      </c>
      <c r="T29" s="8">
        <f t="shared" si="10"/>
        <v>2239.8000000000002</v>
      </c>
      <c r="U29" s="7">
        <f t="shared" si="11"/>
        <v>75.364876328243582</v>
      </c>
    </row>
    <row r="30" spans="1:21" ht="23.25" customHeight="1" x14ac:dyDescent="0.25">
      <c r="A30" s="60"/>
      <c r="B30" s="60">
        <v>11</v>
      </c>
      <c r="C30" s="11">
        <v>43627</v>
      </c>
      <c r="D30" s="5"/>
      <c r="E30" s="6"/>
      <c r="F30" s="5"/>
      <c r="G30" s="7">
        <v>136447.25</v>
      </c>
      <c r="H30" s="8">
        <v>1557.8</v>
      </c>
      <c r="I30" s="7">
        <f t="shared" si="7"/>
        <v>87.589709847220448</v>
      </c>
      <c r="J30" s="7">
        <v>75917.25</v>
      </c>
      <c r="K30" s="8">
        <v>869</v>
      </c>
      <c r="L30" s="7">
        <f t="shared" si="8"/>
        <v>87.361622554660528</v>
      </c>
      <c r="M30" s="7">
        <v>168988.25</v>
      </c>
      <c r="N30" s="8">
        <v>1742.3</v>
      </c>
      <c r="O30" s="7">
        <f t="shared" si="9"/>
        <v>96.991476783561964</v>
      </c>
      <c r="P30" s="5"/>
      <c r="Q30" s="6"/>
      <c r="R30" s="5"/>
      <c r="S30" s="7">
        <f t="shared" si="10"/>
        <v>381352.75</v>
      </c>
      <c r="T30" s="8">
        <f t="shared" si="10"/>
        <v>4169.1000000000004</v>
      </c>
      <c r="U30" s="7">
        <f t="shared" si="11"/>
        <v>91.471240795375493</v>
      </c>
    </row>
    <row r="31" spans="1:21" ht="23.25" customHeight="1" x14ac:dyDescent="0.25">
      <c r="A31" s="60"/>
      <c r="B31" s="60">
        <v>12</v>
      </c>
      <c r="C31" s="11">
        <v>43634</v>
      </c>
      <c r="D31" s="5"/>
      <c r="E31" s="6"/>
      <c r="F31" s="5"/>
      <c r="G31" s="7">
        <v>155475.5</v>
      </c>
      <c r="H31" s="8">
        <v>1839.8</v>
      </c>
      <c r="I31" s="7">
        <f t="shared" si="7"/>
        <v>84.506739863028585</v>
      </c>
      <c r="J31" s="7">
        <v>30235</v>
      </c>
      <c r="K31" s="8">
        <v>363.3</v>
      </c>
      <c r="L31" s="7">
        <f t="shared" si="8"/>
        <v>83.223231489127443</v>
      </c>
      <c r="M31" s="7">
        <v>39836.25</v>
      </c>
      <c r="N31" s="8">
        <v>456.5</v>
      </c>
      <c r="O31" s="7">
        <f t="shared" si="9"/>
        <v>87.2645125958379</v>
      </c>
      <c r="P31" s="5"/>
      <c r="Q31" s="6"/>
      <c r="R31" s="5"/>
      <c r="S31" s="7">
        <f>SUM(D31,G31,J31,M31,P31)</f>
        <v>225546.75</v>
      </c>
      <c r="T31" s="8">
        <f>SUM(E31,H31,K31,N31,Q31)</f>
        <v>2659.6</v>
      </c>
      <c r="U31" s="7">
        <f t="shared" si="11"/>
        <v>84.804763874266811</v>
      </c>
    </row>
    <row r="32" spans="1:21" ht="23.25" customHeight="1" x14ac:dyDescent="0.25">
      <c r="A32" s="60"/>
      <c r="B32" s="60">
        <v>13</v>
      </c>
      <c r="C32" s="11">
        <v>43641</v>
      </c>
      <c r="D32" s="5"/>
      <c r="E32" s="6"/>
      <c r="F32" s="5"/>
      <c r="G32" s="7">
        <v>119030.25</v>
      </c>
      <c r="H32" s="8">
        <v>1370.8</v>
      </c>
      <c r="I32" s="7">
        <f t="shared" si="7"/>
        <v>86.832688940764527</v>
      </c>
      <c r="J32" s="7">
        <v>43292.5</v>
      </c>
      <c r="K32" s="8">
        <v>510.3</v>
      </c>
      <c r="L32" s="7">
        <f t="shared" si="8"/>
        <v>84.837350578091318</v>
      </c>
      <c r="M32" s="7">
        <v>111730.26</v>
      </c>
      <c r="N32" s="8">
        <v>1581.5</v>
      </c>
      <c r="O32" s="7">
        <f t="shared" si="9"/>
        <v>70.648283275371483</v>
      </c>
      <c r="P32" s="5"/>
      <c r="Q32" s="6"/>
      <c r="R32" s="5"/>
      <c r="S32" s="7">
        <f t="shared" si="10"/>
        <v>274053.01</v>
      </c>
      <c r="T32" s="8">
        <f t="shared" si="10"/>
        <v>3462.6</v>
      </c>
      <c r="U32" s="7">
        <f t="shared" si="11"/>
        <v>79.146597932189692</v>
      </c>
    </row>
    <row r="33" spans="1:21" ht="23.25" customHeight="1" x14ac:dyDescent="0.25">
      <c r="A33" s="61"/>
      <c r="B33" s="61"/>
      <c r="C33" s="11">
        <v>43648</v>
      </c>
      <c r="D33" s="5"/>
      <c r="E33" s="6"/>
      <c r="F33" s="5"/>
      <c r="G33" s="7">
        <v>56977.25</v>
      </c>
      <c r="H33" s="8">
        <v>695.8</v>
      </c>
      <c r="I33" s="7">
        <f t="shared" si="7"/>
        <v>81.887395803391783</v>
      </c>
      <c r="J33" s="7">
        <v>35523.5</v>
      </c>
      <c r="K33" s="8">
        <v>374.5</v>
      </c>
      <c r="L33" s="7">
        <f t="shared" si="8"/>
        <v>94.855807743658204</v>
      </c>
      <c r="M33" s="7">
        <v>117954.3</v>
      </c>
      <c r="N33" s="8">
        <v>1415.5</v>
      </c>
      <c r="O33" s="7">
        <f t="shared" si="9"/>
        <v>83.330483927940662</v>
      </c>
      <c r="P33" s="5"/>
      <c r="Q33" s="6"/>
      <c r="R33" s="5"/>
      <c r="S33" s="7">
        <f t="shared" si="10"/>
        <v>210455.05</v>
      </c>
      <c r="T33" s="8">
        <f t="shared" si="10"/>
        <v>2485.8000000000002</v>
      </c>
      <c r="U33" s="7">
        <f t="shared" si="11"/>
        <v>84.662905302116002</v>
      </c>
    </row>
    <row r="34" spans="1:21" ht="39" customHeight="1" x14ac:dyDescent="0.25">
      <c r="A34" s="64" t="s">
        <v>21</v>
      </c>
      <c r="B34" s="64"/>
      <c r="C34" s="64"/>
      <c r="D34" s="21">
        <f>SUM(D21:D33)</f>
        <v>2350</v>
      </c>
      <c r="E34" s="22">
        <f>SUM(E21:E33)</f>
        <v>45</v>
      </c>
      <c r="F34" s="21">
        <f>D34/E34</f>
        <v>52.222222222222221</v>
      </c>
      <c r="G34" s="21">
        <f t="shared" ref="G34:H34" si="13">SUM(G21:G33)</f>
        <v>828510.75</v>
      </c>
      <c r="H34" s="22">
        <f t="shared" si="13"/>
        <v>9810.5</v>
      </c>
      <c r="I34" s="21">
        <f>G34/H34</f>
        <v>84.45142959074461</v>
      </c>
      <c r="J34" s="21">
        <f t="shared" ref="J34:K34" si="14">SUM(J21:J33)</f>
        <v>315697.5</v>
      </c>
      <c r="K34" s="22">
        <f t="shared" si="14"/>
        <v>3558.6000000000004</v>
      </c>
      <c r="L34" s="21">
        <f>J34/K34</f>
        <v>88.713960546282237</v>
      </c>
      <c r="M34" s="21">
        <f t="shared" ref="M34" si="15">SUM(M21:M33)</f>
        <v>982162.15</v>
      </c>
      <c r="N34" s="22">
        <f>SUM(N21:N33)</f>
        <v>11439.400000000001</v>
      </c>
      <c r="O34" s="21">
        <f>M34/N34</f>
        <v>85.857837823662067</v>
      </c>
      <c r="P34" s="21">
        <f t="shared" ref="P34:Q34" si="16">SUM(P21:P33)</f>
        <v>0</v>
      </c>
      <c r="Q34" s="22">
        <f t="shared" si="16"/>
        <v>0</v>
      </c>
      <c r="R34" s="21" t="e">
        <f>P34/Q34</f>
        <v>#DIV/0!</v>
      </c>
      <c r="S34" s="21">
        <f t="shared" ref="S34:T34" si="17">SUM(S21:S33)</f>
        <v>2128720.4</v>
      </c>
      <c r="T34" s="22">
        <f t="shared" si="17"/>
        <v>24853.5</v>
      </c>
      <c r="U34" s="21">
        <f>S34/T34</f>
        <v>85.650729273542964</v>
      </c>
    </row>
    <row r="35" spans="1:21" x14ac:dyDescent="0.25">
      <c r="A35" s="67" t="s">
        <v>15</v>
      </c>
      <c r="B35" s="67" t="s">
        <v>10</v>
      </c>
      <c r="C35" s="67" t="s">
        <v>0</v>
      </c>
      <c r="D35" s="58" t="s">
        <v>34</v>
      </c>
      <c r="E35" s="58"/>
      <c r="F35" s="58"/>
      <c r="G35" s="58" t="s">
        <v>7</v>
      </c>
      <c r="H35" s="58"/>
      <c r="I35" s="58"/>
      <c r="J35" s="58" t="s">
        <v>27</v>
      </c>
      <c r="K35" s="58"/>
      <c r="L35" s="58"/>
      <c r="M35" s="58" t="s">
        <v>4</v>
      </c>
      <c r="N35" s="58"/>
      <c r="O35" s="58"/>
      <c r="P35" s="58" t="s">
        <v>8</v>
      </c>
      <c r="Q35" s="58"/>
      <c r="R35" s="58"/>
      <c r="S35" s="58" t="s">
        <v>9</v>
      </c>
      <c r="T35" s="58"/>
      <c r="U35" s="58"/>
    </row>
    <row r="36" spans="1:21" x14ac:dyDescent="0.25">
      <c r="A36" s="67"/>
      <c r="B36" s="67"/>
      <c r="C36" s="67"/>
      <c r="D36" s="1" t="s">
        <v>1</v>
      </c>
      <c r="E36" s="3" t="s">
        <v>2</v>
      </c>
      <c r="F36" s="1" t="s">
        <v>3</v>
      </c>
      <c r="G36" s="1" t="s">
        <v>1</v>
      </c>
      <c r="H36" s="3" t="s">
        <v>2</v>
      </c>
      <c r="I36" s="1" t="s">
        <v>3</v>
      </c>
      <c r="J36" s="1" t="s">
        <v>1</v>
      </c>
      <c r="K36" s="3" t="s">
        <v>2</v>
      </c>
      <c r="L36" s="1" t="s">
        <v>3</v>
      </c>
      <c r="M36" s="1" t="s">
        <v>1</v>
      </c>
      <c r="N36" s="3" t="s">
        <v>2</v>
      </c>
      <c r="O36" s="1" t="s">
        <v>3</v>
      </c>
      <c r="P36" s="1" t="s">
        <v>1</v>
      </c>
      <c r="Q36" s="3" t="s">
        <v>2</v>
      </c>
      <c r="R36" s="1" t="s">
        <v>3</v>
      </c>
      <c r="S36" s="1" t="s">
        <v>1</v>
      </c>
      <c r="T36" s="3" t="s">
        <v>2</v>
      </c>
      <c r="U36" s="1" t="s">
        <v>3</v>
      </c>
    </row>
    <row r="37" spans="1:21" ht="23.25" customHeight="1" x14ac:dyDescent="0.25">
      <c r="A37" s="59" t="s">
        <v>26</v>
      </c>
      <c r="B37" s="59" t="s">
        <v>23</v>
      </c>
      <c r="C37" s="11">
        <v>44021</v>
      </c>
      <c r="D37" s="14"/>
      <c r="E37" s="17"/>
      <c r="F37" s="14"/>
      <c r="G37" s="13">
        <v>35076.25</v>
      </c>
      <c r="H37" s="16">
        <v>442</v>
      </c>
      <c r="I37" s="13">
        <f t="shared" ref="I37:I47" si="18">G37/H37</f>
        <v>79.358031674208149</v>
      </c>
      <c r="J37" s="13">
        <v>36412.75</v>
      </c>
      <c r="K37" s="16">
        <v>416.8</v>
      </c>
      <c r="L37" s="13">
        <f t="shared" ref="L37:L47" si="19">J37/K37</f>
        <v>87.362643953934736</v>
      </c>
      <c r="M37" s="13">
        <v>14831</v>
      </c>
      <c r="N37" s="16">
        <v>269.5</v>
      </c>
      <c r="O37" s="13">
        <f t="shared" ref="O37:O47" si="20">M37/N37</f>
        <v>55.031539888682744</v>
      </c>
      <c r="P37" s="14"/>
      <c r="Q37" s="17"/>
      <c r="R37" s="14"/>
      <c r="S37" s="13">
        <f t="shared" ref="S37" si="21">SUM(D37,G37,J37,M37,P37)</f>
        <v>86320</v>
      </c>
      <c r="T37" s="16">
        <f t="shared" ref="T37" si="22">SUM(E37,H37,K37,N37,Q37)</f>
        <v>1128.3</v>
      </c>
      <c r="U37" s="13">
        <f t="shared" ref="U37:U38" si="23">S37/T37</f>
        <v>76.504475759992914</v>
      </c>
    </row>
    <row r="38" spans="1:21" ht="23.25" customHeight="1" x14ac:dyDescent="0.25">
      <c r="A38" s="60"/>
      <c r="B38" s="60"/>
      <c r="C38" s="11">
        <v>44028</v>
      </c>
      <c r="D38" s="14"/>
      <c r="E38" s="17"/>
      <c r="F38" s="14"/>
      <c r="G38" s="13">
        <v>41602.5</v>
      </c>
      <c r="H38" s="16">
        <v>418.5</v>
      </c>
      <c r="I38" s="13">
        <f t="shared" si="18"/>
        <v>99.408602150537632</v>
      </c>
      <c r="J38" s="13">
        <v>50806</v>
      </c>
      <c r="K38" s="16">
        <v>641.29999999999995</v>
      </c>
      <c r="L38" s="13">
        <f t="shared" si="19"/>
        <v>79.223452362388898</v>
      </c>
      <c r="M38" s="13">
        <v>176534.53</v>
      </c>
      <c r="N38" s="16">
        <v>2141.3000000000002</v>
      </c>
      <c r="O38" s="13">
        <f t="shared" si="20"/>
        <v>82.442689020688363</v>
      </c>
      <c r="P38" s="14"/>
      <c r="Q38" s="17"/>
      <c r="R38" s="14"/>
      <c r="S38" s="13">
        <f t="shared" ref="S38" si="24">SUM(D38,G38,J38,M38,P38)</f>
        <v>268943.03000000003</v>
      </c>
      <c r="T38" s="16">
        <f t="shared" ref="T38" si="25">SUM(E38,H38,K38,N38,Q38)</f>
        <v>3201.1000000000004</v>
      </c>
      <c r="U38" s="13">
        <f t="shared" si="23"/>
        <v>84.015816438099407</v>
      </c>
    </row>
    <row r="39" spans="1:21" ht="23.25" customHeight="1" x14ac:dyDescent="0.25">
      <c r="A39" s="60"/>
      <c r="B39" s="60"/>
      <c r="C39" s="11">
        <v>44035</v>
      </c>
      <c r="D39" s="14"/>
      <c r="E39" s="17"/>
      <c r="F39" s="14"/>
      <c r="G39" s="13">
        <v>155968.25</v>
      </c>
      <c r="H39" s="16">
        <v>2094</v>
      </c>
      <c r="I39" s="13">
        <f t="shared" si="18"/>
        <v>74.483404966571158</v>
      </c>
      <c r="J39" s="13">
        <v>85345.75</v>
      </c>
      <c r="K39" s="16">
        <v>1021.8</v>
      </c>
      <c r="L39" s="13">
        <f t="shared" si="19"/>
        <v>83.524907026815427</v>
      </c>
      <c r="M39" s="13">
        <v>48543</v>
      </c>
      <c r="N39" s="16">
        <v>689.3</v>
      </c>
      <c r="O39" s="13">
        <f t="shared" si="20"/>
        <v>70.423618163354135</v>
      </c>
      <c r="P39" s="14"/>
      <c r="Q39" s="17"/>
      <c r="R39" s="14"/>
      <c r="S39" s="13">
        <f t="shared" ref="S39" si="26">SUM(D39,G39,J39,M39,P39)</f>
        <v>289857</v>
      </c>
      <c r="T39" s="16">
        <f t="shared" ref="T39" si="27">SUM(E39,H39,K39,N39,Q39)</f>
        <v>3805.1000000000004</v>
      </c>
      <c r="U39" s="13">
        <f t="shared" ref="U39" si="28">S39/T39</f>
        <v>76.175921789177679</v>
      </c>
    </row>
    <row r="40" spans="1:21" ht="23.25" customHeight="1" x14ac:dyDescent="0.25">
      <c r="A40" s="60"/>
      <c r="B40" s="61"/>
      <c r="C40" s="11">
        <v>44042</v>
      </c>
      <c r="D40" s="14"/>
      <c r="E40" s="17"/>
      <c r="F40" s="14"/>
      <c r="G40" s="13">
        <v>38116.25</v>
      </c>
      <c r="H40" s="16">
        <v>526.79999999999995</v>
      </c>
      <c r="I40" s="13">
        <f t="shared" si="18"/>
        <v>72.35430903568718</v>
      </c>
      <c r="J40" s="13">
        <v>51833.75</v>
      </c>
      <c r="K40" s="16">
        <v>560.29999999999995</v>
      </c>
      <c r="L40" s="13">
        <f t="shared" si="19"/>
        <v>92.510708548991616</v>
      </c>
      <c r="M40" s="13">
        <v>209755.13</v>
      </c>
      <c r="N40" s="16">
        <v>2337.5</v>
      </c>
      <c r="O40" s="13">
        <f t="shared" si="20"/>
        <v>89.734814973262033</v>
      </c>
      <c r="P40" s="14"/>
      <c r="Q40" s="17"/>
      <c r="R40" s="14"/>
      <c r="S40" s="13">
        <f t="shared" ref="S40:S47" si="29">SUM(D40,G40,J40,M40,P40)</f>
        <v>299705.13</v>
      </c>
      <c r="T40" s="16">
        <f t="shared" ref="T40:T47" si="30">SUM(E40,H40,K40,N40,Q40)</f>
        <v>3424.6</v>
      </c>
      <c r="U40" s="13">
        <f t="shared" ref="U40:U47" si="31">S40/T40</f>
        <v>87.515368218186069</v>
      </c>
    </row>
    <row r="41" spans="1:21" ht="23.25" customHeight="1" x14ac:dyDescent="0.25">
      <c r="A41" s="60"/>
      <c r="B41" s="59" t="s">
        <v>24</v>
      </c>
      <c r="C41" s="11">
        <v>44048</v>
      </c>
      <c r="D41" s="14"/>
      <c r="E41" s="17"/>
      <c r="F41" s="14"/>
      <c r="G41" s="13">
        <v>21164.5</v>
      </c>
      <c r="H41" s="16">
        <v>247.5</v>
      </c>
      <c r="I41" s="13">
        <f t="shared" si="18"/>
        <v>85.513131313131311</v>
      </c>
      <c r="J41" s="13">
        <v>20130</v>
      </c>
      <c r="K41" s="16">
        <v>239</v>
      </c>
      <c r="L41" s="13">
        <f t="shared" si="19"/>
        <v>84.225941422594147</v>
      </c>
      <c r="M41" s="13">
        <v>121358.16</v>
      </c>
      <c r="N41" s="16">
        <v>1414</v>
      </c>
      <c r="O41" s="13">
        <f t="shared" si="20"/>
        <v>85.826138613861389</v>
      </c>
      <c r="P41" s="14"/>
      <c r="Q41" s="17"/>
      <c r="R41" s="14"/>
      <c r="S41" s="13">
        <f t="shared" si="29"/>
        <v>162652.66</v>
      </c>
      <c r="T41" s="16">
        <f t="shared" si="30"/>
        <v>1900.5</v>
      </c>
      <c r="U41" s="13">
        <f t="shared" si="31"/>
        <v>85.584141015522235</v>
      </c>
    </row>
    <row r="42" spans="1:21" ht="23.25" customHeight="1" x14ac:dyDescent="0.25">
      <c r="A42" s="60"/>
      <c r="B42" s="60">
        <v>7</v>
      </c>
      <c r="C42" s="11">
        <v>44055</v>
      </c>
      <c r="D42" s="14"/>
      <c r="E42" s="17"/>
      <c r="F42" s="14"/>
      <c r="G42" s="13">
        <v>89980.75</v>
      </c>
      <c r="H42" s="16">
        <v>1046</v>
      </c>
      <c r="I42" s="13">
        <f t="shared" si="18"/>
        <v>86.023661567877625</v>
      </c>
      <c r="J42" s="13">
        <v>41163.25</v>
      </c>
      <c r="K42" s="16">
        <v>538</v>
      </c>
      <c r="L42" s="13">
        <f t="shared" si="19"/>
        <v>76.511617100371751</v>
      </c>
      <c r="M42" s="13">
        <v>52018.75</v>
      </c>
      <c r="N42" s="16">
        <v>622.5</v>
      </c>
      <c r="O42" s="13">
        <f t="shared" si="20"/>
        <v>83.564257028112451</v>
      </c>
      <c r="P42" s="14"/>
      <c r="Q42" s="17"/>
      <c r="R42" s="14"/>
      <c r="S42" s="13">
        <f t="shared" si="29"/>
        <v>183162.75</v>
      </c>
      <c r="T42" s="16">
        <f t="shared" si="30"/>
        <v>2206.5</v>
      </c>
      <c r="U42" s="13">
        <f t="shared" si="31"/>
        <v>83.010537049626109</v>
      </c>
    </row>
    <row r="43" spans="1:21" ht="23.25" customHeight="1" x14ac:dyDescent="0.25">
      <c r="A43" s="60"/>
      <c r="B43" s="60">
        <v>8</v>
      </c>
      <c r="C43" s="11">
        <v>44062</v>
      </c>
      <c r="D43" s="14"/>
      <c r="E43" s="17"/>
      <c r="F43" s="14"/>
      <c r="G43" s="13">
        <v>59849.25</v>
      </c>
      <c r="H43" s="16">
        <v>797.3</v>
      </c>
      <c r="I43" s="13">
        <f t="shared" si="18"/>
        <v>75.064906559638786</v>
      </c>
      <c r="J43" s="13">
        <v>32107.75</v>
      </c>
      <c r="K43" s="16">
        <v>356.8</v>
      </c>
      <c r="L43" s="13">
        <f t="shared" si="19"/>
        <v>89.988088565022423</v>
      </c>
      <c r="M43" s="13">
        <v>145794.07999999999</v>
      </c>
      <c r="N43" s="16">
        <v>1763</v>
      </c>
      <c r="O43" s="13">
        <f t="shared" si="20"/>
        <v>82.69658536585365</v>
      </c>
      <c r="P43" s="14"/>
      <c r="Q43" s="17"/>
      <c r="R43" s="14"/>
      <c r="S43" s="13">
        <f t="shared" si="29"/>
        <v>237751.08</v>
      </c>
      <c r="T43" s="16">
        <f t="shared" si="30"/>
        <v>2917.1</v>
      </c>
      <c r="U43" s="13">
        <f t="shared" si="31"/>
        <v>81.502547050152543</v>
      </c>
    </row>
    <row r="44" spans="1:21" ht="23.25" customHeight="1" x14ac:dyDescent="0.25">
      <c r="A44" s="60"/>
      <c r="B44" s="61">
        <v>9</v>
      </c>
      <c r="C44" s="11">
        <v>44069</v>
      </c>
      <c r="D44" s="14"/>
      <c r="E44" s="17"/>
      <c r="F44" s="14"/>
      <c r="G44" s="13">
        <v>25147.5</v>
      </c>
      <c r="H44" s="16">
        <v>301</v>
      </c>
      <c r="I44" s="13">
        <f t="shared" si="18"/>
        <v>83.54651162790698</v>
      </c>
      <c r="J44" s="13">
        <v>28255.64</v>
      </c>
      <c r="K44" s="16">
        <v>310.8</v>
      </c>
      <c r="L44" s="13">
        <f t="shared" si="19"/>
        <v>90.912612612612605</v>
      </c>
      <c r="M44" s="13">
        <v>29255.64</v>
      </c>
      <c r="N44" s="16">
        <v>456</v>
      </c>
      <c r="O44" s="13">
        <f t="shared" si="20"/>
        <v>64.157105263157888</v>
      </c>
      <c r="P44" s="14"/>
      <c r="Q44" s="17"/>
      <c r="R44" s="14"/>
      <c r="S44" s="13">
        <f t="shared" si="29"/>
        <v>82658.78</v>
      </c>
      <c r="T44" s="16">
        <f t="shared" si="30"/>
        <v>1067.8</v>
      </c>
      <c r="U44" s="13">
        <f t="shared" si="31"/>
        <v>77.410357744896046</v>
      </c>
    </row>
    <row r="45" spans="1:21" ht="23.25" customHeight="1" x14ac:dyDescent="0.25">
      <c r="A45" s="60"/>
      <c r="B45" s="59" t="s">
        <v>25</v>
      </c>
      <c r="C45" s="11">
        <v>44076</v>
      </c>
      <c r="D45" s="14"/>
      <c r="E45" s="17"/>
      <c r="F45" s="14"/>
      <c r="G45" s="13">
        <v>43420</v>
      </c>
      <c r="H45" s="16">
        <v>423</v>
      </c>
      <c r="I45" s="13">
        <f t="shared" si="18"/>
        <v>102.64775413711584</v>
      </c>
      <c r="J45" s="13">
        <v>31660.75</v>
      </c>
      <c r="K45" s="16">
        <v>362.3</v>
      </c>
      <c r="L45" s="13">
        <f t="shared" si="19"/>
        <v>87.388214187137734</v>
      </c>
      <c r="M45" s="13">
        <v>32311.200000000001</v>
      </c>
      <c r="N45" s="16">
        <v>404.3</v>
      </c>
      <c r="O45" s="13">
        <f t="shared" si="20"/>
        <v>79.918872124659899</v>
      </c>
      <c r="P45" s="14"/>
      <c r="Q45" s="17"/>
      <c r="R45" s="14"/>
      <c r="S45" s="13">
        <f t="shared" si="29"/>
        <v>107391.95</v>
      </c>
      <c r="T45" s="16">
        <f t="shared" si="30"/>
        <v>1189.5999999999999</v>
      </c>
      <c r="U45" s="13">
        <f t="shared" si="31"/>
        <v>90.275680901143247</v>
      </c>
    </row>
    <row r="46" spans="1:21" ht="23.25" customHeight="1" x14ac:dyDescent="0.25">
      <c r="A46" s="60"/>
      <c r="B46" s="60">
        <v>11</v>
      </c>
      <c r="C46" s="11">
        <v>44083</v>
      </c>
      <c r="D46" s="14"/>
      <c r="E46" s="17"/>
      <c r="F46" s="14"/>
      <c r="G46" s="13">
        <v>51170</v>
      </c>
      <c r="H46" s="16">
        <v>598.79999999999995</v>
      </c>
      <c r="I46" s="13">
        <f t="shared" si="18"/>
        <v>85.454241816967269</v>
      </c>
      <c r="J46" s="13">
        <v>57411</v>
      </c>
      <c r="K46" s="16">
        <v>633.5</v>
      </c>
      <c r="L46" s="13">
        <f t="shared" si="19"/>
        <v>90.625098658247836</v>
      </c>
      <c r="M46" s="13">
        <v>168864.33</v>
      </c>
      <c r="N46" s="16">
        <v>1805.8</v>
      </c>
      <c r="O46" s="13">
        <f t="shared" si="20"/>
        <v>93.512199579133892</v>
      </c>
      <c r="P46" s="14"/>
      <c r="Q46" s="17"/>
      <c r="R46" s="14"/>
      <c r="S46" s="13">
        <f t="shared" si="29"/>
        <v>277445.32999999996</v>
      </c>
      <c r="T46" s="16">
        <f t="shared" si="30"/>
        <v>3038.1</v>
      </c>
      <c r="U46" s="13">
        <f t="shared" si="31"/>
        <v>91.321987426351981</v>
      </c>
    </row>
    <row r="47" spans="1:21" ht="23.25" customHeight="1" x14ac:dyDescent="0.25">
      <c r="A47" s="60"/>
      <c r="B47" s="60">
        <v>12</v>
      </c>
      <c r="C47" s="11">
        <v>44090</v>
      </c>
      <c r="D47" s="14"/>
      <c r="E47" s="17"/>
      <c r="F47" s="14"/>
      <c r="G47" s="13">
        <v>6480</v>
      </c>
      <c r="H47" s="16">
        <v>98.3</v>
      </c>
      <c r="I47" s="13">
        <f t="shared" si="18"/>
        <v>65.920651068158705</v>
      </c>
      <c r="J47" s="13">
        <v>35762.5</v>
      </c>
      <c r="K47" s="16">
        <v>460.5</v>
      </c>
      <c r="L47" s="13">
        <f t="shared" si="19"/>
        <v>77.660152008686211</v>
      </c>
      <c r="M47" s="13">
        <v>23876</v>
      </c>
      <c r="N47" s="16">
        <v>309.8</v>
      </c>
      <c r="O47" s="13">
        <f t="shared" si="20"/>
        <v>77.069076823757257</v>
      </c>
      <c r="P47" s="13">
        <v>50175</v>
      </c>
      <c r="Q47" s="16">
        <v>297</v>
      </c>
      <c r="R47" s="13">
        <f t="shared" ref="R47" si="32">P47/Q47</f>
        <v>168.93939393939394</v>
      </c>
      <c r="S47" s="13">
        <f t="shared" si="29"/>
        <v>116293.5</v>
      </c>
      <c r="T47" s="16">
        <f t="shared" si="30"/>
        <v>1165.5999999999999</v>
      </c>
      <c r="U47" s="13">
        <f t="shared" si="31"/>
        <v>99.77136238846947</v>
      </c>
    </row>
    <row r="48" spans="1:21" ht="23.25" customHeight="1" x14ac:dyDescent="0.25">
      <c r="A48" s="60"/>
      <c r="B48" s="60">
        <v>13</v>
      </c>
      <c r="C48" s="11">
        <v>44097</v>
      </c>
      <c r="D48" s="14"/>
      <c r="E48" s="17"/>
      <c r="F48" s="14"/>
      <c r="G48" s="13">
        <v>19735</v>
      </c>
      <c r="H48" s="16">
        <v>172.5</v>
      </c>
      <c r="I48" s="13">
        <f t="shared" ref="I48:I49" si="33">G48/H48</f>
        <v>114.40579710144928</v>
      </c>
      <c r="J48" s="13">
        <v>50667.5</v>
      </c>
      <c r="K48" s="16">
        <v>590.79999999999995</v>
      </c>
      <c r="L48" s="13">
        <f t="shared" ref="L48:L49" si="34">J48/K48</f>
        <v>85.760832769126608</v>
      </c>
      <c r="M48" s="13">
        <v>76572</v>
      </c>
      <c r="N48" s="16">
        <v>915</v>
      </c>
      <c r="O48" s="13">
        <f t="shared" ref="O48:O49" si="35">M48/N48</f>
        <v>83.685245901639348</v>
      </c>
      <c r="P48" s="13">
        <v>4136</v>
      </c>
      <c r="Q48" s="16">
        <v>43.5</v>
      </c>
      <c r="R48" s="13">
        <f t="shared" ref="R48" si="36">P48/Q48</f>
        <v>95.080459770114942</v>
      </c>
      <c r="S48" s="13">
        <f t="shared" ref="S48:S49" si="37">SUM(D48,G48,J48,M48,P48)</f>
        <v>151110.5</v>
      </c>
      <c r="T48" s="16">
        <f t="shared" ref="T48:T49" si="38">SUM(E48,H48,K48,N48,Q48)</f>
        <v>1721.8</v>
      </c>
      <c r="U48" s="13">
        <f t="shared" ref="U48:U49" si="39">S48/T48</f>
        <v>87.763096759205482</v>
      </c>
    </row>
    <row r="49" spans="1:21" ht="23.25" customHeight="1" x14ac:dyDescent="0.25">
      <c r="A49" s="61"/>
      <c r="B49" s="60"/>
      <c r="C49" s="11">
        <v>44104</v>
      </c>
      <c r="D49" s="14"/>
      <c r="E49" s="17"/>
      <c r="F49" s="14"/>
      <c r="G49" s="13">
        <v>21900</v>
      </c>
      <c r="H49" s="16">
        <v>204.8</v>
      </c>
      <c r="I49" s="13">
        <f t="shared" si="33"/>
        <v>106.93359375</v>
      </c>
      <c r="J49" s="13">
        <v>25675</v>
      </c>
      <c r="K49" s="16">
        <v>267</v>
      </c>
      <c r="L49" s="13">
        <f t="shared" si="34"/>
        <v>96.161048689138582</v>
      </c>
      <c r="M49" s="13">
        <v>92987.5</v>
      </c>
      <c r="N49" s="16">
        <v>1364.3</v>
      </c>
      <c r="O49" s="13">
        <f t="shared" si="35"/>
        <v>68.157663270541676</v>
      </c>
      <c r="P49" s="14"/>
      <c r="Q49" s="17"/>
      <c r="R49" s="14"/>
      <c r="S49" s="13">
        <f t="shared" si="37"/>
        <v>140562.5</v>
      </c>
      <c r="T49" s="16">
        <f t="shared" si="38"/>
        <v>1836.1</v>
      </c>
      <c r="U49" s="13">
        <f t="shared" si="39"/>
        <v>76.554926202276562</v>
      </c>
    </row>
    <row r="50" spans="1:21" ht="39" customHeight="1" x14ac:dyDescent="0.25">
      <c r="A50" s="64" t="s">
        <v>30</v>
      </c>
      <c r="B50" s="64"/>
      <c r="C50" s="64"/>
      <c r="D50" s="21">
        <f>SUM(D37:D49)</f>
        <v>0</v>
      </c>
      <c r="E50" s="22">
        <f>SUM(E37:E49)</f>
        <v>0</v>
      </c>
      <c r="F50" s="21" t="e">
        <f>D50/E50</f>
        <v>#DIV/0!</v>
      </c>
      <c r="G50" s="21">
        <f>SUM(G37:G49)</f>
        <v>609610.25</v>
      </c>
      <c r="H50" s="22">
        <f>SUM(H37:H49)</f>
        <v>7370.5000000000009</v>
      </c>
      <c r="I50" s="21">
        <f>G50/H50</f>
        <v>82.709483752798306</v>
      </c>
      <c r="J50" s="21">
        <f>SUM(J37:J49)</f>
        <v>547231.64</v>
      </c>
      <c r="K50" s="22">
        <f>SUM(K37:K49)</f>
        <v>6398.9000000000005</v>
      </c>
      <c r="L50" s="21">
        <f>J50/K50</f>
        <v>85.519642438544125</v>
      </c>
      <c r="M50" s="21">
        <f>SUM(M37:M49)</f>
        <v>1192701.3199999998</v>
      </c>
      <c r="N50" s="22">
        <f>SUM(N37:N49)</f>
        <v>14492.299999999997</v>
      </c>
      <c r="O50" s="21">
        <f>M50/N50</f>
        <v>82.298967037668277</v>
      </c>
      <c r="P50" s="21">
        <f>SUM(P37:P49)</f>
        <v>54311</v>
      </c>
      <c r="Q50" s="22">
        <f>SUM(Q37:Q49)</f>
        <v>340.5</v>
      </c>
      <c r="R50" s="21">
        <f>P50/Q50</f>
        <v>159.50367107195302</v>
      </c>
      <c r="S50" s="21">
        <f>SUM(S37:S49)</f>
        <v>2403854.21</v>
      </c>
      <c r="T50" s="22">
        <f>SUM(T37:T49)</f>
        <v>28602.199999999993</v>
      </c>
      <c r="U50" s="21">
        <f>S50/T50</f>
        <v>84.04438155106952</v>
      </c>
    </row>
    <row r="51" spans="1:21" x14ac:dyDescent="0.25">
      <c r="A51" s="67" t="s">
        <v>15</v>
      </c>
      <c r="B51" s="67" t="s">
        <v>10</v>
      </c>
      <c r="C51" s="67" t="s">
        <v>0</v>
      </c>
      <c r="D51" s="58" t="s">
        <v>34</v>
      </c>
      <c r="E51" s="58"/>
      <c r="F51" s="58"/>
      <c r="G51" s="58" t="s">
        <v>7</v>
      </c>
      <c r="H51" s="58"/>
      <c r="I51" s="58"/>
      <c r="J51" s="58" t="s">
        <v>27</v>
      </c>
      <c r="K51" s="58"/>
      <c r="L51" s="58"/>
      <c r="M51" s="58" t="s">
        <v>4</v>
      </c>
      <c r="N51" s="58"/>
      <c r="O51" s="58"/>
      <c r="P51" s="58" t="s">
        <v>8</v>
      </c>
      <c r="Q51" s="58"/>
      <c r="R51" s="58"/>
      <c r="S51" s="58" t="s">
        <v>9</v>
      </c>
      <c r="T51" s="58"/>
      <c r="U51" s="58"/>
    </row>
    <row r="52" spans="1:21" x14ac:dyDescent="0.25">
      <c r="A52" s="67"/>
      <c r="B52" s="67"/>
      <c r="C52" s="67"/>
      <c r="D52" s="1" t="s">
        <v>1</v>
      </c>
      <c r="E52" s="3" t="s">
        <v>2</v>
      </c>
      <c r="F52" s="1" t="s">
        <v>3</v>
      </c>
      <c r="G52" s="1" t="s">
        <v>1</v>
      </c>
      <c r="H52" s="3" t="s">
        <v>2</v>
      </c>
      <c r="I52" s="1" t="s">
        <v>3</v>
      </c>
      <c r="J52" s="1" t="s">
        <v>1</v>
      </c>
      <c r="K52" s="3" t="s">
        <v>2</v>
      </c>
      <c r="L52" s="1" t="s">
        <v>3</v>
      </c>
      <c r="M52" s="1" t="s">
        <v>1</v>
      </c>
      <c r="N52" s="3" t="s">
        <v>2</v>
      </c>
      <c r="O52" s="1" t="s">
        <v>3</v>
      </c>
      <c r="P52" s="1" t="s">
        <v>1</v>
      </c>
      <c r="Q52" s="3" t="s">
        <v>2</v>
      </c>
      <c r="R52" s="1" t="s">
        <v>3</v>
      </c>
      <c r="S52" s="1" t="s">
        <v>1</v>
      </c>
      <c r="T52" s="3" t="s">
        <v>2</v>
      </c>
      <c r="U52" s="1" t="s">
        <v>3</v>
      </c>
    </row>
    <row r="53" spans="1:21" ht="23.25" customHeight="1" x14ac:dyDescent="0.25">
      <c r="A53" s="59" t="s">
        <v>28</v>
      </c>
      <c r="B53" s="62" t="s">
        <v>31</v>
      </c>
      <c r="C53" s="11">
        <v>44111</v>
      </c>
      <c r="D53" s="5"/>
      <c r="E53" s="6"/>
      <c r="F53" s="5"/>
      <c r="G53" s="7">
        <v>52447.5</v>
      </c>
      <c r="H53" s="8">
        <v>721</v>
      </c>
      <c r="I53" s="7">
        <f t="shared" ref="I53:I64" si="40">G53/H53</f>
        <v>72.742718446601941</v>
      </c>
      <c r="J53" s="7">
        <v>92486.5</v>
      </c>
      <c r="K53" s="8">
        <v>1209.5</v>
      </c>
      <c r="L53" s="7">
        <f t="shared" ref="L53:L63" si="41">J53/K53</f>
        <v>76.466721785861921</v>
      </c>
      <c r="M53" s="7">
        <v>226264.5</v>
      </c>
      <c r="N53" s="8">
        <v>2756.8</v>
      </c>
      <c r="O53" s="7">
        <f t="shared" ref="O53:O64" si="42">M53/N53</f>
        <v>82.075050783517113</v>
      </c>
      <c r="P53" s="5"/>
      <c r="Q53" s="6"/>
      <c r="R53" s="5"/>
      <c r="S53" s="7">
        <f t="shared" ref="S53" si="43">SUM(D53,G53,J53,M53,P53)</f>
        <v>371198.5</v>
      </c>
      <c r="T53" s="8">
        <f t="shared" ref="T53" si="44">SUM(E53,H53,K53,N53,Q53)</f>
        <v>4687.3</v>
      </c>
      <c r="U53" s="7">
        <f t="shared" ref="U53" si="45">S53/T53</f>
        <v>79.192392208734233</v>
      </c>
    </row>
    <row r="54" spans="1:21" ht="23.25" customHeight="1" x14ac:dyDescent="0.25">
      <c r="A54" s="60"/>
      <c r="B54" s="62"/>
      <c r="C54" s="11">
        <v>44118</v>
      </c>
      <c r="D54" s="5"/>
      <c r="E54" s="6"/>
      <c r="F54" s="5"/>
      <c r="G54" s="7">
        <v>58836.25</v>
      </c>
      <c r="H54" s="8">
        <v>633.29999999999995</v>
      </c>
      <c r="I54" s="7">
        <f t="shared" si="40"/>
        <v>92.904231801673774</v>
      </c>
      <c r="J54" s="7">
        <v>17047</v>
      </c>
      <c r="K54" s="8">
        <v>228.5</v>
      </c>
      <c r="L54" s="7">
        <f t="shared" si="41"/>
        <v>74.603938730853386</v>
      </c>
      <c r="M54" s="7">
        <v>76602.12</v>
      </c>
      <c r="N54" s="8">
        <v>940.5</v>
      </c>
      <c r="O54" s="7">
        <f t="shared" si="42"/>
        <v>81.448293460925029</v>
      </c>
      <c r="P54" s="5"/>
      <c r="Q54" s="6"/>
      <c r="R54" s="5"/>
      <c r="S54" s="7">
        <f t="shared" ref="S54" si="46">SUM(D54,G54,J54,M54,P54)</f>
        <v>152485.37</v>
      </c>
      <c r="T54" s="8">
        <f t="shared" ref="T54" si="47">SUM(E54,H54,K54,N54,Q54)</f>
        <v>1802.3</v>
      </c>
      <c r="U54" s="7">
        <f t="shared" ref="U54" si="48">S54/T54</f>
        <v>84.605986794651272</v>
      </c>
    </row>
    <row r="55" spans="1:21" ht="23.25" customHeight="1" x14ac:dyDescent="0.25">
      <c r="A55" s="60"/>
      <c r="B55" s="62"/>
      <c r="C55" s="11">
        <v>44125</v>
      </c>
      <c r="D55" s="5"/>
      <c r="E55" s="6"/>
      <c r="F55" s="5"/>
      <c r="G55" s="7">
        <v>46525.5</v>
      </c>
      <c r="H55" s="8">
        <v>647.29999999999995</v>
      </c>
      <c r="I55" s="7">
        <f t="shared" si="40"/>
        <v>71.876255213965706</v>
      </c>
      <c r="J55" s="7">
        <v>35030.5</v>
      </c>
      <c r="K55" s="8">
        <v>445.3</v>
      </c>
      <c r="L55" s="7">
        <f t="shared" si="41"/>
        <v>78.667190657983383</v>
      </c>
      <c r="M55" s="7">
        <v>86333.96</v>
      </c>
      <c r="N55" s="8">
        <v>994.8</v>
      </c>
      <c r="O55" s="7">
        <f t="shared" si="42"/>
        <v>86.785243264977893</v>
      </c>
      <c r="P55" s="5"/>
      <c r="Q55" s="6"/>
      <c r="R55" s="5"/>
      <c r="S55" s="7">
        <f t="shared" ref="S55" si="49">SUM(D55,G55,J55,M55,P55)</f>
        <v>167889.96000000002</v>
      </c>
      <c r="T55" s="8">
        <f t="shared" ref="T55" si="50">SUM(E55,H55,K55,N55,Q55)</f>
        <v>2087.3999999999996</v>
      </c>
      <c r="U55" s="7">
        <f t="shared" ref="U55" si="51">S55/T55</f>
        <v>80.430181086519141</v>
      </c>
    </row>
    <row r="56" spans="1:21" ht="23.25" customHeight="1" x14ac:dyDescent="0.25">
      <c r="A56" s="60"/>
      <c r="B56" s="62"/>
      <c r="C56" s="11">
        <v>44132</v>
      </c>
      <c r="D56" s="5"/>
      <c r="E56" s="6"/>
      <c r="F56" s="5"/>
      <c r="G56" s="7">
        <v>52447.5</v>
      </c>
      <c r="H56" s="8">
        <v>721</v>
      </c>
      <c r="I56" s="7">
        <f t="shared" si="40"/>
        <v>72.742718446601941</v>
      </c>
      <c r="J56" s="7">
        <v>92486.5</v>
      </c>
      <c r="K56" s="8">
        <v>1209.5</v>
      </c>
      <c r="L56" s="7">
        <f t="shared" si="41"/>
        <v>76.466721785861921</v>
      </c>
      <c r="M56" s="7">
        <v>226264.5</v>
      </c>
      <c r="N56" s="8">
        <v>2756.8</v>
      </c>
      <c r="O56" s="7">
        <f t="shared" si="42"/>
        <v>82.075050783517113</v>
      </c>
      <c r="P56" s="5"/>
      <c r="Q56" s="6"/>
      <c r="R56" s="5"/>
      <c r="S56" s="7">
        <f t="shared" ref="S56" si="52">SUM(D56,G56,J56,M56,P56)</f>
        <v>371198.5</v>
      </c>
      <c r="T56" s="8">
        <f t="shared" ref="T56" si="53">SUM(E56,H56,K56,N56,Q56)</f>
        <v>4687.3</v>
      </c>
      <c r="U56" s="7">
        <f t="shared" ref="U56" si="54">S56/T56</f>
        <v>79.192392208734233</v>
      </c>
    </row>
    <row r="57" spans="1:21" ht="23.25" customHeight="1" x14ac:dyDescent="0.25">
      <c r="A57" s="60"/>
      <c r="B57" s="62" t="s">
        <v>32</v>
      </c>
      <c r="C57" s="11">
        <v>44139</v>
      </c>
      <c r="D57" s="5"/>
      <c r="E57" s="6"/>
      <c r="F57" s="5"/>
      <c r="G57" s="7">
        <v>24765</v>
      </c>
      <c r="H57" s="8">
        <v>312.8</v>
      </c>
      <c r="I57" s="7">
        <f t="shared" si="40"/>
        <v>79.17199488491049</v>
      </c>
      <c r="J57" s="7">
        <v>30920</v>
      </c>
      <c r="K57" s="8">
        <v>336</v>
      </c>
      <c r="L57" s="7">
        <f t="shared" si="41"/>
        <v>92.023809523809518</v>
      </c>
      <c r="M57" s="7">
        <v>103167.53</v>
      </c>
      <c r="N57" s="8">
        <v>1227.8</v>
      </c>
      <c r="O57" s="7">
        <f t="shared" si="42"/>
        <v>84.026331650105888</v>
      </c>
      <c r="P57" s="5"/>
      <c r="Q57" s="6"/>
      <c r="R57" s="5"/>
      <c r="S57" s="7">
        <f t="shared" ref="S57:S58" si="55">SUM(D57,G57,J57,M57,P57)</f>
        <v>158852.53</v>
      </c>
      <c r="T57" s="8">
        <f t="shared" ref="T57:T58" si="56">SUM(E57,H57,K57,N57,Q57)</f>
        <v>1876.6</v>
      </c>
      <c r="U57" s="7">
        <f t="shared" ref="U57:U58" si="57">S57/T57</f>
        <v>84.649115421506991</v>
      </c>
    </row>
    <row r="58" spans="1:21" ht="23.25" customHeight="1" x14ac:dyDescent="0.25">
      <c r="A58" s="60"/>
      <c r="B58" s="62">
        <v>7</v>
      </c>
      <c r="C58" s="11">
        <v>44146</v>
      </c>
      <c r="D58" s="5"/>
      <c r="E58" s="6"/>
      <c r="F58" s="5"/>
      <c r="G58" s="7">
        <v>76875</v>
      </c>
      <c r="H58" s="8">
        <v>802.8</v>
      </c>
      <c r="I58" s="7">
        <f t="shared" si="40"/>
        <v>95.758594917787747</v>
      </c>
      <c r="J58" s="7">
        <v>79542</v>
      </c>
      <c r="K58" s="8">
        <v>930.5</v>
      </c>
      <c r="L58" s="7">
        <f t="shared" si="41"/>
        <v>85.483073616335304</v>
      </c>
      <c r="M58" s="7">
        <v>128438.74</v>
      </c>
      <c r="N58" s="8">
        <v>1406</v>
      </c>
      <c r="O58" s="7">
        <f t="shared" si="42"/>
        <v>91.350455192034147</v>
      </c>
      <c r="P58" s="7">
        <v>4842.5</v>
      </c>
      <c r="Q58" s="8">
        <v>49.5</v>
      </c>
      <c r="R58" s="7">
        <f t="shared" ref="R58:R63" si="58">P58/Q58</f>
        <v>97.828282828282823</v>
      </c>
      <c r="S58" s="7">
        <f t="shared" si="55"/>
        <v>289698.24</v>
      </c>
      <c r="T58" s="8">
        <f t="shared" si="56"/>
        <v>3188.8</v>
      </c>
      <c r="U58" s="7">
        <f t="shared" si="57"/>
        <v>90.848670346211733</v>
      </c>
    </row>
    <row r="59" spans="1:21" ht="23.25" customHeight="1" x14ac:dyDescent="0.25">
      <c r="A59" s="60"/>
      <c r="B59" s="62">
        <v>8</v>
      </c>
      <c r="C59" s="11">
        <v>44153</v>
      </c>
      <c r="D59" s="5"/>
      <c r="E59" s="6"/>
      <c r="F59" s="5"/>
      <c r="G59" s="7">
        <v>61124.75</v>
      </c>
      <c r="H59" s="8">
        <v>747.3</v>
      </c>
      <c r="I59" s="7">
        <f t="shared" si="40"/>
        <v>81.794125518533392</v>
      </c>
      <c r="J59" s="7">
        <v>43230</v>
      </c>
      <c r="K59" s="8">
        <v>431.3</v>
      </c>
      <c r="L59" s="7">
        <f t="shared" si="41"/>
        <v>100.2318571759796</v>
      </c>
      <c r="M59" s="7">
        <v>73322.75</v>
      </c>
      <c r="N59" s="8">
        <v>895.65</v>
      </c>
      <c r="O59" s="7">
        <f t="shared" si="42"/>
        <v>81.865405013118959</v>
      </c>
      <c r="P59" s="7">
        <v>170</v>
      </c>
      <c r="Q59" s="8">
        <v>3</v>
      </c>
      <c r="R59" s="7">
        <f t="shared" si="58"/>
        <v>56.666666666666664</v>
      </c>
      <c r="S59" s="7">
        <f t="shared" ref="S59" si="59">SUM(D59,G59,J59,M59,P59)</f>
        <v>177847.5</v>
      </c>
      <c r="T59" s="8">
        <f t="shared" ref="T59" si="60">SUM(E59,H59,K59,N59,Q59)</f>
        <v>2077.25</v>
      </c>
      <c r="U59" s="7">
        <f t="shared" ref="U59" si="61">S59/T59</f>
        <v>85.616801059092552</v>
      </c>
    </row>
    <row r="60" spans="1:21" ht="23.25" customHeight="1" x14ac:dyDescent="0.25">
      <c r="A60" s="60"/>
      <c r="B60" s="62">
        <v>9</v>
      </c>
      <c r="C60" s="11">
        <v>44167</v>
      </c>
      <c r="D60" s="5"/>
      <c r="E60" s="6"/>
      <c r="F60" s="5"/>
      <c r="G60" s="7">
        <v>45529.75</v>
      </c>
      <c r="H60" s="8">
        <v>466.5</v>
      </c>
      <c r="I60" s="7">
        <f t="shared" si="40"/>
        <v>97.598606645230433</v>
      </c>
      <c r="J60" s="5"/>
      <c r="K60" s="6"/>
      <c r="L60" s="5"/>
      <c r="M60" s="7">
        <v>92350.83</v>
      </c>
      <c r="N60" s="8">
        <v>1034.5</v>
      </c>
      <c r="O60" s="7">
        <f t="shared" si="42"/>
        <v>89.270981150314157</v>
      </c>
      <c r="P60" s="5"/>
      <c r="Q60" s="6"/>
      <c r="R60" s="5"/>
      <c r="S60" s="7">
        <f t="shared" ref="S60" si="62">SUM(D60,G60,J60,M60,P60)</f>
        <v>137880.58000000002</v>
      </c>
      <c r="T60" s="8">
        <f t="shared" ref="T60" si="63">SUM(E60,H60,K60,N60,Q60)</f>
        <v>1501</v>
      </c>
      <c r="U60" s="7">
        <f t="shared" ref="U60" si="64">S60/T60</f>
        <v>91.859147235176565</v>
      </c>
    </row>
    <row r="61" spans="1:21" ht="23.25" customHeight="1" x14ac:dyDescent="0.25">
      <c r="A61" s="60"/>
      <c r="B61" s="59" t="s">
        <v>33</v>
      </c>
      <c r="C61" s="11">
        <v>44174</v>
      </c>
      <c r="D61" s="5"/>
      <c r="E61" s="6"/>
      <c r="F61" s="5"/>
      <c r="G61" s="7">
        <v>67171.75</v>
      </c>
      <c r="H61" s="8">
        <v>616.29999999999995</v>
      </c>
      <c r="I61" s="7">
        <f t="shared" si="40"/>
        <v>108.99196819730652</v>
      </c>
      <c r="J61" s="7">
        <v>45710</v>
      </c>
      <c r="K61" s="8">
        <v>494.8</v>
      </c>
      <c r="L61" s="7">
        <f t="shared" si="41"/>
        <v>92.380759902991102</v>
      </c>
      <c r="M61" s="7">
        <v>21408.62</v>
      </c>
      <c r="N61" s="8">
        <v>242</v>
      </c>
      <c r="O61" s="7">
        <f t="shared" si="42"/>
        <v>88.46537190082644</v>
      </c>
      <c r="P61" s="7">
        <v>58060</v>
      </c>
      <c r="Q61" s="8">
        <v>607</v>
      </c>
      <c r="R61" s="7">
        <f t="shared" si="58"/>
        <v>95.650741350906102</v>
      </c>
      <c r="S61" s="7">
        <f t="shared" ref="S61" si="65">SUM(D61,G61,J61,M61,P61)</f>
        <v>192350.37</v>
      </c>
      <c r="T61" s="8">
        <f t="shared" ref="T61" si="66">SUM(E61,H61,K61,N61,Q61)</f>
        <v>1960.1</v>
      </c>
      <c r="U61" s="7">
        <f t="shared" ref="U61" si="67">S61/T61</f>
        <v>98.132937095046174</v>
      </c>
    </row>
    <row r="62" spans="1:21" ht="23.25" customHeight="1" x14ac:dyDescent="0.25">
      <c r="A62" s="60"/>
      <c r="B62" s="60">
        <v>11</v>
      </c>
      <c r="C62" s="11">
        <v>44181</v>
      </c>
      <c r="D62" s="5"/>
      <c r="E62" s="6"/>
      <c r="F62" s="5"/>
      <c r="G62" s="7">
        <v>43221.75</v>
      </c>
      <c r="H62" s="8">
        <v>418.5</v>
      </c>
      <c r="I62" s="7">
        <f t="shared" si="40"/>
        <v>103.27777777777777</v>
      </c>
      <c r="J62" s="7">
        <v>8870</v>
      </c>
      <c r="K62" s="8">
        <v>101.3</v>
      </c>
      <c r="L62" s="7">
        <f t="shared" si="41"/>
        <v>87.561697926949662</v>
      </c>
      <c r="M62" s="7">
        <v>36730</v>
      </c>
      <c r="N62" s="8">
        <v>471.5</v>
      </c>
      <c r="O62" s="7">
        <f t="shared" si="42"/>
        <v>77.900318133616125</v>
      </c>
      <c r="P62" s="5"/>
      <c r="Q62" s="6"/>
      <c r="R62" s="5"/>
      <c r="S62" s="7">
        <f t="shared" ref="S62:S63" si="68">SUM(D62,G62,J62,M62,P62)</f>
        <v>88821.75</v>
      </c>
      <c r="T62" s="8">
        <f t="shared" ref="T62:T63" si="69">SUM(E62,H62,K62,N62,Q62)</f>
        <v>991.3</v>
      </c>
      <c r="U62" s="7">
        <f t="shared" ref="U62:U63" si="70">S62/T62</f>
        <v>89.601281145969949</v>
      </c>
    </row>
    <row r="63" spans="1:21" ht="23.25" customHeight="1" x14ac:dyDescent="0.25">
      <c r="A63" s="60"/>
      <c r="B63" s="60">
        <v>12</v>
      </c>
      <c r="C63" s="11">
        <v>44188</v>
      </c>
      <c r="D63" s="5"/>
      <c r="E63" s="6"/>
      <c r="F63" s="5"/>
      <c r="G63" s="7">
        <v>86041.36</v>
      </c>
      <c r="H63" s="8">
        <v>793.3</v>
      </c>
      <c r="I63" s="7">
        <f t="shared" si="40"/>
        <v>108.460052943401</v>
      </c>
      <c r="J63" s="7">
        <v>83756</v>
      </c>
      <c r="K63" s="8">
        <v>1045.3</v>
      </c>
      <c r="L63" s="7">
        <f t="shared" si="41"/>
        <v>80.126279536975034</v>
      </c>
      <c r="M63" s="7">
        <v>91202.35</v>
      </c>
      <c r="N63" s="8">
        <v>1093.3</v>
      </c>
      <c r="O63" s="7">
        <f t="shared" si="42"/>
        <v>83.419326808744174</v>
      </c>
      <c r="P63" s="7">
        <v>12850</v>
      </c>
      <c r="Q63" s="8">
        <v>109.5</v>
      </c>
      <c r="R63" s="7">
        <f t="shared" si="58"/>
        <v>117.35159817351598</v>
      </c>
      <c r="S63" s="7">
        <f t="shared" si="68"/>
        <v>273849.70999999996</v>
      </c>
      <c r="T63" s="8">
        <f t="shared" si="69"/>
        <v>3041.3999999999996</v>
      </c>
      <c r="U63" s="7">
        <f t="shared" si="70"/>
        <v>90.040675346879723</v>
      </c>
    </row>
    <row r="64" spans="1:21" ht="23.25" customHeight="1" x14ac:dyDescent="0.25">
      <c r="A64" s="60"/>
      <c r="B64" s="60">
        <v>13</v>
      </c>
      <c r="C64" s="11">
        <v>44196</v>
      </c>
      <c r="D64" s="5"/>
      <c r="E64" s="6"/>
      <c r="F64" s="5"/>
      <c r="G64" s="7">
        <v>50942.5</v>
      </c>
      <c r="H64" s="8">
        <v>556.79999999999995</v>
      </c>
      <c r="I64" s="7">
        <f t="shared" si="40"/>
        <v>91.491558908045988</v>
      </c>
      <c r="J64" s="5"/>
      <c r="K64" s="6"/>
      <c r="L64" s="5"/>
      <c r="M64" s="7">
        <v>5910.92</v>
      </c>
      <c r="N64" s="8">
        <v>67.5</v>
      </c>
      <c r="O64" s="7">
        <f t="shared" si="42"/>
        <v>87.569185185185191</v>
      </c>
      <c r="P64" s="5"/>
      <c r="Q64" s="6"/>
      <c r="R64" s="5"/>
      <c r="S64" s="7">
        <f t="shared" ref="S64" si="71">SUM(D64,G64,J64,M64,P64)</f>
        <v>56853.42</v>
      </c>
      <c r="T64" s="8">
        <f t="shared" ref="T64" si="72">SUM(E64,H64,K64,N64,Q64)</f>
        <v>624.29999999999995</v>
      </c>
      <c r="U64" s="7">
        <f t="shared" ref="U64" si="73">S64/T64</f>
        <v>91.067467563671315</v>
      </c>
    </row>
    <row r="65" spans="1:21" ht="39" customHeight="1" x14ac:dyDescent="0.25">
      <c r="A65" s="64" t="s">
        <v>29</v>
      </c>
      <c r="B65" s="64"/>
      <c r="C65" s="64"/>
      <c r="D65" s="21">
        <f>SUM(D53:D64)</f>
        <v>0</v>
      </c>
      <c r="E65" s="22">
        <f>SUM(E53:E64)</f>
        <v>0</v>
      </c>
      <c r="F65" s="21" t="e">
        <f>D65/E65</f>
        <v>#DIV/0!</v>
      </c>
      <c r="G65" s="21">
        <f>SUM(G53:G64)</f>
        <v>665928.61</v>
      </c>
      <c r="H65" s="22">
        <f>SUM(H53:H64)</f>
        <v>7436.9000000000005</v>
      </c>
      <c r="I65" s="21">
        <f>G65/H65</f>
        <v>89.543843536957596</v>
      </c>
      <c r="J65" s="21">
        <f>SUM(J53:J64)</f>
        <v>529078.5</v>
      </c>
      <c r="K65" s="22">
        <f>SUM(K53:K64)</f>
        <v>6432.0000000000009</v>
      </c>
      <c r="L65" s="21">
        <f>J65/K65</f>
        <v>82.257229477611929</v>
      </c>
      <c r="M65" s="21">
        <f>SUM(M53:M64)</f>
        <v>1167996.82</v>
      </c>
      <c r="N65" s="22">
        <f>SUM(N53:N64)</f>
        <v>13887.15</v>
      </c>
      <c r="O65" s="21">
        <f>M65/N65</f>
        <v>84.106301148903853</v>
      </c>
      <c r="P65" s="21">
        <f>SUM(P53:P64)</f>
        <v>75922.5</v>
      </c>
      <c r="Q65" s="22">
        <f>SUM(Q53:Q64)</f>
        <v>769</v>
      </c>
      <c r="R65" s="21">
        <f>P65/Q65</f>
        <v>98.728868660598181</v>
      </c>
      <c r="S65" s="21">
        <f>SUM(S53:S64)</f>
        <v>2438926.4300000002</v>
      </c>
      <c r="T65" s="22">
        <f>SUM(T53:T64)</f>
        <v>28525.05</v>
      </c>
      <c r="U65" s="21">
        <f>S65/T65</f>
        <v>85.501214897081695</v>
      </c>
    </row>
    <row r="66" spans="1:21" ht="23.25" customHeight="1" x14ac:dyDescent="0.25">
      <c r="A66" s="53" t="s">
        <v>22</v>
      </c>
      <c r="B66" s="54"/>
      <c r="C66" s="54"/>
      <c r="D66" s="9">
        <f>SUM(D65,D50,D34,D18)</f>
        <v>84498</v>
      </c>
      <c r="E66" s="10">
        <f>SUM(E65,E50,E34,E18)</f>
        <v>890.3</v>
      </c>
      <c r="F66" s="9">
        <f>D66/E66</f>
        <v>94.909581040098843</v>
      </c>
      <c r="G66" s="9">
        <f>SUM(G65,G50,G34,G18)</f>
        <v>2772276.86</v>
      </c>
      <c r="H66" s="10">
        <f>SUM(H65,H50,H34,H18)</f>
        <v>31974.800000000003</v>
      </c>
      <c r="I66" s="9">
        <f>G66/H66</f>
        <v>86.701929644595111</v>
      </c>
      <c r="J66" s="9">
        <f>SUM(J65,J50,J34,J18)</f>
        <v>1847798.6400000001</v>
      </c>
      <c r="K66" s="10">
        <f>SUM(K65,K50,K34,K18)</f>
        <v>21318.45</v>
      </c>
      <c r="L66" s="9">
        <f>J66/K66</f>
        <v>86.676031324979064</v>
      </c>
      <c r="M66" s="9">
        <f>SUM(M65,M50,M34,M18)</f>
        <v>4611948.25</v>
      </c>
      <c r="N66" s="10">
        <f>SUM(N65,N50,N34,N18)</f>
        <v>54009.945999999996</v>
      </c>
      <c r="O66" s="9">
        <f>M66/N66</f>
        <v>85.390721368245778</v>
      </c>
      <c r="P66" s="9">
        <f>SUM(P65,P50,P34,P18)</f>
        <v>157103.5</v>
      </c>
      <c r="Q66" s="10">
        <f>SUM(Q65,Q50,Q34,Q18)</f>
        <v>1431.3</v>
      </c>
      <c r="R66" s="9">
        <f>P66/Q66</f>
        <v>109.7628030461818</v>
      </c>
      <c r="S66" s="9">
        <f>SUM(S65,S50,S34,S18)</f>
        <v>9473625.25</v>
      </c>
      <c r="T66" s="10">
        <f>SUM(T65,T50,T34,T18)</f>
        <v>109624.796</v>
      </c>
      <c r="U66" s="9">
        <f>S66/T66</f>
        <v>86.41863515987751</v>
      </c>
    </row>
  </sheetData>
  <mergeCells count="57">
    <mergeCell ref="M3:O3"/>
    <mergeCell ref="P3:R3"/>
    <mergeCell ref="S3:U3"/>
    <mergeCell ref="A5:A17"/>
    <mergeCell ref="B5:B8"/>
    <mergeCell ref="B9:B12"/>
    <mergeCell ref="B13:B17"/>
    <mergeCell ref="A3:A4"/>
    <mergeCell ref="B3:B4"/>
    <mergeCell ref="C3:C4"/>
    <mergeCell ref="D3:F3"/>
    <mergeCell ref="G3:I3"/>
    <mergeCell ref="J3:L3"/>
    <mergeCell ref="A18:C18"/>
    <mergeCell ref="A19:A20"/>
    <mergeCell ref="B19:B20"/>
    <mergeCell ref="C19:C20"/>
    <mergeCell ref="D19:F19"/>
    <mergeCell ref="S19:U19"/>
    <mergeCell ref="A21:A33"/>
    <mergeCell ref="B21:B24"/>
    <mergeCell ref="B25:B28"/>
    <mergeCell ref="B29:B33"/>
    <mergeCell ref="G19:I19"/>
    <mergeCell ref="A66:C66"/>
    <mergeCell ref="A34:C34"/>
    <mergeCell ref="J19:L19"/>
    <mergeCell ref="M19:O19"/>
    <mergeCell ref="P19:R19"/>
    <mergeCell ref="A35:A36"/>
    <mergeCell ref="B35:B36"/>
    <mergeCell ref="C35:C36"/>
    <mergeCell ref="D35:F35"/>
    <mergeCell ref="G35:I35"/>
    <mergeCell ref="J35:L35"/>
    <mergeCell ref="M35:O35"/>
    <mergeCell ref="P35:R35"/>
    <mergeCell ref="A50:C50"/>
    <mergeCell ref="A51:A52"/>
    <mergeCell ref="B51:B52"/>
    <mergeCell ref="S35:U35"/>
    <mergeCell ref="A37:A49"/>
    <mergeCell ref="B37:B40"/>
    <mergeCell ref="B41:B44"/>
    <mergeCell ref="B45:B49"/>
    <mergeCell ref="A65:C65"/>
    <mergeCell ref="P51:R51"/>
    <mergeCell ref="S51:U51"/>
    <mergeCell ref="A53:A64"/>
    <mergeCell ref="B53:B56"/>
    <mergeCell ref="B57:B60"/>
    <mergeCell ref="B61:B64"/>
    <mergeCell ref="C51:C52"/>
    <mergeCell ref="D51:F51"/>
    <mergeCell ref="G51:I51"/>
    <mergeCell ref="J51:L51"/>
    <mergeCell ref="M51:O51"/>
  </mergeCells>
  <printOptions horizontalCentered="1"/>
  <pageMargins left="0.7" right="0.7" top="0.75" bottom="0.75" header="0.3" footer="0.3"/>
  <pageSetup paperSize="17" scale="88" orientation="landscape" r:id="rId1"/>
  <headerFooter>
    <oddHeader>&amp;C&amp;"Arial Black,Regular"&amp;16 2020 SALES REPORT
&amp;12SALESMAN PERFORMANCE</oddHeader>
    <oddFooter>&amp;L&amp;Z&amp;F&amp;R&amp;D</oddFooter>
  </headerFooter>
  <rowBreaks count="1" manualBreakCount="1">
    <brk id="34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AE77-62AA-49C2-9101-3BFEB74797C8}">
  <sheetPr codeName="Sheet3"/>
  <dimension ref="B2:V79"/>
  <sheetViews>
    <sheetView view="pageBreakPreview" zoomScale="85" zoomScaleNormal="130" zoomScaleSheetLayoutView="85" workbookViewId="0">
      <pane xSplit="3" ySplit="3" topLeftCell="F4" activePane="bottomRight" state="frozen"/>
      <selection pane="topRight" activeCell="C1" sqref="C1"/>
      <selection pane="bottomLeft" activeCell="A5" sqref="A5"/>
      <selection pane="bottomRight" activeCell="T79" sqref="T79"/>
    </sheetView>
  </sheetViews>
  <sheetFormatPr defaultRowHeight="15" x14ac:dyDescent="0.25"/>
  <cols>
    <col min="1" max="1" width="0.85546875" customWidth="1"/>
    <col min="2" max="3" width="6" bestFit="1" customWidth="1"/>
    <col min="4" max="4" width="7.42578125" bestFit="1" customWidth="1"/>
    <col min="5" max="5" width="16.140625" style="2" customWidth="1"/>
    <col min="6" max="6" width="10.42578125" style="4" customWidth="1"/>
    <col min="7" max="7" width="9.28515625" style="2" customWidth="1"/>
    <col min="8" max="8" width="16.140625" style="2" customWidth="1"/>
    <col min="9" max="9" width="10.42578125" style="4" customWidth="1"/>
    <col min="10" max="10" width="9.28515625" style="2" customWidth="1"/>
    <col min="11" max="11" width="16.140625" style="2" customWidth="1"/>
    <col min="12" max="12" width="10.42578125" style="4" customWidth="1"/>
    <col min="13" max="13" width="9.28515625" style="2" customWidth="1"/>
    <col min="14" max="14" width="16.140625" style="2" customWidth="1"/>
    <col min="15" max="15" width="10.42578125" style="4" customWidth="1"/>
    <col min="16" max="16" width="9.28515625" style="2" customWidth="1"/>
    <col min="17" max="17" width="16.140625" style="2" customWidth="1"/>
    <col min="18" max="18" width="10.42578125" style="4" customWidth="1"/>
    <col min="19" max="19" width="9.28515625" style="2" customWidth="1"/>
    <col min="20" max="20" width="16.140625" style="2" customWidth="1"/>
    <col min="21" max="21" width="10.42578125" style="4" customWidth="1"/>
    <col min="22" max="22" width="9.28515625" style="2" customWidth="1"/>
    <col min="23" max="23" width="1.140625" customWidth="1"/>
  </cols>
  <sheetData>
    <row r="2" spans="2:22" x14ac:dyDescent="0.25">
      <c r="B2" s="67" t="s">
        <v>15</v>
      </c>
      <c r="C2" s="67" t="s">
        <v>10</v>
      </c>
      <c r="D2" s="67" t="s">
        <v>0</v>
      </c>
      <c r="E2" s="58" t="s">
        <v>35</v>
      </c>
      <c r="F2" s="58"/>
      <c r="G2" s="58"/>
      <c r="H2" s="58" t="s">
        <v>7</v>
      </c>
      <c r="I2" s="58"/>
      <c r="J2" s="58"/>
      <c r="K2" s="58" t="s">
        <v>27</v>
      </c>
      <c r="L2" s="58"/>
      <c r="M2" s="58"/>
      <c r="N2" s="58" t="s">
        <v>37</v>
      </c>
      <c r="O2" s="58"/>
      <c r="P2" s="58"/>
      <c r="Q2" s="58" t="s">
        <v>8</v>
      </c>
      <c r="R2" s="58"/>
      <c r="S2" s="58"/>
      <c r="T2" s="58" t="s">
        <v>9</v>
      </c>
      <c r="U2" s="58"/>
      <c r="V2" s="58"/>
    </row>
    <row r="3" spans="2:22" x14ac:dyDescent="0.25">
      <c r="B3" s="67"/>
      <c r="C3" s="67"/>
      <c r="D3" s="67"/>
      <c r="E3" s="1" t="s">
        <v>1</v>
      </c>
      <c r="F3" s="3" t="s">
        <v>2</v>
      </c>
      <c r="G3" s="1" t="s">
        <v>3</v>
      </c>
      <c r="H3" s="1" t="s">
        <v>1</v>
      </c>
      <c r="I3" s="3" t="s">
        <v>2</v>
      </c>
      <c r="J3" s="1" t="s">
        <v>3</v>
      </c>
      <c r="K3" s="1" t="s">
        <v>1</v>
      </c>
      <c r="L3" s="3" t="s">
        <v>2</v>
      </c>
      <c r="M3" s="1" t="s">
        <v>3</v>
      </c>
      <c r="N3" s="1" t="s">
        <v>1</v>
      </c>
      <c r="O3" s="3" t="s">
        <v>2</v>
      </c>
      <c r="P3" s="1" t="s">
        <v>3</v>
      </c>
      <c r="Q3" s="1" t="s">
        <v>1</v>
      </c>
      <c r="R3" s="3" t="s">
        <v>2</v>
      </c>
      <c r="S3" s="1" t="s">
        <v>3</v>
      </c>
      <c r="T3" s="1" t="s">
        <v>1</v>
      </c>
      <c r="U3" s="3" t="s">
        <v>2</v>
      </c>
      <c r="V3" s="1" t="s">
        <v>3</v>
      </c>
    </row>
    <row r="4" spans="2:22" ht="23.25" customHeight="1" x14ac:dyDescent="0.25">
      <c r="B4" s="59" t="s">
        <v>16</v>
      </c>
      <c r="C4" s="59" t="s">
        <v>11</v>
      </c>
      <c r="D4" s="11">
        <v>44202</v>
      </c>
      <c r="E4" s="14"/>
      <c r="F4" s="17"/>
      <c r="G4" s="14"/>
      <c r="H4" s="13">
        <v>9935</v>
      </c>
      <c r="I4" s="16">
        <v>111.5</v>
      </c>
      <c r="J4" s="13">
        <f t="shared" ref="J4:J18" si="0">H4/I4</f>
        <v>89.103139013452918</v>
      </c>
      <c r="K4" s="13">
        <v>8257.5</v>
      </c>
      <c r="L4" s="16">
        <v>83.8</v>
      </c>
      <c r="M4" s="13">
        <f t="shared" ref="M4:M17" si="1">K4/L4</f>
        <v>98.538186157517899</v>
      </c>
      <c r="N4" s="13">
        <v>22741</v>
      </c>
      <c r="O4" s="16">
        <v>427.8</v>
      </c>
      <c r="P4" s="13">
        <f t="shared" ref="P4:P18" si="2">N4/O4</f>
        <v>53.158017765310895</v>
      </c>
      <c r="Q4" s="14"/>
      <c r="R4" s="17"/>
      <c r="S4" s="14"/>
      <c r="T4" s="13">
        <f t="shared" ref="T4:U17" si="3">SUM(E4,H4,K4,N4,Q4)</f>
        <v>40933.5</v>
      </c>
      <c r="U4" s="16">
        <f t="shared" si="3"/>
        <v>623.1</v>
      </c>
      <c r="V4" s="13">
        <f t="shared" ref="V4:V17" si="4">T4/U4</f>
        <v>65.693307655272022</v>
      </c>
    </row>
    <row r="5" spans="2:22" ht="23.25" customHeight="1" x14ac:dyDescent="0.25">
      <c r="B5" s="60"/>
      <c r="C5" s="60"/>
      <c r="D5" s="11">
        <v>44209</v>
      </c>
      <c r="E5" s="14"/>
      <c r="F5" s="17"/>
      <c r="G5" s="14"/>
      <c r="H5" s="13">
        <v>223716.25</v>
      </c>
      <c r="I5" s="16">
        <v>2022.8</v>
      </c>
      <c r="J5" s="13">
        <f t="shared" si="0"/>
        <v>110.59731560213565</v>
      </c>
      <c r="K5" s="13">
        <v>31839.75</v>
      </c>
      <c r="L5" s="16">
        <v>320.3</v>
      </c>
      <c r="M5" s="13">
        <f t="shared" si="1"/>
        <v>99.406025600999058</v>
      </c>
      <c r="N5" s="13">
        <v>106822.43</v>
      </c>
      <c r="O5" s="16">
        <v>1112.5</v>
      </c>
      <c r="P5" s="13">
        <f t="shared" si="2"/>
        <v>96.020161797752806</v>
      </c>
      <c r="Q5" s="13">
        <v>8235</v>
      </c>
      <c r="R5" s="16">
        <v>110</v>
      </c>
      <c r="S5" s="13">
        <f t="shared" ref="S5:S17" si="5">Q5/R5</f>
        <v>74.86363636363636</v>
      </c>
      <c r="T5" s="13">
        <f t="shared" si="3"/>
        <v>370613.43</v>
      </c>
      <c r="U5" s="16">
        <f t="shared" si="3"/>
        <v>3565.6</v>
      </c>
      <c r="V5" s="13">
        <f t="shared" si="4"/>
        <v>103.94139275297285</v>
      </c>
    </row>
    <row r="6" spans="2:22" ht="23.25" customHeight="1" x14ac:dyDescent="0.25">
      <c r="B6" s="60"/>
      <c r="C6" s="60"/>
      <c r="D6" s="11">
        <v>44216</v>
      </c>
      <c r="E6" s="14"/>
      <c r="F6" s="17"/>
      <c r="G6" s="14"/>
      <c r="H6" s="13">
        <v>76941.75</v>
      </c>
      <c r="I6" s="16">
        <v>867</v>
      </c>
      <c r="J6" s="13">
        <f t="shared" si="0"/>
        <v>88.744809688581313</v>
      </c>
      <c r="K6" s="13">
        <v>18915</v>
      </c>
      <c r="L6" s="16">
        <v>213</v>
      </c>
      <c r="M6" s="13">
        <f t="shared" si="1"/>
        <v>88.802816901408448</v>
      </c>
      <c r="N6" s="13">
        <v>8226.7999999999993</v>
      </c>
      <c r="O6" s="16">
        <v>87.5</v>
      </c>
      <c r="P6" s="13">
        <f t="shared" si="2"/>
        <v>94.020571428571415</v>
      </c>
      <c r="Q6" s="13">
        <v>14420</v>
      </c>
      <c r="R6" s="16">
        <v>158.5</v>
      </c>
      <c r="S6" s="13">
        <f t="shared" si="5"/>
        <v>90.977917981072551</v>
      </c>
      <c r="T6" s="13">
        <f t="shared" si="3"/>
        <v>118503.55</v>
      </c>
      <c r="U6" s="16">
        <f t="shared" si="3"/>
        <v>1326</v>
      </c>
      <c r="V6" s="13">
        <f t="shared" si="4"/>
        <v>89.369193061840122</v>
      </c>
    </row>
    <row r="7" spans="2:22" ht="23.25" customHeight="1" x14ac:dyDescent="0.25">
      <c r="B7" s="60"/>
      <c r="C7" s="60"/>
      <c r="D7" s="12">
        <v>44223</v>
      </c>
      <c r="E7" s="13">
        <v>10720</v>
      </c>
      <c r="F7" s="16">
        <v>95.5</v>
      </c>
      <c r="G7" s="13">
        <f t="shared" ref="G7:G18" si="6">E7/F7</f>
        <v>112.25130890052355</v>
      </c>
      <c r="H7" s="13">
        <v>104993</v>
      </c>
      <c r="I7" s="16">
        <v>1044.5</v>
      </c>
      <c r="J7" s="13">
        <f t="shared" si="0"/>
        <v>100.51986596457635</v>
      </c>
      <c r="K7" s="13">
        <v>15468</v>
      </c>
      <c r="L7" s="16">
        <v>171.5</v>
      </c>
      <c r="M7" s="13">
        <f t="shared" si="1"/>
        <v>90.192419825072889</v>
      </c>
      <c r="N7" s="13">
        <v>136138.51999999999</v>
      </c>
      <c r="O7" s="16">
        <v>1536</v>
      </c>
      <c r="P7" s="13">
        <f t="shared" si="2"/>
        <v>88.631848958333322</v>
      </c>
      <c r="Q7" s="14"/>
      <c r="R7" s="17"/>
      <c r="S7" s="14"/>
      <c r="T7" s="13">
        <f t="shared" si="3"/>
        <v>267319.52</v>
      </c>
      <c r="U7" s="16">
        <f t="shared" si="3"/>
        <v>2847.5</v>
      </c>
      <c r="V7" s="13">
        <f t="shared" si="4"/>
        <v>93.878672519754176</v>
      </c>
    </row>
    <row r="8" spans="2:22" ht="23.25" customHeight="1" x14ac:dyDescent="0.25">
      <c r="B8" s="60"/>
      <c r="C8" s="63" t="s">
        <v>36</v>
      </c>
      <c r="D8" s="64"/>
      <c r="E8" s="30">
        <f>SUM(E4:E7)</f>
        <v>10720</v>
      </c>
      <c r="F8" s="31">
        <f>SUM(F4:F7)</f>
        <v>95.5</v>
      </c>
      <c r="G8" s="30">
        <f>E8/F8</f>
        <v>112.25130890052355</v>
      </c>
      <c r="H8" s="30">
        <f>SUM(H4:H7)</f>
        <v>415586</v>
      </c>
      <c r="I8" s="31">
        <f>SUM(I4:I7)</f>
        <v>4045.8</v>
      </c>
      <c r="J8" s="30">
        <f>H8/I8</f>
        <v>102.72035196994413</v>
      </c>
      <c r="K8" s="30">
        <f>SUM(K4:K7)</f>
        <v>74480.25</v>
      </c>
      <c r="L8" s="31">
        <f>SUM(L4:L7)</f>
        <v>788.6</v>
      </c>
      <c r="M8" s="30">
        <f>K8/L8</f>
        <v>94.446170428607658</v>
      </c>
      <c r="N8" s="30">
        <f>SUM(N4:N7)</f>
        <v>273928.75</v>
      </c>
      <c r="O8" s="31">
        <f>SUM(O4:O7)</f>
        <v>3163.8</v>
      </c>
      <c r="P8" s="30">
        <f>N8/O8</f>
        <v>86.582195461154299</v>
      </c>
      <c r="Q8" s="30">
        <f>SUM(Q4:Q7)</f>
        <v>22655</v>
      </c>
      <c r="R8" s="31">
        <f>SUM(R4:R7)</f>
        <v>268.5</v>
      </c>
      <c r="S8" s="30">
        <f>Q8/R8</f>
        <v>84.376163873370572</v>
      </c>
      <c r="T8" s="30">
        <f>SUM(T4:T7)</f>
        <v>797370</v>
      </c>
      <c r="U8" s="31">
        <f>SUM(U4:U7)</f>
        <v>8362.2000000000007</v>
      </c>
      <c r="V8" s="32">
        <f>T8/U8</f>
        <v>95.354093420391749</v>
      </c>
    </row>
    <row r="9" spans="2:22" ht="23.25" customHeight="1" x14ac:dyDescent="0.25">
      <c r="B9" s="60"/>
      <c r="C9" s="59" t="s">
        <v>12</v>
      </c>
      <c r="D9" s="11">
        <v>44230</v>
      </c>
      <c r="E9" s="14"/>
      <c r="F9" s="17"/>
      <c r="G9" s="14"/>
      <c r="H9" s="13">
        <v>49645</v>
      </c>
      <c r="I9" s="16">
        <v>590.79999999999995</v>
      </c>
      <c r="J9" s="13">
        <f t="shared" si="0"/>
        <v>84.03012863913338</v>
      </c>
      <c r="K9" s="13">
        <v>11035</v>
      </c>
      <c r="L9" s="16">
        <v>117</v>
      </c>
      <c r="M9" s="13">
        <f t="shared" si="1"/>
        <v>94.316239316239319</v>
      </c>
      <c r="N9" s="13">
        <v>89549.23</v>
      </c>
      <c r="O9" s="16">
        <v>923.8</v>
      </c>
      <c r="P9" s="13">
        <f t="shared" si="2"/>
        <v>96.935732842606626</v>
      </c>
      <c r="Q9" s="14"/>
      <c r="R9" s="17"/>
      <c r="S9" s="14"/>
      <c r="T9" s="13">
        <f t="shared" si="3"/>
        <v>150229.22999999998</v>
      </c>
      <c r="U9" s="16">
        <f t="shared" si="3"/>
        <v>1631.6</v>
      </c>
      <c r="V9" s="13">
        <f t="shared" si="4"/>
        <v>92.074791615592048</v>
      </c>
    </row>
    <row r="10" spans="2:22" ht="23.25" customHeight="1" x14ac:dyDescent="0.25">
      <c r="B10" s="60"/>
      <c r="C10" s="60"/>
      <c r="D10" s="11">
        <v>44237</v>
      </c>
      <c r="E10" s="13">
        <v>20685</v>
      </c>
      <c r="F10" s="16">
        <v>171.5</v>
      </c>
      <c r="G10" s="13">
        <f t="shared" si="6"/>
        <v>120.61224489795919</v>
      </c>
      <c r="H10" s="13">
        <v>29745</v>
      </c>
      <c r="I10" s="16">
        <v>353.5</v>
      </c>
      <c r="J10" s="13">
        <f t="shared" si="0"/>
        <v>84.144271570014141</v>
      </c>
      <c r="K10" s="13">
        <v>20485</v>
      </c>
      <c r="L10" s="16">
        <v>173.5</v>
      </c>
      <c r="M10" s="13">
        <f t="shared" si="1"/>
        <v>118.06916426512969</v>
      </c>
      <c r="N10" s="13">
        <v>208227</v>
      </c>
      <c r="O10" s="16">
        <v>2448.5</v>
      </c>
      <c r="P10" s="13">
        <f t="shared" si="2"/>
        <v>85.042679191341634</v>
      </c>
      <c r="Q10" s="13">
        <v>14370</v>
      </c>
      <c r="R10" s="16">
        <v>206.5</v>
      </c>
      <c r="S10" s="13">
        <f t="shared" si="5"/>
        <v>69.58837772397095</v>
      </c>
      <c r="T10" s="13">
        <f t="shared" si="3"/>
        <v>293512</v>
      </c>
      <c r="U10" s="16">
        <f t="shared" si="3"/>
        <v>3353.5</v>
      </c>
      <c r="V10" s="13">
        <f t="shared" si="4"/>
        <v>87.524079320113316</v>
      </c>
    </row>
    <row r="11" spans="2:22" ht="23.25" customHeight="1" x14ac:dyDescent="0.25">
      <c r="B11" s="60"/>
      <c r="C11" s="60"/>
      <c r="D11" s="11">
        <v>44244</v>
      </c>
      <c r="E11" s="13">
        <v>11426</v>
      </c>
      <c r="F11" s="16">
        <v>135</v>
      </c>
      <c r="G11" s="13">
        <f t="shared" si="6"/>
        <v>84.637037037037032</v>
      </c>
      <c r="H11" s="13">
        <v>65607.25</v>
      </c>
      <c r="I11" s="16">
        <v>629</v>
      </c>
      <c r="J11" s="13">
        <f t="shared" si="0"/>
        <v>104.30405405405405</v>
      </c>
      <c r="K11" s="13">
        <v>10850</v>
      </c>
      <c r="L11" s="16">
        <v>137</v>
      </c>
      <c r="M11" s="13">
        <f t="shared" si="1"/>
        <v>79.197080291970806</v>
      </c>
      <c r="N11" s="13">
        <v>22836.74</v>
      </c>
      <c r="O11" s="16">
        <v>234</v>
      </c>
      <c r="P11" s="13">
        <f t="shared" si="2"/>
        <v>97.59290598290599</v>
      </c>
      <c r="Q11" s="14"/>
      <c r="R11" s="17"/>
      <c r="S11" s="14"/>
      <c r="T11" s="13">
        <f t="shared" si="3"/>
        <v>110719.99</v>
      </c>
      <c r="U11" s="16">
        <f t="shared" si="3"/>
        <v>1135</v>
      </c>
      <c r="V11" s="13">
        <f t="shared" si="4"/>
        <v>97.550651982378852</v>
      </c>
    </row>
    <row r="12" spans="2:22" ht="23.25" customHeight="1" x14ac:dyDescent="0.25">
      <c r="B12" s="60"/>
      <c r="C12" s="60"/>
      <c r="D12" s="11">
        <v>44251</v>
      </c>
      <c r="E12" s="14"/>
      <c r="F12" s="17"/>
      <c r="G12" s="14"/>
      <c r="H12" s="13">
        <v>36303.25</v>
      </c>
      <c r="I12" s="16">
        <v>366.8</v>
      </c>
      <c r="J12" s="13">
        <f t="shared" si="0"/>
        <v>98.972873500545248</v>
      </c>
      <c r="K12" s="13">
        <v>25305</v>
      </c>
      <c r="L12" s="16">
        <v>273</v>
      </c>
      <c r="M12" s="13">
        <f t="shared" si="1"/>
        <v>92.692307692307693</v>
      </c>
      <c r="N12" s="13">
        <v>82448.25</v>
      </c>
      <c r="O12" s="16">
        <v>866</v>
      </c>
      <c r="P12" s="13">
        <f t="shared" si="2"/>
        <v>95.205831408775978</v>
      </c>
      <c r="Q12" s="13">
        <v>485</v>
      </c>
      <c r="R12" s="16">
        <v>3</v>
      </c>
      <c r="S12" s="13">
        <f t="shared" si="5"/>
        <v>161.66666666666666</v>
      </c>
      <c r="T12" s="13">
        <f t="shared" si="3"/>
        <v>144541.5</v>
      </c>
      <c r="U12" s="16">
        <f t="shared" si="3"/>
        <v>1508.8</v>
      </c>
      <c r="V12" s="13">
        <f t="shared" si="4"/>
        <v>95.79897932131496</v>
      </c>
    </row>
    <row r="13" spans="2:22" ht="23.25" customHeight="1" x14ac:dyDescent="0.25">
      <c r="B13" s="60"/>
      <c r="C13" s="63" t="s">
        <v>36</v>
      </c>
      <c r="D13" s="64"/>
      <c r="E13" s="30">
        <f>SUM(E9:E12)</f>
        <v>32111</v>
      </c>
      <c r="F13" s="31">
        <f>SUM(F9:F12)</f>
        <v>306.5</v>
      </c>
      <c r="G13" s="30">
        <f>E13/F13</f>
        <v>104.76672104404568</v>
      </c>
      <c r="H13" s="30">
        <f>SUM(H9:H12)</f>
        <v>181300.5</v>
      </c>
      <c r="I13" s="31">
        <f>SUM(I9:I12)</f>
        <v>1940.1</v>
      </c>
      <c r="J13" s="30">
        <f>H13/I13</f>
        <v>93.449049018091856</v>
      </c>
      <c r="K13" s="30">
        <f>SUM(K9:K12)</f>
        <v>67675</v>
      </c>
      <c r="L13" s="31">
        <f>SUM(L9:L12)</f>
        <v>700.5</v>
      </c>
      <c r="M13" s="30">
        <f>K13/L13</f>
        <v>96.609564596716638</v>
      </c>
      <c r="N13" s="30">
        <f>SUM(N9:N12)</f>
        <v>403061.22</v>
      </c>
      <c r="O13" s="31">
        <f>SUM(O9:O12)</f>
        <v>4472.3</v>
      </c>
      <c r="P13" s="30">
        <f>N13/O13</f>
        <v>90.123922813764722</v>
      </c>
      <c r="Q13" s="30">
        <f>SUM(Q9:Q12)</f>
        <v>14855</v>
      </c>
      <c r="R13" s="31">
        <f>SUM(R9:R12)</f>
        <v>209.5</v>
      </c>
      <c r="S13" s="30">
        <f>Q13/R13</f>
        <v>70.906921241050114</v>
      </c>
      <c r="T13" s="30">
        <f>SUM(T9:T12)</f>
        <v>699002.72</v>
      </c>
      <c r="U13" s="31">
        <f>SUM(U9:U12)</f>
        <v>7628.9000000000005</v>
      </c>
      <c r="V13" s="32">
        <f>T13/U13</f>
        <v>91.625623615462246</v>
      </c>
    </row>
    <row r="14" spans="2:22" ht="23.25" customHeight="1" x14ac:dyDescent="0.25">
      <c r="B14" s="60"/>
      <c r="C14" s="59" t="s">
        <v>13</v>
      </c>
      <c r="D14" s="11">
        <v>44258</v>
      </c>
      <c r="E14" s="13">
        <v>9715</v>
      </c>
      <c r="F14" s="16">
        <v>99</v>
      </c>
      <c r="G14" s="13">
        <f t="shared" si="6"/>
        <v>98.131313131313135</v>
      </c>
      <c r="H14" s="13">
        <v>90277.75</v>
      </c>
      <c r="I14" s="16">
        <v>1110</v>
      </c>
      <c r="J14" s="13">
        <f t="shared" si="0"/>
        <v>81.331306306306303</v>
      </c>
      <c r="K14" s="13">
        <v>4530</v>
      </c>
      <c r="L14" s="16">
        <v>56.5</v>
      </c>
      <c r="M14" s="13">
        <f t="shared" si="1"/>
        <v>80.176991150442475</v>
      </c>
      <c r="N14" s="13">
        <v>139028.5</v>
      </c>
      <c r="O14" s="16">
        <v>1758.3</v>
      </c>
      <c r="P14" s="13">
        <f t="shared" si="2"/>
        <v>79.069840186543829</v>
      </c>
      <c r="Q14" s="14"/>
      <c r="R14" s="17"/>
      <c r="S14" s="14"/>
      <c r="T14" s="13">
        <f t="shared" si="3"/>
        <v>243551.25</v>
      </c>
      <c r="U14" s="16">
        <f t="shared" si="3"/>
        <v>3023.8</v>
      </c>
      <c r="V14" s="13">
        <f t="shared" si="4"/>
        <v>80.544761558304117</v>
      </c>
    </row>
    <row r="15" spans="2:22" ht="23.25" customHeight="1" x14ac:dyDescent="0.25">
      <c r="B15" s="60"/>
      <c r="C15" s="60"/>
      <c r="D15" s="11">
        <v>44265</v>
      </c>
      <c r="E15" s="14"/>
      <c r="F15" s="17"/>
      <c r="G15" s="14"/>
      <c r="H15" s="13">
        <v>43600</v>
      </c>
      <c r="I15" s="16">
        <v>477</v>
      </c>
      <c r="J15" s="13">
        <f t="shared" si="0"/>
        <v>91.404612159329147</v>
      </c>
      <c r="K15" s="13">
        <v>15530</v>
      </c>
      <c r="L15" s="16">
        <v>133.30000000000001</v>
      </c>
      <c r="M15" s="13">
        <f t="shared" si="1"/>
        <v>116.50412603150787</v>
      </c>
      <c r="N15" s="13">
        <v>123486</v>
      </c>
      <c r="O15" s="16">
        <v>1535.5</v>
      </c>
      <c r="P15" s="13">
        <f t="shared" si="2"/>
        <v>80.420709866492999</v>
      </c>
      <c r="Q15" s="14"/>
      <c r="R15" s="17"/>
      <c r="S15" s="14"/>
      <c r="T15" s="13">
        <f t="shared" si="3"/>
        <v>182616</v>
      </c>
      <c r="U15" s="16">
        <f t="shared" si="3"/>
        <v>2145.8000000000002</v>
      </c>
      <c r="V15" s="13">
        <f t="shared" si="4"/>
        <v>85.103923944449619</v>
      </c>
    </row>
    <row r="16" spans="2:22" ht="23.25" customHeight="1" x14ac:dyDescent="0.25">
      <c r="B16" s="60"/>
      <c r="C16" s="60"/>
      <c r="D16" s="11">
        <v>44272</v>
      </c>
      <c r="E16" s="13">
        <v>21062.5</v>
      </c>
      <c r="F16" s="16">
        <v>215</v>
      </c>
      <c r="G16" s="13">
        <f t="shared" si="6"/>
        <v>97.965116279069761</v>
      </c>
      <c r="H16" s="13">
        <v>76857</v>
      </c>
      <c r="I16" s="16">
        <v>977.8</v>
      </c>
      <c r="J16" s="13">
        <f t="shared" si="0"/>
        <v>78.601963591736549</v>
      </c>
      <c r="K16" s="13">
        <v>2887.75</v>
      </c>
      <c r="L16" s="16">
        <v>31.5</v>
      </c>
      <c r="M16" s="13">
        <f t="shared" si="1"/>
        <v>91.674603174603178</v>
      </c>
      <c r="N16" s="13">
        <v>8826</v>
      </c>
      <c r="O16" s="16">
        <v>70</v>
      </c>
      <c r="P16" s="13">
        <f t="shared" si="2"/>
        <v>126.08571428571429</v>
      </c>
      <c r="Q16" s="14"/>
      <c r="R16" s="17"/>
      <c r="S16" s="14"/>
      <c r="T16" s="13">
        <f t="shared" si="3"/>
        <v>109633.25</v>
      </c>
      <c r="U16" s="16">
        <f t="shared" si="3"/>
        <v>1294.3</v>
      </c>
      <c r="V16" s="13">
        <f t="shared" si="4"/>
        <v>84.704666615158771</v>
      </c>
    </row>
    <row r="17" spans="2:22" ht="23.25" customHeight="1" x14ac:dyDescent="0.25">
      <c r="B17" s="60"/>
      <c r="C17" s="60"/>
      <c r="D17" s="11">
        <v>44279</v>
      </c>
      <c r="E17" s="14"/>
      <c r="F17" s="17"/>
      <c r="G17" s="14"/>
      <c r="H17" s="13">
        <v>47850</v>
      </c>
      <c r="I17" s="16">
        <v>475.5</v>
      </c>
      <c r="J17" s="13">
        <f t="shared" si="0"/>
        <v>100.63091482649843</v>
      </c>
      <c r="K17" s="13">
        <v>675</v>
      </c>
      <c r="L17" s="16">
        <v>4.5</v>
      </c>
      <c r="M17" s="13">
        <f t="shared" si="1"/>
        <v>150</v>
      </c>
      <c r="N17" s="13">
        <v>93741.52</v>
      </c>
      <c r="O17" s="16">
        <v>959</v>
      </c>
      <c r="P17" s="13">
        <f t="shared" si="2"/>
        <v>97.749238790406679</v>
      </c>
      <c r="Q17" s="13">
        <v>9560</v>
      </c>
      <c r="R17" s="16">
        <v>99</v>
      </c>
      <c r="S17" s="13">
        <f t="shared" si="5"/>
        <v>96.565656565656568</v>
      </c>
      <c r="T17" s="13">
        <f t="shared" si="3"/>
        <v>151826.52000000002</v>
      </c>
      <c r="U17" s="16">
        <f t="shared" si="3"/>
        <v>1538</v>
      </c>
      <c r="V17" s="13">
        <f t="shared" si="4"/>
        <v>98.716853055916786</v>
      </c>
    </row>
    <row r="18" spans="2:22" ht="23.25" customHeight="1" x14ac:dyDescent="0.25">
      <c r="B18" s="60"/>
      <c r="C18" s="35"/>
      <c r="D18" s="11">
        <v>44286</v>
      </c>
      <c r="E18" s="13">
        <v>3410</v>
      </c>
      <c r="F18" s="16">
        <v>41.5</v>
      </c>
      <c r="G18" s="13">
        <f t="shared" si="6"/>
        <v>82.168674698795186</v>
      </c>
      <c r="H18" s="13">
        <v>72035</v>
      </c>
      <c r="I18" s="16">
        <v>728.8</v>
      </c>
      <c r="J18" s="13">
        <f t="shared" si="0"/>
        <v>98.840559824368825</v>
      </c>
      <c r="K18" s="14"/>
      <c r="L18" s="17"/>
      <c r="M18" s="14"/>
      <c r="N18" s="13">
        <v>104087.27</v>
      </c>
      <c r="O18" s="16">
        <v>1049.5</v>
      </c>
      <c r="P18" s="13">
        <f t="shared" si="2"/>
        <v>99.177960933777996</v>
      </c>
      <c r="Q18" s="14"/>
      <c r="R18" s="17"/>
      <c r="S18" s="14"/>
      <c r="T18" s="13">
        <f t="shared" ref="T18" si="7">SUM(E18,H18,K18,N18,Q18)</f>
        <v>179532.27000000002</v>
      </c>
      <c r="U18" s="16">
        <f t="shared" ref="U18" si="8">SUM(F18,I18,L18,O18,R18)</f>
        <v>1819.8</v>
      </c>
      <c r="V18" s="13">
        <f t="shared" ref="V18" si="9">T18/U18</f>
        <v>98.654945598417427</v>
      </c>
    </row>
    <row r="19" spans="2:22" ht="23.25" customHeight="1" x14ac:dyDescent="0.25">
      <c r="B19" s="61"/>
      <c r="C19" s="63" t="s">
        <v>36</v>
      </c>
      <c r="D19" s="64"/>
      <c r="E19" s="30">
        <f>SUM(E14:E18)</f>
        <v>34187.5</v>
      </c>
      <c r="F19" s="31">
        <f>SUM(F14:F18)</f>
        <v>355.5</v>
      </c>
      <c r="G19" s="30">
        <f>E19/F19</f>
        <v>96.167369901547119</v>
      </c>
      <c r="H19" s="30">
        <f>SUM(H14:H18)</f>
        <v>330619.75</v>
      </c>
      <c r="I19" s="31">
        <f>SUM(I14:I18)</f>
        <v>3769.1000000000004</v>
      </c>
      <c r="J19" s="30">
        <f>H19/I19</f>
        <v>87.718487172003918</v>
      </c>
      <c r="K19" s="30">
        <f>SUM(K14:K18)</f>
        <v>23622.75</v>
      </c>
      <c r="L19" s="31">
        <f>SUM(L14:L18)</f>
        <v>225.8</v>
      </c>
      <c r="M19" s="30">
        <f>K19/L19</f>
        <v>104.61802480070858</v>
      </c>
      <c r="N19" s="30">
        <f>SUM(N14:N18)</f>
        <v>469169.29000000004</v>
      </c>
      <c r="O19" s="31">
        <f>SUM(O14:O18)</f>
        <v>5372.3</v>
      </c>
      <c r="P19" s="30">
        <f>N19/O19</f>
        <v>87.331178452431928</v>
      </c>
      <c r="Q19" s="30">
        <f>SUM(Q14:Q18)</f>
        <v>9560</v>
      </c>
      <c r="R19" s="31">
        <f>SUM(R14:R18)</f>
        <v>99</v>
      </c>
      <c r="S19" s="30">
        <f>Q19/R19</f>
        <v>96.565656565656568</v>
      </c>
      <c r="T19" s="30">
        <f>SUM(T14:T18)</f>
        <v>867159.29</v>
      </c>
      <c r="U19" s="31">
        <f>SUM(U14:U18)</f>
        <v>9821.7000000000007</v>
      </c>
      <c r="V19" s="32">
        <f>T19/U19</f>
        <v>88.290142236069116</v>
      </c>
    </row>
    <row r="20" spans="2:22" ht="39" customHeight="1" x14ac:dyDescent="0.25">
      <c r="B20" s="68" t="s">
        <v>20</v>
      </c>
      <c r="C20" s="68"/>
      <c r="D20" s="68"/>
      <c r="E20" s="33">
        <f>SUM(E19,E13,E8)</f>
        <v>77018.5</v>
      </c>
      <c r="F20" s="34">
        <f>SUM(F19,F13,F8)</f>
        <v>757.5</v>
      </c>
      <c r="G20" s="33">
        <f>E20/F20</f>
        <v>101.67458745874588</v>
      </c>
      <c r="H20" s="33">
        <f t="shared" ref="H20:I20" si="10">SUM(H19,H13,H8)</f>
        <v>927506.25</v>
      </c>
      <c r="I20" s="34">
        <f t="shared" si="10"/>
        <v>9755</v>
      </c>
      <c r="J20" s="33">
        <f>H20/I20</f>
        <v>95.080087134802667</v>
      </c>
      <c r="K20" s="33">
        <f t="shared" ref="K20:L20" si="11">SUM(K19,K13,K8)</f>
        <v>165778</v>
      </c>
      <c r="L20" s="34">
        <f t="shared" si="11"/>
        <v>1714.9</v>
      </c>
      <c r="M20" s="33">
        <f>K20/L20</f>
        <v>96.669193538981858</v>
      </c>
      <c r="N20" s="33">
        <f t="shared" ref="N20:O20" si="12">SUM(N19,N13,N8)</f>
        <v>1146159.26</v>
      </c>
      <c r="O20" s="34">
        <f t="shared" si="12"/>
        <v>13008.400000000001</v>
      </c>
      <c r="P20" s="33">
        <f>N20/O20</f>
        <v>88.10916484732941</v>
      </c>
      <c r="Q20" s="33">
        <f t="shared" ref="Q20:R20" si="13">SUM(Q19,Q13,Q8)</f>
        <v>47070</v>
      </c>
      <c r="R20" s="34">
        <f t="shared" si="13"/>
        <v>577</v>
      </c>
      <c r="S20" s="33">
        <f>Q20/R20</f>
        <v>81.577123050259971</v>
      </c>
      <c r="T20" s="33">
        <f>SUM(T19,T13,T8)</f>
        <v>2363532.0099999998</v>
      </c>
      <c r="U20" s="34">
        <f>SUM(U19,U13,U8)</f>
        <v>25812.800000000003</v>
      </c>
      <c r="V20" s="33">
        <f>T20/U20</f>
        <v>91.564340559722282</v>
      </c>
    </row>
    <row r="21" spans="2:22" x14ac:dyDescent="0.25">
      <c r="B21" s="67" t="s">
        <v>15</v>
      </c>
      <c r="C21" s="67" t="s">
        <v>10</v>
      </c>
      <c r="D21" s="67" t="s">
        <v>0</v>
      </c>
      <c r="E21" s="58" t="s">
        <v>35</v>
      </c>
      <c r="F21" s="58"/>
      <c r="G21" s="58"/>
      <c r="H21" s="58" t="s">
        <v>7</v>
      </c>
      <c r="I21" s="58"/>
      <c r="J21" s="58"/>
      <c r="K21" s="58" t="s">
        <v>27</v>
      </c>
      <c r="L21" s="58"/>
      <c r="M21" s="58"/>
      <c r="N21" s="58" t="s">
        <v>37</v>
      </c>
      <c r="O21" s="58"/>
      <c r="P21" s="58"/>
      <c r="Q21" s="58" t="s">
        <v>8</v>
      </c>
      <c r="R21" s="58"/>
      <c r="S21" s="58"/>
      <c r="T21" s="58" t="s">
        <v>9</v>
      </c>
      <c r="U21" s="58"/>
      <c r="V21" s="58"/>
    </row>
    <row r="22" spans="2:22" x14ac:dyDescent="0.25">
      <c r="B22" s="67"/>
      <c r="C22" s="67"/>
      <c r="D22" s="67"/>
      <c r="E22" s="1" t="s">
        <v>1</v>
      </c>
      <c r="F22" s="3" t="s">
        <v>2</v>
      </c>
      <c r="G22" s="1" t="s">
        <v>3</v>
      </c>
      <c r="H22" s="1" t="s">
        <v>1</v>
      </c>
      <c r="I22" s="3" t="s">
        <v>2</v>
      </c>
      <c r="J22" s="1" t="s">
        <v>3</v>
      </c>
      <c r="K22" s="1" t="s">
        <v>1</v>
      </c>
      <c r="L22" s="3" t="s">
        <v>2</v>
      </c>
      <c r="M22" s="1" t="s">
        <v>3</v>
      </c>
      <c r="N22" s="1" t="s">
        <v>1</v>
      </c>
      <c r="O22" s="3" t="s">
        <v>2</v>
      </c>
      <c r="P22" s="1" t="s">
        <v>3</v>
      </c>
      <c r="Q22" s="1" t="s">
        <v>1</v>
      </c>
      <c r="R22" s="3" t="s">
        <v>2</v>
      </c>
      <c r="S22" s="1" t="s">
        <v>3</v>
      </c>
      <c r="T22" s="1" t="s">
        <v>1</v>
      </c>
      <c r="U22" s="3" t="s">
        <v>2</v>
      </c>
      <c r="V22" s="1" t="s">
        <v>3</v>
      </c>
    </row>
    <row r="23" spans="2:22" ht="23.25" customHeight="1" x14ac:dyDescent="0.25">
      <c r="B23" s="59" t="s">
        <v>19</v>
      </c>
      <c r="C23" s="62" t="s">
        <v>14</v>
      </c>
      <c r="D23" s="11">
        <v>44294</v>
      </c>
      <c r="E23" s="5"/>
      <c r="F23" s="6"/>
      <c r="G23" s="5"/>
      <c r="H23" s="7">
        <v>183370.52</v>
      </c>
      <c r="I23" s="8">
        <v>1888.5</v>
      </c>
      <c r="J23" s="7">
        <f t="shared" ref="J23:J37" si="14">H23/I23</f>
        <v>97.098501456182149</v>
      </c>
      <c r="K23" s="5"/>
      <c r="L23" s="6"/>
      <c r="M23" s="5"/>
      <c r="N23" s="7">
        <v>18566.38</v>
      </c>
      <c r="O23" s="8">
        <v>177.5</v>
      </c>
      <c r="P23" s="7">
        <f t="shared" ref="P23:P37" si="15">N23/O23</f>
        <v>104.59932394366197</v>
      </c>
      <c r="Q23" s="7">
        <v>6740</v>
      </c>
      <c r="R23" s="8">
        <v>74</v>
      </c>
      <c r="S23" s="7">
        <f t="shared" ref="S23:S37" si="16">Q23/R23</f>
        <v>91.081081081081081</v>
      </c>
      <c r="T23" s="7">
        <f t="shared" ref="T23:U37" si="17">SUM(E23,H23,K23,N23,Q23)</f>
        <v>208676.9</v>
      </c>
      <c r="U23" s="8">
        <f t="shared" si="17"/>
        <v>2140</v>
      </c>
      <c r="V23" s="7">
        <f t="shared" ref="V23:V37" si="18">T23/U23</f>
        <v>97.512570093457938</v>
      </c>
    </row>
    <row r="24" spans="2:22" ht="23.25" customHeight="1" x14ac:dyDescent="0.25">
      <c r="B24" s="60"/>
      <c r="C24" s="62"/>
      <c r="D24" s="11">
        <v>44301</v>
      </c>
      <c r="E24" s="7">
        <v>8265</v>
      </c>
      <c r="F24" s="8">
        <v>105</v>
      </c>
      <c r="G24" s="7">
        <f t="shared" ref="G24:G37" si="19">E24/F24</f>
        <v>78.714285714285708</v>
      </c>
      <c r="H24" s="7">
        <v>66628.75</v>
      </c>
      <c r="I24" s="8">
        <v>731.8</v>
      </c>
      <c r="J24" s="7">
        <f t="shared" si="14"/>
        <v>91.047758950532938</v>
      </c>
      <c r="K24" s="7">
        <v>4170</v>
      </c>
      <c r="L24" s="8">
        <v>41</v>
      </c>
      <c r="M24" s="7">
        <f t="shared" ref="M24:M30" si="20">K24/L24</f>
        <v>101.70731707317073</v>
      </c>
      <c r="N24" s="7">
        <v>43792.25</v>
      </c>
      <c r="O24" s="8">
        <v>511</v>
      </c>
      <c r="P24" s="7">
        <f t="shared" si="15"/>
        <v>85.699119373776909</v>
      </c>
      <c r="Q24" s="7">
        <v>58920</v>
      </c>
      <c r="R24" s="8">
        <v>691.3</v>
      </c>
      <c r="S24" s="7">
        <f t="shared" si="16"/>
        <v>85.230724721539133</v>
      </c>
      <c r="T24" s="7">
        <f t="shared" si="17"/>
        <v>181776</v>
      </c>
      <c r="U24" s="8">
        <f t="shared" si="17"/>
        <v>2080.1</v>
      </c>
      <c r="V24" s="7">
        <f t="shared" si="18"/>
        <v>87.388106341041293</v>
      </c>
    </row>
    <row r="25" spans="2:22" ht="23.25" customHeight="1" x14ac:dyDescent="0.25">
      <c r="B25" s="60"/>
      <c r="C25" s="62"/>
      <c r="D25" s="11">
        <v>44307</v>
      </c>
      <c r="E25" s="7">
        <v>7931.25</v>
      </c>
      <c r="F25" s="8">
        <v>114.5</v>
      </c>
      <c r="G25" s="7">
        <f t="shared" si="19"/>
        <v>69.268558951965062</v>
      </c>
      <c r="H25" s="7">
        <v>25387</v>
      </c>
      <c r="I25" s="8">
        <v>300.5</v>
      </c>
      <c r="J25" s="7">
        <f t="shared" si="14"/>
        <v>84.482529118136441</v>
      </c>
      <c r="K25" s="7">
        <v>4000</v>
      </c>
      <c r="L25" s="8">
        <v>45</v>
      </c>
      <c r="M25" s="7">
        <f t="shared" si="20"/>
        <v>88.888888888888886</v>
      </c>
      <c r="N25" s="7">
        <v>67355</v>
      </c>
      <c r="O25" s="8">
        <v>721.3</v>
      </c>
      <c r="P25" s="7">
        <f t="shared" si="15"/>
        <v>93.380008318314154</v>
      </c>
      <c r="Q25" s="7">
        <v>31711.25</v>
      </c>
      <c r="R25" s="8">
        <v>347.3</v>
      </c>
      <c r="S25" s="7">
        <f t="shared" si="16"/>
        <v>91.307947019867541</v>
      </c>
      <c r="T25" s="7">
        <f t="shared" si="17"/>
        <v>136384.5</v>
      </c>
      <c r="U25" s="8">
        <f t="shared" si="17"/>
        <v>1528.6</v>
      </c>
      <c r="V25" s="7">
        <f t="shared" si="18"/>
        <v>89.221836975009822</v>
      </c>
    </row>
    <row r="26" spans="2:22" ht="23.25" customHeight="1" x14ac:dyDescent="0.25">
      <c r="B26" s="60"/>
      <c r="C26" s="62"/>
      <c r="D26" s="11">
        <v>44315</v>
      </c>
      <c r="E26" s="7">
        <v>1005</v>
      </c>
      <c r="F26" s="8">
        <v>10</v>
      </c>
      <c r="G26" s="7">
        <f t="shared" si="19"/>
        <v>100.5</v>
      </c>
      <c r="H26" s="7">
        <v>31023.75</v>
      </c>
      <c r="I26" s="8">
        <v>336.3</v>
      </c>
      <c r="J26" s="7">
        <f t="shared" si="14"/>
        <v>92.250223015165034</v>
      </c>
      <c r="K26" s="7">
        <v>27690.5</v>
      </c>
      <c r="L26" s="8">
        <v>279.5</v>
      </c>
      <c r="M26" s="7">
        <f t="shared" si="20"/>
        <v>99.071556350626125</v>
      </c>
      <c r="N26" s="7">
        <v>113722.75</v>
      </c>
      <c r="O26" s="8">
        <v>1061.3</v>
      </c>
      <c r="P26" s="7">
        <f t="shared" si="15"/>
        <v>107.15419768208801</v>
      </c>
      <c r="Q26" s="7">
        <v>5900</v>
      </c>
      <c r="R26" s="8">
        <v>66</v>
      </c>
      <c r="S26" s="7">
        <f t="shared" si="16"/>
        <v>89.393939393939391</v>
      </c>
      <c r="T26" s="7">
        <f t="shared" si="17"/>
        <v>179342</v>
      </c>
      <c r="U26" s="8">
        <f t="shared" si="17"/>
        <v>1753.1</v>
      </c>
      <c r="V26" s="7">
        <f t="shared" si="18"/>
        <v>102.29992584564486</v>
      </c>
    </row>
    <row r="27" spans="2:22" ht="23.25" customHeight="1" x14ac:dyDescent="0.25">
      <c r="B27" s="60"/>
      <c r="C27" s="63" t="s">
        <v>36</v>
      </c>
      <c r="D27" s="64"/>
      <c r="E27" s="30">
        <f>SUM(E23:E26)</f>
        <v>17201.25</v>
      </c>
      <c r="F27" s="31">
        <f>SUM(F23:F26)</f>
        <v>229.5</v>
      </c>
      <c r="G27" s="30">
        <f>E27/F27</f>
        <v>74.950980392156865</v>
      </c>
      <c r="H27" s="30">
        <f>SUM(H23:H26)</f>
        <v>306410.02</v>
      </c>
      <c r="I27" s="31">
        <f>SUM(I23:I26)</f>
        <v>3257.1000000000004</v>
      </c>
      <c r="J27" s="30">
        <f>H27/I27</f>
        <v>94.074489576617225</v>
      </c>
      <c r="K27" s="30">
        <f>SUM(K23:K26)</f>
        <v>35860.5</v>
      </c>
      <c r="L27" s="31">
        <f>SUM(L23:L26)</f>
        <v>365.5</v>
      </c>
      <c r="M27" s="30">
        <f>K27/L27</f>
        <v>98.113543091655274</v>
      </c>
      <c r="N27" s="30">
        <f>SUM(N23:N26)</f>
        <v>243436.38</v>
      </c>
      <c r="O27" s="31">
        <f>SUM(O23:O26)</f>
        <v>2471.1</v>
      </c>
      <c r="P27" s="30">
        <f>N27/O27</f>
        <v>98.51336651693579</v>
      </c>
      <c r="Q27" s="30">
        <f>SUM(Q23:Q26)</f>
        <v>103271.25</v>
      </c>
      <c r="R27" s="31">
        <f>SUM(R23:R26)</f>
        <v>1178.5999999999999</v>
      </c>
      <c r="S27" s="30">
        <f>Q27/R27</f>
        <v>87.62196674020025</v>
      </c>
      <c r="T27" s="30">
        <f>SUM(T23:T26)</f>
        <v>706179.4</v>
      </c>
      <c r="U27" s="31">
        <f>SUM(U23:U26)</f>
        <v>7501.8000000000011</v>
      </c>
      <c r="V27" s="32">
        <f>T27/U27</f>
        <v>94.134661014689797</v>
      </c>
    </row>
    <row r="28" spans="2:22" ht="23.25" customHeight="1" x14ac:dyDescent="0.25">
      <c r="B28" s="60"/>
      <c r="C28" s="59" t="s">
        <v>17</v>
      </c>
      <c r="D28" s="11">
        <v>44321</v>
      </c>
      <c r="E28" s="7">
        <v>9156.25</v>
      </c>
      <c r="F28" s="8">
        <v>115.8</v>
      </c>
      <c r="G28" s="7">
        <f t="shared" si="19"/>
        <v>79.069516407599309</v>
      </c>
      <c r="H28" s="7">
        <v>22295</v>
      </c>
      <c r="I28" s="8">
        <v>226.8</v>
      </c>
      <c r="J28" s="7">
        <f t="shared" si="14"/>
        <v>98.302469135802468</v>
      </c>
      <c r="K28" s="5"/>
      <c r="L28" s="6"/>
      <c r="M28" s="5"/>
      <c r="N28" s="7">
        <v>82060.429999999993</v>
      </c>
      <c r="O28" s="8">
        <v>953</v>
      </c>
      <c r="P28" s="7">
        <f t="shared" si="15"/>
        <v>86.107481636935987</v>
      </c>
      <c r="Q28" s="7">
        <v>11405</v>
      </c>
      <c r="R28" s="8">
        <v>120.5</v>
      </c>
      <c r="S28" s="7">
        <f t="shared" si="16"/>
        <v>94.647302904564313</v>
      </c>
      <c r="T28" s="7">
        <f t="shared" si="17"/>
        <v>124916.68</v>
      </c>
      <c r="U28" s="8">
        <f t="shared" si="17"/>
        <v>1416.1</v>
      </c>
      <c r="V28" s="7">
        <f t="shared" si="18"/>
        <v>88.211764705882359</v>
      </c>
    </row>
    <row r="29" spans="2:22" ht="23.25" customHeight="1" x14ac:dyDescent="0.25">
      <c r="B29" s="60"/>
      <c r="C29" s="60">
        <v>7</v>
      </c>
      <c r="D29" s="11">
        <v>44328</v>
      </c>
      <c r="E29" s="7">
        <v>5525</v>
      </c>
      <c r="F29" s="8">
        <v>38</v>
      </c>
      <c r="G29" s="7">
        <f t="shared" si="19"/>
        <v>145.39473684210526</v>
      </c>
      <c r="H29" s="7">
        <v>65156</v>
      </c>
      <c r="I29" s="8">
        <v>721.8</v>
      </c>
      <c r="J29" s="7">
        <f t="shared" si="14"/>
        <v>90.268772513161551</v>
      </c>
      <c r="K29" s="5"/>
      <c r="L29" s="6"/>
      <c r="M29" s="5"/>
      <c r="N29" s="7">
        <v>68534</v>
      </c>
      <c r="O29" s="8">
        <v>658.5</v>
      </c>
      <c r="P29" s="7">
        <f t="shared" si="15"/>
        <v>104.07593014426728</v>
      </c>
      <c r="Q29" s="7">
        <v>45640</v>
      </c>
      <c r="R29" s="8">
        <v>594.5</v>
      </c>
      <c r="S29" s="7">
        <f t="shared" si="16"/>
        <v>76.770395290159797</v>
      </c>
      <c r="T29" s="7">
        <f t="shared" si="17"/>
        <v>184855</v>
      </c>
      <c r="U29" s="8">
        <f t="shared" si="17"/>
        <v>2012.8</v>
      </c>
      <c r="V29" s="7">
        <f t="shared" si="18"/>
        <v>91.839725755166938</v>
      </c>
    </row>
    <row r="30" spans="2:22" ht="23.25" customHeight="1" x14ac:dyDescent="0.25">
      <c r="B30" s="60"/>
      <c r="C30" s="60">
        <v>8</v>
      </c>
      <c r="D30" s="11">
        <v>44335</v>
      </c>
      <c r="E30" s="5"/>
      <c r="F30" s="6"/>
      <c r="G30" s="5"/>
      <c r="H30" s="7">
        <v>60478.75</v>
      </c>
      <c r="I30" s="8">
        <v>591</v>
      </c>
      <c r="J30" s="7">
        <f t="shared" si="14"/>
        <v>102.332910321489</v>
      </c>
      <c r="K30" s="7">
        <v>2800</v>
      </c>
      <c r="L30" s="8">
        <v>30</v>
      </c>
      <c r="M30" s="7">
        <f t="shared" si="20"/>
        <v>93.333333333333329</v>
      </c>
      <c r="N30" s="7">
        <v>197995.16</v>
      </c>
      <c r="O30" s="8">
        <v>2378.8000000000002</v>
      </c>
      <c r="P30" s="7">
        <f t="shared" si="15"/>
        <v>83.233210021859762</v>
      </c>
      <c r="Q30" s="7">
        <v>895</v>
      </c>
      <c r="R30" s="8">
        <v>27</v>
      </c>
      <c r="S30" s="7">
        <f t="shared" si="16"/>
        <v>33.148148148148145</v>
      </c>
      <c r="T30" s="7">
        <f t="shared" si="17"/>
        <v>262168.91000000003</v>
      </c>
      <c r="U30" s="8">
        <f t="shared" si="17"/>
        <v>3026.8</v>
      </c>
      <c r="V30" s="7">
        <f t="shared" si="18"/>
        <v>86.615868243689704</v>
      </c>
    </row>
    <row r="31" spans="2:22" ht="23.25" customHeight="1" x14ac:dyDescent="0.25">
      <c r="B31" s="60"/>
      <c r="C31" s="60">
        <v>9</v>
      </c>
      <c r="D31" s="11">
        <v>44342</v>
      </c>
      <c r="E31" s="7">
        <v>20234</v>
      </c>
      <c r="F31" s="8">
        <v>221</v>
      </c>
      <c r="G31" s="7">
        <f t="shared" si="19"/>
        <v>91.556561085972845</v>
      </c>
      <c r="H31" s="7">
        <v>133673.76</v>
      </c>
      <c r="I31" s="8">
        <v>1432</v>
      </c>
      <c r="J31" s="7">
        <f t="shared" si="14"/>
        <v>93.347597765363133</v>
      </c>
      <c r="K31" s="5"/>
      <c r="L31" s="6"/>
      <c r="M31" s="5"/>
      <c r="N31" s="7">
        <v>70597.14</v>
      </c>
      <c r="O31" s="8">
        <v>862.8</v>
      </c>
      <c r="P31" s="7">
        <f t="shared" si="15"/>
        <v>81.82329624478443</v>
      </c>
      <c r="Q31" s="7">
        <v>21415</v>
      </c>
      <c r="R31" s="8">
        <v>233.5</v>
      </c>
      <c r="S31" s="7">
        <f t="shared" si="16"/>
        <v>91.713062098501069</v>
      </c>
      <c r="T31" s="7">
        <f t="shared" si="17"/>
        <v>245919.90000000002</v>
      </c>
      <c r="U31" s="8">
        <f t="shared" si="17"/>
        <v>2749.3</v>
      </c>
      <c r="V31" s="7">
        <f t="shared" si="18"/>
        <v>89.448186811188307</v>
      </c>
    </row>
    <row r="32" spans="2:22" ht="23.25" customHeight="1" x14ac:dyDescent="0.25">
      <c r="B32" s="60"/>
      <c r="C32" s="61"/>
      <c r="D32" s="11">
        <v>44349</v>
      </c>
      <c r="E32" s="7">
        <v>47610.62</v>
      </c>
      <c r="F32" s="8">
        <v>384</v>
      </c>
      <c r="G32" s="7">
        <f t="shared" ref="G32" si="21">E32/F32</f>
        <v>123.98598958333334</v>
      </c>
      <c r="H32" s="7">
        <v>52477</v>
      </c>
      <c r="I32" s="8">
        <v>523.5</v>
      </c>
      <c r="J32" s="7">
        <f t="shared" ref="J32" si="22">H32/I32</f>
        <v>100.24259789875836</v>
      </c>
      <c r="K32" s="7">
        <v>1105</v>
      </c>
      <c r="L32" s="8">
        <v>8</v>
      </c>
      <c r="M32" s="7">
        <f t="shared" ref="M32" si="23">K32/L32</f>
        <v>138.125</v>
      </c>
      <c r="N32" s="7">
        <v>89315.25</v>
      </c>
      <c r="O32" s="8">
        <v>1133.8</v>
      </c>
      <c r="P32" s="7">
        <f t="shared" ref="P32" si="24">N32/O32</f>
        <v>78.77513670841418</v>
      </c>
      <c r="Q32" s="7">
        <v>2580</v>
      </c>
      <c r="R32" s="8">
        <v>51</v>
      </c>
      <c r="S32" s="7">
        <f t="shared" ref="S32" si="25">Q32/R32</f>
        <v>50.588235294117645</v>
      </c>
      <c r="T32" s="7">
        <f t="shared" ref="T32" si="26">SUM(E32,H32,K32,N32,Q32)</f>
        <v>193087.87</v>
      </c>
      <c r="U32" s="8">
        <f t="shared" ref="U32" si="27">SUM(F32,I32,L32,O32,R32)</f>
        <v>2100.3000000000002</v>
      </c>
      <c r="V32" s="7">
        <f t="shared" ref="V32" si="28">T32/U32</f>
        <v>91.933471408846344</v>
      </c>
    </row>
    <row r="33" spans="2:22" ht="23.25" customHeight="1" x14ac:dyDescent="0.25">
      <c r="B33" s="60"/>
      <c r="C33" s="63" t="s">
        <v>36</v>
      </c>
      <c r="D33" s="64"/>
      <c r="E33" s="30">
        <f>SUM(E28:E32)</f>
        <v>82525.87</v>
      </c>
      <c r="F33" s="31">
        <f>SUM(F28:F32)</f>
        <v>758.8</v>
      </c>
      <c r="G33" s="30">
        <f>E33/F33</f>
        <v>108.75839483394834</v>
      </c>
      <c r="H33" s="30">
        <f t="shared" ref="H33:I33" si="29">SUM(H28:H32)</f>
        <v>334080.51</v>
      </c>
      <c r="I33" s="31">
        <f t="shared" si="29"/>
        <v>3495.1</v>
      </c>
      <c r="J33" s="30">
        <f>H33/I33</f>
        <v>95.585393837086215</v>
      </c>
      <c r="K33" s="30">
        <f t="shared" ref="K33:L33" si="30">SUM(K28:K32)</f>
        <v>3905</v>
      </c>
      <c r="L33" s="31">
        <f t="shared" si="30"/>
        <v>38</v>
      </c>
      <c r="M33" s="30">
        <f>K33/L33</f>
        <v>102.76315789473684</v>
      </c>
      <c r="N33" s="30">
        <f t="shared" ref="N33:O33" si="31">SUM(N28:N32)</f>
        <v>508501.98</v>
      </c>
      <c r="O33" s="31">
        <f t="shared" si="31"/>
        <v>5986.9000000000005</v>
      </c>
      <c r="P33" s="30">
        <f>N33/O33</f>
        <v>84.935773104611727</v>
      </c>
      <c r="Q33" s="30">
        <f t="shared" ref="Q33:R33" si="32">SUM(Q28:Q32)</f>
        <v>81935</v>
      </c>
      <c r="R33" s="31">
        <f t="shared" si="32"/>
        <v>1026.5</v>
      </c>
      <c r="S33" s="30">
        <f>Q33/R33</f>
        <v>79.81977593765221</v>
      </c>
      <c r="T33" s="30">
        <f t="shared" ref="T33:U33" si="33">SUM(T28:T32)</f>
        <v>1010948.3600000001</v>
      </c>
      <c r="U33" s="31">
        <f t="shared" si="33"/>
        <v>11305.3</v>
      </c>
      <c r="V33" s="32">
        <f>T33/U33</f>
        <v>89.422515103535531</v>
      </c>
    </row>
    <row r="34" spans="2:22" ht="23.25" customHeight="1" x14ac:dyDescent="0.25">
      <c r="B34" s="60"/>
      <c r="C34" s="59" t="s">
        <v>18</v>
      </c>
      <c r="D34" s="11">
        <v>44356</v>
      </c>
      <c r="E34" s="7">
        <v>28844</v>
      </c>
      <c r="F34" s="8">
        <v>261.5</v>
      </c>
      <c r="G34" s="7">
        <v>110.30210325047801</v>
      </c>
      <c r="H34" s="7">
        <v>70756.25</v>
      </c>
      <c r="I34" s="8">
        <v>1077.3</v>
      </c>
      <c r="J34" s="7">
        <v>65.679244407314584</v>
      </c>
      <c r="K34" s="5"/>
      <c r="L34" s="6"/>
      <c r="M34" s="5"/>
      <c r="N34" s="7">
        <v>41518.5</v>
      </c>
      <c r="O34" s="8">
        <v>425.8</v>
      </c>
      <c r="P34" s="7">
        <v>97.50704556129638</v>
      </c>
      <c r="Q34" s="5"/>
      <c r="R34" s="6"/>
      <c r="S34" s="5"/>
      <c r="T34" s="7">
        <f t="shared" si="17"/>
        <v>141118.75</v>
      </c>
      <c r="U34" s="8">
        <f t="shared" si="17"/>
        <v>1764.6</v>
      </c>
      <c r="V34" s="7">
        <f t="shared" si="18"/>
        <v>79.972089992066188</v>
      </c>
    </row>
    <row r="35" spans="2:22" ht="23.25" customHeight="1" x14ac:dyDescent="0.25">
      <c r="B35" s="60"/>
      <c r="C35" s="60"/>
      <c r="D35" s="11">
        <v>44363</v>
      </c>
      <c r="E35" s="7">
        <v>4940</v>
      </c>
      <c r="F35" s="8">
        <v>55</v>
      </c>
      <c r="G35" s="7">
        <f t="shared" si="19"/>
        <v>89.818181818181813</v>
      </c>
      <c r="H35" s="7">
        <v>182184.5</v>
      </c>
      <c r="I35" s="8">
        <v>2294</v>
      </c>
      <c r="J35" s="7">
        <f t="shared" si="14"/>
        <v>79.417829119442018</v>
      </c>
      <c r="K35" s="5"/>
      <c r="L35" s="6"/>
      <c r="M35" s="5"/>
      <c r="N35" s="7">
        <v>46258.75</v>
      </c>
      <c r="O35" s="8">
        <v>469.5</v>
      </c>
      <c r="P35" s="7">
        <f t="shared" si="15"/>
        <v>98.52768903088392</v>
      </c>
      <c r="Q35" s="5"/>
      <c r="R35" s="6"/>
      <c r="S35" s="5"/>
      <c r="T35" s="7">
        <f t="shared" si="17"/>
        <v>233383.25</v>
      </c>
      <c r="U35" s="8">
        <f t="shared" si="17"/>
        <v>2818.5</v>
      </c>
      <c r="V35" s="7">
        <f t="shared" si="18"/>
        <v>82.804062444562717</v>
      </c>
    </row>
    <row r="36" spans="2:22" ht="23.25" customHeight="1" x14ac:dyDescent="0.25">
      <c r="B36" s="60"/>
      <c r="C36" s="60"/>
      <c r="D36" s="11">
        <v>44370</v>
      </c>
      <c r="E36" s="7">
        <v>9020</v>
      </c>
      <c r="F36" s="8">
        <v>88</v>
      </c>
      <c r="G36" s="7">
        <f t="shared" si="19"/>
        <v>102.5</v>
      </c>
      <c r="H36" s="7">
        <v>277303.69</v>
      </c>
      <c r="I36" s="8">
        <v>3305.3</v>
      </c>
      <c r="J36" s="7">
        <f t="shared" si="14"/>
        <v>83.896678062505671</v>
      </c>
      <c r="K36" s="5"/>
      <c r="L36" s="6"/>
      <c r="M36" s="5"/>
      <c r="N36" s="7">
        <v>91220</v>
      </c>
      <c r="O36" s="8">
        <v>944.5</v>
      </c>
      <c r="P36" s="7">
        <f t="shared" si="15"/>
        <v>96.580201164637373</v>
      </c>
      <c r="Q36" s="5"/>
      <c r="R36" s="6"/>
      <c r="S36" s="5"/>
      <c r="T36" s="7">
        <f>SUM(E36,H36,K36,N36,Q36)</f>
        <v>377543.69</v>
      </c>
      <c r="U36" s="8">
        <f>SUM(F36,I36,L36,O36,R36)</f>
        <v>4337.8</v>
      </c>
      <c r="V36" s="7">
        <f t="shared" si="18"/>
        <v>87.03575314675642</v>
      </c>
    </row>
    <row r="37" spans="2:22" ht="23.25" customHeight="1" x14ac:dyDescent="0.25">
      <c r="B37" s="60"/>
      <c r="C37" s="60"/>
      <c r="D37" s="11">
        <v>44377</v>
      </c>
      <c r="E37" s="7">
        <v>20234</v>
      </c>
      <c r="F37" s="8">
        <v>221</v>
      </c>
      <c r="G37" s="7">
        <f t="shared" si="19"/>
        <v>91.556561085972845</v>
      </c>
      <c r="H37" s="7">
        <v>133673.75</v>
      </c>
      <c r="I37" s="8">
        <v>1432</v>
      </c>
      <c r="J37" s="7">
        <f t="shared" si="14"/>
        <v>93.347590782122907</v>
      </c>
      <c r="K37" s="5"/>
      <c r="L37" s="6"/>
      <c r="M37" s="5"/>
      <c r="N37" s="7">
        <v>70597.14</v>
      </c>
      <c r="O37" s="8">
        <v>862.8</v>
      </c>
      <c r="P37" s="7">
        <f t="shared" si="15"/>
        <v>81.82329624478443</v>
      </c>
      <c r="Q37" s="7">
        <v>21415</v>
      </c>
      <c r="R37" s="8">
        <v>233.5</v>
      </c>
      <c r="S37" s="7">
        <f t="shared" si="16"/>
        <v>91.713062098501069</v>
      </c>
      <c r="T37" s="7">
        <f t="shared" si="17"/>
        <v>245919.89</v>
      </c>
      <c r="U37" s="8">
        <f t="shared" si="17"/>
        <v>2749.3</v>
      </c>
      <c r="V37" s="7">
        <f t="shared" si="18"/>
        <v>89.448183173898812</v>
      </c>
    </row>
    <row r="38" spans="2:22" ht="23.25" customHeight="1" x14ac:dyDescent="0.25">
      <c r="B38" s="61"/>
      <c r="C38" s="63" t="s">
        <v>36</v>
      </c>
      <c r="D38" s="64"/>
      <c r="E38" s="30">
        <f>SUM(E34:E37)</f>
        <v>63038</v>
      </c>
      <c r="F38" s="31">
        <f>SUM(F34:F37)</f>
        <v>625.5</v>
      </c>
      <c r="G38" s="30">
        <f>E38/F38</f>
        <v>100.78017585931255</v>
      </c>
      <c r="H38" s="30">
        <f>SUM(H34:H37)</f>
        <v>663918.18999999994</v>
      </c>
      <c r="I38" s="31">
        <f>SUM(I34:I37)</f>
        <v>8108.6</v>
      </c>
      <c r="J38" s="30">
        <f>H38/I38</f>
        <v>81.878276151246808</v>
      </c>
      <c r="K38" s="30">
        <f>SUM(K34:K37)</f>
        <v>0</v>
      </c>
      <c r="L38" s="31">
        <f>SUM(L34:L37)</f>
        <v>0</v>
      </c>
      <c r="M38" s="30" t="e">
        <f>K38/L38</f>
        <v>#DIV/0!</v>
      </c>
      <c r="N38" s="30">
        <f>SUM(N34:N37)</f>
        <v>249594.39</v>
      </c>
      <c r="O38" s="31">
        <f>SUM(O34:O37)</f>
        <v>2702.6</v>
      </c>
      <c r="P38" s="30">
        <f>N38/O38</f>
        <v>92.353433730481768</v>
      </c>
      <c r="Q38" s="30">
        <f>SUM(Q34:Q37)</f>
        <v>21415</v>
      </c>
      <c r="R38" s="31">
        <f>SUM(R34:R37)</f>
        <v>233.5</v>
      </c>
      <c r="S38" s="30">
        <f>Q38/R38</f>
        <v>91.713062098501069</v>
      </c>
      <c r="T38" s="30">
        <f>SUM(T34:T37)</f>
        <v>997965.58</v>
      </c>
      <c r="U38" s="31">
        <f>SUM(U34:U37)</f>
        <v>11670.2</v>
      </c>
      <c r="V38" s="32">
        <f>T38/U38</f>
        <v>85.514008328906087</v>
      </c>
    </row>
    <row r="39" spans="2:22" ht="39" customHeight="1" x14ac:dyDescent="0.25">
      <c r="B39" s="52" t="s">
        <v>21</v>
      </c>
      <c r="C39" s="52"/>
      <c r="D39" s="52"/>
      <c r="E39" s="33">
        <f>SUM(E38,E33,E27)</f>
        <v>162765.12</v>
      </c>
      <c r="F39" s="34">
        <f>SUM(F38,F33,F27)</f>
        <v>1613.8</v>
      </c>
      <c r="G39" s="33">
        <f>E39/F39</f>
        <v>100.85829718676416</v>
      </c>
      <c r="H39" s="33">
        <f>SUM(H38,H33,H27)</f>
        <v>1304408.72</v>
      </c>
      <c r="I39" s="34">
        <f>SUM(I38,I33,I27)</f>
        <v>14860.800000000001</v>
      </c>
      <c r="J39" s="33">
        <f>H39/I39</f>
        <v>87.775134582256669</v>
      </c>
      <c r="K39" s="33">
        <f>SUM(K38,K33,K27)</f>
        <v>39765.5</v>
      </c>
      <c r="L39" s="34">
        <f>SUM(L38,L33,L27)</f>
        <v>403.5</v>
      </c>
      <c r="M39" s="33">
        <f>K39/L39</f>
        <v>98.551425030978933</v>
      </c>
      <c r="N39" s="33">
        <f>SUM(N38,N33,N27)</f>
        <v>1001532.75</v>
      </c>
      <c r="O39" s="34">
        <f>SUM(O38,O33,O27)</f>
        <v>11160.6</v>
      </c>
      <c r="P39" s="33">
        <f>N39/O39</f>
        <v>89.738253319713991</v>
      </c>
      <c r="Q39" s="33">
        <f>SUM(Q38,Q33,Q27)</f>
        <v>206621.25</v>
      </c>
      <c r="R39" s="34">
        <f>SUM(R38,R33,R27)</f>
        <v>2438.6</v>
      </c>
      <c r="S39" s="33">
        <f>Q39/R39</f>
        <v>84.729455425243998</v>
      </c>
      <c r="T39" s="33">
        <f>SUM(T38,T33,T27)</f>
        <v>2715093.34</v>
      </c>
      <c r="U39" s="34">
        <f>SUM(U38,U33,U27)</f>
        <v>30477.300000000003</v>
      </c>
      <c r="V39" s="33">
        <f>T39/U39</f>
        <v>89.085756940411372</v>
      </c>
    </row>
    <row r="40" spans="2:22" ht="23.25" customHeight="1" x14ac:dyDescent="0.25">
      <c r="B40" s="53" t="s">
        <v>39</v>
      </c>
      <c r="C40" s="54"/>
      <c r="D40" s="54"/>
      <c r="E40" s="9">
        <f>SUM(E39,E20)</f>
        <v>239783.62</v>
      </c>
      <c r="F40" s="10">
        <f>SUM(F39,F20)</f>
        <v>2371.3000000000002</v>
      </c>
      <c r="G40" s="9">
        <f>E40/F40</f>
        <v>101.11905705731033</v>
      </c>
      <c r="H40" s="9">
        <f>SUM(H39,H20)</f>
        <v>2231914.9699999997</v>
      </c>
      <c r="I40" s="10">
        <f>SUM(I39,I20)</f>
        <v>24615.800000000003</v>
      </c>
      <c r="J40" s="9">
        <f>H40/I40</f>
        <v>90.670015599736729</v>
      </c>
      <c r="K40" s="9">
        <f>SUM(K39,K20)</f>
        <v>205543.5</v>
      </c>
      <c r="L40" s="10">
        <f>SUM(L39,L20)</f>
        <v>2118.4</v>
      </c>
      <c r="M40" s="9">
        <f>K40/L40</f>
        <v>97.027709592145015</v>
      </c>
      <c r="N40" s="9">
        <f>SUM(N39,N20)</f>
        <v>2147692.0099999998</v>
      </c>
      <c r="O40" s="10">
        <f>SUM(O39,O20)</f>
        <v>24169</v>
      </c>
      <c r="P40" s="9">
        <f>N40/O40</f>
        <v>88.861434482187917</v>
      </c>
      <c r="Q40" s="9">
        <f>SUM(Q39,Q20)</f>
        <v>253691.25</v>
      </c>
      <c r="R40" s="10">
        <f>SUM(R39,R20)</f>
        <v>3015.6</v>
      </c>
      <c r="S40" s="9">
        <f>Q40/R40</f>
        <v>84.126293274970152</v>
      </c>
      <c r="T40" s="9">
        <f>SUM(T39,T20)</f>
        <v>5078625.3499999996</v>
      </c>
      <c r="U40" s="10">
        <f>SUM(U39,U20)</f>
        <v>56290.100000000006</v>
      </c>
      <c r="V40" s="9">
        <f>T40/U40</f>
        <v>90.222354374925587</v>
      </c>
    </row>
    <row r="41" spans="2:22" x14ac:dyDescent="0.25">
      <c r="B41" s="67" t="s">
        <v>15</v>
      </c>
      <c r="C41" s="67" t="s">
        <v>10</v>
      </c>
      <c r="D41" s="67" t="s">
        <v>0</v>
      </c>
      <c r="E41" s="58" t="s">
        <v>35</v>
      </c>
      <c r="F41" s="58"/>
      <c r="G41" s="58"/>
      <c r="H41" s="58" t="s">
        <v>7</v>
      </c>
      <c r="I41" s="58"/>
      <c r="J41" s="58"/>
      <c r="K41" s="58" t="s">
        <v>27</v>
      </c>
      <c r="L41" s="58"/>
      <c r="M41" s="58"/>
      <c r="N41" s="58" t="s">
        <v>37</v>
      </c>
      <c r="O41" s="58"/>
      <c r="P41" s="58"/>
      <c r="Q41" s="58" t="s">
        <v>8</v>
      </c>
      <c r="R41" s="58"/>
      <c r="S41" s="58"/>
      <c r="T41" s="58" t="s">
        <v>9</v>
      </c>
      <c r="U41" s="58"/>
      <c r="V41" s="58"/>
    </row>
    <row r="42" spans="2:22" x14ac:dyDescent="0.25">
      <c r="B42" s="67"/>
      <c r="C42" s="67"/>
      <c r="D42" s="67"/>
      <c r="E42" s="1" t="s">
        <v>1</v>
      </c>
      <c r="F42" s="3" t="s">
        <v>2</v>
      </c>
      <c r="G42" s="1" t="s">
        <v>3</v>
      </c>
      <c r="H42" s="1" t="s">
        <v>1</v>
      </c>
      <c r="I42" s="3" t="s">
        <v>2</v>
      </c>
      <c r="J42" s="1" t="s">
        <v>3</v>
      </c>
      <c r="K42" s="1" t="s">
        <v>1</v>
      </c>
      <c r="L42" s="3" t="s">
        <v>2</v>
      </c>
      <c r="M42" s="1" t="s">
        <v>3</v>
      </c>
      <c r="N42" s="1" t="s">
        <v>1</v>
      </c>
      <c r="O42" s="3" t="s">
        <v>2</v>
      </c>
      <c r="P42" s="1" t="s">
        <v>3</v>
      </c>
      <c r="Q42" s="1" t="s">
        <v>1</v>
      </c>
      <c r="R42" s="3" t="s">
        <v>2</v>
      </c>
      <c r="S42" s="1" t="s">
        <v>3</v>
      </c>
      <c r="T42" s="1" t="s">
        <v>1</v>
      </c>
      <c r="U42" s="3" t="s">
        <v>2</v>
      </c>
      <c r="V42" s="1" t="s">
        <v>3</v>
      </c>
    </row>
    <row r="43" spans="2:22" ht="23.25" customHeight="1" x14ac:dyDescent="0.25">
      <c r="B43" s="59" t="s">
        <v>26</v>
      </c>
      <c r="C43" s="59" t="s">
        <v>23</v>
      </c>
      <c r="D43" s="11">
        <v>44384</v>
      </c>
      <c r="E43" s="13">
        <v>71775.75</v>
      </c>
      <c r="F43" s="16">
        <v>738.5</v>
      </c>
      <c r="G43" s="13">
        <f t="shared" ref="G43:G57" si="34">E43/F43</f>
        <v>97.191266079891676</v>
      </c>
      <c r="H43" s="13">
        <v>68489</v>
      </c>
      <c r="I43" s="16">
        <v>817</v>
      </c>
      <c r="J43" s="13">
        <f t="shared" ref="J43:J57" si="35">H43/I43</f>
        <v>83.829865361077111</v>
      </c>
      <c r="K43" s="13">
        <v>8391</v>
      </c>
      <c r="L43" s="16">
        <v>149</v>
      </c>
      <c r="M43" s="13">
        <f t="shared" ref="M43" si="36">K43/L43</f>
        <v>56.31543624161074</v>
      </c>
      <c r="N43" s="13">
        <v>14170</v>
      </c>
      <c r="O43" s="16">
        <v>251.5</v>
      </c>
      <c r="P43" s="13">
        <f t="shared" ref="P43:P57" si="37">N43/O43</f>
        <v>56.341948310139166</v>
      </c>
      <c r="Q43" s="14"/>
      <c r="R43" s="17"/>
      <c r="S43" s="14"/>
      <c r="T43" s="13">
        <f t="shared" ref="T43:U57" si="38">SUM(E43,H43,K43,N43,Q43)</f>
        <v>162825.75</v>
      </c>
      <c r="U43" s="16">
        <f t="shared" si="38"/>
        <v>1956</v>
      </c>
      <c r="V43" s="13">
        <f t="shared" ref="V43:V57" si="39">T43/U43</f>
        <v>83.244248466257673</v>
      </c>
    </row>
    <row r="44" spans="2:22" ht="23.25" customHeight="1" x14ac:dyDescent="0.25">
      <c r="B44" s="60"/>
      <c r="C44" s="60"/>
      <c r="D44" s="11">
        <v>44391</v>
      </c>
      <c r="E44" s="13">
        <v>29992.5</v>
      </c>
      <c r="F44" s="16">
        <v>347.3</v>
      </c>
      <c r="G44" s="13">
        <f t="shared" si="34"/>
        <v>86.359055571551963</v>
      </c>
      <c r="H44" s="13">
        <v>31615</v>
      </c>
      <c r="I44" s="16">
        <v>448.5</v>
      </c>
      <c r="J44" s="13">
        <f t="shared" si="35"/>
        <v>70.490523968784842</v>
      </c>
      <c r="K44" s="14"/>
      <c r="L44" s="17"/>
      <c r="M44" s="14"/>
      <c r="N44" s="13">
        <v>145455.29999999999</v>
      </c>
      <c r="O44" s="16">
        <v>1764</v>
      </c>
      <c r="P44" s="13">
        <f t="shared" si="37"/>
        <v>82.457653061224477</v>
      </c>
      <c r="Q44" s="13">
        <v>14325</v>
      </c>
      <c r="R44" s="16">
        <v>108</v>
      </c>
      <c r="S44" s="13">
        <f t="shared" ref="S44:S57" si="40">Q44/R44</f>
        <v>132.63888888888889</v>
      </c>
      <c r="T44" s="13">
        <f t="shared" si="38"/>
        <v>221387.8</v>
      </c>
      <c r="U44" s="16">
        <f t="shared" si="38"/>
        <v>2667.8</v>
      </c>
      <c r="V44" s="13">
        <f t="shared" si="39"/>
        <v>82.985156308568847</v>
      </c>
    </row>
    <row r="45" spans="2:22" ht="23.25" customHeight="1" x14ac:dyDescent="0.25">
      <c r="B45" s="60"/>
      <c r="C45" s="60"/>
      <c r="D45" s="11">
        <v>44398</v>
      </c>
      <c r="E45" s="13">
        <v>30345</v>
      </c>
      <c r="F45" s="16">
        <v>440.3</v>
      </c>
      <c r="G45" s="13">
        <f t="shared" si="34"/>
        <v>68.918918918918919</v>
      </c>
      <c r="H45" s="13">
        <v>52750</v>
      </c>
      <c r="I45" s="16">
        <v>557</v>
      </c>
      <c r="J45" s="13">
        <f t="shared" si="35"/>
        <v>94.703770197486534</v>
      </c>
      <c r="K45" s="14"/>
      <c r="L45" s="17"/>
      <c r="M45" s="14"/>
      <c r="N45" s="13">
        <v>35261.25</v>
      </c>
      <c r="O45" s="16">
        <v>415.8</v>
      </c>
      <c r="P45" s="13">
        <f t="shared" si="37"/>
        <v>84.803391053391053</v>
      </c>
      <c r="Q45" s="13">
        <v>16610</v>
      </c>
      <c r="R45" s="16">
        <v>215</v>
      </c>
      <c r="S45" s="13">
        <f t="shared" si="40"/>
        <v>77.255813953488371</v>
      </c>
      <c r="T45" s="13">
        <f t="shared" si="38"/>
        <v>134966.25</v>
      </c>
      <c r="U45" s="16">
        <f t="shared" si="38"/>
        <v>1628.1</v>
      </c>
      <c r="V45" s="13">
        <f t="shared" si="39"/>
        <v>82.898009950248763</v>
      </c>
    </row>
    <row r="46" spans="2:22" ht="23.25" customHeight="1" x14ac:dyDescent="0.25">
      <c r="B46" s="60"/>
      <c r="C46" s="61"/>
      <c r="D46" s="11">
        <v>44406</v>
      </c>
      <c r="E46" s="13">
        <v>73608.75</v>
      </c>
      <c r="F46" s="16">
        <v>848.5</v>
      </c>
      <c r="G46" s="13">
        <f t="shared" si="34"/>
        <v>86.751620506776661</v>
      </c>
      <c r="H46" s="13">
        <v>17321.75</v>
      </c>
      <c r="I46" s="16">
        <v>255</v>
      </c>
      <c r="J46" s="13">
        <f t="shared" si="35"/>
        <v>67.928431372549014</v>
      </c>
      <c r="K46" s="14"/>
      <c r="L46" s="17"/>
      <c r="M46" s="14"/>
      <c r="N46" s="13">
        <v>60188</v>
      </c>
      <c r="O46" s="16">
        <v>747</v>
      </c>
      <c r="P46" s="13">
        <f t="shared" si="37"/>
        <v>80.572958500669344</v>
      </c>
      <c r="Q46" s="13">
        <v>3720</v>
      </c>
      <c r="R46" s="16">
        <v>49</v>
      </c>
      <c r="S46" s="13">
        <f t="shared" si="40"/>
        <v>75.91836734693878</v>
      </c>
      <c r="T46" s="13">
        <f t="shared" si="38"/>
        <v>154838.5</v>
      </c>
      <c r="U46" s="16">
        <f t="shared" si="38"/>
        <v>1899.5</v>
      </c>
      <c r="V46" s="13">
        <f t="shared" si="39"/>
        <v>81.515398789155043</v>
      </c>
    </row>
    <row r="47" spans="2:22" ht="23.25" customHeight="1" x14ac:dyDescent="0.25">
      <c r="B47" s="60"/>
      <c r="C47" s="63" t="s">
        <v>36</v>
      </c>
      <c r="D47" s="64"/>
      <c r="E47" s="30">
        <f>SUM(E43:E46)</f>
        <v>205722</v>
      </c>
      <c r="F47" s="31">
        <f>SUM(F43:F46)</f>
        <v>2374.6</v>
      </c>
      <c r="G47" s="30">
        <f>E47/F47</f>
        <v>86.634380527246691</v>
      </c>
      <c r="H47" s="30">
        <f>SUM(H43:H46)</f>
        <v>170175.75</v>
      </c>
      <c r="I47" s="31">
        <f>SUM(I43:I46)</f>
        <v>2077.5</v>
      </c>
      <c r="J47" s="30">
        <f>H47/I47</f>
        <v>81.913718411552352</v>
      </c>
      <c r="K47" s="30">
        <f>SUM(K43:K46)</f>
        <v>8391</v>
      </c>
      <c r="L47" s="31">
        <f>SUM(L43:L46)</f>
        <v>149</v>
      </c>
      <c r="M47" s="30">
        <f>K47/L47</f>
        <v>56.31543624161074</v>
      </c>
      <c r="N47" s="30">
        <f>SUM(N43:N46)</f>
        <v>255074.55</v>
      </c>
      <c r="O47" s="31">
        <f>SUM(O43:O46)</f>
        <v>3178.3</v>
      </c>
      <c r="P47" s="30">
        <f>N47/O47</f>
        <v>80.25502627190636</v>
      </c>
      <c r="Q47" s="30">
        <f>SUM(Q43:Q46)</f>
        <v>34655</v>
      </c>
      <c r="R47" s="31">
        <f>SUM(R43:R46)</f>
        <v>372</v>
      </c>
      <c r="S47" s="30">
        <f>Q47/R47</f>
        <v>93.158602150537632</v>
      </c>
      <c r="T47" s="30">
        <f>SUM(T43:T46)</f>
        <v>674018.3</v>
      </c>
      <c r="U47" s="31">
        <f>SUM(U43:U46)</f>
        <v>8151.4</v>
      </c>
      <c r="V47" s="32">
        <f>T47/U47</f>
        <v>82.687427926491168</v>
      </c>
    </row>
    <row r="48" spans="2:22" ht="23.25" customHeight="1" x14ac:dyDescent="0.25">
      <c r="B48" s="60"/>
      <c r="C48" s="59" t="s">
        <v>24</v>
      </c>
      <c r="D48" s="11">
        <v>44413</v>
      </c>
      <c r="E48" s="13">
        <v>16505</v>
      </c>
      <c r="F48" s="16">
        <v>162</v>
      </c>
      <c r="G48" s="13">
        <f t="shared" si="34"/>
        <v>101.88271604938272</v>
      </c>
      <c r="H48" s="13">
        <v>120681.89</v>
      </c>
      <c r="I48" s="16">
        <v>1601.3</v>
      </c>
      <c r="J48" s="13">
        <f t="shared" si="35"/>
        <v>75.364947230375321</v>
      </c>
      <c r="K48" s="14"/>
      <c r="L48" s="17"/>
      <c r="M48" s="14"/>
      <c r="N48" s="13">
        <v>81472.600000000006</v>
      </c>
      <c r="O48" s="16">
        <v>1172.5</v>
      </c>
      <c r="P48" s="13">
        <f t="shared" si="37"/>
        <v>69.486226012793182</v>
      </c>
      <c r="Q48" s="13">
        <v>25735</v>
      </c>
      <c r="R48" s="16">
        <v>406</v>
      </c>
      <c r="S48" s="13">
        <f t="shared" si="40"/>
        <v>63.38669950738916</v>
      </c>
      <c r="T48" s="13">
        <f t="shared" si="38"/>
        <v>244394.49000000002</v>
      </c>
      <c r="U48" s="16">
        <f t="shared" si="38"/>
        <v>3341.8</v>
      </c>
      <c r="V48" s="13">
        <f t="shared" si="39"/>
        <v>73.132590220839077</v>
      </c>
    </row>
    <row r="49" spans="2:22" ht="23.25" customHeight="1" x14ac:dyDescent="0.25">
      <c r="B49" s="60"/>
      <c r="C49" s="60">
        <v>7</v>
      </c>
      <c r="D49" s="11">
        <v>44420</v>
      </c>
      <c r="E49" s="13">
        <v>80520.5</v>
      </c>
      <c r="F49" s="16">
        <v>1058.5</v>
      </c>
      <c r="G49" s="13">
        <f t="shared" si="34"/>
        <v>76.07038261691072</v>
      </c>
      <c r="H49" s="13">
        <v>29508.75</v>
      </c>
      <c r="I49" s="16">
        <v>444.5</v>
      </c>
      <c r="J49" s="13">
        <f t="shared" si="35"/>
        <v>66.386389201349829</v>
      </c>
      <c r="K49" s="14"/>
      <c r="L49" s="17"/>
      <c r="M49" s="14"/>
      <c r="N49" s="13">
        <v>190070.34</v>
      </c>
      <c r="O49" s="16">
        <v>2328</v>
      </c>
      <c r="P49" s="13">
        <f t="shared" si="37"/>
        <v>81.645335051546397</v>
      </c>
      <c r="Q49" s="13">
        <v>25310</v>
      </c>
      <c r="R49" s="16">
        <v>297.8</v>
      </c>
      <c r="S49" s="13">
        <f t="shared" si="40"/>
        <v>84.989926124916053</v>
      </c>
      <c r="T49" s="13">
        <f t="shared" si="38"/>
        <v>325409.58999999997</v>
      </c>
      <c r="U49" s="16">
        <f t="shared" si="38"/>
        <v>4128.8</v>
      </c>
      <c r="V49" s="13">
        <f t="shared" si="39"/>
        <v>78.814568397597355</v>
      </c>
    </row>
    <row r="50" spans="2:22" ht="23.25" customHeight="1" x14ac:dyDescent="0.25">
      <c r="B50" s="60"/>
      <c r="C50" s="60">
        <v>8</v>
      </c>
      <c r="D50" s="11">
        <v>44427</v>
      </c>
      <c r="E50" s="13">
        <v>76638.75</v>
      </c>
      <c r="F50" s="16">
        <v>855</v>
      </c>
      <c r="G50" s="13">
        <f t="shared" si="34"/>
        <v>89.635964912280699</v>
      </c>
      <c r="H50" s="13">
        <v>33592.879999999997</v>
      </c>
      <c r="I50" s="16">
        <v>349.5</v>
      </c>
      <c r="J50" s="13">
        <f t="shared" si="35"/>
        <v>96.116967095851209</v>
      </c>
      <c r="K50" s="14"/>
      <c r="L50" s="17"/>
      <c r="M50" s="14"/>
      <c r="N50" s="13">
        <v>64133.75</v>
      </c>
      <c r="O50" s="16">
        <v>785.3</v>
      </c>
      <c r="P50" s="13">
        <f t="shared" si="37"/>
        <v>81.667833948809374</v>
      </c>
      <c r="Q50" s="13">
        <v>28066.25</v>
      </c>
      <c r="R50" s="16">
        <v>408.3</v>
      </c>
      <c r="S50" s="13">
        <f t="shared" si="40"/>
        <v>68.739284839578744</v>
      </c>
      <c r="T50" s="13">
        <f t="shared" si="38"/>
        <v>202431.63</v>
      </c>
      <c r="U50" s="16">
        <f t="shared" si="38"/>
        <v>2398.1</v>
      </c>
      <c r="V50" s="13">
        <f t="shared" si="39"/>
        <v>84.413339727284111</v>
      </c>
    </row>
    <row r="51" spans="2:22" ht="23.25" customHeight="1" x14ac:dyDescent="0.25">
      <c r="B51" s="60"/>
      <c r="C51" s="60">
        <v>9</v>
      </c>
      <c r="D51" s="11">
        <v>44433</v>
      </c>
      <c r="E51" s="13">
        <v>45375.25</v>
      </c>
      <c r="F51" s="16">
        <v>606.79999999999995</v>
      </c>
      <c r="G51" s="13">
        <f t="shared" si="34"/>
        <v>74.777933421226109</v>
      </c>
      <c r="H51" s="13">
        <v>32760</v>
      </c>
      <c r="I51" s="16">
        <v>365</v>
      </c>
      <c r="J51" s="13">
        <f t="shared" si="35"/>
        <v>89.753424657534254</v>
      </c>
      <c r="K51" s="14"/>
      <c r="L51" s="17"/>
      <c r="M51" s="14"/>
      <c r="N51" s="13">
        <v>61015.5</v>
      </c>
      <c r="O51" s="16">
        <v>569.79999999999995</v>
      </c>
      <c r="P51" s="13">
        <f t="shared" si="37"/>
        <v>107.08230958230959</v>
      </c>
      <c r="Q51" s="13">
        <v>32530</v>
      </c>
      <c r="R51" s="16">
        <v>341.3</v>
      </c>
      <c r="S51" s="13">
        <f t="shared" si="40"/>
        <v>95.312042191620279</v>
      </c>
      <c r="T51" s="13">
        <f t="shared" si="38"/>
        <v>171680.75</v>
      </c>
      <c r="U51" s="16">
        <f t="shared" si="38"/>
        <v>1882.8999999999999</v>
      </c>
      <c r="V51" s="13">
        <f t="shared" si="39"/>
        <v>91.178899569812529</v>
      </c>
    </row>
    <row r="52" spans="2:22" ht="23.25" customHeight="1" x14ac:dyDescent="0.25">
      <c r="B52" s="60"/>
      <c r="C52" s="61"/>
      <c r="D52" s="11">
        <v>44440</v>
      </c>
      <c r="E52" s="13">
        <v>50074</v>
      </c>
      <c r="F52" s="16">
        <v>430.8</v>
      </c>
      <c r="G52" s="13">
        <f t="shared" ref="G52" si="41">E52/F52</f>
        <v>116.23491179201486</v>
      </c>
      <c r="H52" s="13">
        <v>43200.25</v>
      </c>
      <c r="I52" s="16">
        <v>457.6</v>
      </c>
      <c r="J52" s="13">
        <f t="shared" ref="J52" si="42">H52/I52</f>
        <v>94.406140734265733</v>
      </c>
      <c r="K52" s="14"/>
      <c r="L52" s="17"/>
      <c r="M52" s="14"/>
      <c r="N52" s="13">
        <v>9335</v>
      </c>
      <c r="O52" s="16">
        <v>128.5</v>
      </c>
      <c r="P52" s="13">
        <f t="shared" ref="P52" si="43">N52/O52</f>
        <v>72.645914396887164</v>
      </c>
      <c r="Q52" s="13">
        <v>17990</v>
      </c>
      <c r="R52" s="16">
        <v>162</v>
      </c>
      <c r="S52" s="13">
        <f t="shared" ref="S52" si="44">Q52/R52</f>
        <v>111.04938271604938</v>
      </c>
      <c r="T52" s="13">
        <f t="shared" ref="T52" si="45">SUM(E52,H52,K52,N52,Q52)</f>
        <v>120599.25</v>
      </c>
      <c r="U52" s="16">
        <f t="shared" ref="U52" si="46">SUM(F52,I52,L52,O52,R52)</f>
        <v>1178.9000000000001</v>
      </c>
      <c r="V52" s="13">
        <f t="shared" ref="V52" si="47">T52/U52</f>
        <v>102.29811688862497</v>
      </c>
    </row>
    <row r="53" spans="2:22" ht="23.25" customHeight="1" x14ac:dyDescent="0.25">
      <c r="B53" s="60"/>
      <c r="C53" s="63" t="s">
        <v>36</v>
      </c>
      <c r="D53" s="64"/>
      <c r="E53" s="30">
        <f>SUM(E48:E52)</f>
        <v>269113.5</v>
      </c>
      <c r="F53" s="31">
        <f>SUM(F48:F52)</f>
        <v>3113.1000000000004</v>
      </c>
      <c r="G53" s="30">
        <f>E53/F53</f>
        <v>86.445504481063878</v>
      </c>
      <c r="H53" s="30">
        <f t="shared" ref="H53:I53" si="48">SUM(H48:H52)</f>
        <v>259743.77000000002</v>
      </c>
      <c r="I53" s="31">
        <f t="shared" si="48"/>
        <v>3217.9</v>
      </c>
      <c r="J53" s="30">
        <f>H53/I53</f>
        <v>80.718409521737783</v>
      </c>
      <c r="K53" s="30">
        <f t="shared" ref="K53:L53" si="49">SUM(K48:K52)</f>
        <v>0</v>
      </c>
      <c r="L53" s="31">
        <f t="shared" si="49"/>
        <v>0</v>
      </c>
      <c r="M53" s="30" t="e">
        <f>K53/L53</f>
        <v>#DIV/0!</v>
      </c>
      <c r="N53" s="30">
        <f t="shared" ref="N53:O53" si="50">SUM(N48:N52)</f>
        <v>406027.19</v>
      </c>
      <c r="O53" s="31">
        <f t="shared" si="50"/>
        <v>4984.1000000000004</v>
      </c>
      <c r="P53" s="30">
        <f>N53/O53</f>
        <v>81.464495094400192</v>
      </c>
      <c r="Q53" s="30">
        <f t="shared" ref="Q53:R53" si="51">SUM(Q48:Q52)</f>
        <v>129631.25</v>
      </c>
      <c r="R53" s="31">
        <f t="shared" si="51"/>
        <v>1615.3999999999999</v>
      </c>
      <c r="S53" s="30">
        <f>Q53/R53</f>
        <v>80.24715240807231</v>
      </c>
      <c r="T53" s="30">
        <f t="shared" ref="T53:U53" si="52">SUM(T48:T52)</f>
        <v>1064515.71</v>
      </c>
      <c r="U53" s="31">
        <f t="shared" si="52"/>
        <v>12930.5</v>
      </c>
      <c r="V53" s="32">
        <f>T53/U53</f>
        <v>82.325951045976566</v>
      </c>
    </row>
    <row r="54" spans="2:22" ht="23.25" customHeight="1" x14ac:dyDescent="0.25">
      <c r="B54" s="60"/>
      <c r="C54" s="59" t="s">
        <v>25</v>
      </c>
      <c r="D54" s="11">
        <v>44448</v>
      </c>
      <c r="E54" s="13">
        <v>21915</v>
      </c>
      <c r="F54" s="16">
        <v>193.5</v>
      </c>
      <c r="G54" s="13">
        <f t="shared" si="34"/>
        <v>113.25581395348837</v>
      </c>
      <c r="H54" s="13">
        <v>85992</v>
      </c>
      <c r="I54" s="16">
        <v>983.5</v>
      </c>
      <c r="J54" s="13">
        <f t="shared" si="35"/>
        <v>87.434672089476365</v>
      </c>
      <c r="K54" s="14"/>
      <c r="L54" s="17"/>
      <c r="M54" s="14"/>
      <c r="N54" s="13">
        <v>82380</v>
      </c>
      <c r="O54" s="16">
        <v>916.8</v>
      </c>
      <c r="P54" s="13">
        <f t="shared" si="37"/>
        <v>89.856020942408378</v>
      </c>
      <c r="Q54" s="13">
        <v>21593</v>
      </c>
      <c r="R54" s="16">
        <v>192</v>
      </c>
      <c r="S54" s="13">
        <f t="shared" si="40"/>
        <v>112.46354166666667</v>
      </c>
      <c r="T54" s="13">
        <f t="shared" si="38"/>
        <v>211880</v>
      </c>
      <c r="U54" s="16">
        <f t="shared" si="38"/>
        <v>2285.8000000000002</v>
      </c>
      <c r="V54" s="13">
        <f t="shared" si="39"/>
        <v>92.694023974100958</v>
      </c>
    </row>
    <row r="55" spans="2:22" ht="23.25" customHeight="1" x14ac:dyDescent="0.25">
      <c r="B55" s="60"/>
      <c r="C55" s="60"/>
      <c r="D55" s="11">
        <v>44454</v>
      </c>
      <c r="E55" s="13">
        <v>51315</v>
      </c>
      <c r="F55" s="16">
        <v>530</v>
      </c>
      <c r="G55" s="13">
        <f t="shared" si="34"/>
        <v>96.820754716981128</v>
      </c>
      <c r="H55" s="13">
        <v>26754.5</v>
      </c>
      <c r="I55" s="16">
        <v>299.5</v>
      </c>
      <c r="J55" s="13">
        <f t="shared" si="35"/>
        <v>89.330550918196991</v>
      </c>
      <c r="K55" s="14"/>
      <c r="L55" s="17"/>
      <c r="M55" s="14"/>
      <c r="N55" s="13">
        <v>130142.5</v>
      </c>
      <c r="O55" s="16">
        <v>1414.8</v>
      </c>
      <c r="P55" s="13">
        <f t="shared" si="37"/>
        <v>91.986499858637259</v>
      </c>
      <c r="Q55" s="13">
        <v>15635</v>
      </c>
      <c r="R55" s="16">
        <v>154</v>
      </c>
      <c r="S55" s="13">
        <f t="shared" si="40"/>
        <v>101.52597402597402</v>
      </c>
      <c r="T55" s="13">
        <f t="shared" si="38"/>
        <v>223847</v>
      </c>
      <c r="U55" s="16">
        <f t="shared" si="38"/>
        <v>2398.3000000000002</v>
      </c>
      <c r="V55" s="13">
        <f t="shared" si="39"/>
        <v>93.335696118083632</v>
      </c>
    </row>
    <row r="56" spans="2:22" ht="23.25" customHeight="1" x14ac:dyDescent="0.25">
      <c r="B56" s="60"/>
      <c r="C56" s="60"/>
      <c r="D56" s="11">
        <v>44461</v>
      </c>
      <c r="E56" s="13">
        <v>12885</v>
      </c>
      <c r="F56" s="16">
        <v>114.5</v>
      </c>
      <c r="G56" s="13">
        <f t="shared" si="34"/>
        <v>112.53275109170306</v>
      </c>
      <c r="H56" s="13">
        <v>37230</v>
      </c>
      <c r="I56" s="16">
        <v>367.5</v>
      </c>
      <c r="J56" s="13">
        <f t="shared" si="35"/>
        <v>101.30612244897959</v>
      </c>
      <c r="K56" s="14"/>
      <c r="L56" s="17"/>
      <c r="M56" s="14"/>
      <c r="N56" s="13">
        <v>119554</v>
      </c>
      <c r="O56" s="16">
        <v>1337.3</v>
      </c>
      <c r="P56" s="13">
        <f t="shared" si="37"/>
        <v>89.399536379271666</v>
      </c>
      <c r="Q56" s="13">
        <v>37750</v>
      </c>
      <c r="R56" s="16">
        <v>373.3</v>
      </c>
      <c r="S56" s="13">
        <f t="shared" si="40"/>
        <v>101.1251004553978</v>
      </c>
      <c r="T56" s="13">
        <f t="shared" si="38"/>
        <v>207419</v>
      </c>
      <c r="U56" s="16">
        <f t="shared" si="38"/>
        <v>2192.6</v>
      </c>
      <c r="V56" s="13">
        <f t="shared" si="39"/>
        <v>94.599562163641338</v>
      </c>
    </row>
    <row r="57" spans="2:22" ht="23.25" customHeight="1" x14ac:dyDescent="0.25">
      <c r="B57" s="60"/>
      <c r="C57" s="60"/>
      <c r="D57" s="11">
        <v>44469</v>
      </c>
      <c r="E57" s="13">
        <v>15977.75</v>
      </c>
      <c r="F57" s="16">
        <v>171.3</v>
      </c>
      <c r="G57" s="13">
        <f t="shared" si="34"/>
        <v>93.273496789258601</v>
      </c>
      <c r="H57" s="13">
        <v>22857</v>
      </c>
      <c r="I57" s="16">
        <v>199.5</v>
      </c>
      <c r="J57" s="13">
        <f t="shared" si="35"/>
        <v>114.57142857142857</v>
      </c>
      <c r="K57" s="14"/>
      <c r="L57" s="17"/>
      <c r="M57" s="14"/>
      <c r="N57" s="13">
        <v>78701.08</v>
      </c>
      <c r="O57" s="16">
        <v>874.8</v>
      </c>
      <c r="P57" s="13">
        <f t="shared" si="37"/>
        <v>89.96465477823503</v>
      </c>
      <c r="Q57" s="13">
        <v>44793</v>
      </c>
      <c r="R57" s="16">
        <v>488.8</v>
      </c>
      <c r="S57" s="13">
        <f t="shared" si="40"/>
        <v>91.638707037643201</v>
      </c>
      <c r="T57" s="13">
        <f t="shared" si="38"/>
        <v>162328.83000000002</v>
      </c>
      <c r="U57" s="16">
        <f t="shared" si="38"/>
        <v>1734.3999999999999</v>
      </c>
      <c r="V57" s="13">
        <f t="shared" si="39"/>
        <v>93.593651983394849</v>
      </c>
    </row>
    <row r="58" spans="2:22" ht="23.25" customHeight="1" x14ac:dyDescent="0.25">
      <c r="B58" s="61"/>
      <c r="C58" s="63" t="s">
        <v>36</v>
      </c>
      <c r="D58" s="64"/>
      <c r="E58" s="30">
        <f>SUM(E54:E57)</f>
        <v>102092.75</v>
      </c>
      <c r="F58" s="31">
        <f>SUM(F54:F57)</f>
        <v>1009.3</v>
      </c>
      <c r="G58" s="30">
        <f>E58/F58</f>
        <v>101.15203606459923</v>
      </c>
      <c r="H58" s="30">
        <f>SUM(H54:H57)</f>
        <v>172833.5</v>
      </c>
      <c r="I58" s="31">
        <f>SUM(I54:I57)</f>
        <v>1850</v>
      </c>
      <c r="J58" s="30">
        <f>H58/I58</f>
        <v>93.423513513513512</v>
      </c>
      <c r="K58" s="30">
        <f>SUM(K54:K57)</f>
        <v>0</v>
      </c>
      <c r="L58" s="31">
        <f>SUM(L54:L57)</f>
        <v>0</v>
      </c>
      <c r="M58" s="30" t="e">
        <f>K58/L58</f>
        <v>#DIV/0!</v>
      </c>
      <c r="N58" s="30">
        <f>SUM(N54:N57)</f>
        <v>410777.58</v>
      </c>
      <c r="O58" s="31">
        <f>SUM(O54:O57)</f>
        <v>4543.7</v>
      </c>
      <c r="P58" s="30">
        <f>N58/O58</f>
        <v>90.405964302220667</v>
      </c>
      <c r="Q58" s="30">
        <f>SUM(Q54:Q57)</f>
        <v>119771</v>
      </c>
      <c r="R58" s="31">
        <f>SUM(R54:R57)</f>
        <v>1208.0999999999999</v>
      </c>
      <c r="S58" s="30">
        <f>Q58/R58</f>
        <v>99.139971856634389</v>
      </c>
      <c r="T58" s="30">
        <f>SUM(T54:T57)</f>
        <v>805474.83000000007</v>
      </c>
      <c r="U58" s="31">
        <f>SUM(U54:U57)</f>
        <v>8611.1</v>
      </c>
      <c r="V58" s="32">
        <f>T58/U58</f>
        <v>93.539133211784801</v>
      </c>
    </row>
    <row r="59" spans="2:22" ht="39" customHeight="1" x14ac:dyDescent="0.25">
      <c r="B59" s="52" t="s">
        <v>30</v>
      </c>
      <c r="C59" s="52"/>
      <c r="D59" s="52"/>
      <c r="E59" s="33">
        <f>SUM(E58,E53,E47)</f>
        <v>576928.25</v>
      </c>
      <c r="F59" s="34">
        <f>SUM(F58,F53,F47)</f>
        <v>6497</v>
      </c>
      <c r="G59" s="33">
        <f>E59/F59</f>
        <v>88.799176543019854</v>
      </c>
      <c r="H59" s="33">
        <f>SUM(H58,H53,H47)</f>
        <v>602753.02</v>
      </c>
      <c r="I59" s="34">
        <f>SUM(I58,I53,I47)</f>
        <v>7145.4</v>
      </c>
      <c r="J59" s="33">
        <f>H59/I59</f>
        <v>84.355392280348198</v>
      </c>
      <c r="K59" s="33">
        <f>SUM(K58,K53,K47)</f>
        <v>8391</v>
      </c>
      <c r="L59" s="34">
        <f>SUM(L58,L53,L47)</f>
        <v>149</v>
      </c>
      <c r="M59" s="33">
        <f>K59/L59</f>
        <v>56.31543624161074</v>
      </c>
      <c r="N59" s="33">
        <f>SUM(N58,N53,N47)</f>
        <v>1071879.32</v>
      </c>
      <c r="O59" s="34">
        <f>SUM(O58,O53,O47)</f>
        <v>12706.099999999999</v>
      </c>
      <c r="P59" s="33">
        <f>N59/O59</f>
        <v>84.359427361660948</v>
      </c>
      <c r="Q59" s="33">
        <f>SUM(Q58,Q53,Q47)</f>
        <v>284057.25</v>
      </c>
      <c r="R59" s="34">
        <f>SUM(R58,R53,R47)</f>
        <v>3195.5</v>
      </c>
      <c r="S59" s="33">
        <f>Q59/R59</f>
        <v>88.892896260366143</v>
      </c>
      <c r="T59" s="33">
        <f>SUM(T58,T53,T47)</f>
        <v>2544008.84</v>
      </c>
      <c r="U59" s="34">
        <f>SUM(U58,U53,U47)</f>
        <v>29693</v>
      </c>
      <c r="V59" s="33">
        <f>T59/U59</f>
        <v>85.677056545313704</v>
      </c>
    </row>
    <row r="60" spans="2:22" x14ac:dyDescent="0.25">
      <c r="B60" s="67" t="s">
        <v>15</v>
      </c>
      <c r="C60" s="67" t="s">
        <v>10</v>
      </c>
      <c r="D60" s="67" t="s">
        <v>0</v>
      </c>
      <c r="E60" s="58" t="s">
        <v>35</v>
      </c>
      <c r="F60" s="58"/>
      <c r="G60" s="58"/>
      <c r="H60" s="58" t="s">
        <v>7</v>
      </c>
      <c r="I60" s="58"/>
      <c r="J60" s="58"/>
      <c r="K60" s="58" t="s">
        <v>27</v>
      </c>
      <c r="L60" s="58"/>
      <c r="M60" s="58"/>
      <c r="N60" s="58" t="s">
        <v>4</v>
      </c>
      <c r="O60" s="58"/>
      <c r="P60" s="58"/>
      <c r="Q60" s="58" t="s">
        <v>8</v>
      </c>
      <c r="R60" s="58"/>
      <c r="S60" s="58"/>
      <c r="T60" s="58" t="s">
        <v>9</v>
      </c>
      <c r="U60" s="58"/>
      <c r="V60" s="58"/>
    </row>
    <row r="61" spans="2:22" x14ac:dyDescent="0.25">
      <c r="B61" s="67"/>
      <c r="C61" s="67"/>
      <c r="D61" s="67"/>
      <c r="E61" s="1" t="s">
        <v>1</v>
      </c>
      <c r="F61" s="3" t="s">
        <v>2</v>
      </c>
      <c r="G61" s="1" t="s">
        <v>3</v>
      </c>
      <c r="H61" s="1" t="s">
        <v>1</v>
      </c>
      <c r="I61" s="3" t="s">
        <v>2</v>
      </c>
      <c r="J61" s="1" t="s">
        <v>3</v>
      </c>
      <c r="K61" s="1" t="s">
        <v>1</v>
      </c>
      <c r="L61" s="3" t="s">
        <v>2</v>
      </c>
      <c r="M61" s="1" t="s">
        <v>3</v>
      </c>
      <c r="N61" s="1" t="s">
        <v>1</v>
      </c>
      <c r="O61" s="3" t="s">
        <v>2</v>
      </c>
      <c r="P61" s="1" t="s">
        <v>3</v>
      </c>
      <c r="Q61" s="1" t="s">
        <v>1</v>
      </c>
      <c r="R61" s="3" t="s">
        <v>2</v>
      </c>
      <c r="S61" s="1" t="s">
        <v>3</v>
      </c>
      <c r="T61" s="1" t="s">
        <v>1</v>
      </c>
      <c r="U61" s="3" t="s">
        <v>2</v>
      </c>
      <c r="V61" s="1" t="s">
        <v>3</v>
      </c>
    </row>
    <row r="62" spans="2:22" ht="23.25" customHeight="1" x14ac:dyDescent="0.25">
      <c r="B62" s="59" t="s">
        <v>28</v>
      </c>
      <c r="C62" s="62" t="s">
        <v>31</v>
      </c>
      <c r="D62" s="11">
        <v>44476</v>
      </c>
      <c r="E62" s="7">
        <v>25139.25</v>
      </c>
      <c r="F62" s="8">
        <v>252.8</v>
      </c>
      <c r="G62" s="7">
        <f t="shared" ref="G62:G71" si="53">E62/F62</f>
        <v>99.44323575949366</v>
      </c>
      <c r="H62" s="7">
        <v>11100</v>
      </c>
      <c r="I62" s="8">
        <v>140</v>
      </c>
      <c r="J62" s="7">
        <f t="shared" ref="J62:J76" si="54">H62/I62</f>
        <v>79.285714285714292</v>
      </c>
      <c r="K62" s="5"/>
      <c r="L62" s="6"/>
      <c r="M62" s="5"/>
      <c r="N62" s="7">
        <v>63771.5</v>
      </c>
      <c r="O62" s="8">
        <v>560.29999999999995</v>
      </c>
      <c r="P62" s="7">
        <f t="shared" ref="P62:P76" si="55">N62/O62</f>
        <v>113.81670533642692</v>
      </c>
      <c r="Q62" s="7">
        <v>29535</v>
      </c>
      <c r="R62" s="8">
        <v>295</v>
      </c>
      <c r="S62" s="7">
        <f t="shared" ref="S62:S76" si="56">Q62/R62</f>
        <v>100.11864406779661</v>
      </c>
      <c r="T62" s="7">
        <f t="shared" ref="T62:U76" si="57">SUM(E62,H62,K62,N62,Q62)</f>
        <v>129545.75</v>
      </c>
      <c r="U62" s="8">
        <f t="shared" si="57"/>
        <v>1248.0999999999999</v>
      </c>
      <c r="V62" s="7">
        <f t="shared" ref="V62:V76" si="58">T62/U62</f>
        <v>103.79436743850654</v>
      </c>
    </row>
    <row r="63" spans="2:22" ht="23.25" customHeight="1" x14ac:dyDescent="0.25">
      <c r="B63" s="60"/>
      <c r="C63" s="62"/>
      <c r="D63" s="11">
        <v>44483</v>
      </c>
      <c r="E63" s="7">
        <v>17982.5</v>
      </c>
      <c r="F63" s="8">
        <v>172</v>
      </c>
      <c r="G63" s="7">
        <f t="shared" si="53"/>
        <v>104.54941860465117</v>
      </c>
      <c r="H63" s="7">
        <v>55131.25</v>
      </c>
      <c r="I63" s="8">
        <v>538.5</v>
      </c>
      <c r="J63" s="7">
        <f t="shared" si="54"/>
        <v>102.37929433611885</v>
      </c>
      <c r="K63" s="5"/>
      <c r="L63" s="6"/>
      <c r="M63" s="5"/>
      <c r="N63" s="7">
        <v>149386.5</v>
      </c>
      <c r="O63" s="8">
        <v>1672</v>
      </c>
      <c r="P63" s="7">
        <f t="shared" si="55"/>
        <v>89.345992822966508</v>
      </c>
      <c r="Q63" s="7">
        <v>14695</v>
      </c>
      <c r="R63" s="8">
        <v>224.5</v>
      </c>
      <c r="S63" s="7">
        <f t="shared" si="56"/>
        <v>65.456570155902</v>
      </c>
      <c r="T63" s="7">
        <f t="shared" si="57"/>
        <v>237195.25</v>
      </c>
      <c r="U63" s="8">
        <f t="shared" si="57"/>
        <v>2607</v>
      </c>
      <c r="V63" s="7">
        <f t="shared" si="58"/>
        <v>90.98398542385884</v>
      </c>
    </row>
    <row r="64" spans="2:22" ht="23.25" customHeight="1" x14ac:dyDescent="0.25">
      <c r="B64" s="60"/>
      <c r="C64" s="62"/>
      <c r="D64" s="11">
        <v>44490</v>
      </c>
      <c r="E64" s="7">
        <v>67005</v>
      </c>
      <c r="F64" s="8">
        <v>781.5</v>
      </c>
      <c r="G64" s="7">
        <f t="shared" si="53"/>
        <v>85.738963531669867</v>
      </c>
      <c r="H64" s="7">
        <v>71598.75</v>
      </c>
      <c r="I64" s="8">
        <v>654.5</v>
      </c>
      <c r="J64" s="7">
        <f t="shared" si="54"/>
        <v>109.39457601222307</v>
      </c>
      <c r="K64" s="7">
        <v>3055</v>
      </c>
      <c r="L64" s="8">
        <v>29.5</v>
      </c>
      <c r="M64" s="7">
        <f t="shared" ref="M64" si="59">K64/L64</f>
        <v>103.55932203389831</v>
      </c>
      <c r="N64" s="7">
        <v>94440</v>
      </c>
      <c r="O64" s="8">
        <v>945.5</v>
      </c>
      <c r="P64" s="7">
        <f t="shared" si="55"/>
        <v>99.883659439450028</v>
      </c>
      <c r="Q64" s="7">
        <v>9080</v>
      </c>
      <c r="R64" s="8">
        <v>99</v>
      </c>
      <c r="S64" s="7">
        <f t="shared" si="56"/>
        <v>91.717171717171723</v>
      </c>
      <c r="T64" s="7">
        <f t="shared" si="57"/>
        <v>245178.75</v>
      </c>
      <c r="U64" s="8">
        <f t="shared" si="57"/>
        <v>2510</v>
      </c>
      <c r="V64" s="7">
        <f t="shared" si="58"/>
        <v>97.680776892430274</v>
      </c>
    </row>
    <row r="65" spans="2:22" ht="23.25" customHeight="1" x14ac:dyDescent="0.25">
      <c r="B65" s="60"/>
      <c r="C65" s="62"/>
      <c r="D65" s="11">
        <v>44497</v>
      </c>
      <c r="E65" s="7">
        <v>12715</v>
      </c>
      <c r="F65" s="8">
        <v>109.3</v>
      </c>
      <c r="G65" s="7">
        <f t="shared" si="53"/>
        <v>116.33119853613907</v>
      </c>
      <c r="H65" s="7">
        <v>43943.75</v>
      </c>
      <c r="I65" s="8">
        <v>407.8</v>
      </c>
      <c r="J65" s="7">
        <f t="shared" si="54"/>
        <v>107.75809220205983</v>
      </c>
      <c r="K65" s="5"/>
      <c r="L65" s="6"/>
      <c r="M65" s="5"/>
      <c r="N65" s="7">
        <v>50675</v>
      </c>
      <c r="O65" s="8">
        <v>515.79999999999995</v>
      </c>
      <c r="P65" s="7">
        <f t="shared" si="55"/>
        <v>98.245443970531227</v>
      </c>
      <c r="Q65" s="7">
        <v>25150</v>
      </c>
      <c r="R65" s="8">
        <v>253</v>
      </c>
      <c r="S65" s="7">
        <f t="shared" si="56"/>
        <v>99.407114624505923</v>
      </c>
      <c r="T65" s="7">
        <f t="shared" si="57"/>
        <v>132483.75</v>
      </c>
      <c r="U65" s="8">
        <f t="shared" si="57"/>
        <v>1285.9000000000001</v>
      </c>
      <c r="V65" s="7">
        <f t="shared" si="58"/>
        <v>103.02803483941207</v>
      </c>
    </row>
    <row r="66" spans="2:22" ht="23.25" customHeight="1" x14ac:dyDescent="0.25">
      <c r="B66" s="60"/>
      <c r="C66" s="63" t="s">
        <v>36</v>
      </c>
      <c r="D66" s="64"/>
      <c r="E66" s="30">
        <f>SUM(E62:E65)</f>
        <v>122841.75</v>
      </c>
      <c r="F66" s="31">
        <f>SUM(F62:F65)</f>
        <v>1315.6</v>
      </c>
      <c r="G66" s="30">
        <f>E66/F66</f>
        <v>93.373175737306184</v>
      </c>
      <c r="H66" s="30">
        <f>SUM(H62:H65)</f>
        <v>181773.75</v>
      </c>
      <c r="I66" s="31">
        <f>SUM(I62:I65)</f>
        <v>1740.8</v>
      </c>
      <c r="J66" s="30">
        <f>H66/I66</f>
        <v>104.41966337316177</v>
      </c>
      <c r="K66" s="30">
        <f>SUM(K62:K65)</f>
        <v>3055</v>
      </c>
      <c r="L66" s="31">
        <f>SUM(L62:L65)</f>
        <v>29.5</v>
      </c>
      <c r="M66" s="30">
        <f>K66/L66</f>
        <v>103.55932203389831</v>
      </c>
      <c r="N66" s="30">
        <f>SUM(N62:N65)</f>
        <v>358273</v>
      </c>
      <c r="O66" s="31">
        <f>SUM(O62:O65)</f>
        <v>3693.6000000000004</v>
      </c>
      <c r="P66" s="30">
        <f>N66/O66</f>
        <v>96.998321420836035</v>
      </c>
      <c r="Q66" s="30">
        <f>SUM(Q62:Q65)</f>
        <v>78460</v>
      </c>
      <c r="R66" s="31">
        <f>SUM(R62:R65)</f>
        <v>871.5</v>
      </c>
      <c r="S66" s="30">
        <f>Q66/R66</f>
        <v>90.028686173264489</v>
      </c>
      <c r="T66" s="30">
        <f>SUM(T62:T65)</f>
        <v>744403.5</v>
      </c>
      <c r="U66" s="31">
        <f>SUM(U62:U65)</f>
        <v>7651</v>
      </c>
      <c r="V66" s="32">
        <f>T66/U66</f>
        <v>97.29492876748138</v>
      </c>
    </row>
    <row r="67" spans="2:22" ht="23.25" customHeight="1" x14ac:dyDescent="0.25">
      <c r="B67" s="60"/>
      <c r="C67" s="72" t="s">
        <v>32</v>
      </c>
      <c r="D67" s="11">
        <v>44503</v>
      </c>
      <c r="E67" s="7">
        <v>92395</v>
      </c>
      <c r="F67" s="8">
        <v>1123.5</v>
      </c>
      <c r="G67" s="7">
        <f t="shared" si="53"/>
        <v>82.238540275923455</v>
      </c>
      <c r="H67" s="7">
        <v>19227.5</v>
      </c>
      <c r="I67" s="8">
        <v>202.5</v>
      </c>
      <c r="J67" s="7">
        <f t="shared" si="54"/>
        <v>94.950617283950621</v>
      </c>
      <c r="K67" s="5"/>
      <c r="L67" s="6"/>
      <c r="M67" s="5"/>
      <c r="N67" s="7">
        <v>72038.450000000012</v>
      </c>
      <c r="O67" s="8">
        <v>809</v>
      </c>
      <c r="P67" s="7">
        <f t="shared" si="55"/>
        <v>89.046291718170593</v>
      </c>
      <c r="Q67" s="7">
        <v>7265</v>
      </c>
      <c r="R67" s="8">
        <v>76.5</v>
      </c>
      <c r="S67" s="7">
        <f t="shared" si="56"/>
        <v>94.967320261437905</v>
      </c>
      <c r="T67" s="7">
        <f t="shared" si="57"/>
        <v>190925.95</v>
      </c>
      <c r="U67" s="8">
        <f t="shared" si="57"/>
        <v>2211.5</v>
      </c>
      <c r="V67" s="7">
        <f t="shared" si="58"/>
        <v>86.333235360614978</v>
      </c>
    </row>
    <row r="68" spans="2:22" ht="23.25" customHeight="1" x14ac:dyDescent="0.25">
      <c r="B68" s="60"/>
      <c r="C68" s="65">
        <v>7</v>
      </c>
      <c r="D68" s="11">
        <v>44510</v>
      </c>
      <c r="E68" s="7">
        <v>16780</v>
      </c>
      <c r="F68" s="8">
        <v>178.3</v>
      </c>
      <c r="G68" s="7">
        <f t="shared" si="53"/>
        <v>94.111048794167132</v>
      </c>
      <c r="H68" s="7">
        <v>59067.5</v>
      </c>
      <c r="I68" s="8">
        <v>730.3</v>
      </c>
      <c r="J68" s="7">
        <f t="shared" si="54"/>
        <v>80.881144735040394</v>
      </c>
      <c r="K68" s="5"/>
      <c r="L68" s="6"/>
      <c r="M68" s="5"/>
      <c r="N68" s="7">
        <v>143200.78</v>
      </c>
      <c r="O68" s="8">
        <v>1532.3</v>
      </c>
      <c r="P68" s="7">
        <f t="shared" si="55"/>
        <v>93.454793447758277</v>
      </c>
      <c r="Q68" s="7">
        <v>37942.5</v>
      </c>
      <c r="R68" s="8">
        <v>368.8</v>
      </c>
      <c r="S68" s="7">
        <f t="shared" si="56"/>
        <v>102.88096529284165</v>
      </c>
      <c r="T68" s="7">
        <f t="shared" si="57"/>
        <v>256990.78</v>
      </c>
      <c r="U68" s="8">
        <f t="shared" si="57"/>
        <v>2809.7</v>
      </c>
      <c r="V68" s="7">
        <f t="shared" si="58"/>
        <v>91.465558600562346</v>
      </c>
    </row>
    <row r="69" spans="2:22" ht="23.25" customHeight="1" x14ac:dyDescent="0.25">
      <c r="B69" s="60"/>
      <c r="C69" s="65">
        <v>8</v>
      </c>
      <c r="D69" s="11">
        <v>44516</v>
      </c>
      <c r="E69" s="7">
        <v>22555</v>
      </c>
      <c r="F69" s="8">
        <v>227.3</v>
      </c>
      <c r="G69" s="7">
        <f t="shared" si="53"/>
        <v>99.23009238891332</v>
      </c>
      <c r="H69" s="7">
        <v>39531.25</v>
      </c>
      <c r="I69" s="8">
        <v>451.8</v>
      </c>
      <c r="J69" s="7">
        <f t="shared" si="54"/>
        <v>87.49723328906596</v>
      </c>
      <c r="K69" s="5"/>
      <c r="L69" s="6"/>
      <c r="M69" s="5"/>
      <c r="N69" s="7">
        <v>74943</v>
      </c>
      <c r="O69" s="8">
        <v>716.5</v>
      </c>
      <c r="P69" s="7">
        <f t="shared" si="55"/>
        <v>104.59595254710398</v>
      </c>
      <c r="Q69" s="7">
        <v>14125</v>
      </c>
      <c r="R69" s="8">
        <v>135.30000000000001</v>
      </c>
      <c r="S69" s="7">
        <f t="shared" si="56"/>
        <v>104.39763488543976</v>
      </c>
      <c r="T69" s="7">
        <f t="shared" si="57"/>
        <v>151154.25</v>
      </c>
      <c r="U69" s="8">
        <f t="shared" si="57"/>
        <v>1530.8999999999999</v>
      </c>
      <c r="V69" s="7">
        <f t="shared" si="58"/>
        <v>98.735547717029206</v>
      </c>
    </row>
    <row r="70" spans="2:22" ht="23.25" customHeight="1" x14ac:dyDescent="0.25">
      <c r="B70" s="60"/>
      <c r="C70" s="65">
        <v>9</v>
      </c>
      <c r="D70" s="11">
        <v>44524</v>
      </c>
      <c r="E70" s="7">
        <v>38134</v>
      </c>
      <c r="F70" s="8">
        <v>373.5</v>
      </c>
      <c r="G70" s="7">
        <f t="shared" si="53"/>
        <v>102.09906291834002</v>
      </c>
      <c r="H70" s="7">
        <v>84176.75</v>
      </c>
      <c r="I70" s="8">
        <v>867.5</v>
      </c>
      <c r="J70" s="7">
        <f t="shared" si="54"/>
        <v>97.03371757925072</v>
      </c>
      <c r="K70" s="5"/>
      <c r="L70" s="6"/>
      <c r="M70" s="5"/>
      <c r="N70" s="7">
        <v>152411.5</v>
      </c>
      <c r="O70" s="8">
        <v>1300.3</v>
      </c>
      <c r="P70" s="7">
        <f t="shared" si="55"/>
        <v>117.21256633084673</v>
      </c>
      <c r="Q70" s="7">
        <v>103228.75</v>
      </c>
      <c r="R70" s="8">
        <v>1161.3999999999999</v>
      </c>
      <c r="S70" s="7">
        <f t="shared" si="56"/>
        <v>88.883029102806972</v>
      </c>
      <c r="T70" s="7">
        <f t="shared" si="57"/>
        <v>377951</v>
      </c>
      <c r="U70" s="8">
        <f t="shared" si="57"/>
        <v>3702.7</v>
      </c>
      <c r="V70" s="7">
        <f t="shared" si="58"/>
        <v>102.07443217111837</v>
      </c>
    </row>
    <row r="71" spans="2:22" ht="23.25" customHeight="1" x14ac:dyDescent="0.25">
      <c r="B71" s="60"/>
      <c r="C71" s="66"/>
      <c r="D71" s="11">
        <v>44532</v>
      </c>
      <c r="E71" s="7">
        <v>31564</v>
      </c>
      <c r="F71" s="8">
        <v>283.5</v>
      </c>
      <c r="G71" s="7">
        <f t="shared" si="53"/>
        <v>111.336860670194</v>
      </c>
      <c r="H71" s="7">
        <v>32785</v>
      </c>
      <c r="I71" s="8">
        <v>348</v>
      </c>
      <c r="J71" s="7">
        <f t="shared" si="54"/>
        <v>94.209770114942529</v>
      </c>
      <c r="K71" s="5"/>
      <c r="L71" s="6"/>
      <c r="M71" s="5"/>
      <c r="N71" s="7">
        <v>80790.25</v>
      </c>
      <c r="O71" s="8">
        <v>899.5</v>
      </c>
      <c r="P71" s="7">
        <f t="shared" si="55"/>
        <v>89.816842690383552</v>
      </c>
      <c r="Q71" s="7">
        <v>19288.75</v>
      </c>
      <c r="R71" s="8">
        <v>255.5</v>
      </c>
      <c r="S71" s="7">
        <f t="shared" si="56"/>
        <v>75.49412915851272</v>
      </c>
      <c r="T71" s="7">
        <f t="shared" ref="T71" si="60">SUM(E71,H71,K71,N71,Q71)</f>
        <v>164428</v>
      </c>
      <c r="U71" s="8">
        <f t="shared" ref="U71" si="61">SUM(F71,I71,L71,O71,R71)</f>
        <v>1786.5</v>
      </c>
      <c r="V71" s="7">
        <f t="shared" ref="V71" si="62">T71/U71</f>
        <v>92.039182759585785</v>
      </c>
    </row>
    <row r="72" spans="2:22" ht="23.25" customHeight="1" x14ac:dyDescent="0.25">
      <c r="B72" s="60"/>
      <c r="C72" s="63" t="s">
        <v>36</v>
      </c>
      <c r="D72" s="64"/>
      <c r="E72" s="30">
        <f>SUM(E67:E71)</f>
        <v>201428</v>
      </c>
      <c r="F72" s="31">
        <f>SUM(F67:F71)</f>
        <v>2186.1</v>
      </c>
      <c r="G72" s="30">
        <f>E72/F72</f>
        <v>92.140341246969498</v>
      </c>
      <c r="H72" s="30">
        <f t="shared" ref="H72:I72" si="63">SUM(H67:H71)</f>
        <v>234788</v>
      </c>
      <c r="I72" s="31">
        <f t="shared" si="63"/>
        <v>2600.1</v>
      </c>
      <c r="J72" s="30">
        <f>H72/I72</f>
        <v>90.299603861389954</v>
      </c>
      <c r="K72" s="30">
        <f t="shared" ref="K72:L72" si="64">SUM(K67:K71)</f>
        <v>0</v>
      </c>
      <c r="L72" s="31">
        <f t="shared" si="64"/>
        <v>0</v>
      </c>
      <c r="M72" s="30" t="e">
        <f>K72/L72</f>
        <v>#DIV/0!</v>
      </c>
      <c r="N72" s="30">
        <f t="shared" ref="N72:O72" si="65">SUM(N67:N71)</f>
        <v>523383.98</v>
      </c>
      <c r="O72" s="31">
        <f t="shared" si="65"/>
        <v>5257.6</v>
      </c>
      <c r="P72" s="30">
        <f>N72/O72</f>
        <v>99.548078971393778</v>
      </c>
      <c r="Q72" s="30">
        <f t="shared" ref="Q72:R72" si="66">SUM(Q67:Q71)</f>
        <v>181850</v>
      </c>
      <c r="R72" s="31">
        <f t="shared" si="66"/>
        <v>1997.5</v>
      </c>
      <c r="S72" s="30">
        <f>Q72/R72</f>
        <v>91.038798498122659</v>
      </c>
      <c r="T72" s="30">
        <f t="shared" ref="T72:U72" si="67">SUM(T67:T71)</f>
        <v>1141449.98</v>
      </c>
      <c r="U72" s="31">
        <f t="shared" si="67"/>
        <v>12041.3</v>
      </c>
      <c r="V72" s="32">
        <f>T72/U72</f>
        <v>94.794580319400737</v>
      </c>
    </row>
    <row r="73" spans="2:22" ht="23.25" customHeight="1" x14ac:dyDescent="0.25">
      <c r="B73" s="60"/>
      <c r="C73" s="62" t="s">
        <v>33</v>
      </c>
      <c r="D73" s="11">
        <v>44538</v>
      </c>
      <c r="E73" s="5"/>
      <c r="F73" s="6"/>
      <c r="G73" s="5"/>
      <c r="H73" s="7">
        <v>68390</v>
      </c>
      <c r="I73" s="8">
        <v>641.29999999999995</v>
      </c>
      <c r="J73" s="7">
        <f t="shared" si="54"/>
        <v>106.64275690004679</v>
      </c>
      <c r="K73" s="5"/>
      <c r="L73" s="6"/>
      <c r="M73" s="5"/>
      <c r="N73" s="7">
        <v>79027.95</v>
      </c>
      <c r="O73" s="8">
        <v>813.3</v>
      </c>
      <c r="P73" s="7">
        <f t="shared" si="55"/>
        <v>97.169494651420138</v>
      </c>
      <c r="Q73" s="7">
        <v>7495</v>
      </c>
      <c r="R73" s="8">
        <v>90</v>
      </c>
      <c r="S73" s="7">
        <f t="shared" si="56"/>
        <v>83.277777777777771</v>
      </c>
      <c r="T73" s="7">
        <f t="shared" si="57"/>
        <v>154912.95000000001</v>
      </c>
      <c r="U73" s="8">
        <f t="shared" si="57"/>
        <v>1544.6</v>
      </c>
      <c r="V73" s="7">
        <f t="shared" si="58"/>
        <v>100.29324744270363</v>
      </c>
    </row>
    <row r="74" spans="2:22" ht="23.25" customHeight="1" x14ac:dyDescent="0.25">
      <c r="B74" s="60"/>
      <c r="C74" s="62">
        <v>11</v>
      </c>
      <c r="D74" s="11">
        <v>44545</v>
      </c>
      <c r="E74" s="5"/>
      <c r="F74" s="6"/>
      <c r="G74" s="5"/>
      <c r="H74" s="7">
        <v>2706.25</v>
      </c>
      <c r="I74" s="8">
        <v>32</v>
      </c>
      <c r="J74" s="7">
        <f t="shared" si="54"/>
        <v>84.5703125</v>
      </c>
      <c r="K74" s="5"/>
      <c r="L74" s="6"/>
      <c r="M74" s="5"/>
      <c r="N74" s="7">
        <v>101110</v>
      </c>
      <c r="O74" s="8">
        <v>1130.8</v>
      </c>
      <c r="P74" s="7">
        <f t="shared" si="55"/>
        <v>89.414573753095155</v>
      </c>
      <c r="Q74" s="7">
        <v>16284.5</v>
      </c>
      <c r="R74" s="8">
        <v>180</v>
      </c>
      <c r="S74" s="7">
        <f t="shared" si="56"/>
        <v>90.469444444444449</v>
      </c>
      <c r="T74" s="7">
        <f t="shared" si="57"/>
        <v>120100.75</v>
      </c>
      <c r="U74" s="8">
        <f t="shared" si="57"/>
        <v>1342.8</v>
      </c>
      <c r="V74" s="7">
        <f t="shared" si="58"/>
        <v>89.440534703604413</v>
      </c>
    </row>
    <row r="75" spans="2:22" ht="23.25" customHeight="1" x14ac:dyDescent="0.25">
      <c r="B75" s="60"/>
      <c r="C75" s="62">
        <v>12</v>
      </c>
      <c r="D75" s="11">
        <v>44917</v>
      </c>
      <c r="E75" s="5"/>
      <c r="F75" s="6"/>
      <c r="G75" s="5"/>
      <c r="H75" s="7">
        <v>59894.75</v>
      </c>
      <c r="I75" s="8">
        <v>607</v>
      </c>
      <c r="J75" s="7">
        <f t="shared" si="54"/>
        <v>98.673393739703457</v>
      </c>
      <c r="K75" s="5"/>
      <c r="L75" s="6"/>
      <c r="M75" s="5"/>
      <c r="N75" s="7">
        <v>185539.83</v>
      </c>
      <c r="O75" s="8">
        <v>1685.3</v>
      </c>
      <c r="P75" s="7">
        <f t="shared" si="55"/>
        <v>110.09305761585473</v>
      </c>
      <c r="Q75" s="7">
        <v>53769.04</v>
      </c>
      <c r="R75" s="8">
        <v>572</v>
      </c>
      <c r="S75" s="7">
        <f t="shared" si="56"/>
        <v>94.00181818181818</v>
      </c>
      <c r="T75" s="7">
        <f t="shared" si="57"/>
        <v>299203.62</v>
      </c>
      <c r="U75" s="8">
        <f t="shared" si="57"/>
        <v>2864.3</v>
      </c>
      <c r="V75" s="7">
        <f t="shared" si="58"/>
        <v>104.45959571273958</v>
      </c>
    </row>
    <row r="76" spans="2:22" ht="23.25" customHeight="1" x14ac:dyDescent="0.25">
      <c r="B76" s="60"/>
      <c r="C76" s="62">
        <v>13</v>
      </c>
      <c r="D76" s="11">
        <v>44924</v>
      </c>
      <c r="E76" s="5"/>
      <c r="F76" s="6"/>
      <c r="G76" s="5"/>
      <c r="H76" s="7">
        <v>73240</v>
      </c>
      <c r="I76" s="8">
        <v>767.3</v>
      </c>
      <c r="J76" s="7">
        <f t="shared" si="54"/>
        <v>95.451583474521058</v>
      </c>
      <c r="K76" s="5"/>
      <c r="L76" s="6"/>
      <c r="M76" s="5"/>
      <c r="N76" s="7">
        <v>35369.14</v>
      </c>
      <c r="O76" s="8">
        <v>374</v>
      </c>
      <c r="P76" s="7">
        <f t="shared" si="55"/>
        <v>94.569893048128336</v>
      </c>
      <c r="Q76" s="7">
        <v>18555</v>
      </c>
      <c r="R76" s="8">
        <v>166.3</v>
      </c>
      <c r="S76" s="7">
        <f t="shared" si="56"/>
        <v>111.57546602525555</v>
      </c>
      <c r="T76" s="7">
        <f t="shared" si="57"/>
        <v>127164.14</v>
      </c>
      <c r="U76" s="8">
        <f t="shared" si="57"/>
        <v>1307.5999999999999</v>
      </c>
      <c r="V76" s="7">
        <f t="shared" si="58"/>
        <v>97.250030590394616</v>
      </c>
    </row>
    <row r="77" spans="2:22" ht="23.25" customHeight="1" x14ac:dyDescent="0.25">
      <c r="B77" s="61"/>
      <c r="C77" s="63" t="s">
        <v>36</v>
      </c>
      <c r="D77" s="64"/>
      <c r="E77" s="30">
        <f>SUM(E73:E76)</f>
        <v>0</v>
      </c>
      <c r="F77" s="31">
        <f>SUM(F73:F76)</f>
        <v>0</v>
      </c>
      <c r="G77" s="30" t="e">
        <f>E77/F77</f>
        <v>#DIV/0!</v>
      </c>
      <c r="H77" s="30">
        <f>SUM(H73:H76)</f>
        <v>204231</v>
      </c>
      <c r="I77" s="31">
        <f>SUM(I73:I76)</f>
        <v>2047.6</v>
      </c>
      <c r="J77" s="30">
        <f>H77/I77</f>
        <v>99.741648759523343</v>
      </c>
      <c r="K77" s="30">
        <f>SUM(K73:K76)</f>
        <v>0</v>
      </c>
      <c r="L77" s="31">
        <f>SUM(L73:L76)</f>
        <v>0</v>
      </c>
      <c r="M77" s="30" t="e">
        <f>K77/L77</f>
        <v>#DIV/0!</v>
      </c>
      <c r="N77" s="30">
        <f>SUM(N73:N76)</f>
        <v>401046.92000000004</v>
      </c>
      <c r="O77" s="31">
        <f>SUM(O73:O76)</f>
        <v>4003.3999999999996</v>
      </c>
      <c r="P77" s="30">
        <f>N77/O77</f>
        <v>100.176579907079</v>
      </c>
      <c r="Q77" s="30">
        <f>SUM(Q73:Q76)</f>
        <v>96103.540000000008</v>
      </c>
      <c r="R77" s="31">
        <f>SUM(R73:R76)</f>
        <v>1008.3</v>
      </c>
      <c r="S77" s="30">
        <f>Q77/R77</f>
        <v>95.312446692452653</v>
      </c>
      <c r="T77" s="30">
        <f>SUM(T73:T76)</f>
        <v>701381.46000000008</v>
      </c>
      <c r="U77" s="31">
        <f>SUM(U73:U76)</f>
        <v>7059.2999999999993</v>
      </c>
      <c r="V77" s="32">
        <f>T77/U77</f>
        <v>99.355666992478035</v>
      </c>
    </row>
    <row r="78" spans="2:22" ht="39" customHeight="1" x14ac:dyDescent="0.25">
      <c r="B78" s="52" t="s">
        <v>29</v>
      </c>
      <c r="C78" s="52"/>
      <c r="D78" s="52"/>
      <c r="E78" s="33">
        <f>SUM(E77,E72,E66)</f>
        <v>324269.75</v>
      </c>
      <c r="F78" s="34">
        <f>SUM(F77,F72,F66)</f>
        <v>3501.7</v>
      </c>
      <c r="G78" s="33">
        <f>E78/F78</f>
        <v>92.603521146871529</v>
      </c>
      <c r="H78" s="33">
        <f>SUM(H77,H72,H66)</f>
        <v>620792.75</v>
      </c>
      <c r="I78" s="34">
        <f>SUM(I77,I72,I66)</f>
        <v>6388.5</v>
      </c>
      <c r="J78" s="33">
        <f>H78/I78</f>
        <v>97.173475776786418</v>
      </c>
      <c r="K78" s="33">
        <f>SUM(K77,K72,K66)</f>
        <v>3055</v>
      </c>
      <c r="L78" s="34">
        <f>SUM(L77,L72,L66)</f>
        <v>29.5</v>
      </c>
      <c r="M78" s="33">
        <f>K78/L78</f>
        <v>103.55932203389831</v>
      </c>
      <c r="N78" s="33">
        <f>SUM(N77,N72,N66)</f>
        <v>1282703.8999999999</v>
      </c>
      <c r="O78" s="34">
        <f>SUM(O77,O72,O66)</f>
        <v>12954.6</v>
      </c>
      <c r="P78" s="33">
        <f>N78/O78</f>
        <v>99.015322742500729</v>
      </c>
      <c r="Q78" s="33">
        <f>SUM(Q77,Q72,Q66)</f>
        <v>356413.54000000004</v>
      </c>
      <c r="R78" s="34">
        <f>SUM(R77,R72,R66)</f>
        <v>3877.3</v>
      </c>
      <c r="S78" s="33">
        <f>Q78/R78</f>
        <v>91.923126918216283</v>
      </c>
      <c r="T78" s="33">
        <f>SUM(T77,T72,T66)</f>
        <v>2587234.94</v>
      </c>
      <c r="U78" s="34">
        <f>SUM(U77,U72,U66)</f>
        <v>26751.599999999999</v>
      </c>
      <c r="V78" s="33">
        <f>T78/U78</f>
        <v>96.713278458110921</v>
      </c>
    </row>
    <row r="79" spans="2:22" ht="23.25" customHeight="1" x14ac:dyDescent="0.25">
      <c r="B79" s="53" t="s">
        <v>38</v>
      </c>
      <c r="C79" s="54"/>
      <c r="D79" s="54"/>
      <c r="E79" s="9">
        <f>SUM(E78,E59,E39,E20)</f>
        <v>1140981.6200000001</v>
      </c>
      <c r="F79" s="10">
        <f>SUM(F78,F59,F39,F20)</f>
        <v>12370</v>
      </c>
      <c r="G79" s="9">
        <f>E79/F79</f>
        <v>92.237802748585295</v>
      </c>
      <c r="H79" s="9">
        <f>SUM(H78,H59,H39,H20)</f>
        <v>3455460.74</v>
      </c>
      <c r="I79" s="10">
        <f>SUM(I78,I59,I39,I20)</f>
        <v>38149.699999999997</v>
      </c>
      <c r="J79" s="9">
        <f>H79/I79</f>
        <v>90.57635420462023</v>
      </c>
      <c r="K79" s="9">
        <f>SUM(K78,K59,K39,K20)</f>
        <v>216989.5</v>
      </c>
      <c r="L79" s="10">
        <f>SUM(L78,L59,L39,L20)</f>
        <v>2296.9</v>
      </c>
      <c r="M79" s="9">
        <f>K79/L79</f>
        <v>94.470590796290651</v>
      </c>
      <c r="N79" s="9">
        <f>SUM(N78,N59,N39,N20)</f>
        <v>4502275.2299999995</v>
      </c>
      <c r="O79" s="10">
        <f>SUM(O78,O59,O39,O20)</f>
        <v>49829.7</v>
      </c>
      <c r="P79" s="9">
        <f>N79/O79</f>
        <v>90.353247761876943</v>
      </c>
      <c r="Q79" s="9">
        <f>SUM(Q78,Q59,Q39,Q20)</f>
        <v>894162.04</v>
      </c>
      <c r="R79" s="10">
        <f>SUM(R78,R59,R39,R20)</f>
        <v>10088.4</v>
      </c>
      <c r="S79" s="9">
        <f>Q79/R79</f>
        <v>88.632691011458718</v>
      </c>
      <c r="T79" s="9">
        <f>SUM(T78,T59,T39,T20)</f>
        <v>10209869.129999999</v>
      </c>
      <c r="U79" s="10">
        <f>SUM(U78,U59,U39,U20)</f>
        <v>112734.7</v>
      </c>
      <c r="V79" s="9">
        <f>T79/U79</f>
        <v>90.565452606872583</v>
      </c>
    </row>
  </sheetData>
  <mergeCells count="70">
    <mergeCell ref="B59:D59"/>
    <mergeCell ref="B60:B61"/>
    <mergeCell ref="K41:M41"/>
    <mergeCell ref="N41:P41"/>
    <mergeCell ref="B39:D39"/>
    <mergeCell ref="B40:D40"/>
    <mergeCell ref="B78:D78"/>
    <mergeCell ref="B79:D79"/>
    <mergeCell ref="K60:M60"/>
    <mergeCell ref="N60:P60"/>
    <mergeCell ref="B62:B77"/>
    <mergeCell ref="C67:C71"/>
    <mergeCell ref="Q60:S60"/>
    <mergeCell ref="C66:D66"/>
    <mergeCell ref="C72:D72"/>
    <mergeCell ref="C77:D77"/>
    <mergeCell ref="T60:V60"/>
    <mergeCell ref="C62:C65"/>
    <mergeCell ref="C73:C76"/>
    <mergeCell ref="H60:J60"/>
    <mergeCell ref="C60:C61"/>
    <mergeCell ref="D60:D61"/>
    <mergeCell ref="E60:G60"/>
    <mergeCell ref="Q41:S41"/>
    <mergeCell ref="T41:V41"/>
    <mergeCell ref="B43:B58"/>
    <mergeCell ref="C43:C46"/>
    <mergeCell ref="H41:J41"/>
    <mergeCell ref="C54:C57"/>
    <mergeCell ref="C47:D47"/>
    <mergeCell ref="C53:D53"/>
    <mergeCell ref="C58:D58"/>
    <mergeCell ref="B41:B42"/>
    <mergeCell ref="C41:C42"/>
    <mergeCell ref="D41:D42"/>
    <mergeCell ref="E41:G41"/>
    <mergeCell ref="C48:C52"/>
    <mergeCell ref="B23:B38"/>
    <mergeCell ref="C23:C26"/>
    <mergeCell ref="H21:J21"/>
    <mergeCell ref="C38:D38"/>
    <mergeCell ref="B21:B22"/>
    <mergeCell ref="C21:C22"/>
    <mergeCell ref="D21:D22"/>
    <mergeCell ref="E21:G21"/>
    <mergeCell ref="C34:C37"/>
    <mergeCell ref="C27:D27"/>
    <mergeCell ref="C33:D33"/>
    <mergeCell ref="C28:C32"/>
    <mergeCell ref="C13:D13"/>
    <mergeCell ref="C14:C17"/>
    <mergeCell ref="C19:D19"/>
    <mergeCell ref="Q21:S21"/>
    <mergeCell ref="T21:V21"/>
    <mergeCell ref="B20:D20"/>
    <mergeCell ref="K21:M21"/>
    <mergeCell ref="N21:P21"/>
    <mergeCell ref="B4:B19"/>
    <mergeCell ref="B2:B3"/>
    <mergeCell ref="C2:C3"/>
    <mergeCell ref="D2:D3"/>
    <mergeCell ref="E2:G2"/>
    <mergeCell ref="H2:J2"/>
    <mergeCell ref="N2:P2"/>
    <mergeCell ref="Q2:S2"/>
    <mergeCell ref="T2:V2"/>
    <mergeCell ref="C4:C7"/>
    <mergeCell ref="C9:C12"/>
    <mergeCell ref="K2:M2"/>
    <mergeCell ref="C8:D8"/>
  </mergeCells>
  <printOptions horizontalCentered="1"/>
  <pageMargins left="0.7" right="0.7" top="0.75" bottom="0.75" header="0.3" footer="0.3"/>
  <pageSetup paperSize="17" scale="73" orientation="landscape" r:id="rId1"/>
  <headerFooter>
    <oddHeader>&amp;C&amp;"Arial Black,Regular"&amp;16 2021 SALES REPORT
&amp;12SALESMAN PERFORMANCE</oddHeader>
    <oddFooter>&amp;L&amp;Z&amp;F&amp;R&amp;D</oddFooter>
  </headerFooter>
  <rowBreaks count="1" manualBreakCount="1">
    <brk id="40" max="2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89BD-91F2-4E7E-A9BC-AB5DBBF54555}">
  <sheetPr codeName="Sheet4"/>
  <dimension ref="B2:V79"/>
  <sheetViews>
    <sheetView view="pageBreakPreview" zoomScale="130" zoomScaleNormal="130" zoomScaleSheetLayoutView="130" workbookViewId="0">
      <pane xSplit="3" ySplit="3" topLeftCell="D67" activePane="bottomRight" state="frozen"/>
      <selection pane="topRight" activeCell="C1" sqref="C1"/>
      <selection pane="bottomLeft" activeCell="A5" sqref="A5"/>
      <selection pane="bottomRight" activeCell="E83" sqref="E83"/>
    </sheetView>
  </sheetViews>
  <sheetFormatPr defaultRowHeight="15" x14ac:dyDescent="0.25"/>
  <cols>
    <col min="1" max="1" width="1.140625" customWidth="1"/>
    <col min="2" max="3" width="6" bestFit="1" customWidth="1"/>
    <col min="4" max="4" width="7.42578125" bestFit="1" customWidth="1"/>
    <col min="5" max="5" width="16.140625" style="2" customWidth="1"/>
    <col min="6" max="6" width="10.42578125" style="4" customWidth="1"/>
    <col min="7" max="7" width="8.85546875" style="2" bestFit="1" customWidth="1"/>
    <col min="8" max="8" width="16.140625" style="2" customWidth="1"/>
    <col min="9" max="9" width="10.42578125" style="4" customWidth="1"/>
    <col min="10" max="10" width="9.28515625" style="2" customWidth="1"/>
    <col min="11" max="11" width="16.140625" style="2" hidden="1" customWidth="1"/>
    <col min="12" max="12" width="10.42578125" style="4" hidden="1" customWidth="1"/>
    <col min="13" max="13" width="9.28515625" style="2" hidden="1" customWidth="1"/>
    <col min="14" max="14" width="16.140625" style="2" customWidth="1"/>
    <col min="15" max="15" width="10.42578125" style="4" customWidth="1"/>
    <col min="16" max="16" width="9.28515625" style="2" customWidth="1"/>
    <col min="17" max="17" width="16.140625" style="2" customWidth="1"/>
    <col min="18" max="18" width="10.42578125" style="4" customWidth="1"/>
    <col min="19" max="19" width="9.28515625" style="2" customWidth="1"/>
    <col min="20" max="20" width="16.140625" style="2" customWidth="1"/>
    <col min="21" max="21" width="10.42578125" style="4" customWidth="1"/>
    <col min="22" max="22" width="9.28515625" style="2" customWidth="1"/>
    <col min="23" max="23" width="1.140625" customWidth="1"/>
  </cols>
  <sheetData>
    <row r="2" spans="2:22" x14ac:dyDescent="0.25">
      <c r="B2" s="67" t="s">
        <v>15</v>
      </c>
      <c r="C2" s="67" t="s">
        <v>10</v>
      </c>
      <c r="D2" s="67" t="s">
        <v>0</v>
      </c>
      <c r="E2" s="58" t="s">
        <v>40</v>
      </c>
      <c r="F2" s="58"/>
      <c r="G2" s="58"/>
      <c r="H2" s="58" t="s">
        <v>7</v>
      </c>
      <c r="I2" s="58"/>
      <c r="J2" s="58"/>
      <c r="K2" s="55" t="s">
        <v>27</v>
      </c>
      <c r="L2" s="56"/>
      <c r="M2" s="57"/>
      <c r="N2" s="58" t="s">
        <v>37</v>
      </c>
      <c r="O2" s="58"/>
      <c r="P2" s="58"/>
      <c r="Q2" s="58" t="s">
        <v>8</v>
      </c>
      <c r="R2" s="58"/>
      <c r="S2" s="58"/>
      <c r="T2" s="58" t="s">
        <v>9</v>
      </c>
      <c r="U2" s="58"/>
      <c r="V2" s="58"/>
    </row>
    <row r="3" spans="2:22" x14ac:dyDescent="0.25">
      <c r="B3" s="67"/>
      <c r="C3" s="67"/>
      <c r="D3" s="67"/>
      <c r="E3" s="1" t="s">
        <v>1</v>
      </c>
      <c r="F3" s="3" t="s">
        <v>2</v>
      </c>
      <c r="G3" s="1" t="s">
        <v>3</v>
      </c>
      <c r="H3" s="1" t="s">
        <v>1</v>
      </c>
      <c r="I3" s="3" t="s">
        <v>2</v>
      </c>
      <c r="J3" s="1" t="s">
        <v>3</v>
      </c>
      <c r="K3" s="1" t="s">
        <v>1</v>
      </c>
      <c r="L3" s="3" t="s">
        <v>2</v>
      </c>
      <c r="M3" s="1" t="s">
        <v>3</v>
      </c>
      <c r="N3" s="1" t="s">
        <v>1</v>
      </c>
      <c r="O3" s="3" t="s">
        <v>2</v>
      </c>
      <c r="P3" s="1" t="s">
        <v>3</v>
      </c>
      <c r="Q3" s="1" t="s">
        <v>1</v>
      </c>
      <c r="R3" s="3" t="s">
        <v>2</v>
      </c>
      <c r="S3" s="1" t="s">
        <v>3</v>
      </c>
      <c r="T3" s="1" t="s">
        <v>1</v>
      </c>
      <c r="U3" s="3" t="s">
        <v>2</v>
      </c>
      <c r="V3" s="1" t="s">
        <v>3</v>
      </c>
    </row>
    <row r="4" spans="2:22" ht="23.25" customHeight="1" x14ac:dyDescent="0.25">
      <c r="B4" s="59" t="s">
        <v>16</v>
      </c>
      <c r="C4" s="59" t="s">
        <v>11</v>
      </c>
      <c r="D4" s="11">
        <v>44566</v>
      </c>
      <c r="E4" s="13"/>
      <c r="F4" s="16"/>
      <c r="G4" s="13" t="e">
        <f t="shared" ref="G4:G6" si="0">E4/F4</f>
        <v>#DIV/0!</v>
      </c>
      <c r="H4" s="13">
        <v>49552.5</v>
      </c>
      <c r="I4" s="16">
        <v>483</v>
      </c>
      <c r="J4" s="13">
        <f t="shared" ref="J4:J18" si="1">H4/I4</f>
        <v>102.59316770186335</v>
      </c>
      <c r="K4" s="13"/>
      <c r="L4" s="16"/>
      <c r="M4" s="13" t="e">
        <f t="shared" ref="M4:M18" si="2">K4/L4</f>
        <v>#DIV/0!</v>
      </c>
      <c r="N4" s="13">
        <v>65808.320000000007</v>
      </c>
      <c r="O4" s="16">
        <v>720</v>
      </c>
      <c r="P4" s="13">
        <f t="shared" ref="P4:P18" si="3">N4/O4</f>
        <v>91.40044444444446</v>
      </c>
      <c r="Q4" s="13">
        <v>9300</v>
      </c>
      <c r="R4" s="16">
        <v>100.3</v>
      </c>
      <c r="S4" s="13">
        <f t="shared" ref="S4:S18" si="4">Q4/R4</f>
        <v>92.721834496510468</v>
      </c>
      <c r="T4" s="13">
        <f t="shared" ref="T4:U7" si="5">SUM(E4,H4,K4,N4,Q4)</f>
        <v>124660.82</v>
      </c>
      <c r="U4" s="16">
        <f t="shared" si="5"/>
        <v>1303.3</v>
      </c>
      <c r="V4" s="13">
        <f t="shared" ref="V4:V18" si="6">T4/U4</f>
        <v>95.650134274533883</v>
      </c>
    </row>
    <row r="5" spans="2:22" ht="23.25" customHeight="1" x14ac:dyDescent="0.25">
      <c r="B5" s="60"/>
      <c r="C5" s="60"/>
      <c r="D5" s="11">
        <v>44573</v>
      </c>
      <c r="E5" s="13"/>
      <c r="F5" s="16"/>
      <c r="G5" s="13" t="e">
        <f t="shared" si="0"/>
        <v>#DIV/0!</v>
      </c>
      <c r="H5" s="13">
        <v>40409.699999999997</v>
      </c>
      <c r="I5" s="16">
        <v>373</v>
      </c>
      <c r="J5" s="13">
        <f t="shared" si="1"/>
        <v>108.33699731903485</v>
      </c>
      <c r="K5" s="13"/>
      <c r="L5" s="16"/>
      <c r="M5" s="13" t="e">
        <f t="shared" si="2"/>
        <v>#DIV/0!</v>
      </c>
      <c r="N5" s="13">
        <v>144896.25</v>
      </c>
      <c r="O5" s="16">
        <v>1491</v>
      </c>
      <c r="P5" s="13">
        <f t="shared" si="3"/>
        <v>97.180583501006041</v>
      </c>
      <c r="Q5" s="13">
        <v>50345</v>
      </c>
      <c r="R5" s="16">
        <v>532</v>
      </c>
      <c r="S5" s="13">
        <f t="shared" si="4"/>
        <v>94.633458646616546</v>
      </c>
      <c r="T5" s="13">
        <f t="shared" si="5"/>
        <v>235650.95</v>
      </c>
      <c r="U5" s="16">
        <f t="shared" si="5"/>
        <v>2396</v>
      </c>
      <c r="V5" s="13">
        <f t="shared" si="6"/>
        <v>98.351815525876461</v>
      </c>
    </row>
    <row r="6" spans="2:22" ht="23.25" customHeight="1" x14ac:dyDescent="0.25">
      <c r="B6" s="60"/>
      <c r="C6" s="60"/>
      <c r="D6" s="11">
        <v>44580</v>
      </c>
      <c r="E6" s="13"/>
      <c r="F6" s="16"/>
      <c r="G6" s="13" t="e">
        <f t="shared" si="0"/>
        <v>#DIV/0!</v>
      </c>
      <c r="H6" s="13">
        <v>65955.199999999997</v>
      </c>
      <c r="I6" s="16">
        <v>658.3</v>
      </c>
      <c r="J6" s="13">
        <f t="shared" si="1"/>
        <v>100.19018684490354</v>
      </c>
      <c r="K6" s="13"/>
      <c r="L6" s="16"/>
      <c r="M6" s="13" t="e">
        <f t="shared" si="2"/>
        <v>#DIV/0!</v>
      </c>
      <c r="N6" s="13">
        <v>154707.56</v>
      </c>
      <c r="O6" s="16">
        <v>1399.3</v>
      </c>
      <c r="P6" s="13">
        <f t="shared" si="3"/>
        <v>110.56068034017008</v>
      </c>
      <c r="Q6" s="13">
        <v>77357.5</v>
      </c>
      <c r="R6" s="16">
        <v>727.5</v>
      </c>
      <c r="S6" s="13">
        <f t="shared" si="4"/>
        <v>106.33333333333333</v>
      </c>
      <c r="T6" s="13">
        <f t="shared" si="5"/>
        <v>298020.26</v>
      </c>
      <c r="U6" s="16">
        <f t="shared" si="5"/>
        <v>2785.1</v>
      </c>
      <c r="V6" s="13">
        <f t="shared" si="6"/>
        <v>107.00522781946789</v>
      </c>
    </row>
    <row r="7" spans="2:22" ht="23.25" customHeight="1" x14ac:dyDescent="0.25">
      <c r="B7" s="60"/>
      <c r="C7" s="60"/>
      <c r="D7" s="12">
        <v>44588</v>
      </c>
      <c r="E7" s="13"/>
      <c r="F7" s="16"/>
      <c r="G7" s="13" t="e">
        <f t="shared" ref="G7:G18" si="7">E7/F7</f>
        <v>#DIV/0!</v>
      </c>
      <c r="H7" s="13">
        <v>162638.5</v>
      </c>
      <c r="I7" s="16">
        <v>1506.5</v>
      </c>
      <c r="J7" s="13">
        <f t="shared" si="1"/>
        <v>107.95784931961501</v>
      </c>
      <c r="K7" s="13"/>
      <c r="L7" s="16"/>
      <c r="M7" s="13" t="e">
        <f t="shared" si="2"/>
        <v>#DIV/0!</v>
      </c>
      <c r="N7" s="13">
        <v>225048.64</v>
      </c>
      <c r="O7" s="16">
        <v>2210.8000000000002</v>
      </c>
      <c r="P7" s="13">
        <f t="shared" si="3"/>
        <v>101.79511489053736</v>
      </c>
      <c r="Q7" s="13">
        <v>28455.5</v>
      </c>
      <c r="R7" s="16">
        <v>293.8</v>
      </c>
      <c r="S7" s="13">
        <f t="shared" si="4"/>
        <v>96.853301565690941</v>
      </c>
      <c r="T7" s="13">
        <f t="shared" si="5"/>
        <v>416142.64</v>
      </c>
      <c r="U7" s="16">
        <f t="shared" si="5"/>
        <v>4011.1000000000004</v>
      </c>
      <c r="V7" s="13">
        <f t="shared" si="6"/>
        <v>103.74775996609408</v>
      </c>
    </row>
    <row r="8" spans="2:22" ht="23.25" customHeight="1" x14ac:dyDescent="0.25">
      <c r="B8" s="60"/>
      <c r="C8" s="63" t="s">
        <v>36</v>
      </c>
      <c r="D8" s="64"/>
      <c r="E8" s="30">
        <f>SUM(E4:E7)</f>
        <v>0</v>
      </c>
      <c r="F8" s="31">
        <f>SUM(F4:F7)</f>
        <v>0</v>
      </c>
      <c r="G8" s="30" t="e">
        <f>E8/F8</f>
        <v>#DIV/0!</v>
      </c>
      <c r="H8" s="30">
        <f>SUM(H4:H7)</f>
        <v>318555.90000000002</v>
      </c>
      <c r="I8" s="31">
        <f>SUM(I4:I7)</f>
        <v>3020.8</v>
      </c>
      <c r="J8" s="30">
        <f>H8/I8</f>
        <v>105.45415121822035</v>
      </c>
      <c r="K8" s="30">
        <f>SUM(K4:K7)</f>
        <v>0</v>
      </c>
      <c r="L8" s="31">
        <f>SUM(L4:L7)</f>
        <v>0</v>
      </c>
      <c r="M8" s="30" t="e">
        <f>K8/L8</f>
        <v>#DIV/0!</v>
      </c>
      <c r="N8" s="30">
        <f>SUM(N4:N7)</f>
        <v>590460.77</v>
      </c>
      <c r="O8" s="31">
        <f>SUM(O4:O7)</f>
        <v>5821.1</v>
      </c>
      <c r="P8" s="30">
        <f>N8/O8</f>
        <v>101.43456906770197</v>
      </c>
      <c r="Q8" s="30">
        <f>SUM(Q4:Q7)</f>
        <v>165458</v>
      </c>
      <c r="R8" s="31">
        <f>SUM(R4:R7)</f>
        <v>1653.6</v>
      </c>
      <c r="S8" s="30">
        <f>Q8/R8</f>
        <v>100.05926463473634</v>
      </c>
      <c r="T8" s="30">
        <f>SUM(T4:T7)</f>
        <v>1074474.67</v>
      </c>
      <c r="U8" s="31">
        <f>SUM(U4:U7)</f>
        <v>10495.5</v>
      </c>
      <c r="V8" s="32">
        <f>T8/U8</f>
        <v>102.37479586489447</v>
      </c>
    </row>
    <row r="9" spans="2:22" ht="23.25" customHeight="1" x14ac:dyDescent="0.25">
      <c r="B9" s="60"/>
      <c r="C9" s="59" t="s">
        <v>12</v>
      </c>
      <c r="D9" s="11">
        <v>44230</v>
      </c>
      <c r="E9" s="13"/>
      <c r="F9" s="16"/>
      <c r="G9" s="13" t="e">
        <f t="shared" si="7"/>
        <v>#DIV/0!</v>
      </c>
      <c r="H9" s="13">
        <v>57944</v>
      </c>
      <c r="I9" s="16">
        <v>443.8</v>
      </c>
      <c r="J9" s="13">
        <f t="shared" si="1"/>
        <v>130.56331680937359</v>
      </c>
      <c r="K9" s="13"/>
      <c r="L9" s="16"/>
      <c r="M9" s="13" t="e">
        <f t="shared" si="2"/>
        <v>#DIV/0!</v>
      </c>
      <c r="N9" s="13">
        <v>152913.20000000001</v>
      </c>
      <c r="O9" s="16">
        <v>1683.5</v>
      </c>
      <c r="P9" s="13">
        <f t="shared" si="3"/>
        <v>90.830531630531638</v>
      </c>
      <c r="Q9" s="13">
        <v>3508.5</v>
      </c>
      <c r="R9" s="16">
        <v>49</v>
      </c>
      <c r="S9" s="13">
        <f t="shared" si="4"/>
        <v>71.602040816326536</v>
      </c>
      <c r="T9" s="13">
        <f t="shared" ref="T9:U12" si="8">SUM(E9,H9,K9,N9,Q9)</f>
        <v>214365.7</v>
      </c>
      <c r="U9" s="16">
        <f t="shared" si="8"/>
        <v>2176.3000000000002</v>
      </c>
      <c r="V9" s="13">
        <f t="shared" si="6"/>
        <v>98.500068924321099</v>
      </c>
    </row>
    <row r="10" spans="2:22" ht="23.25" customHeight="1" x14ac:dyDescent="0.25">
      <c r="B10" s="60"/>
      <c r="C10" s="60"/>
      <c r="D10" s="11">
        <v>44237</v>
      </c>
      <c r="E10" s="13"/>
      <c r="F10" s="16"/>
      <c r="G10" s="13" t="e">
        <f t="shared" si="7"/>
        <v>#DIV/0!</v>
      </c>
      <c r="H10" s="13">
        <v>76155.27</v>
      </c>
      <c r="I10" s="16">
        <v>761.8</v>
      </c>
      <c r="J10" s="13">
        <f t="shared" si="1"/>
        <v>99.967537411394076</v>
      </c>
      <c r="K10" s="13"/>
      <c r="L10" s="16"/>
      <c r="M10" s="13" t="e">
        <f t="shared" si="2"/>
        <v>#DIV/0!</v>
      </c>
      <c r="N10" s="13">
        <v>74920</v>
      </c>
      <c r="O10" s="16">
        <v>828.5</v>
      </c>
      <c r="P10" s="13">
        <f t="shared" si="3"/>
        <v>90.428485214242613</v>
      </c>
      <c r="Q10" s="13">
        <v>50270</v>
      </c>
      <c r="R10" s="16">
        <v>574.79999999999995</v>
      </c>
      <c r="S10" s="13">
        <f t="shared" si="4"/>
        <v>87.456506610995135</v>
      </c>
      <c r="T10" s="13">
        <f t="shared" si="8"/>
        <v>201345.27000000002</v>
      </c>
      <c r="U10" s="16">
        <f t="shared" si="8"/>
        <v>2165.1</v>
      </c>
      <c r="V10" s="13">
        <f t="shared" si="6"/>
        <v>92.995829291949576</v>
      </c>
    </row>
    <row r="11" spans="2:22" ht="23.25" customHeight="1" x14ac:dyDescent="0.25">
      <c r="B11" s="60"/>
      <c r="C11" s="60"/>
      <c r="D11" s="11">
        <v>44244</v>
      </c>
      <c r="E11" s="13"/>
      <c r="F11" s="16"/>
      <c r="G11" s="13" t="e">
        <f t="shared" si="7"/>
        <v>#DIV/0!</v>
      </c>
      <c r="H11" s="13">
        <v>64775.5</v>
      </c>
      <c r="I11" s="16">
        <v>504.3</v>
      </c>
      <c r="J11" s="13">
        <f t="shared" si="1"/>
        <v>128.44636129288122</v>
      </c>
      <c r="K11" s="13"/>
      <c r="L11" s="16"/>
      <c r="M11" s="13" t="e">
        <f t="shared" si="2"/>
        <v>#DIV/0!</v>
      </c>
      <c r="N11" s="13">
        <v>127313.25</v>
      </c>
      <c r="O11" s="16">
        <v>1378.8</v>
      </c>
      <c r="P11" s="13">
        <f t="shared" si="3"/>
        <v>92.336270670147954</v>
      </c>
      <c r="Q11" s="13">
        <v>17482.25</v>
      </c>
      <c r="R11" s="16">
        <v>206.8</v>
      </c>
      <c r="S11" s="13">
        <f t="shared" si="4"/>
        <v>84.536992263056092</v>
      </c>
      <c r="T11" s="13">
        <f t="shared" si="8"/>
        <v>209571</v>
      </c>
      <c r="U11" s="16">
        <f t="shared" si="8"/>
        <v>2089.9</v>
      </c>
      <c r="V11" s="13">
        <f t="shared" si="6"/>
        <v>100.27800373223599</v>
      </c>
    </row>
    <row r="12" spans="2:22" ht="23.25" customHeight="1" x14ac:dyDescent="0.25">
      <c r="B12" s="60"/>
      <c r="C12" s="60"/>
      <c r="D12" s="11">
        <v>44251</v>
      </c>
      <c r="E12" s="13"/>
      <c r="F12" s="16"/>
      <c r="G12" s="13" t="e">
        <f t="shared" si="7"/>
        <v>#DIV/0!</v>
      </c>
      <c r="H12" s="13">
        <v>135660.76999999999</v>
      </c>
      <c r="I12" s="16">
        <v>1216.8</v>
      </c>
      <c r="J12" s="13">
        <f t="shared" si="1"/>
        <v>111.48978468113083</v>
      </c>
      <c r="K12" s="13"/>
      <c r="L12" s="16"/>
      <c r="M12" s="13" t="e">
        <f t="shared" si="2"/>
        <v>#DIV/0!</v>
      </c>
      <c r="N12" s="13">
        <v>54035</v>
      </c>
      <c r="O12" s="16">
        <v>473.5</v>
      </c>
      <c r="P12" s="13">
        <f t="shared" si="3"/>
        <v>114.1182682154171</v>
      </c>
      <c r="Q12" s="13">
        <v>33886.75</v>
      </c>
      <c r="R12" s="16">
        <v>425.3</v>
      </c>
      <c r="S12" s="13">
        <f t="shared" si="4"/>
        <v>79.677286621208552</v>
      </c>
      <c r="T12" s="13">
        <f t="shared" si="8"/>
        <v>223582.52</v>
      </c>
      <c r="U12" s="16">
        <f t="shared" si="8"/>
        <v>2115.6</v>
      </c>
      <c r="V12" s="13">
        <f t="shared" si="6"/>
        <v>105.68279447910759</v>
      </c>
    </row>
    <row r="13" spans="2:22" ht="23.25" customHeight="1" x14ac:dyDescent="0.25">
      <c r="B13" s="60"/>
      <c r="C13" s="63" t="s">
        <v>36</v>
      </c>
      <c r="D13" s="64"/>
      <c r="E13" s="30">
        <f>SUM(E9:E12)</f>
        <v>0</v>
      </c>
      <c r="F13" s="31">
        <f>SUM(F9:F12)</f>
        <v>0</v>
      </c>
      <c r="G13" s="30" t="e">
        <f>E13/F13</f>
        <v>#DIV/0!</v>
      </c>
      <c r="H13" s="30">
        <f>SUM(H9:H12)</f>
        <v>334535.54000000004</v>
      </c>
      <c r="I13" s="31">
        <f>SUM(I9:I12)</f>
        <v>2926.7</v>
      </c>
      <c r="J13" s="30">
        <f>H13/I13</f>
        <v>114.30469129053202</v>
      </c>
      <c r="K13" s="30"/>
      <c r="L13" s="31"/>
      <c r="M13" s="30" t="e">
        <f>K13/L13</f>
        <v>#DIV/0!</v>
      </c>
      <c r="N13" s="30">
        <f>SUM(N9:N12)</f>
        <v>409181.45</v>
      </c>
      <c r="O13" s="31">
        <f>SUM(O9:O12)</f>
        <v>4364.3</v>
      </c>
      <c r="P13" s="30">
        <f>N13/O13</f>
        <v>93.756490158788353</v>
      </c>
      <c r="Q13" s="30">
        <f>SUM(Q9:Q12)</f>
        <v>105147.5</v>
      </c>
      <c r="R13" s="31">
        <f>SUM(R9:R12)</f>
        <v>1255.8999999999999</v>
      </c>
      <c r="S13" s="30">
        <f>Q13/R13</f>
        <v>83.722828250656903</v>
      </c>
      <c r="T13" s="30">
        <f>SUM(T9:T12)</f>
        <v>848864.49</v>
      </c>
      <c r="U13" s="31">
        <f>SUM(U9:U12)</f>
        <v>8546.9</v>
      </c>
      <c r="V13" s="32">
        <f>T13/U13</f>
        <v>99.318406673764756</v>
      </c>
    </row>
    <row r="14" spans="2:22" ht="23.25" customHeight="1" x14ac:dyDescent="0.25">
      <c r="B14" s="60"/>
      <c r="C14" s="59" t="s">
        <v>13</v>
      </c>
      <c r="D14" s="11">
        <v>44258</v>
      </c>
      <c r="E14" s="13"/>
      <c r="F14" s="16"/>
      <c r="G14" s="13" t="e">
        <f t="shared" si="7"/>
        <v>#DIV/0!</v>
      </c>
      <c r="H14" s="13">
        <v>27778.32</v>
      </c>
      <c r="I14" s="16">
        <v>298.8</v>
      </c>
      <c r="J14" s="13">
        <f t="shared" si="1"/>
        <v>92.966265060240957</v>
      </c>
      <c r="K14" s="13"/>
      <c r="L14" s="16"/>
      <c r="M14" s="13" t="e">
        <f t="shared" si="2"/>
        <v>#DIV/0!</v>
      </c>
      <c r="N14" s="13">
        <v>127940</v>
      </c>
      <c r="O14" s="16">
        <v>1238.8</v>
      </c>
      <c r="P14" s="13">
        <f t="shared" si="3"/>
        <v>103.27736519212141</v>
      </c>
      <c r="Q14" s="13">
        <v>28272.5</v>
      </c>
      <c r="R14" s="16">
        <v>336.3</v>
      </c>
      <c r="S14" s="13">
        <f t="shared" si="4"/>
        <v>84.069283377936358</v>
      </c>
      <c r="T14" s="13">
        <f t="shared" ref="T14:U18" si="9">SUM(E14,H14,K14,N14,Q14)</f>
        <v>183990.82</v>
      </c>
      <c r="U14" s="16">
        <f t="shared" si="9"/>
        <v>1873.8999999999999</v>
      </c>
      <c r="V14" s="13">
        <f t="shared" si="6"/>
        <v>98.186039810021896</v>
      </c>
    </row>
    <row r="15" spans="2:22" ht="23.25" customHeight="1" x14ac:dyDescent="0.25">
      <c r="B15" s="60"/>
      <c r="C15" s="60"/>
      <c r="D15" s="11">
        <v>44265</v>
      </c>
      <c r="E15" s="13"/>
      <c r="F15" s="16"/>
      <c r="G15" s="13" t="e">
        <f t="shared" si="7"/>
        <v>#DIV/0!</v>
      </c>
      <c r="H15" s="13">
        <v>53108.75</v>
      </c>
      <c r="I15" s="16">
        <v>608</v>
      </c>
      <c r="J15" s="13">
        <f t="shared" si="1"/>
        <v>87.34991776315789</v>
      </c>
      <c r="K15" s="13"/>
      <c r="L15" s="16"/>
      <c r="M15" s="13" t="e">
        <f t="shared" si="2"/>
        <v>#DIV/0!</v>
      </c>
      <c r="N15" s="13">
        <v>62950</v>
      </c>
      <c r="O15" s="16">
        <v>692.5</v>
      </c>
      <c r="P15" s="13">
        <f t="shared" si="3"/>
        <v>90.902527075812273</v>
      </c>
      <c r="Q15" s="13">
        <v>25360</v>
      </c>
      <c r="R15" s="16">
        <v>268</v>
      </c>
      <c r="S15" s="13" t="s">
        <v>9</v>
      </c>
      <c r="T15" s="13">
        <f t="shared" si="9"/>
        <v>141418.75</v>
      </c>
      <c r="U15" s="16">
        <f t="shared" si="9"/>
        <v>1568.5</v>
      </c>
      <c r="V15" s="13">
        <f t="shared" si="6"/>
        <v>90.161778769525029</v>
      </c>
    </row>
    <row r="16" spans="2:22" ht="23.25" customHeight="1" x14ac:dyDescent="0.25">
      <c r="B16" s="60"/>
      <c r="C16" s="60"/>
      <c r="D16" s="11">
        <v>44272</v>
      </c>
      <c r="E16" s="13"/>
      <c r="F16" s="16"/>
      <c r="G16" s="13" t="e">
        <f t="shared" si="7"/>
        <v>#DIV/0!</v>
      </c>
      <c r="H16" s="13">
        <v>43025</v>
      </c>
      <c r="I16" s="16">
        <v>465.8</v>
      </c>
      <c r="J16" s="13">
        <f t="shared" si="1"/>
        <v>92.3679690854444</v>
      </c>
      <c r="K16" s="13"/>
      <c r="L16" s="16"/>
      <c r="M16" s="13" t="e">
        <f t="shared" si="2"/>
        <v>#DIV/0!</v>
      </c>
      <c r="N16" s="13">
        <v>174542</v>
      </c>
      <c r="O16" s="16">
        <v>1656</v>
      </c>
      <c r="P16" s="13">
        <f t="shared" si="3"/>
        <v>105.39975845410628</v>
      </c>
      <c r="Q16" s="13">
        <v>29205.35</v>
      </c>
      <c r="R16" s="16">
        <v>298.3</v>
      </c>
      <c r="S16" s="13">
        <f t="shared" si="4"/>
        <v>97.905967147167274</v>
      </c>
      <c r="T16" s="13">
        <f t="shared" si="9"/>
        <v>246772.35</v>
      </c>
      <c r="U16" s="16">
        <f t="shared" si="9"/>
        <v>2420.1000000000004</v>
      </c>
      <c r="V16" s="13">
        <f t="shared" si="6"/>
        <v>101.96783190777239</v>
      </c>
    </row>
    <row r="17" spans="2:22" ht="23.25" customHeight="1" x14ac:dyDescent="0.25">
      <c r="B17" s="60"/>
      <c r="C17" s="60"/>
      <c r="D17" s="11">
        <v>44279</v>
      </c>
      <c r="E17" s="13"/>
      <c r="F17" s="16"/>
      <c r="G17" s="13" t="e">
        <f t="shared" si="7"/>
        <v>#DIV/0!</v>
      </c>
      <c r="H17" s="13">
        <v>79539.070000000007</v>
      </c>
      <c r="I17" s="16">
        <v>772.5</v>
      </c>
      <c r="J17" s="13">
        <f t="shared" si="1"/>
        <v>102.96319741100325</v>
      </c>
      <c r="K17" s="13"/>
      <c r="L17" s="16"/>
      <c r="M17" s="13" t="e">
        <f t="shared" si="2"/>
        <v>#DIV/0!</v>
      </c>
      <c r="N17" s="13">
        <v>63245.3</v>
      </c>
      <c r="O17" s="16">
        <v>650.5</v>
      </c>
      <c r="P17" s="13">
        <f t="shared" si="3"/>
        <v>97.22567255956956</v>
      </c>
      <c r="Q17" s="13">
        <v>22890</v>
      </c>
      <c r="R17" s="16">
        <v>209.5</v>
      </c>
      <c r="S17" s="13">
        <f t="shared" si="4"/>
        <v>109.26014319809069</v>
      </c>
      <c r="T17" s="13">
        <f t="shared" si="9"/>
        <v>165674.37</v>
      </c>
      <c r="U17" s="16">
        <f t="shared" si="9"/>
        <v>1632.5</v>
      </c>
      <c r="V17" s="13">
        <f t="shared" si="6"/>
        <v>101.48506584992343</v>
      </c>
    </row>
    <row r="18" spans="2:22" ht="23.25" customHeight="1" x14ac:dyDescent="0.25">
      <c r="B18" s="60"/>
      <c r="C18" s="35"/>
      <c r="D18" s="11">
        <v>44286</v>
      </c>
      <c r="E18" s="13"/>
      <c r="F18" s="16"/>
      <c r="G18" s="13" t="e">
        <f t="shared" si="7"/>
        <v>#DIV/0!</v>
      </c>
      <c r="H18" s="13">
        <v>74989.61</v>
      </c>
      <c r="I18" s="16">
        <v>730</v>
      </c>
      <c r="J18" s="13">
        <f t="shared" si="1"/>
        <v>102.72549315068493</v>
      </c>
      <c r="K18" s="13"/>
      <c r="L18" s="16"/>
      <c r="M18" s="13" t="e">
        <f t="shared" si="2"/>
        <v>#DIV/0!</v>
      </c>
      <c r="N18" s="13">
        <v>153121.59</v>
      </c>
      <c r="O18" s="16">
        <v>1431.3</v>
      </c>
      <c r="P18" s="13">
        <f t="shared" si="3"/>
        <v>106.98077971075246</v>
      </c>
      <c r="Q18" s="13">
        <v>29307.82</v>
      </c>
      <c r="R18" s="16">
        <v>313.5</v>
      </c>
      <c r="S18" s="13">
        <f t="shared" si="4"/>
        <v>93.485869218500795</v>
      </c>
      <c r="T18" s="13">
        <f t="shared" si="9"/>
        <v>257419.02000000002</v>
      </c>
      <c r="U18" s="16">
        <f t="shared" si="9"/>
        <v>2474.8000000000002</v>
      </c>
      <c r="V18" s="13">
        <f t="shared" si="6"/>
        <v>104.01609018910619</v>
      </c>
    </row>
    <row r="19" spans="2:22" ht="23.25" customHeight="1" x14ac:dyDescent="0.25">
      <c r="B19" s="61"/>
      <c r="C19" s="63" t="s">
        <v>36</v>
      </c>
      <c r="D19" s="64"/>
      <c r="E19" s="30">
        <f>SUM(E14:E18)</f>
        <v>0</v>
      </c>
      <c r="F19" s="31">
        <f>SUM(F14:F18)</f>
        <v>0</v>
      </c>
      <c r="G19" s="30" t="e">
        <f>E19/F19</f>
        <v>#DIV/0!</v>
      </c>
      <c r="H19" s="30">
        <f>SUM(H14:H18)</f>
        <v>278440.75</v>
      </c>
      <c r="I19" s="31">
        <f>SUM(I14:I18)</f>
        <v>2875.1</v>
      </c>
      <c r="J19" s="30">
        <f>H19/I19</f>
        <v>96.84558797954854</v>
      </c>
      <c r="K19" s="30">
        <f>SUM(K14:K18)</f>
        <v>0</v>
      </c>
      <c r="L19" s="31">
        <f>SUM(L14:L18)</f>
        <v>0</v>
      </c>
      <c r="M19" s="30" t="e">
        <f>K19/L19</f>
        <v>#DIV/0!</v>
      </c>
      <c r="N19" s="30">
        <f>SUM(N14:N18)</f>
        <v>581798.89</v>
      </c>
      <c r="O19" s="31">
        <f>SUM(O14:O18)</f>
        <v>5669.1</v>
      </c>
      <c r="P19" s="30">
        <f>N19/O19</f>
        <v>102.62632340230371</v>
      </c>
      <c r="Q19" s="30">
        <f>SUM(Q14:Q18)</f>
        <v>135035.67000000001</v>
      </c>
      <c r="R19" s="31">
        <f>SUM(R14:R18)</f>
        <v>1425.6</v>
      </c>
      <c r="S19" s="30">
        <f>Q19/R19</f>
        <v>94.72199074074075</v>
      </c>
      <c r="T19" s="30">
        <f>SUM(T14:T18)</f>
        <v>995275.31</v>
      </c>
      <c r="U19" s="31">
        <f>SUM(U14:U18)</f>
        <v>9969.7999999999993</v>
      </c>
      <c r="V19" s="32">
        <f>T19/U19</f>
        <v>99.829014624164998</v>
      </c>
    </row>
    <row r="20" spans="2:22" ht="39" customHeight="1" x14ac:dyDescent="0.25">
      <c r="B20" s="68" t="s">
        <v>20</v>
      </c>
      <c r="C20" s="68"/>
      <c r="D20" s="68"/>
      <c r="E20" s="33">
        <f>SUM(E19,E13,E8)</f>
        <v>0</v>
      </c>
      <c r="F20" s="34">
        <f>SUM(F19,F13,F8)</f>
        <v>0</v>
      </c>
      <c r="G20" s="33" t="e">
        <f>E20/F20</f>
        <v>#DIV/0!</v>
      </c>
      <c r="H20" s="33">
        <f t="shared" ref="H20:I20" si="10">SUM(H19,H13,H8)</f>
        <v>931532.19000000006</v>
      </c>
      <c r="I20" s="34">
        <f t="shared" si="10"/>
        <v>8822.5999999999985</v>
      </c>
      <c r="J20" s="33">
        <f>H20/I20</f>
        <v>105.58476979575184</v>
      </c>
      <c r="K20" s="33">
        <f t="shared" ref="K20:L20" si="11">SUM(K19,K13,K8)</f>
        <v>0</v>
      </c>
      <c r="L20" s="34">
        <f t="shared" si="11"/>
        <v>0</v>
      </c>
      <c r="M20" s="33" t="e">
        <f>K20/L20</f>
        <v>#DIV/0!</v>
      </c>
      <c r="N20" s="33">
        <f t="shared" ref="N20:O20" si="12">SUM(N19,N13,N8)</f>
        <v>1581441.11</v>
      </c>
      <c r="O20" s="34">
        <f t="shared" si="12"/>
        <v>15854.500000000002</v>
      </c>
      <c r="P20" s="33">
        <f>N20/O20</f>
        <v>99.74714497461288</v>
      </c>
      <c r="Q20" s="33">
        <f t="shared" ref="Q20:R20" si="13">SUM(Q19,Q13,Q8)</f>
        <v>405641.17000000004</v>
      </c>
      <c r="R20" s="34">
        <f t="shared" si="13"/>
        <v>4335.1000000000004</v>
      </c>
      <c r="S20" s="33">
        <f>Q20/R20</f>
        <v>93.571352448617105</v>
      </c>
      <c r="T20" s="33">
        <f>SUM(T19,T13,T8)</f>
        <v>2918614.4699999997</v>
      </c>
      <c r="U20" s="34">
        <f>SUM(U19,U13,U8)</f>
        <v>29012.199999999997</v>
      </c>
      <c r="V20" s="33">
        <f>T20/U20</f>
        <v>100.59955708288237</v>
      </c>
    </row>
    <row r="21" spans="2:22" x14ac:dyDescent="0.25">
      <c r="B21" s="67" t="s">
        <v>15</v>
      </c>
      <c r="C21" s="67" t="s">
        <v>10</v>
      </c>
      <c r="D21" s="67" t="s">
        <v>0</v>
      </c>
      <c r="E21" s="58" t="s">
        <v>40</v>
      </c>
      <c r="F21" s="58"/>
      <c r="G21" s="58"/>
      <c r="H21" s="58" t="s">
        <v>7</v>
      </c>
      <c r="I21" s="58"/>
      <c r="J21" s="58"/>
      <c r="K21" s="55" t="s">
        <v>27</v>
      </c>
      <c r="L21" s="56"/>
      <c r="M21" s="57"/>
      <c r="N21" s="58" t="s">
        <v>37</v>
      </c>
      <c r="O21" s="58"/>
      <c r="P21" s="58"/>
      <c r="Q21" s="58" t="s">
        <v>8</v>
      </c>
      <c r="R21" s="58"/>
      <c r="S21" s="58"/>
      <c r="T21" s="58" t="s">
        <v>9</v>
      </c>
      <c r="U21" s="58"/>
      <c r="V21" s="58"/>
    </row>
    <row r="22" spans="2:22" x14ac:dyDescent="0.25">
      <c r="B22" s="67"/>
      <c r="C22" s="67"/>
      <c r="D22" s="67"/>
      <c r="E22" s="1" t="s">
        <v>1</v>
      </c>
      <c r="F22" s="3" t="s">
        <v>2</v>
      </c>
      <c r="G22" s="1" t="s">
        <v>3</v>
      </c>
      <c r="H22" s="1" t="s">
        <v>1</v>
      </c>
      <c r="I22" s="3" t="s">
        <v>2</v>
      </c>
      <c r="J22" s="1" t="s">
        <v>3</v>
      </c>
      <c r="K22" s="1" t="s">
        <v>1</v>
      </c>
      <c r="L22" s="3" t="s">
        <v>2</v>
      </c>
      <c r="M22" s="1" t="s">
        <v>3</v>
      </c>
      <c r="N22" s="1" t="s">
        <v>1</v>
      </c>
      <c r="O22" s="3" t="s">
        <v>2</v>
      </c>
      <c r="P22" s="1" t="s">
        <v>3</v>
      </c>
      <c r="Q22" s="1" t="s">
        <v>1</v>
      </c>
      <c r="R22" s="3" t="s">
        <v>2</v>
      </c>
      <c r="S22" s="1" t="s">
        <v>3</v>
      </c>
      <c r="T22" s="1" t="s">
        <v>1</v>
      </c>
      <c r="U22" s="3" t="s">
        <v>2</v>
      </c>
      <c r="V22" s="1" t="s">
        <v>3</v>
      </c>
    </row>
    <row r="23" spans="2:22" ht="23.25" customHeight="1" x14ac:dyDescent="0.25">
      <c r="B23" s="59" t="s">
        <v>19</v>
      </c>
      <c r="C23" s="62" t="s">
        <v>14</v>
      </c>
      <c r="D23" s="11">
        <v>44293</v>
      </c>
      <c r="E23" s="7"/>
      <c r="F23" s="8"/>
      <c r="G23" s="7" t="e">
        <f t="shared" ref="G23:G26" si="14">E23/F23</f>
        <v>#DIV/0!</v>
      </c>
      <c r="H23" s="7">
        <v>54926.12</v>
      </c>
      <c r="I23" s="8">
        <v>576</v>
      </c>
      <c r="J23" s="7">
        <f t="shared" ref="J23:J37" si="15">H23/I23</f>
        <v>95.357847222222233</v>
      </c>
      <c r="K23" s="7"/>
      <c r="L23" s="8"/>
      <c r="M23" s="7" t="e">
        <f t="shared" ref="M23" si="16">K23/L23</f>
        <v>#DIV/0!</v>
      </c>
      <c r="N23" s="7">
        <v>113293.91</v>
      </c>
      <c r="O23" s="8">
        <v>1246</v>
      </c>
      <c r="P23" s="7">
        <f t="shared" ref="P23:P37" si="17">N23/O23</f>
        <v>90.926091492776891</v>
      </c>
      <c r="Q23" s="7">
        <v>17870</v>
      </c>
      <c r="R23" s="8">
        <v>142.5</v>
      </c>
      <c r="S23" s="7">
        <f t="shared" ref="S23:S32" si="18">Q23/R23</f>
        <v>125.40350877192982</v>
      </c>
      <c r="T23" s="7">
        <f t="shared" ref="T23:U26" si="19">SUM(E23,H23,K23,N23,Q23)</f>
        <v>186090.03</v>
      </c>
      <c r="U23" s="8">
        <f t="shared" si="19"/>
        <v>1964.5</v>
      </c>
      <c r="V23" s="7">
        <f t="shared" ref="V23:V37" si="20">T23/U23</f>
        <v>94.726408755408499</v>
      </c>
    </row>
    <row r="24" spans="2:22" ht="23.25" customHeight="1" x14ac:dyDescent="0.25">
      <c r="B24" s="60"/>
      <c r="C24" s="62"/>
      <c r="D24" s="11">
        <v>44300</v>
      </c>
      <c r="E24" s="7"/>
      <c r="F24" s="8"/>
      <c r="G24" s="7" t="e">
        <f t="shared" si="14"/>
        <v>#DIV/0!</v>
      </c>
      <c r="H24" s="7">
        <v>67317.5</v>
      </c>
      <c r="I24" s="8">
        <v>676.5</v>
      </c>
      <c r="J24" s="7">
        <f t="shared" si="15"/>
        <v>99.508499630450856</v>
      </c>
      <c r="K24" s="7"/>
      <c r="L24" s="8"/>
      <c r="M24" s="7" t="e">
        <f t="shared" ref="M24:M26" si="21">K24/L24</f>
        <v>#DIV/0!</v>
      </c>
      <c r="N24" s="7">
        <v>107573.94</v>
      </c>
      <c r="O24" s="8">
        <v>1028.5</v>
      </c>
      <c r="P24" s="7">
        <f t="shared" si="17"/>
        <v>104.59303840544483</v>
      </c>
      <c r="Q24" s="7">
        <v>598.75</v>
      </c>
      <c r="R24" s="8">
        <v>5</v>
      </c>
      <c r="S24" s="7">
        <f t="shared" si="18"/>
        <v>119.75</v>
      </c>
      <c r="T24" s="7">
        <f t="shared" si="19"/>
        <v>175490.19</v>
      </c>
      <c r="U24" s="8">
        <f t="shared" si="19"/>
        <v>1710</v>
      </c>
      <c r="V24" s="7">
        <f t="shared" si="20"/>
        <v>102.62584210526316</v>
      </c>
    </row>
    <row r="25" spans="2:22" ht="23.25" customHeight="1" x14ac:dyDescent="0.25">
      <c r="B25" s="60"/>
      <c r="C25" s="62"/>
      <c r="D25" s="11">
        <v>44307</v>
      </c>
      <c r="E25" s="7"/>
      <c r="F25" s="8"/>
      <c r="G25" s="7" t="e">
        <f t="shared" si="14"/>
        <v>#DIV/0!</v>
      </c>
      <c r="H25" s="7">
        <v>43831.63</v>
      </c>
      <c r="I25" s="8">
        <v>408</v>
      </c>
      <c r="J25" s="7">
        <f t="shared" si="15"/>
        <v>107.4304656862745</v>
      </c>
      <c r="K25" s="7"/>
      <c r="L25" s="8"/>
      <c r="M25" s="7" t="e">
        <f t="shared" si="21"/>
        <v>#DIV/0!</v>
      </c>
      <c r="N25" s="7">
        <v>106578.89</v>
      </c>
      <c r="O25" s="8">
        <v>1082.8</v>
      </c>
      <c r="P25" s="7">
        <f t="shared" si="17"/>
        <v>98.428971185814561</v>
      </c>
      <c r="Q25" s="7">
        <v>65987.820000000007</v>
      </c>
      <c r="R25" s="8">
        <v>657.8</v>
      </c>
      <c r="S25" s="7">
        <f t="shared" si="18"/>
        <v>100.31593189419279</v>
      </c>
      <c r="T25" s="7">
        <f t="shared" si="19"/>
        <v>216398.34</v>
      </c>
      <c r="U25" s="8">
        <f t="shared" si="19"/>
        <v>2148.6</v>
      </c>
      <c r="V25" s="7">
        <f t="shared" si="20"/>
        <v>100.71597319184586</v>
      </c>
    </row>
    <row r="26" spans="2:22" ht="23.25" customHeight="1" x14ac:dyDescent="0.25">
      <c r="B26" s="60"/>
      <c r="C26" s="62"/>
      <c r="D26" s="11">
        <v>44314</v>
      </c>
      <c r="E26" s="7"/>
      <c r="F26" s="8"/>
      <c r="G26" s="7" t="e">
        <f t="shared" si="14"/>
        <v>#DIV/0!</v>
      </c>
      <c r="H26" s="7">
        <v>99811.25</v>
      </c>
      <c r="I26" s="8">
        <v>972</v>
      </c>
      <c r="J26" s="7">
        <f t="shared" si="15"/>
        <v>102.68647119341564</v>
      </c>
      <c r="K26" s="7"/>
      <c r="L26" s="8"/>
      <c r="M26" s="7" t="e">
        <f t="shared" si="21"/>
        <v>#DIV/0!</v>
      </c>
      <c r="N26" s="7">
        <v>101095</v>
      </c>
      <c r="O26" s="8">
        <v>864</v>
      </c>
      <c r="P26" s="7">
        <f t="shared" si="17"/>
        <v>117.00810185185185</v>
      </c>
      <c r="Q26" s="7">
        <v>19165</v>
      </c>
      <c r="R26" s="8">
        <v>161.5</v>
      </c>
      <c r="S26" s="7">
        <f t="shared" si="18"/>
        <v>118.6687306501548</v>
      </c>
      <c r="T26" s="7">
        <f t="shared" si="19"/>
        <v>220071.25</v>
      </c>
      <c r="U26" s="8">
        <f t="shared" si="19"/>
        <v>1997.5</v>
      </c>
      <c r="V26" s="7">
        <f t="shared" si="20"/>
        <v>110.17334167709637</v>
      </c>
    </row>
    <row r="27" spans="2:22" ht="23.25" customHeight="1" x14ac:dyDescent="0.25">
      <c r="B27" s="60"/>
      <c r="C27" s="63" t="s">
        <v>36</v>
      </c>
      <c r="D27" s="64"/>
      <c r="E27" s="30">
        <f>SUM(E23:E26)</f>
        <v>0</v>
      </c>
      <c r="F27" s="31">
        <f>SUM(F23:F26)</f>
        <v>0</v>
      </c>
      <c r="G27" s="30" t="e">
        <f>E27/F27</f>
        <v>#DIV/0!</v>
      </c>
      <c r="H27" s="30">
        <f>SUM(H23:H26)</f>
        <v>265886.5</v>
      </c>
      <c r="I27" s="31">
        <f>SUM(I23:I26)</f>
        <v>2632.5</v>
      </c>
      <c r="J27" s="30">
        <f>H27/I27</f>
        <v>101.00151946818613</v>
      </c>
      <c r="K27" s="30">
        <f>SUM(K23:K26)</f>
        <v>0</v>
      </c>
      <c r="L27" s="31">
        <f>SUM(L23:L26)</f>
        <v>0</v>
      </c>
      <c r="M27" s="30" t="e">
        <f>K27/L27</f>
        <v>#DIV/0!</v>
      </c>
      <c r="N27" s="30">
        <f>SUM(N23:N26)</f>
        <v>428541.74</v>
      </c>
      <c r="O27" s="31">
        <f>SUM(O23:O26)</f>
        <v>4221.3</v>
      </c>
      <c r="P27" s="30">
        <f>N27/O27</f>
        <v>101.51890176012128</v>
      </c>
      <c r="Q27" s="30">
        <f>SUM(Q23:Q26)</f>
        <v>103621.57</v>
      </c>
      <c r="R27" s="31">
        <f>SUM(R23:R26)</f>
        <v>966.8</v>
      </c>
      <c r="S27" s="30">
        <f>Q27/R27</f>
        <v>107.17994414563509</v>
      </c>
      <c r="T27" s="30">
        <f>SUM(T23:T26)</f>
        <v>798049.80999999994</v>
      </c>
      <c r="U27" s="31">
        <f>SUM(U23:U26)</f>
        <v>7820.6</v>
      </c>
      <c r="V27" s="32">
        <f>T27/U27</f>
        <v>102.04457586374446</v>
      </c>
    </row>
    <row r="28" spans="2:22" ht="23.25" customHeight="1" x14ac:dyDescent="0.25">
      <c r="B28" s="60"/>
      <c r="C28" s="59" t="s">
        <v>17</v>
      </c>
      <c r="D28" s="11">
        <v>44321</v>
      </c>
      <c r="E28" s="7"/>
      <c r="F28" s="8"/>
      <c r="G28" s="7" t="e">
        <f t="shared" ref="G28:G32" si="22">E28/F28</f>
        <v>#DIV/0!</v>
      </c>
      <c r="H28" s="7">
        <v>30485</v>
      </c>
      <c r="I28" s="8">
        <v>298</v>
      </c>
      <c r="J28" s="7">
        <f t="shared" si="15"/>
        <v>102.29865771812081</v>
      </c>
      <c r="K28" s="7"/>
      <c r="L28" s="8"/>
      <c r="M28" s="7" t="e">
        <f t="shared" ref="M28:M32" si="23">K28/L28</f>
        <v>#DIV/0!</v>
      </c>
      <c r="N28" s="7">
        <v>173442</v>
      </c>
      <c r="O28" s="8">
        <v>1975.5</v>
      </c>
      <c r="P28" s="7">
        <f t="shared" si="17"/>
        <v>87.796507213363711</v>
      </c>
      <c r="Q28" s="7">
        <v>50345</v>
      </c>
      <c r="R28" s="8">
        <v>437</v>
      </c>
      <c r="S28" s="7">
        <f t="shared" si="18"/>
        <v>115.20594965675058</v>
      </c>
      <c r="T28" s="7">
        <f t="shared" ref="T28:U32" si="24">SUM(E28,H28,K28,N28,Q28)</f>
        <v>254272</v>
      </c>
      <c r="U28" s="8">
        <f t="shared" si="24"/>
        <v>2710.5</v>
      </c>
      <c r="V28" s="7">
        <f t="shared" si="20"/>
        <v>93.809998155321892</v>
      </c>
    </row>
    <row r="29" spans="2:22" ht="23.25" customHeight="1" x14ac:dyDescent="0.25">
      <c r="B29" s="60"/>
      <c r="C29" s="60">
        <v>7</v>
      </c>
      <c r="D29" s="11">
        <v>44328</v>
      </c>
      <c r="E29" s="7"/>
      <c r="F29" s="8"/>
      <c r="G29" s="7" t="e">
        <f t="shared" si="22"/>
        <v>#DIV/0!</v>
      </c>
      <c r="H29" s="7">
        <v>9822.5</v>
      </c>
      <c r="I29" s="8">
        <v>94</v>
      </c>
      <c r="J29" s="7">
        <f t="shared" si="15"/>
        <v>104.49468085106383</v>
      </c>
      <c r="K29" s="7"/>
      <c r="L29" s="8"/>
      <c r="M29" s="7" t="e">
        <f t="shared" si="23"/>
        <v>#DIV/0!</v>
      </c>
      <c r="N29" s="7">
        <v>10938</v>
      </c>
      <c r="O29" s="8">
        <v>88</v>
      </c>
      <c r="P29" s="7">
        <f t="shared" si="17"/>
        <v>124.29545454545455</v>
      </c>
      <c r="Q29" s="7">
        <v>154412.5</v>
      </c>
      <c r="R29" s="8">
        <v>1373.5</v>
      </c>
      <c r="S29" s="7">
        <f t="shared" si="18"/>
        <v>112.42264288314524</v>
      </c>
      <c r="T29" s="7">
        <f t="shared" si="24"/>
        <v>175173</v>
      </c>
      <c r="U29" s="8">
        <f t="shared" si="24"/>
        <v>1555.5</v>
      </c>
      <c r="V29" s="7">
        <f t="shared" si="20"/>
        <v>112.6152362584378</v>
      </c>
    </row>
    <row r="30" spans="2:22" ht="23.25" customHeight="1" x14ac:dyDescent="0.25">
      <c r="B30" s="60"/>
      <c r="C30" s="60">
        <v>8</v>
      </c>
      <c r="D30" s="11">
        <v>44335</v>
      </c>
      <c r="E30" s="7"/>
      <c r="F30" s="8"/>
      <c r="G30" s="7" t="e">
        <f t="shared" si="22"/>
        <v>#DIV/0!</v>
      </c>
      <c r="H30" s="7">
        <v>44721.75</v>
      </c>
      <c r="I30" s="8">
        <v>470.5</v>
      </c>
      <c r="J30" s="7">
        <f t="shared" si="15"/>
        <v>95.051540913921357</v>
      </c>
      <c r="K30" s="7"/>
      <c r="L30" s="8"/>
      <c r="M30" s="7" t="e">
        <f t="shared" si="23"/>
        <v>#DIV/0!</v>
      </c>
      <c r="N30" s="7">
        <v>122582.71</v>
      </c>
      <c r="O30" s="8">
        <v>1220.3</v>
      </c>
      <c r="P30" s="7">
        <f t="shared" si="17"/>
        <v>100.45292960747358</v>
      </c>
      <c r="Q30" s="7">
        <v>41742</v>
      </c>
      <c r="R30" s="8">
        <v>378</v>
      </c>
      <c r="S30" s="7">
        <f t="shared" si="18"/>
        <v>110.42857142857143</v>
      </c>
      <c r="T30" s="7">
        <f t="shared" si="24"/>
        <v>209046.46000000002</v>
      </c>
      <c r="U30" s="8">
        <f t="shared" si="24"/>
        <v>2068.8000000000002</v>
      </c>
      <c r="V30" s="7">
        <f t="shared" si="20"/>
        <v>101.04720610982211</v>
      </c>
    </row>
    <row r="31" spans="2:22" ht="23.25" customHeight="1" x14ac:dyDescent="0.25">
      <c r="B31" s="60"/>
      <c r="C31" s="60">
        <v>9</v>
      </c>
      <c r="D31" s="11">
        <v>44342</v>
      </c>
      <c r="E31" s="7"/>
      <c r="F31" s="8"/>
      <c r="G31" s="7" t="e">
        <f t="shared" si="22"/>
        <v>#DIV/0!</v>
      </c>
      <c r="H31" s="7">
        <v>141127.75</v>
      </c>
      <c r="I31" s="8">
        <v>1456</v>
      </c>
      <c r="J31" s="7">
        <f t="shared" si="15"/>
        <v>96.92839972527473</v>
      </c>
      <c r="K31" s="7"/>
      <c r="L31" s="8"/>
      <c r="M31" s="7" t="e">
        <f t="shared" si="23"/>
        <v>#DIV/0!</v>
      </c>
      <c r="N31" s="7">
        <v>108544.49</v>
      </c>
      <c r="O31" s="8">
        <v>1113.8</v>
      </c>
      <c r="P31" s="7">
        <f t="shared" si="17"/>
        <v>97.454201831567616</v>
      </c>
      <c r="Q31" s="7">
        <v>24892.37</v>
      </c>
      <c r="R31" s="8">
        <v>243</v>
      </c>
      <c r="S31" s="7">
        <f t="shared" si="18"/>
        <v>102.4377366255144</v>
      </c>
      <c r="T31" s="7">
        <f t="shared" si="24"/>
        <v>274564.61</v>
      </c>
      <c r="U31" s="8">
        <f t="shared" si="24"/>
        <v>2812.8</v>
      </c>
      <c r="V31" s="7">
        <f t="shared" si="20"/>
        <v>97.612560437997715</v>
      </c>
    </row>
    <row r="32" spans="2:22" ht="23.25" customHeight="1" x14ac:dyDescent="0.25">
      <c r="B32" s="60"/>
      <c r="C32" s="61"/>
      <c r="D32" s="11">
        <v>44349</v>
      </c>
      <c r="E32" s="7"/>
      <c r="F32" s="8"/>
      <c r="G32" s="7" t="e">
        <f t="shared" si="22"/>
        <v>#DIV/0!</v>
      </c>
      <c r="H32" s="7">
        <v>293584.09000000003</v>
      </c>
      <c r="I32" s="8">
        <v>2725.3</v>
      </c>
      <c r="J32" s="7">
        <f t="shared" si="15"/>
        <v>107.7254210545628</v>
      </c>
      <c r="K32" s="7"/>
      <c r="L32" s="8"/>
      <c r="M32" s="7" t="e">
        <f t="shared" si="23"/>
        <v>#DIV/0!</v>
      </c>
      <c r="N32" s="7">
        <v>36842.5</v>
      </c>
      <c r="O32" s="8">
        <v>337.3</v>
      </c>
      <c r="P32" s="7">
        <f t="shared" si="17"/>
        <v>109.22769048324933</v>
      </c>
      <c r="Q32" s="7">
        <v>24615</v>
      </c>
      <c r="R32" s="8">
        <v>200</v>
      </c>
      <c r="S32" s="7">
        <f t="shared" si="18"/>
        <v>123.075</v>
      </c>
      <c r="T32" s="7">
        <f t="shared" si="24"/>
        <v>355041.59</v>
      </c>
      <c r="U32" s="8">
        <f t="shared" si="24"/>
        <v>3262.6000000000004</v>
      </c>
      <c r="V32" s="7">
        <f t="shared" si="20"/>
        <v>108.82167289891497</v>
      </c>
    </row>
    <row r="33" spans="2:22" ht="23.25" customHeight="1" x14ac:dyDescent="0.25">
      <c r="B33" s="60"/>
      <c r="C33" s="63" t="s">
        <v>36</v>
      </c>
      <c r="D33" s="64"/>
      <c r="E33" s="30">
        <f>SUM(E28:E32)</f>
        <v>0</v>
      </c>
      <c r="F33" s="31">
        <f>SUM(F28:F32)</f>
        <v>0</v>
      </c>
      <c r="G33" s="30" t="e">
        <f>E33/F33</f>
        <v>#DIV/0!</v>
      </c>
      <c r="H33" s="30">
        <f t="shared" ref="H33:I33" si="25">SUM(H28:H32)</f>
        <v>519741.09</v>
      </c>
      <c r="I33" s="31">
        <f t="shared" si="25"/>
        <v>5043.8</v>
      </c>
      <c r="J33" s="30">
        <f>H33/I33</f>
        <v>103.04553907767954</v>
      </c>
      <c r="K33" s="30">
        <f t="shared" ref="K33:L33" si="26">SUM(K28:K32)</f>
        <v>0</v>
      </c>
      <c r="L33" s="31">
        <f t="shared" si="26"/>
        <v>0</v>
      </c>
      <c r="M33" s="30" t="e">
        <f>K33/L33</f>
        <v>#DIV/0!</v>
      </c>
      <c r="N33" s="30">
        <f t="shared" ref="N33:O33" si="27">SUM(N28:N32)</f>
        <v>452349.7</v>
      </c>
      <c r="O33" s="31">
        <f t="shared" si="27"/>
        <v>4734.9000000000005</v>
      </c>
      <c r="P33" s="30">
        <f>N33/O33</f>
        <v>95.535217216836671</v>
      </c>
      <c r="Q33" s="30">
        <f t="shared" ref="Q33:R33" si="28">SUM(Q28:Q32)</f>
        <v>296006.87</v>
      </c>
      <c r="R33" s="31">
        <f t="shared" si="28"/>
        <v>2631.5</v>
      </c>
      <c r="S33" s="30">
        <f>Q33/R33</f>
        <v>112.48598517955539</v>
      </c>
      <c r="T33" s="30">
        <f t="shared" ref="T33:U33" si="29">SUM(T28:T32)</f>
        <v>1268097.6599999999</v>
      </c>
      <c r="U33" s="31">
        <f t="shared" si="29"/>
        <v>12410.2</v>
      </c>
      <c r="V33" s="32">
        <f>T33/U33</f>
        <v>102.18188747965382</v>
      </c>
    </row>
    <row r="34" spans="2:22" ht="23.25" customHeight="1" x14ac:dyDescent="0.25">
      <c r="B34" s="60"/>
      <c r="C34" s="59" t="s">
        <v>18</v>
      </c>
      <c r="D34" s="11">
        <v>44356</v>
      </c>
      <c r="E34" s="7"/>
      <c r="F34" s="8"/>
      <c r="G34" s="7" t="e">
        <f t="shared" ref="G34:G37" si="30">E34/F34</f>
        <v>#DIV/0!</v>
      </c>
      <c r="H34" s="7">
        <v>114821.5</v>
      </c>
      <c r="I34" s="8">
        <v>1073</v>
      </c>
      <c r="J34" s="7">
        <f t="shared" si="15"/>
        <v>107.00978564771668</v>
      </c>
      <c r="K34" s="7"/>
      <c r="L34" s="8"/>
      <c r="M34" s="7" t="e">
        <f t="shared" ref="M34:M37" si="31">K34/L34</f>
        <v>#DIV/0!</v>
      </c>
      <c r="N34" s="7">
        <v>88663</v>
      </c>
      <c r="O34" s="8">
        <v>882.3</v>
      </c>
      <c r="P34" s="7">
        <f t="shared" ref="P34" si="32">N34/O34</f>
        <v>100.49076277910008</v>
      </c>
      <c r="Q34" s="7">
        <v>55345.75</v>
      </c>
      <c r="R34" s="8">
        <v>552.79999999999995</v>
      </c>
      <c r="S34" s="7">
        <f t="shared" ref="S34:S37" si="33">Q34/R34</f>
        <v>100.11893994211289</v>
      </c>
      <c r="T34" s="7">
        <f t="shared" ref="T34:U37" si="34">SUM(E34,H34,K34,N34,Q34)</f>
        <v>258830.25</v>
      </c>
      <c r="U34" s="8">
        <f t="shared" si="34"/>
        <v>2508.1</v>
      </c>
      <c r="V34" s="7">
        <f t="shared" si="20"/>
        <v>103.19773932458834</v>
      </c>
    </row>
    <row r="35" spans="2:22" ht="23.25" customHeight="1" x14ac:dyDescent="0.25">
      <c r="B35" s="60"/>
      <c r="C35" s="60"/>
      <c r="D35" s="11">
        <v>44363</v>
      </c>
      <c r="E35" s="7"/>
      <c r="F35" s="8"/>
      <c r="G35" s="7" t="e">
        <f t="shared" si="30"/>
        <v>#DIV/0!</v>
      </c>
      <c r="H35" s="7">
        <v>24371.91</v>
      </c>
      <c r="I35" s="8">
        <v>219</v>
      </c>
      <c r="J35" s="7">
        <f t="shared" si="15"/>
        <v>111.28726027397261</v>
      </c>
      <c r="K35" s="7"/>
      <c r="L35" s="8"/>
      <c r="M35" s="7" t="e">
        <f t="shared" si="31"/>
        <v>#DIV/0!</v>
      </c>
      <c r="N35" s="7">
        <v>48835</v>
      </c>
      <c r="O35" s="8">
        <v>474</v>
      </c>
      <c r="P35" s="7">
        <f t="shared" si="17"/>
        <v>103.02742616033755</v>
      </c>
      <c r="Q35" s="7">
        <v>31181.25</v>
      </c>
      <c r="R35" s="8">
        <v>270</v>
      </c>
      <c r="S35" s="7">
        <f t="shared" si="33"/>
        <v>115.48611111111111</v>
      </c>
      <c r="T35" s="7">
        <f t="shared" si="34"/>
        <v>104388.16</v>
      </c>
      <c r="U35" s="8">
        <f t="shared" si="34"/>
        <v>963</v>
      </c>
      <c r="V35" s="7">
        <f t="shared" si="20"/>
        <v>108.39892004153687</v>
      </c>
    </row>
    <row r="36" spans="2:22" ht="23.25" customHeight="1" x14ac:dyDescent="0.25">
      <c r="B36" s="60"/>
      <c r="C36" s="60"/>
      <c r="D36" s="11">
        <v>44370</v>
      </c>
      <c r="E36" s="7"/>
      <c r="F36" s="8"/>
      <c r="G36" s="7" t="e">
        <f t="shared" si="30"/>
        <v>#DIV/0!</v>
      </c>
      <c r="H36" s="7">
        <v>66084</v>
      </c>
      <c r="I36" s="8">
        <v>871.3</v>
      </c>
      <c r="J36" s="7">
        <f t="shared" si="15"/>
        <v>75.845288649144962</v>
      </c>
      <c r="K36" s="7"/>
      <c r="L36" s="8"/>
      <c r="M36" s="7" t="e">
        <f t="shared" si="31"/>
        <v>#DIV/0!</v>
      </c>
      <c r="N36" s="7">
        <v>54294.5</v>
      </c>
      <c r="O36" s="8">
        <v>645.5</v>
      </c>
      <c r="P36" s="7">
        <f t="shared" si="17"/>
        <v>84.112316034082113</v>
      </c>
      <c r="Q36" s="7">
        <v>8950</v>
      </c>
      <c r="R36" s="8">
        <v>107.5</v>
      </c>
      <c r="S36" s="7">
        <f t="shared" si="33"/>
        <v>83.255813953488371</v>
      </c>
      <c r="T36" s="7">
        <f t="shared" si="34"/>
        <v>129328.5</v>
      </c>
      <c r="U36" s="8">
        <f t="shared" si="34"/>
        <v>1624.3</v>
      </c>
      <c r="V36" s="7">
        <f t="shared" si="20"/>
        <v>79.621067536785077</v>
      </c>
    </row>
    <row r="37" spans="2:22" ht="23.25" customHeight="1" x14ac:dyDescent="0.25">
      <c r="B37" s="60"/>
      <c r="C37" s="60"/>
      <c r="D37" s="11">
        <v>44377</v>
      </c>
      <c r="E37" s="7"/>
      <c r="F37" s="8"/>
      <c r="G37" s="7" t="e">
        <f t="shared" si="30"/>
        <v>#DIV/0!</v>
      </c>
      <c r="H37" s="7">
        <v>126110.96</v>
      </c>
      <c r="I37" s="8">
        <v>1260.8</v>
      </c>
      <c r="J37" s="7">
        <f t="shared" si="15"/>
        <v>100.02455583756345</v>
      </c>
      <c r="K37" s="7"/>
      <c r="L37" s="8"/>
      <c r="M37" s="7" t="e">
        <f t="shared" si="31"/>
        <v>#DIV/0!</v>
      </c>
      <c r="N37" s="7">
        <v>56341.5</v>
      </c>
      <c r="O37" s="8">
        <v>618</v>
      </c>
      <c r="P37" s="7">
        <f t="shared" si="17"/>
        <v>91.167475728155338</v>
      </c>
      <c r="Q37" s="7">
        <v>55135</v>
      </c>
      <c r="R37" s="8">
        <v>450.3</v>
      </c>
      <c r="S37" s="7">
        <f t="shared" si="33"/>
        <v>122.44059515878303</v>
      </c>
      <c r="T37" s="7">
        <f t="shared" si="34"/>
        <v>237587.46000000002</v>
      </c>
      <c r="U37" s="8">
        <f t="shared" si="34"/>
        <v>2329.1</v>
      </c>
      <c r="V37" s="7">
        <f t="shared" si="20"/>
        <v>102.00826928856641</v>
      </c>
    </row>
    <row r="38" spans="2:22" ht="23.25" customHeight="1" x14ac:dyDescent="0.25">
      <c r="B38" s="61"/>
      <c r="C38" s="63" t="s">
        <v>36</v>
      </c>
      <c r="D38" s="64"/>
      <c r="E38" s="30">
        <f>SUM(E34:E37)</f>
        <v>0</v>
      </c>
      <c r="F38" s="31">
        <f>SUM(F34:F37)</f>
        <v>0</v>
      </c>
      <c r="G38" s="30" t="e">
        <f>E38/F38</f>
        <v>#DIV/0!</v>
      </c>
      <c r="H38" s="30">
        <f>SUM(H34:H37)</f>
        <v>331388.37</v>
      </c>
      <c r="I38" s="31">
        <f>SUM(I34:I37)</f>
        <v>3424.1000000000004</v>
      </c>
      <c r="J38" s="30">
        <f>H38/I38</f>
        <v>96.78116001285008</v>
      </c>
      <c r="K38" s="30">
        <f>SUM(K34:K37)</f>
        <v>0</v>
      </c>
      <c r="L38" s="31">
        <f>SUM(L34:L37)</f>
        <v>0</v>
      </c>
      <c r="M38" s="30" t="e">
        <f>K38/L38</f>
        <v>#DIV/0!</v>
      </c>
      <c r="N38" s="30">
        <f>SUM(N34:N37)</f>
        <v>248134</v>
      </c>
      <c r="O38" s="31">
        <f>SUM(O34:O37)</f>
        <v>2619.8000000000002</v>
      </c>
      <c r="P38" s="30">
        <f>N38/O38</f>
        <v>94.714863730055725</v>
      </c>
      <c r="Q38" s="30">
        <f>SUM(Q34:Q37)</f>
        <v>150612</v>
      </c>
      <c r="R38" s="31">
        <f>SUM(R34:R37)</f>
        <v>1380.6</v>
      </c>
      <c r="S38" s="30">
        <f>Q38/R38</f>
        <v>109.0916992611908</v>
      </c>
      <c r="T38" s="30">
        <f>SUM(T34:T37)</f>
        <v>730134.37000000011</v>
      </c>
      <c r="U38" s="31">
        <f>SUM(U34:U37)</f>
        <v>7424.5</v>
      </c>
      <c r="V38" s="32">
        <f>T38/U38</f>
        <v>98.341217590410139</v>
      </c>
    </row>
    <row r="39" spans="2:22" ht="39" customHeight="1" x14ac:dyDescent="0.25">
      <c r="B39" s="52" t="s">
        <v>21</v>
      </c>
      <c r="C39" s="52"/>
      <c r="D39" s="52"/>
      <c r="E39" s="33">
        <f>SUM(E38,E33,E27)</f>
        <v>0</v>
      </c>
      <c r="F39" s="34">
        <f>SUM(F38,F33,F27)</f>
        <v>0</v>
      </c>
      <c r="G39" s="33" t="e">
        <f>E39/F39</f>
        <v>#DIV/0!</v>
      </c>
      <c r="H39" s="33">
        <f>SUM(H38,H33,H27)</f>
        <v>1117015.96</v>
      </c>
      <c r="I39" s="34">
        <f>SUM(I38,I33,I27)</f>
        <v>11100.400000000001</v>
      </c>
      <c r="J39" s="33">
        <f>H39/I39</f>
        <v>100.62844221829842</v>
      </c>
      <c r="K39" s="33">
        <f>SUM(K38,K33,K27)</f>
        <v>0</v>
      </c>
      <c r="L39" s="34">
        <f>SUM(L38,L33,L27)</f>
        <v>0</v>
      </c>
      <c r="M39" s="33" t="e">
        <f>K39/L39</f>
        <v>#DIV/0!</v>
      </c>
      <c r="N39" s="33">
        <f>SUM(N38,N33,N27)</f>
        <v>1129025.44</v>
      </c>
      <c r="O39" s="34">
        <f>SUM(O38,O33,O27)</f>
        <v>11576</v>
      </c>
      <c r="P39" s="33">
        <f>N39/O39</f>
        <v>97.531568762957832</v>
      </c>
      <c r="Q39" s="33">
        <f>SUM(Q38,Q33,Q27)</f>
        <v>550240.43999999994</v>
      </c>
      <c r="R39" s="34">
        <f>SUM(R38,R33,R27)</f>
        <v>4978.8999999999996</v>
      </c>
      <c r="S39" s="33">
        <f>Q39/R39</f>
        <v>110.51445901705196</v>
      </c>
      <c r="T39" s="33">
        <f>SUM(T38,T33,T27)</f>
        <v>2796281.84</v>
      </c>
      <c r="U39" s="34">
        <f>SUM(U38,U33,U27)</f>
        <v>27655.300000000003</v>
      </c>
      <c r="V39" s="33">
        <f>T39/U39</f>
        <v>101.11196913430697</v>
      </c>
    </row>
    <row r="40" spans="2:22" ht="23.25" customHeight="1" x14ac:dyDescent="0.25">
      <c r="B40" s="53" t="s">
        <v>39</v>
      </c>
      <c r="C40" s="54"/>
      <c r="D40" s="54"/>
      <c r="E40" s="9">
        <f>SUM(E39,E20)</f>
        <v>0</v>
      </c>
      <c r="F40" s="10">
        <f>SUM(F39,F20)</f>
        <v>0</v>
      </c>
      <c r="G40" s="9" t="e">
        <f>E40/F40</f>
        <v>#DIV/0!</v>
      </c>
      <c r="H40" s="9">
        <f>SUM(H39,H20)</f>
        <v>2048548.15</v>
      </c>
      <c r="I40" s="10">
        <f>SUM(I39,I20)</f>
        <v>19923</v>
      </c>
      <c r="J40" s="9">
        <f>H40/I40</f>
        <v>102.82327711690006</v>
      </c>
      <c r="K40" s="9">
        <f>SUM(K39,K20)</f>
        <v>0</v>
      </c>
      <c r="L40" s="10">
        <f>SUM(L39,L20)</f>
        <v>0</v>
      </c>
      <c r="M40" s="9" t="e">
        <f>K40/L40</f>
        <v>#DIV/0!</v>
      </c>
      <c r="N40" s="9">
        <f>SUM(N39,N20)</f>
        <v>2710466.55</v>
      </c>
      <c r="O40" s="10">
        <f>SUM(O39,O20)</f>
        <v>27430.5</v>
      </c>
      <c r="P40" s="9">
        <f>N40/O40</f>
        <v>98.812145239787824</v>
      </c>
      <c r="Q40" s="9">
        <f>SUM(Q39,Q20)</f>
        <v>955881.61</v>
      </c>
      <c r="R40" s="10">
        <f>SUM(R39,R20)</f>
        <v>9314</v>
      </c>
      <c r="S40" s="9">
        <f>Q40/R40</f>
        <v>102.62847433970367</v>
      </c>
      <c r="T40" s="9">
        <f>SUM(T39,T20)</f>
        <v>5714896.3099999996</v>
      </c>
      <c r="U40" s="10">
        <f>SUM(U39,U20)</f>
        <v>56667.5</v>
      </c>
      <c r="V40" s="9">
        <f>T40/U40</f>
        <v>100.84962827017249</v>
      </c>
    </row>
    <row r="41" spans="2:22" x14ac:dyDescent="0.25">
      <c r="B41" s="67" t="s">
        <v>15</v>
      </c>
      <c r="C41" s="67" t="s">
        <v>10</v>
      </c>
      <c r="D41" s="67" t="s">
        <v>0</v>
      </c>
      <c r="E41" s="58" t="s">
        <v>40</v>
      </c>
      <c r="F41" s="58"/>
      <c r="G41" s="58"/>
      <c r="H41" s="58" t="s">
        <v>7</v>
      </c>
      <c r="I41" s="58"/>
      <c r="J41" s="58"/>
      <c r="K41" s="55" t="s">
        <v>27</v>
      </c>
      <c r="L41" s="56"/>
      <c r="M41" s="57"/>
      <c r="N41" s="58" t="s">
        <v>37</v>
      </c>
      <c r="O41" s="58"/>
      <c r="P41" s="58"/>
      <c r="Q41" s="58" t="s">
        <v>8</v>
      </c>
      <c r="R41" s="58"/>
      <c r="S41" s="58"/>
      <c r="T41" s="58" t="s">
        <v>9</v>
      </c>
      <c r="U41" s="58"/>
      <c r="V41" s="58"/>
    </row>
    <row r="42" spans="2:22" x14ac:dyDescent="0.25">
      <c r="B42" s="67"/>
      <c r="C42" s="67"/>
      <c r="D42" s="67"/>
      <c r="E42" s="1" t="s">
        <v>1</v>
      </c>
      <c r="F42" s="3" t="s">
        <v>2</v>
      </c>
      <c r="G42" s="1" t="s">
        <v>3</v>
      </c>
      <c r="H42" s="1" t="s">
        <v>1</v>
      </c>
      <c r="I42" s="3" t="s">
        <v>2</v>
      </c>
      <c r="J42" s="1" t="s">
        <v>3</v>
      </c>
      <c r="K42" s="1" t="s">
        <v>1</v>
      </c>
      <c r="L42" s="3" t="s">
        <v>2</v>
      </c>
      <c r="M42" s="1" t="s">
        <v>3</v>
      </c>
      <c r="N42" s="1" t="s">
        <v>1</v>
      </c>
      <c r="O42" s="3" t="s">
        <v>2</v>
      </c>
      <c r="P42" s="1" t="s">
        <v>3</v>
      </c>
      <c r="Q42" s="1" t="s">
        <v>1</v>
      </c>
      <c r="R42" s="3" t="s">
        <v>2</v>
      </c>
      <c r="S42" s="1" t="s">
        <v>3</v>
      </c>
      <c r="T42" s="1" t="s">
        <v>1</v>
      </c>
      <c r="U42" s="3" t="s">
        <v>2</v>
      </c>
      <c r="V42" s="1" t="s">
        <v>3</v>
      </c>
    </row>
    <row r="43" spans="2:22" ht="23.25" customHeight="1" x14ac:dyDescent="0.25">
      <c r="B43" s="59" t="s">
        <v>26</v>
      </c>
      <c r="C43" s="59" t="s">
        <v>23</v>
      </c>
      <c r="D43" s="11">
        <v>44384</v>
      </c>
      <c r="E43" s="13"/>
      <c r="F43" s="16"/>
      <c r="G43" s="13" t="e">
        <f t="shared" ref="G43:G57" si="35">E43/F43</f>
        <v>#DIV/0!</v>
      </c>
      <c r="H43" s="13">
        <v>37579.25</v>
      </c>
      <c r="I43" s="16">
        <v>400.5</v>
      </c>
      <c r="J43" s="13">
        <f t="shared" ref="J43:J57" si="36">H43/I43</f>
        <v>93.83083645443196</v>
      </c>
      <c r="K43" s="13"/>
      <c r="L43" s="16"/>
      <c r="M43" s="13" t="e">
        <f t="shared" ref="M43:M46" si="37">K43/L43</f>
        <v>#DIV/0!</v>
      </c>
      <c r="N43" s="13">
        <v>166389.75</v>
      </c>
      <c r="O43" s="16">
        <v>2962.8</v>
      </c>
      <c r="P43" s="13">
        <f t="shared" ref="P43:P57" si="38">N43/O43</f>
        <v>56.159629404617249</v>
      </c>
      <c r="Q43" s="13">
        <v>25144.5</v>
      </c>
      <c r="R43" s="16">
        <v>183</v>
      </c>
      <c r="S43" s="13">
        <f t="shared" ref="S43:S46" si="39">Q43/R43</f>
        <v>137.40163934426229</v>
      </c>
      <c r="T43" s="13">
        <f t="shared" ref="T43:U46" si="40">SUM(E43,H43,K43,N43,Q43)</f>
        <v>229113.5</v>
      </c>
      <c r="U43" s="16">
        <f t="shared" si="40"/>
        <v>3546.3</v>
      </c>
      <c r="V43" s="13">
        <f t="shared" ref="V43:V57" si="41">T43/U43</f>
        <v>64.606350280574119</v>
      </c>
    </row>
    <row r="44" spans="2:22" ht="23.25" customHeight="1" x14ac:dyDescent="0.25">
      <c r="B44" s="60"/>
      <c r="C44" s="60"/>
      <c r="D44" s="11">
        <v>44391</v>
      </c>
      <c r="E44" s="13"/>
      <c r="F44" s="16"/>
      <c r="G44" s="13" t="e">
        <f t="shared" si="35"/>
        <v>#DIV/0!</v>
      </c>
      <c r="H44" s="13">
        <v>55847.5</v>
      </c>
      <c r="I44" s="16">
        <v>562</v>
      </c>
      <c r="J44" s="13">
        <f t="shared" si="36"/>
        <v>99.37277580071175</v>
      </c>
      <c r="K44" s="13"/>
      <c r="L44" s="16"/>
      <c r="M44" s="13" t="e">
        <f t="shared" si="37"/>
        <v>#DIV/0!</v>
      </c>
      <c r="N44" s="13">
        <v>268407</v>
      </c>
      <c r="O44" s="16">
        <v>3261</v>
      </c>
      <c r="P44" s="13">
        <f t="shared" si="38"/>
        <v>82.308187672493105</v>
      </c>
      <c r="Q44" s="13">
        <v>25042</v>
      </c>
      <c r="R44" s="16">
        <v>174.5</v>
      </c>
      <c r="S44" s="13">
        <f t="shared" si="39"/>
        <v>143.50716332378224</v>
      </c>
      <c r="T44" s="13">
        <f t="shared" si="40"/>
        <v>349296.5</v>
      </c>
      <c r="U44" s="16">
        <f t="shared" si="40"/>
        <v>3997.5</v>
      </c>
      <c r="V44" s="13">
        <f t="shared" si="41"/>
        <v>87.378736710444031</v>
      </c>
    </row>
    <row r="45" spans="2:22" ht="23.25" customHeight="1" x14ac:dyDescent="0.25">
      <c r="B45" s="60"/>
      <c r="C45" s="60"/>
      <c r="D45" s="11">
        <v>44398</v>
      </c>
      <c r="E45" s="13"/>
      <c r="F45" s="16"/>
      <c r="G45" s="13" t="e">
        <f t="shared" si="35"/>
        <v>#DIV/0!</v>
      </c>
      <c r="H45" s="13">
        <v>14575</v>
      </c>
      <c r="I45" s="16">
        <v>145</v>
      </c>
      <c r="J45" s="13">
        <f t="shared" si="36"/>
        <v>100.51724137931035</v>
      </c>
      <c r="K45" s="13"/>
      <c r="L45" s="16"/>
      <c r="M45" s="13" t="e">
        <f t="shared" si="37"/>
        <v>#DIV/0!</v>
      </c>
      <c r="N45" s="13">
        <v>153965</v>
      </c>
      <c r="O45" s="16">
        <v>1780.8</v>
      </c>
      <c r="P45" s="13">
        <f t="shared" si="38"/>
        <v>86.458333333333329</v>
      </c>
      <c r="Q45" s="13">
        <v>134024</v>
      </c>
      <c r="R45" s="16">
        <v>1288.8</v>
      </c>
      <c r="S45" s="13">
        <f t="shared" si="39"/>
        <v>103.99130974549969</v>
      </c>
      <c r="T45" s="13">
        <f t="shared" si="40"/>
        <v>302564</v>
      </c>
      <c r="U45" s="16">
        <f t="shared" si="40"/>
        <v>3214.6</v>
      </c>
      <c r="V45" s="13">
        <f t="shared" si="41"/>
        <v>94.121819199900457</v>
      </c>
    </row>
    <row r="46" spans="2:22" ht="23.25" customHeight="1" x14ac:dyDescent="0.25">
      <c r="B46" s="60"/>
      <c r="C46" s="61"/>
      <c r="D46" s="11">
        <v>44405</v>
      </c>
      <c r="E46" s="13"/>
      <c r="F46" s="16"/>
      <c r="G46" s="13" t="e">
        <f t="shared" si="35"/>
        <v>#DIV/0!</v>
      </c>
      <c r="H46" s="13">
        <v>64618.5</v>
      </c>
      <c r="I46" s="16">
        <v>684.5</v>
      </c>
      <c r="J46" s="13">
        <f t="shared" si="36"/>
        <v>94.402483564645721</v>
      </c>
      <c r="K46" s="13"/>
      <c r="L46" s="16"/>
      <c r="M46" s="13" t="e">
        <f t="shared" si="37"/>
        <v>#DIV/0!</v>
      </c>
      <c r="N46" s="13">
        <v>67236</v>
      </c>
      <c r="O46" s="16">
        <v>1013.8</v>
      </c>
      <c r="P46" s="13">
        <f t="shared" si="38"/>
        <v>66.320773328072605</v>
      </c>
      <c r="Q46" s="13">
        <v>8185</v>
      </c>
      <c r="R46" s="16">
        <v>78</v>
      </c>
      <c r="S46" s="13">
        <f t="shared" si="39"/>
        <v>104.93589743589743</v>
      </c>
      <c r="T46" s="13">
        <f t="shared" si="40"/>
        <v>140039.5</v>
      </c>
      <c r="U46" s="16">
        <f t="shared" si="40"/>
        <v>1776.3</v>
      </c>
      <c r="V46" s="13">
        <f t="shared" si="41"/>
        <v>78.837752631875247</v>
      </c>
    </row>
    <row r="47" spans="2:22" ht="23.25" customHeight="1" x14ac:dyDescent="0.25">
      <c r="B47" s="60"/>
      <c r="C47" s="63" t="s">
        <v>36</v>
      </c>
      <c r="D47" s="64"/>
      <c r="E47" s="30">
        <f>SUM(E43:E46)</f>
        <v>0</v>
      </c>
      <c r="F47" s="31">
        <f>SUM(F43:F46)</f>
        <v>0</v>
      </c>
      <c r="G47" s="30" t="e">
        <f>E47/F47</f>
        <v>#DIV/0!</v>
      </c>
      <c r="H47" s="30">
        <f>SUM(H43:H46)</f>
        <v>172620.25</v>
      </c>
      <c r="I47" s="31">
        <f>SUM(I43:I46)</f>
        <v>1792</v>
      </c>
      <c r="J47" s="30">
        <f>H47/I47</f>
        <v>96.328264508928569</v>
      </c>
      <c r="K47" s="30">
        <f>SUM(K43:K46)</f>
        <v>0</v>
      </c>
      <c r="L47" s="31">
        <f>SUM(L43:L46)</f>
        <v>0</v>
      </c>
      <c r="M47" s="30" t="e">
        <f>K47/L47</f>
        <v>#DIV/0!</v>
      </c>
      <c r="N47" s="30">
        <f>SUM(N43:N46)</f>
        <v>655997.75</v>
      </c>
      <c r="O47" s="31">
        <f>SUM(O43:O46)</f>
        <v>9018.4</v>
      </c>
      <c r="P47" s="30">
        <f>N47/O47</f>
        <v>72.739926150980224</v>
      </c>
      <c r="Q47" s="30">
        <f>SUM(Q43:Q46)</f>
        <v>192395.5</v>
      </c>
      <c r="R47" s="31">
        <f>SUM(R43:R46)</f>
        <v>1724.3</v>
      </c>
      <c r="S47" s="30">
        <f>Q47/R47</f>
        <v>111.57890158325118</v>
      </c>
      <c r="T47" s="30">
        <f>SUM(T43:T46)</f>
        <v>1021013.5</v>
      </c>
      <c r="U47" s="31">
        <f>SUM(U43:U46)</f>
        <v>12534.699999999999</v>
      </c>
      <c r="V47" s="32">
        <f>T47/U47</f>
        <v>81.454961028185764</v>
      </c>
    </row>
    <row r="48" spans="2:22" ht="23.25" customHeight="1" x14ac:dyDescent="0.25">
      <c r="B48" s="60"/>
      <c r="C48" s="59" t="s">
        <v>24</v>
      </c>
      <c r="D48" s="11">
        <v>44412</v>
      </c>
      <c r="E48" s="13"/>
      <c r="F48" s="16"/>
      <c r="G48" s="13" t="e">
        <f t="shared" si="35"/>
        <v>#DIV/0!</v>
      </c>
      <c r="H48" s="13">
        <v>60745.8</v>
      </c>
      <c r="I48" s="16">
        <v>564</v>
      </c>
      <c r="J48" s="13">
        <f t="shared" si="36"/>
        <v>107.70531914893617</v>
      </c>
      <c r="K48" s="13"/>
      <c r="L48" s="16"/>
      <c r="M48" s="13" t="e">
        <f t="shared" ref="M48:M52" si="42">K48/L48</f>
        <v>#DIV/0!</v>
      </c>
      <c r="N48" s="13">
        <v>149925.13</v>
      </c>
      <c r="O48" s="16">
        <v>1397.8</v>
      </c>
      <c r="P48" s="13">
        <f t="shared" si="38"/>
        <v>107.25792674202319</v>
      </c>
      <c r="Q48" s="13">
        <v>6585</v>
      </c>
      <c r="R48" s="16">
        <v>63</v>
      </c>
      <c r="S48" s="13">
        <f t="shared" ref="S48:S57" si="43">Q48/R48</f>
        <v>104.52380952380952</v>
      </c>
      <c r="T48" s="13">
        <f t="shared" ref="T48:U52" si="44">SUM(E48,H48,K48,N48,Q48)</f>
        <v>217255.93</v>
      </c>
      <c r="U48" s="16">
        <f t="shared" si="44"/>
        <v>2024.8</v>
      </c>
      <c r="V48" s="13">
        <f t="shared" si="41"/>
        <v>107.29747629395496</v>
      </c>
    </row>
    <row r="49" spans="2:22" ht="23.25" customHeight="1" x14ac:dyDescent="0.25">
      <c r="B49" s="60"/>
      <c r="C49" s="60">
        <v>7</v>
      </c>
      <c r="D49" s="11">
        <v>44419</v>
      </c>
      <c r="E49" s="13"/>
      <c r="F49" s="16"/>
      <c r="G49" s="13" t="e">
        <f t="shared" si="35"/>
        <v>#DIV/0!</v>
      </c>
      <c r="H49" s="13">
        <v>66469</v>
      </c>
      <c r="I49" s="16">
        <v>660</v>
      </c>
      <c r="J49" s="13">
        <f t="shared" si="36"/>
        <v>100.71060606060605</v>
      </c>
      <c r="K49" s="13"/>
      <c r="L49" s="16"/>
      <c r="M49" s="13" t="e">
        <f t="shared" si="42"/>
        <v>#DIV/0!</v>
      </c>
      <c r="N49" s="13">
        <v>332888</v>
      </c>
      <c r="O49" s="16">
        <v>3161.5</v>
      </c>
      <c r="P49" s="13">
        <f t="shared" si="38"/>
        <v>105.29432231535664</v>
      </c>
      <c r="Q49" s="13">
        <v>60720</v>
      </c>
      <c r="R49" s="16">
        <v>460</v>
      </c>
      <c r="S49" s="13">
        <f t="shared" si="43"/>
        <v>132</v>
      </c>
      <c r="T49" s="13">
        <f t="shared" si="44"/>
        <v>460077</v>
      </c>
      <c r="U49" s="16">
        <f t="shared" si="44"/>
        <v>4281.5</v>
      </c>
      <c r="V49" s="13">
        <f t="shared" si="41"/>
        <v>107.45696601658297</v>
      </c>
    </row>
    <row r="50" spans="2:22" ht="23.25" customHeight="1" x14ac:dyDescent="0.25">
      <c r="B50" s="60"/>
      <c r="C50" s="60">
        <v>8</v>
      </c>
      <c r="D50" s="11">
        <v>44427</v>
      </c>
      <c r="E50" s="13"/>
      <c r="F50" s="16"/>
      <c r="G50" s="13" t="e">
        <f t="shared" si="35"/>
        <v>#DIV/0!</v>
      </c>
      <c r="H50" s="13">
        <v>63148.85</v>
      </c>
      <c r="I50" s="16">
        <v>620.5</v>
      </c>
      <c r="J50" s="13">
        <f t="shared" si="36"/>
        <v>101.77091055600322</v>
      </c>
      <c r="K50" s="13"/>
      <c r="L50" s="16"/>
      <c r="M50" s="13" t="e">
        <f t="shared" si="42"/>
        <v>#DIV/0!</v>
      </c>
      <c r="N50" s="13">
        <v>98687.75</v>
      </c>
      <c r="O50" s="16">
        <v>994.8</v>
      </c>
      <c r="P50" s="13">
        <f t="shared" si="38"/>
        <v>99.203608765581023</v>
      </c>
      <c r="Q50" s="13">
        <v>25392.38</v>
      </c>
      <c r="R50" s="16">
        <v>257.5</v>
      </c>
      <c r="S50" s="13">
        <f t="shared" si="43"/>
        <v>98.611184466019424</v>
      </c>
      <c r="T50" s="13">
        <f t="shared" si="44"/>
        <v>187228.98</v>
      </c>
      <c r="U50" s="16">
        <f t="shared" si="44"/>
        <v>1872.8</v>
      </c>
      <c r="V50" s="13">
        <f t="shared" si="41"/>
        <v>99.972757368645887</v>
      </c>
    </row>
    <row r="51" spans="2:22" ht="23.25" customHeight="1" x14ac:dyDescent="0.25">
      <c r="B51" s="60"/>
      <c r="C51" s="60">
        <v>9</v>
      </c>
      <c r="D51" s="11">
        <v>44433</v>
      </c>
      <c r="E51" s="13"/>
      <c r="F51" s="16"/>
      <c r="G51" s="13" t="e">
        <f t="shared" si="35"/>
        <v>#DIV/0!</v>
      </c>
      <c r="H51" s="13">
        <v>89737.75</v>
      </c>
      <c r="I51" s="16">
        <v>862.5</v>
      </c>
      <c r="J51" s="13">
        <v>104</v>
      </c>
      <c r="K51" s="13"/>
      <c r="L51" s="16"/>
      <c r="M51" s="13" t="e">
        <f t="shared" si="42"/>
        <v>#DIV/0!</v>
      </c>
      <c r="N51" s="13">
        <v>80117.88</v>
      </c>
      <c r="O51" s="16">
        <v>936.3</v>
      </c>
      <c r="P51" s="13">
        <v>85.57</v>
      </c>
      <c r="Q51" s="13">
        <v>36275</v>
      </c>
      <c r="R51" s="16">
        <v>342.5</v>
      </c>
      <c r="S51" s="13">
        <f t="shared" si="43"/>
        <v>105.91240875912409</v>
      </c>
      <c r="T51" s="13">
        <f t="shared" si="44"/>
        <v>206130.63</v>
      </c>
      <c r="U51" s="16">
        <f t="shared" si="44"/>
        <v>2141.3000000000002</v>
      </c>
      <c r="V51" s="13">
        <f t="shared" si="41"/>
        <v>96.264246018773633</v>
      </c>
    </row>
    <row r="52" spans="2:22" ht="23.25" customHeight="1" x14ac:dyDescent="0.25">
      <c r="B52" s="60"/>
      <c r="C52" s="61"/>
      <c r="D52" s="11">
        <v>44440</v>
      </c>
      <c r="E52" s="13">
        <v>13278.75</v>
      </c>
      <c r="F52" s="16">
        <v>132.30000000000001</v>
      </c>
      <c r="G52" s="13">
        <f t="shared" si="35"/>
        <v>100.36848072562357</v>
      </c>
      <c r="H52" s="13">
        <v>67535</v>
      </c>
      <c r="I52" s="16">
        <v>639</v>
      </c>
      <c r="J52" s="13">
        <f t="shared" si="36"/>
        <v>105.6885758998435</v>
      </c>
      <c r="K52" s="13"/>
      <c r="L52" s="16"/>
      <c r="M52" s="13" t="e">
        <f t="shared" si="42"/>
        <v>#DIV/0!</v>
      </c>
      <c r="N52" s="13">
        <v>111302.5</v>
      </c>
      <c r="O52" s="16">
        <v>1107.5</v>
      </c>
      <c r="P52" s="13">
        <f t="shared" si="38"/>
        <v>100.49887133182844</v>
      </c>
      <c r="Q52" s="13">
        <v>0</v>
      </c>
      <c r="R52" s="16">
        <v>0</v>
      </c>
      <c r="S52" s="13" t="e">
        <f t="shared" si="43"/>
        <v>#DIV/0!</v>
      </c>
      <c r="T52" s="13">
        <f t="shared" si="44"/>
        <v>192116.25</v>
      </c>
      <c r="U52" s="16">
        <f t="shared" si="44"/>
        <v>1878.8</v>
      </c>
      <c r="V52" s="13">
        <f t="shared" si="41"/>
        <v>102.25476367894402</v>
      </c>
    </row>
    <row r="53" spans="2:22" ht="23.25" customHeight="1" x14ac:dyDescent="0.25">
      <c r="B53" s="60"/>
      <c r="C53" s="63" t="s">
        <v>36</v>
      </c>
      <c r="D53" s="64"/>
      <c r="E53" s="30">
        <f>SUM(E48:E52)</f>
        <v>13278.75</v>
      </c>
      <c r="F53" s="31">
        <f>SUM(F48:F52)</f>
        <v>132.30000000000001</v>
      </c>
      <c r="G53" s="30">
        <f>E53/F53</f>
        <v>100.36848072562357</v>
      </c>
      <c r="H53" s="30">
        <f t="shared" ref="H53:I53" si="45">SUM(H48:H52)</f>
        <v>347636.4</v>
      </c>
      <c r="I53" s="31">
        <f t="shared" si="45"/>
        <v>3346</v>
      </c>
      <c r="J53" s="30">
        <f>H53/I53</f>
        <v>103.8961147638972</v>
      </c>
      <c r="K53" s="30">
        <f t="shared" ref="K53:L53" si="46">SUM(K48:K52)</f>
        <v>0</v>
      </c>
      <c r="L53" s="31">
        <f t="shared" si="46"/>
        <v>0</v>
      </c>
      <c r="M53" s="30" t="e">
        <f>K53/L53</f>
        <v>#DIV/0!</v>
      </c>
      <c r="N53" s="30">
        <f t="shared" ref="N53:O53" si="47">SUM(N48:N52)</f>
        <v>772921.26</v>
      </c>
      <c r="O53" s="31">
        <f t="shared" si="47"/>
        <v>7597.9000000000005</v>
      </c>
      <c r="P53" s="30">
        <f>N53/O53</f>
        <v>101.72827491806946</v>
      </c>
      <c r="Q53" s="30">
        <f t="shared" ref="Q53:R53" si="48">SUM(Q48:Q52)</f>
        <v>128972.38</v>
      </c>
      <c r="R53" s="31">
        <f t="shared" si="48"/>
        <v>1123</v>
      </c>
      <c r="S53" s="30">
        <f>Q53/R53</f>
        <v>114.84628673196795</v>
      </c>
      <c r="T53" s="30">
        <f t="shared" ref="T53:U53" si="49">SUM(T48:T52)</f>
        <v>1262808.79</v>
      </c>
      <c r="U53" s="31">
        <f t="shared" si="49"/>
        <v>12199.2</v>
      </c>
      <c r="V53" s="32">
        <f>T53/U53</f>
        <v>103.51570512820513</v>
      </c>
    </row>
    <row r="54" spans="2:22" ht="23.25" customHeight="1" x14ac:dyDescent="0.25">
      <c r="B54" s="60"/>
      <c r="C54" s="59" t="s">
        <v>25</v>
      </c>
      <c r="D54" s="11">
        <v>44448</v>
      </c>
      <c r="E54" s="13">
        <v>19120</v>
      </c>
      <c r="F54" s="16">
        <v>199</v>
      </c>
      <c r="G54" s="13">
        <f t="shared" si="35"/>
        <v>96.08040201005025</v>
      </c>
      <c r="H54" s="13">
        <v>65542.210000000006</v>
      </c>
      <c r="I54" s="16">
        <v>645</v>
      </c>
      <c r="J54" s="13">
        <f t="shared" si="36"/>
        <v>101.61582945736436</v>
      </c>
      <c r="K54" s="13"/>
      <c r="L54" s="16"/>
      <c r="M54" s="13" t="e">
        <f t="shared" ref="M54:M57" si="50">K54/L54</f>
        <v>#DIV/0!</v>
      </c>
      <c r="N54" s="13">
        <v>151759</v>
      </c>
      <c r="O54" s="16">
        <v>1473.5</v>
      </c>
      <c r="P54" s="13">
        <f t="shared" si="38"/>
        <v>102.99219545300305</v>
      </c>
      <c r="Q54" s="13">
        <v>0</v>
      </c>
      <c r="R54" s="16">
        <v>0</v>
      </c>
      <c r="S54" s="13" t="e">
        <f t="shared" si="43"/>
        <v>#DIV/0!</v>
      </c>
      <c r="T54" s="13">
        <f t="shared" ref="T54:U57" si="51">SUM(E54,H54,K54,N54,Q54)</f>
        <v>236421.21000000002</v>
      </c>
      <c r="U54" s="16">
        <f t="shared" si="51"/>
        <v>2317.5</v>
      </c>
      <c r="V54" s="13">
        <f t="shared" si="41"/>
        <v>102.01562459546926</v>
      </c>
    </row>
    <row r="55" spans="2:22" ht="23.25" customHeight="1" x14ac:dyDescent="0.25">
      <c r="B55" s="60"/>
      <c r="C55" s="60"/>
      <c r="D55" s="11">
        <v>44454</v>
      </c>
      <c r="E55" s="13">
        <v>29731.35</v>
      </c>
      <c r="F55" s="16">
        <v>353.8</v>
      </c>
      <c r="G55" s="13">
        <f t="shared" si="35"/>
        <v>84.034341435839451</v>
      </c>
      <c r="H55" s="13">
        <v>27345</v>
      </c>
      <c r="I55" s="16">
        <v>235.5</v>
      </c>
      <c r="J55" s="13">
        <f t="shared" si="36"/>
        <v>116.11464968152866</v>
      </c>
      <c r="K55" s="13"/>
      <c r="L55" s="16"/>
      <c r="M55" s="13" t="e">
        <f t="shared" si="50"/>
        <v>#DIV/0!</v>
      </c>
      <c r="N55" s="13">
        <v>332468.38</v>
      </c>
      <c r="O55" s="16">
        <v>4833.5</v>
      </c>
      <c r="P55" s="13">
        <f t="shared" si="38"/>
        <v>68.784189510706526</v>
      </c>
      <c r="Q55" s="13">
        <v>6305</v>
      </c>
      <c r="R55" s="16">
        <v>62</v>
      </c>
      <c r="S55" s="13">
        <f t="shared" si="43"/>
        <v>101.69354838709677</v>
      </c>
      <c r="T55" s="13">
        <f t="shared" si="51"/>
        <v>395849.73</v>
      </c>
      <c r="U55" s="16">
        <f t="shared" si="51"/>
        <v>5484.8</v>
      </c>
      <c r="V55" s="13">
        <f t="shared" si="41"/>
        <v>72.172135720536744</v>
      </c>
    </row>
    <row r="56" spans="2:22" ht="23.25" customHeight="1" x14ac:dyDescent="0.25">
      <c r="B56" s="60"/>
      <c r="C56" s="60"/>
      <c r="D56" s="11">
        <v>44461</v>
      </c>
      <c r="E56" s="13">
        <v>6576.75</v>
      </c>
      <c r="F56" s="16">
        <v>61.5</v>
      </c>
      <c r="G56" s="13">
        <f t="shared" si="35"/>
        <v>106.9390243902439</v>
      </c>
      <c r="H56" s="13">
        <v>47988.75</v>
      </c>
      <c r="I56" s="16">
        <v>438</v>
      </c>
      <c r="J56" s="13">
        <f t="shared" si="36"/>
        <v>109.56335616438356</v>
      </c>
      <c r="K56" s="13"/>
      <c r="L56" s="16"/>
      <c r="M56" s="13" t="e">
        <f t="shared" si="50"/>
        <v>#DIV/0!</v>
      </c>
      <c r="N56" s="13">
        <v>241102</v>
      </c>
      <c r="O56" s="16">
        <v>3256.5</v>
      </c>
      <c r="P56" s="13">
        <f t="shared" si="38"/>
        <v>74.037156456318129</v>
      </c>
      <c r="Q56" s="13">
        <v>11345</v>
      </c>
      <c r="R56" s="16">
        <v>105.3</v>
      </c>
      <c r="S56" s="13">
        <f t="shared" si="43"/>
        <v>107.73979107312441</v>
      </c>
      <c r="T56" s="13">
        <f t="shared" si="51"/>
        <v>307012.5</v>
      </c>
      <c r="U56" s="16">
        <f t="shared" si="51"/>
        <v>3861.3</v>
      </c>
      <c r="V56" s="13">
        <f t="shared" si="41"/>
        <v>79.510139072333146</v>
      </c>
    </row>
    <row r="57" spans="2:22" ht="23.25" customHeight="1" x14ac:dyDescent="0.25">
      <c r="B57" s="60"/>
      <c r="C57" s="60"/>
      <c r="D57" s="11">
        <v>44468</v>
      </c>
      <c r="E57" s="13">
        <v>23011.75</v>
      </c>
      <c r="F57" s="16">
        <v>225</v>
      </c>
      <c r="G57" s="13">
        <f t="shared" si="35"/>
        <v>102.27444444444444</v>
      </c>
      <c r="H57" s="13">
        <v>37060</v>
      </c>
      <c r="I57" s="16">
        <v>384.5</v>
      </c>
      <c r="J57" s="13">
        <f t="shared" si="36"/>
        <v>96.384915474642398</v>
      </c>
      <c r="K57" s="13"/>
      <c r="L57" s="16"/>
      <c r="M57" s="13" t="e">
        <f t="shared" si="50"/>
        <v>#DIV/0!</v>
      </c>
      <c r="N57" s="13">
        <v>50159.5</v>
      </c>
      <c r="O57" s="16">
        <v>479.5</v>
      </c>
      <c r="P57" s="13">
        <f t="shared" si="38"/>
        <v>104.60792492179354</v>
      </c>
      <c r="Q57" s="13">
        <v>29093.5</v>
      </c>
      <c r="R57" s="16">
        <v>329.3</v>
      </c>
      <c r="S57" s="13">
        <f t="shared" si="43"/>
        <v>88.349529304585488</v>
      </c>
      <c r="T57" s="13">
        <f t="shared" si="51"/>
        <v>139324.75</v>
      </c>
      <c r="U57" s="16">
        <f t="shared" si="51"/>
        <v>1418.3</v>
      </c>
      <c r="V57" s="13">
        <f t="shared" si="41"/>
        <v>98.233624762039071</v>
      </c>
    </row>
    <row r="58" spans="2:22" ht="23.25" customHeight="1" x14ac:dyDescent="0.25">
      <c r="B58" s="61"/>
      <c r="C58" s="63" t="s">
        <v>36</v>
      </c>
      <c r="D58" s="64"/>
      <c r="E58" s="30">
        <f>SUM(E54:E57)</f>
        <v>78439.850000000006</v>
      </c>
      <c r="F58" s="31">
        <f>SUM(F54:F57)</f>
        <v>839.3</v>
      </c>
      <c r="G58" s="30">
        <f>E58/F58</f>
        <v>93.458656022876212</v>
      </c>
      <c r="H58" s="30">
        <f>SUM(H54:H57)</f>
        <v>177935.96000000002</v>
      </c>
      <c r="I58" s="31">
        <f>SUM(I54:I57)</f>
        <v>1703</v>
      </c>
      <c r="J58" s="30">
        <f>H58/I58</f>
        <v>104.48382853787434</v>
      </c>
      <c r="K58" s="30">
        <f>SUM(K54:K57)</f>
        <v>0</v>
      </c>
      <c r="L58" s="31">
        <f>SUM(L54:L57)</f>
        <v>0</v>
      </c>
      <c r="M58" s="30" t="e">
        <f>K58/L58</f>
        <v>#DIV/0!</v>
      </c>
      <c r="N58" s="30">
        <f>SUM(N54:N57)</f>
        <v>775488.88</v>
      </c>
      <c r="O58" s="31">
        <f>SUM(O54:O57)</f>
        <v>10043</v>
      </c>
      <c r="P58" s="30">
        <f>N58/O58</f>
        <v>77.216855521258594</v>
      </c>
      <c r="Q58" s="30">
        <f>SUM(Q54:Q57)</f>
        <v>46743.5</v>
      </c>
      <c r="R58" s="31">
        <f>SUM(R54:R57)</f>
        <v>496.6</v>
      </c>
      <c r="S58" s="30">
        <f>Q58/R58</f>
        <v>94.127064035440995</v>
      </c>
      <c r="T58" s="30">
        <f>SUM(T54:T57)</f>
        <v>1078608.19</v>
      </c>
      <c r="U58" s="31">
        <f>SUM(U54:U57)</f>
        <v>13081.9</v>
      </c>
      <c r="V58" s="32">
        <f>T58/U58</f>
        <v>82.450423103677593</v>
      </c>
    </row>
    <row r="59" spans="2:22" ht="39" customHeight="1" x14ac:dyDescent="0.25">
      <c r="B59" s="52" t="s">
        <v>30</v>
      </c>
      <c r="C59" s="52"/>
      <c r="D59" s="52"/>
      <c r="E59" s="33">
        <f>SUM(E58,E53,E47)</f>
        <v>91718.6</v>
      </c>
      <c r="F59" s="34">
        <f>SUM(F58,F53,F47)</f>
        <v>971.59999999999991</v>
      </c>
      <c r="G59" s="33">
        <f>E59/F59</f>
        <v>94.399547138740232</v>
      </c>
      <c r="H59" s="33">
        <f>SUM(H58,H53,H47)</f>
        <v>698192.6100000001</v>
      </c>
      <c r="I59" s="34">
        <f>SUM(I58,I53,I47)</f>
        <v>6841</v>
      </c>
      <c r="J59" s="33">
        <f>H59/I59</f>
        <v>102.06002192661893</v>
      </c>
      <c r="K59" s="33">
        <f>SUM(K58,K53,K47)</f>
        <v>0</v>
      </c>
      <c r="L59" s="34">
        <f>SUM(L58,L53,L47)</f>
        <v>0</v>
      </c>
      <c r="M59" s="33" t="e">
        <f>K59/L59</f>
        <v>#DIV/0!</v>
      </c>
      <c r="N59" s="33">
        <f>SUM(N58,N53,N47)</f>
        <v>2204407.89</v>
      </c>
      <c r="O59" s="34">
        <f>SUM(O58,O53,O47)</f>
        <v>26659.300000000003</v>
      </c>
      <c r="P59" s="33">
        <f>N59/O59</f>
        <v>82.688138473253233</v>
      </c>
      <c r="Q59" s="33">
        <f>SUM(Q58,Q53,Q47)</f>
        <v>368111.38</v>
      </c>
      <c r="R59" s="34">
        <f>SUM(R58,R53,R47)</f>
        <v>3343.8999999999996</v>
      </c>
      <c r="S59" s="33">
        <f>Q59/R59</f>
        <v>110.0844463052125</v>
      </c>
      <c r="T59" s="33">
        <f>SUM(T58,T53,T47)</f>
        <v>3362430.48</v>
      </c>
      <c r="U59" s="34">
        <f>SUM(U58,U53,U47)</f>
        <v>37815.799999999996</v>
      </c>
      <c r="V59" s="33">
        <f>T59/U59</f>
        <v>88.916021345575146</v>
      </c>
    </row>
    <row r="60" spans="2:22" x14ac:dyDescent="0.25">
      <c r="B60" s="67" t="s">
        <v>15</v>
      </c>
      <c r="C60" s="67" t="s">
        <v>10</v>
      </c>
      <c r="D60" s="67" t="s">
        <v>0</v>
      </c>
      <c r="E60" s="58" t="s">
        <v>40</v>
      </c>
      <c r="F60" s="58"/>
      <c r="G60" s="58"/>
      <c r="H60" s="58" t="s">
        <v>7</v>
      </c>
      <c r="I60" s="58"/>
      <c r="J60" s="58"/>
      <c r="K60" s="55" t="s">
        <v>27</v>
      </c>
      <c r="L60" s="56"/>
      <c r="M60" s="57"/>
      <c r="N60" s="58" t="s">
        <v>4</v>
      </c>
      <c r="O60" s="58"/>
      <c r="P60" s="58"/>
      <c r="Q60" s="58" t="s">
        <v>8</v>
      </c>
      <c r="R60" s="58"/>
      <c r="S60" s="58"/>
      <c r="T60" s="58" t="s">
        <v>9</v>
      </c>
      <c r="U60" s="58"/>
      <c r="V60" s="58"/>
    </row>
    <row r="61" spans="2:22" x14ac:dyDescent="0.25">
      <c r="B61" s="67"/>
      <c r="C61" s="67"/>
      <c r="D61" s="67"/>
      <c r="E61" s="1" t="s">
        <v>1</v>
      </c>
      <c r="F61" s="3" t="s">
        <v>2</v>
      </c>
      <c r="G61" s="1" t="s">
        <v>3</v>
      </c>
      <c r="H61" s="1" t="s">
        <v>1</v>
      </c>
      <c r="I61" s="3" t="s">
        <v>2</v>
      </c>
      <c r="J61" s="1" t="s">
        <v>3</v>
      </c>
      <c r="K61" s="1" t="s">
        <v>1</v>
      </c>
      <c r="L61" s="3" t="s">
        <v>2</v>
      </c>
      <c r="M61" s="1" t="s">
        <v>3</v>
      </c>
      <c r="N61" s="1" t="s">
        <v>1</v>
      </c>
      <c r="O61" s="3" t="s">
        <v>2</v>
      </c>
      <c r="P61" s="1" t="s">
        <v>3</v>
      </c>
      <c r="Q61" s="1" t="s">
        <v>1</v>
      </c>
      <c r="R61" s="3" t="s">
        <v>2</v>
      </c>
      <c r="S61" s="1" t="s">
        <v>3</v>
      </c>
      <c r="T61" s="1" t="s">
        <v>1</v>
      </c>
      <c r="U61" s="3" t="s">
        <v>2</v>
      </c>
      <c r="V61" s="1" t="s">
        <v>3</v>
      </c>
    </row>
    <row r="62" spans="2:22" ht="23.25" customHeight="1" x14ac:dyDescent="0.25">
      <c r="B62" s="59" t="s">
        <v>28</v>
      </c>
      <c r="C62" s="62" t="s">
        <v>31</v>
      </c>
      <c r="D62" s="11">
        <v>44840</v>
      </c>
      <c r="E62" s="7">
        <v>16467.75</v>
      </c>
      <c r="F62" s="8">
        <v>167</v>
      </c>
      <c r="G62" s="7">
        <f t="shared" ref="G62:G76" si="52">E62/F62</f>
        <v>98.609281437125745</v>
      </c>
      <c r="H62" s="7">
        <v>30550.5</v>
      </c>
      <c r="I62" s="8">
        <v>299.5</v>
      </c>
      <c r="J62" s="7">
        <f t="shared" ref="J62:J76" si="53">H62/I62</f>
        <v>102.00500834724541</v>
      </c>
      <c r="K62" s="7"/>
      <c r="L62" s="8"/>
      <c r="M62" s="7" t="e">
        <f t="shared" ref="M62:M65" si="54">K62/L62</f>
        <v>#DIV/0!</v>
      </c>
      <c r="N62" s="7">
        <v>38633</v>
      </c>
      <c r="O62" s="8">
        <v>471.3</v>
      </c>
      <c r="P62" s="7">
        <f t="shared" ref="P62:P76" si="55">N62/O62</f>
        <v>81.97114364523658</v>
      </c>
      <c r="Q62" s="7">
        <v>15585</v>
      </c>
      <c r="R62" s="8">
        <v>139.5</v>
      </c>
      <c r="S62" s="7">
        <f t="shared" ref="S62:S74" si="56">Q62/R62</f>
        <v>111.72043010752688</v>
      </c>
      <c r="T62" s="7">
        <f t="shared" ref="T62:U65" si="57">SUM(E62,H62,K62,N62,Q62)</f>
        <v>101236.25</v>
      </c>
      <c r="U62" s="8">
        <f t="shared" si="57"/>
        <v>1077.3</v>
      </c>
      <c r="V62" s="7">
        <f t="shared" ref="V62:V76" si="58">T62/U62</f>
        <v>93.972199016058667</v>
      </c>
    </row>
    <row r="63" spans="2:22" ht="23.25" customHeight="1" x14ac:dyDescent="0.25">
      <c r="B63" s="60"/>
      <c r="C63" s="62"/>
      <c r="D63" s="11">
        <v>44847</v>
      </c>
      <c r="E63" s="7">
        <v>19715</v>
      </c>
      <c r="F63" s="8">
        <v>237</v>
      </c>
      <c r="G63" s="7">
        <f t="shared" si="52"/>
        <v>83.185654008438817</v>
      </c>
      <c r="H63" s="7">
        <v>47854</v>
      </c>
      <c r="I63" s="8">
        <v>455</v>
      </c>
      <c r="J63" s="7">
        <f t="shared" si="53"/>
        <v>105.17362637362638</v>
      </c>
      <c r="K63" s="7"/>
      <c r="L63" s="8"/>
      <c r="M63" s="7" t="e">
        <f t="shared" si="54"/>
        <v>#DIV/0!</v>
      </c>
      <c r="N63" s="7">
        <v>83059</v>
      </c>
      <c r="O63" s="8">
        <v>889.5</v>
      </c>
      <c r="P63" s="7">
        <f t="shared" si="55"/>
        <v>93.377178189994382</v>
      </c>
      <c r="Q63" s="7">
        <v>5020</v>
      </c>
      <c r="R63" s="8">
        <v>46</v>
      </c>
      <c r="S63" s="7">
        <f t="shared" si="56"/>
        <v>109.1304347826087</v>
      </c>
      <c r="T63" s="7">
        <f t="shared" si="57"/>
        <v>155648</v>
      </c>
      <c r="U63" s="8">
        <f t="shared" si="57"/>
        <v>1627.5</v>
      </c>
      <c r="V63" s="7">
        <f t="shared" si="58"/>
        <v>95.636251920122888</v>
      </c>
    </row>
    <row r="64" spans="2:22" ht="23.25" customHeight="1" x14ac:dyDescent="0.25">
      <c r="B64" s="60"/>
      <c r="C64" s="62"/>
      <c r="D64" s="11">
        <v>44489</v>
      </c>
      <c r="E64" s="7">
        <v>53027.67</v>
      </c>
      <c r="F64" s="8">
        <v>588</v>
      </c>
      <c r="G64" s="7">
        <f t="shared" si="52"/>
        <v>90.183112244897956</v>
      </c>
      <c r="H64" s="7">
        <v>21557.5</v>
      </c>
      <c r="I64" s="8">
        <v>216</v>
      </c>
      <c r="J64" s="7">
        <f t="shared" si="53"/>
        <v>99.803240740740748</v>
      </c>
      <c r="K64" s="7"/>
      <c r="L64" s="8"/>
      <c r="M64" s="7" t="e">
        <f t="shared" si="54"/>
        <v>#DIV/0!</v>
      </c>
      <c r="N64" s="7">
        <v>74066.5</v>
      </c>
      <c r="O64" s="8">
        <v>980.5</v>
      </c>
      <c r="P64" s="7">
        <f t="shared" si="55"/>
        <v>75.5395206527282</v>
      </c>
      <c r="Q64" s="7">
        <v>0</v>
      </c>
      <c r="R64" s="8">
        <v>0</v>
      </c>
      <c r="S64" s="7">
        <v>0</v>
      </c>
      <c r="T64" s="7">
        <f t="shared" si="57"/>
        <v>148651.66999999998</v>
      </c>
      <c r="U64" s="8">
        <f t="shared" si="57"/>
        <v>1784.5</v>
      </c>
      <c r="V64" s="7">
        <f t="shared" si="58"/>
        <v>83.301580274586712</v>
      </c>
    </row>
    <row r="65" spans="2:22" ht="23.25" customHeight="1" x14ac:dyDescent="0.25">
      <c r="B65" s="60"/>
      <c r="C65" s="62"/>
      <c r="D65" s="11">
        <v>44496</v>
      </c>
      <c r="E65" s="7">
        <v>5986</v>
      </c>
      <c r="F65" s="8">
        <v>57</v>
      </c>
      <c r="G65" s="7">
        <f t="shared" si="52"/>
        <v>105.01754385964912</v>
      </c>
      <c r="H65" s="7">
        <v>86770.25</v>
      </c>
      <c r="I65" s="8">
        <v>799</v>
      </c>
      <c r="J65" s="7">
        <f t="shared" si="53"/>
        <v>108.59856070087609</v>
      </c>
      <c r="K65" s="7"/>
      <c r="L65" s="8"/>
      <c r="M65" s="7" t="e">
        <f t="shared" si="54"/>
        <v>#DIV/0!</v>
      </c>
      <c r="N65" s="7">
        <v>95249</v>
      </c>
      <c r="O65" s="8">
        <v>1020</v>
      </c>
      <c r="P65" s="7">
        <f t="shared" si="55"/>
        <v>93.381372549019602</v>
      </c>
      <c r="Q65" s="7">
        <v>16880</v>
      </c>
      <c r="R65" s="8">
        <v>232</v>
      </c>
      <c r="S65" s="7">
        <f t="shared" si="56"/>
        <v>72.758620689655174</v>
      </c>
      <c r="T65" s="7">
        <f t="shared" si="57"/>
        <v>204885.25</v>
      </c>
      <c r="U65" s="8">
        <f t="shared" si="57"/>
        <v>2108</v>
      </c>
      <c r="V65" s="7">
        <f t="shared" si="58"/>
        <v>97.194141366223903</v>
      </c>
    </row>
    <row r="66" spans="2:22" ht="23.25" customHeight="1" x14ac:dyDescent="0.25">
      <c r="B66" s="60"/>
      <c r="C66" s="63" t="s">
        <v>36</v>
      </c>
      <c r="D66" s="64"/>
      <c r="E66" s="30">
        <f>SUM(E62:E65)</f>
        <v>95196.42</v>
      </c>
      <c r="F66" s="31">
        <f>SUM(F62:F65)</f>
        <v>1049</v>
      </c>
      <c r="G66" s="30">
        <f>E66/F66</f>
        <v>90.749685414680641</v>
      </c>
      <c r="H66" s="30">
        <f>SUM(H62:H65)</f>
        <v>186732.25</v>
      </c>
      <c r="I66" s="31">
        <f>SUM(I62:I65)</f>
        <v>1769.5</v>
      </c>
      <c r="J66" s="30">
        <f>H66/I66</f>
        <v>105.52825656965244</v>
      </c>
      <c r="K66" s="30">
        <f>SUM(K62:K65)</f>
        <v>0</v>
      </c>
      <c r="L66" s="31">
        <f>SUM(L62:L65)</f>
        <v>0</v>
      </c>
      <c r="M66" s="30" t="e">
        <f>K66/L66</f>
        <v>#DIV/0!</v>
      </c>
      <c r="N66" s="30">
        <f>SUM(N62:N65)</f>
        <v>291007.5</v>
      </c>
      <c r="O66" s="31">
        <f>SUM(O62:O65)</f>
        <v>3361.3</v>
      </c>
      <c r="P66" s="30">
        <f>N66/O66</f>
        <v>86.575878380388531</v>
      </c>
      <c r="Q66" s="30">
        <f>SUM(Q62:Q65)</f>
        <v>37485</v>
      </c>
      <c r="R66" s="31">
        <f>SUM(R62:R65)</f>
        <v>417.5</v>
      </c>
      <c r="S66" s="30">
        <f>Q66/R66</f>
        <v>89.784431137724553</v>
      </c>
      <c r="T66" s="30">
        <f>SUM(T62:T65)</f>
        <v>610421.16999999993</v>
      </c>
      <c r="U66" s="31">
        <f>SUM(U62:U65)</f>
        <v>6597.3</v>
      </c>
      <c r="V66" s="32">
        <f>T66/U66</f>
        <v>92.525907568247604</v>
      </c>
    </row>
    <row r="67" spans="2:22" ht="23.25" customHeight="1" x14ac:dyDescent="0.25">
      <c r="B67" s="60"/>
      <c r="C67" s="72" t="s">
        <v>32</v>
      </c>
      <c r="D67" s="11">
        <v>44503</v>
      </c>
      <c r="E67" s="7">
        <v>71343.75</v>
      </c>
      <c r="F67" s="8">
        <v>737.5</v>
      </c>
      <c r="G67" s="7">
        <f t="shared" si="52"/>
        <v>96.737288135593218</v>
      </c>
      <c r="H67" s="7">
        <v>103840</v>
      </c>
      <c r="I67" s="8">
        <v>902.5</v>
      </c>
      <c r="J67" s="7">
        <f t="shared" si="53"/>
        <v>115.05817174515235</v>
      </c>
      <c r="K67" s="7"/>
      <c r="L67" s="8"/>
      <c r="M67" s="7" t="e">
        <f t="shared" ref="M67:M71" si="59">K67/L67</f>
        <v>#DIV/0!</v>
      </c>
      <c r="N67" s="7">
        <v>134302.5</v>
      </c>
      <c r="O67" s="8">
        <v>1560.5</v>
      </c>
      <c r="P67" s="7">
        <f t="shared" si="55"/>
        <v>86.063761614867033</v>
      </c>
      <c r="Q67" s="7">
        <v>7360</v>
      </c>
      <c r="R67" s="8">
        <v>70</v>
      </c>
      <c r="S67" s="7">
        <f t="shared" si="56"/>
        <v>105.14285714285714</v>
      </c>
      <c r="T67" s="7">
        <f t="shared" ref="T67:U71" si="60">SUM(E67,H67,K67,N67,Q67)</f>
        <v>316846.25</v>
      </c>
      <c r="U67" s="8">
        <f t="shared" si="60"/>
        <v>3270.5</v>
      </c>
      <c r="V67" s="7">
        <f t="shared" si="58"/>
        <v>96.88006421036539</v>
      </c>
    </row>
    <row r="68" spans="2:22" ht="23.25" customHeight="1" x14ac:dyDescent="0.25">
      <c r="B68" s="60"/>
      <c r="C68" s="65">
        <v>7</v>
      </c>
      <c r="D68" s="11">
        <v>44510</v>
      </c>
      <c r="E68" s="7">
        <v>8480</v>
      </c>
      <c r="F68" s="8">
        <v>78</v>
      </c>
      <c r="G68" s="7">
        <f t="shared" si="52"/>
        <v>108.71794871794872</v>
      </c>
      <c r="H68" s="7">
        <v>60384.5</v>
      </c>
      <c r="I68" s="8">
        <v>594.5</v>
      </c>
      <c r="J68" s="7">
        <f t="shared" si="53"/>
        <v>101.57190916736754</v>
      </c>
      <c r="K68" s="7"/>
      <c r="L68" s="8"/>
      <c r="M68" s="7" t="e">
        <f t="shared" si="59"/>
        <v>#DIV/0!</v>
      </c>
      <c r="N68" s="7">
        <v>111874</v>
      </c>
      <c r="O68" s="8">
        <v>1203.5</v>
      </c>
      <c r="P68" s="7">
        <f t="shared" si="55"/>
        <v>92.9572081429165</v>
      </c>
      <c r="Q68" s="36"/>
      <c r="R68" s="37"/>
      <c r="S68" s="36"/>
      <c r="T68" s="7">
        <f t="shared" si="60"/>
        <v>180738.5</v>
      </c>
      <c r="U68" s="8">
        <f t="shared" si="60"/>
        <v>1876</v>
      </c>
      <c r="V68" s="7">
        <f t="shared" si="58"/>
        <v>96.342484008528785</v>
      </c>
    </row>
    <row r="69" spans="2:22" ht="23.25" customHeight="1" x14ac:dyDescent="0.25">
      <c r="B69" s="60"/>
      <c r="C69" s="65">
        <v>8</v>
      </c>
      <c r="D69" s="11">
        <v>44517</v>
      </c>
      <c r="E69" s="7">
        <v>43459.15</v>
      </c>
      <c r="F69" s="8">
        <v>423.3</v>
      </c>
      <c r="G69" s="7">
        <f t="shared" si="52"/>
        <v>102.66749350342546</v>
      </c>
      <c r="H69" s="7">
        <v>40380.5</v>
      </c>
      <c r="I69" s="8">
        <v>327.5</v>
      </c>
      <c r="J69" s="7">
        <f t="shared" si="53"/>
        <v>123.29923664122137</v>
      </c>
      <c r="K69" s="7"/>
      <c r="L69" s="8"/>
      <c r="M69" s="7" t="e">
        <f t="shared" si="59"/>
        <v>#DIV/0!</v>
      </c>
      <c r="N69" s="7">
        <v>200363.06</v>
      </c>
      <c r="O69" s="8">
        <v>2250.8000000000002</v>
      </c>
      <c r="P69" s="7">
        <f t="shared" si="55"/>
        <v>89.018597831881991</v>
      </c>
      <c r="Q69" s="36"/>
      <c r="R69" s="37"/>
      <c r="S69" s="36"/>
      <c r="T69" s="7">
        <f t="shared" si="60"/>
        <v>284202.70999999996</v>
      </c>
      <c r="U69" s="8">
        <f t="shared" si="60"/>
        <v>3001.6000000000004</v>
      </c>
      <c r="V69" s="7">
        <f t="shared" si="58"/>
        <v>94.683738672707861</v>
      </c>
    </row>
    <row r="70" spans="2:22" ht="23.25" customHeight="1" x14ac:dyDescent="0.25">
      <c r="B70" s="60"/>
      <c r="C70" s="65">
        <v>9</v>
      </c>
      <c r="D70" s="11">
        <v>44524</v>
      </c>
      <c r="E70" s="7">
        <v>24140</v>
      </c>
      <c r="F70" s="8">
        <v>223</v>
      </c>
      <c r="G70" s="7">
        <f t="shared" si="52"/>
        <v>108.25112107623319</v>
      </c>
      <c r="H70" s="7">
        <v>21230</v>
      </c>
      <c r="I70" s="8">
        <v>270.5</v>
      </c>
      <c r="J70" s="7">
        <f t="shared" si="53"/>
        <v>78.484288354898339</v>
      </c>
      <c r="K70" s="7"/>
      <c r="L70" s="8"/>
      <c r="M70" s="7" t="e">
        <f t="shared" si="59"/>
        <v>#DIV/0!</v>
      </c>
      <c r="N70" s="7">
        <v>132501.25</v>
      </c>
      <c r="O70" s="8">
        <v>1453.3</v>
      </c>
      <c r="P70" s="7">
        <f t="shared" si="55"/>
        <v>91.172675978806851</v>
      </c>
      <c r="Q70" s="36"/>
      <c r="R70" s="37"/>
      <c r="S70" s="36"/>
      <c r="T70" s="7">
        <f t="shared" si="60"/>
        <v>177871.25</v>
      </c>
      <c r="U70" s="8">
        <f t="shared" si="60"/>
        <v>1946.8</v>
      </c>
      <c r="V70" s="7">
        <f t="shared" si="58"/>
        <v>91.365959523320328</v>
      </c>
    </row>
    <row r="71" spans="2:22" ht="23.25" customHeight="1" x14ac:dyDescent="0.25">
      <c r="B71" s="60"/>
      <c r="C71" s="66"/>
      <c r="D71" s="11">
        <v>44531</v>
      </c>
      <c r="E71" s="36"/>
      <c r="F71" s="37"/>
      <c r="G71" s="36"/>
      <c r="H71" s="7">
        <v>13810</v>
      </c>
      <c r="I71" s="8">
        <v>139.5</v>
      </c>
      <c r="J71" s="7">
        <f t="shared" si="53"/>
        <v>98.996415770609318</v>
      </c>
      <c r="K71" s="7"/>
      <c r="L71" s="8"/>
      <c r="M71" s="7" t="e">
        <f t="shared" si="59"/>
        <v>#DIV/0!</v>
      </c>
      <c r="N71" s="7">
        <v>93802.51</v>
      </c>
      <c r="O71" s="8">
        <v>958.8</v>
      </c>
      <c r="P71" s="7">
        <f t="shared" si="55"/>
        <v>97.833239465999171</v>
      </c>
      <c r="Q71" s="7">
        <v>17915</v>
      </c>
      <c r="R71" s="8">
        <v>178</v>
      </c>
      <c r="S71" s="7">
        <f t="shared" si="56"/>
        <v>100.64606741573034</v>
      </c>
      <c r="T71" s="7">
        <f t="shared" si="60"/>
        <v>125527.51</v>
      </c>
      <c r="U71" s="8">
        <f t="shared" si="60"/>
        <v>1276.3</v>
      </c>
      <c r="V71" s="7">
        <f t="shared" si="58"/>
        <v>98.352667868056102</v>
      </c>
    </row>
    <row r="72" spans="2:22" ht="23.25" customHeight="1" x14ac:dyDescent="0.25">
      <c r="B72" s="60"/>
      <c r="C72" s="63" t="s">
        <v>36</v>
      </c>
      <c r="D72" s="64"/>
      <c r="E72" s="30">
        <f>SUM(E67:E71)</f>
        <v>147422.9</v>
      </c>
      <c r="F72" s="31">
        <f>SUM(F67:F71)</f>
        <v>1461.8</v>
      </c>
      <c r="G72" s="30">
        <f>E72/F72</f>
        <v>100.8502531126009</v>
      </c>
      <c r="H72" s="30">
        <f t="shared" ref="H72:I72" si="61">SUM(H67:H71)</f>
        <v>239645</v>
      </c>
      <c r="I72" s="31">
        <f t="shared" si="61"/>
        <v>2234.5</v>
      </c>
      <c r="J72" s="30">
        <f>H72/I72</f>
        <v>107.24770642201835</v>
      </c>
      <c r="K72" s="30">
        <f t="shared" ref="K72:L72" si="62">SUM(K67:K71)</f>
        <v>0</v>
      </c>
      <c r="L72" s="31">
        <f t="shared" si="62"/>
        <v>0</v>
      </c>
      <c r="M72" s="30" t="e">
        <f>K72/L72</f>
        <v>#DIV/0!</v>
      </c>
      <c r="N72" s="30">
        <f t="shared" ref="N72:O72" si="63">SUM(N67:N71)</f>
        <v>672843.32000000007</v>
      </c>
      <c r="O72" s="31">
        <f t="shared" si="63"/>
        <v>7426.9000000000005</v>
      </c>
      <c r="P72" s="30">
        <f>N72/O72</f>
        <v>90.595446283106014</v>
      </c>
      <c r="Q72" s="30">
        <f t="shared" ref="Q72:R72" si="64">SUM(Q67:Q71)</f>
        <v>25275</v>
      </c>
      <c r="R72" s="31">
        <f t="shared" si="64"/>
        <v>248</v>
      </c>
      <c r="S72" s="30">
        <f>Q72/R72</f>
        <v>101.91532258064517</v>
      </c>
      <c r="T72" s="30">
        <f t="shared" ref="T72:U72" si="65">SUM(T67:T71)</f>
        <v>1085186.22</v>
      </c>
      <c r="U72" s="31">
        <f t="shared" si="65"/>
        <v>11371.199999999999</v>
      </c>
      <c r="V72" s="32">
        <f>T72/U72</f>
        <v>95.432867243562697</v>
      </c>
    </row>
    <row r="73" spans="2:22" ht="23.25" customHeight="1" x14ac:dyDescent="0.25">
      <c r="B73" s="60"/>
      <c r="C73" s="62" t="s">
        <v>33</v>
      </c>
      <c r="D73" s="11">
        <v>44538</v>
      </c>
      <c r="E73" s="7">
        <v>5400</v>
      </c>
      <c r="F73" s="8">
        <v>54</v>
      </c>
      <c r="G73" s="7">
        <f t="shared" si="52"/>
        <v>100</v>
      </c>
      <c r="H73" s="7">
        <v>46012.5</v>
      </c>
      <c r="I73" s="8">
        <v>347.5</v>
      </c>
      <c r="J73" s="7">
        <f t="shared" si="53"/>
        <v>132.41007194244605</v>
      </c>
      <c r="K73" s="7"/>
      <c r="L73" s="8"/>
      <c r="M73" s="7" t="e">
        <f t="shared" ref="M73:M76" si="66">K73/L73</f>
        <v>#DIV/0!</v>
      </c>
      <c r="N73" s="7">
        <v>73258.75</v>
      </c>
      <c r="O73" s="8">
        <v>880</v>
      </c>
      <c r="P73" s="7">
        <f t="shared" si="55"/>
        <v>83.248579545454547</v>
      </c>
      <c r="Q73" s="36"/>
      <c r="R73" s="37"/>
      <c r="S73" s="36"/>
      <c r="T73" s="7">
        <f t="shared" ref="T73:U76" si="67">SUM(E73,H73,K73,N73,Q73)</f>
        <v>124671.25</v>
      </c>
      <c r="U73" s="8">
        <f t="shared" si="67"/>
        <v>1281.5</v>
      </c>
      <c r="V73" s="7">
        <f t="shared" si="58"/>
        <v>97.285407725321889</v>
      </c>
    </row>
    <row r="74" spans="2:22" ht="23.25" customHeight="1" x14ac:dyDescent="0.25">
      <c r="B74" s="60"/>
      <c r="C74" s="62">
        <v>11</v>
      </c>
      <c r="D74" s="11">
        <v>44545</v>
      </c>
      <c r="E74" s="7">
        <v>29137</v>
      </c>
      <c r="F74" s="8">
        <v>233</v>
      </c>
      <c r="G74" s="7">
        <f t="shared" si="52"/>
        <v>125.05150214592274</v>
      </c>
      <c r="H74" s="7">
        <v>26041.75</v>
      </c>
      <c r="I74" s="8">
        <v>234</v>
      </c>
      <c r="J74" s="7">
        <f t="shared" si="53"/>
        <v>111.28952991452991</v>
      </c>
      <c r="K74" s="7"/>
      <c r="L74" s="8"/>
      <c r="M74" s="7" t="e">
        <f t="shared" si="66"/>
        <v>#DIV/0!</v>
      </c>
      <c r="N74" s="7">
        <v>121159.39</v>
      </c>
      <c r="O74" s="8">
        <v>1505.5</v>
      </c>
      <c r="P74" s="7">
        <f t="shared" si="55"/>
        <v>80.477841248754572</v>
      </c>
      <c r="Q74" s="7">
        <v>1500</v>
      </c>
      <c r="R74" s="8">
        <v>15</v>
      </c>
      <c r="S74" s="7">
        <f t="shared" si="56"/>
        <v>100</v>
      </c>
      <c r="T74" s="7">
        <f t="shared" si="67"/>
        <v>177838.14</v>
      </c>
      <c r="U74" s="8">
        <f t="shared" si="67"/>
        <v>1987.5</v>
      </c>
      <c r="V74" s="7">
        <f t="shared" si="58"/>
        <v>89.478309433962266</v>
      </c>
    </row>
    <row r="75" spans="2:22" ht="23.25" customHeight="1" x14ac:dyDescent="0.25">
      <c r="B75" s="60"/>
      <c r="C75" s="62">
        <v>12</v>
      </c>
      <c r="D75" s="11">
        <v>44917</v>
      </c>
      <c r="E75" s="7">
        <v>75495.95</v>
      </c>
      <c r="F75" s="8">
        <v>709.5</v>
      </c>
      <c r="G75" s="7">
        <f t="shared" si="52"/>
        <v>106.40725863284003</v>
      </c>
      <c r="H75" s="7">
        <v>60225</v>
      </c>
      <c r="I75" s="8">
        <v>519</v>
      </c>
      <c r="J75" s="7">
        <f t="shared" si="53"/>
        <v>116.04046242774567</v>
      </c>
      <c r="K75" s="7"/>
      <c r="L75" s="8"/>
      <c r="M75" s="7" t="e">
        <f t="shared" si="66"/>
        <v>#DIV/0!</v>
      </c>
      <c r="N75" s="7">
        <v>330066</v>
      </c>
      <c r="O75" s="8">
        <v>3315.5</v>
      </c>
      <c r="P75" s="7">
        <f t="shared" si="55"/>
        <v>99.55240536872266</v>
      </c>
      <c r="Q75" s="36"/>
      <c r="R75" s="37"/>
      <c r="S75" s="36"/>
      <c r="T75" s="7">
        <f t="shared" si="67"/>
        <v>465786.95</v>
      </c>
      <c r="U75" s="8">
        <f t="shared" si="67"/>
        <v>4544</v>
      </c>
      <c r="V75" s="7">
        <f t="shared" si="58"/>
        <v>102.50593089788732</v>
      </c>
    </row>
    <row r="76" spans="2:22" ht="23.25" customHeight="1" x14ac:dyDescent="0.25">
      <c r="B76" s="60"/>
      <c r="C76" s="62">
        <v>13</v>
      </c>
      <c r="D76" s="11">
        <v>44924</v>
      </c>
      <c r="E76" s="7">
        <v>53510</v>
      </c>
      <c r="F76" s="8">
        <v>463.5</v>
      </c>
      <c r="G76" s="7">
        <f t="shared" si="52"/>
        <v>115.44768069039914</v>
      </c>
      <c r="H76" s="7">
        <v>92314.37</v>
      </c>
      <c r="I76" s="8">
        <v>796.5</v>
      </c>
      <c r="J76" s="7">
        <f t="shared" si="53"/>
        <v>115.90002510985562</v>
      </c>
      <c r="K76" s="7"/>
      <c r="L76" s="8"/>
      <c r="M76" s="7" t="e">
        <f t="shared" si="66"/>
        <v>#DIV/0!</v>
      </c>
      <c r="N76" s="7">
        <v>103392.73</v>
      </c>
      <c r="O76" s="8">
        <v>1107</v>
      </c>
      <c r="P76" s="7">
        <f t="shared" si="55"/>
        <v>93.399033423667561</v>
      </c>
      <c r="Q76" s="36"/>
      <c r="R76" s="37"/>
      <c r="S76" s="36"/>
      <c r="T76" s="7">
        <f t="shared" si="67"/>
        <v>249217.09999999998</v>
      </c>
      <c r="U76" s="8">
        <f t="shared" si="67"/>
        <v>2367</v>
      </c>
      <c r="V76" s="7">
        <f t="shared" si="58"/>
        <v>105.28817068018589</v>
      </c>
    </row>
    <row r="77" spans="2:22" ht="23.25" customHeight="1" x14ac:dyDescent="0.25">
      <c r="B77" s="61"/>
      <c r="C77" s="63" t="s">
        <v>36</v>
      </c>
      <c r="D77" s="64"/>
      <c r="E77" s="30">
        <f>SUM(E73:E76)</f>
        <v>163542.95000000001</v>
      </c>
      <c r="F77" s="31">
        <f>SUM(F73:F76)</f>
        <v>1460</v>
      </c>
      <c r="G77" s="30">
        <f>E77/F77</f>
        <v>112.01571917808219</v>
      </c>
      <c r="H77" s="30">
        <f>SUM(H73:H76)</f>
        <v>224593.62</v>
      </c>
      <c r="I77" s="31">
        <f>SUM(I73:I76)</f>
        <v>1897</v>
      </c>
      <c r="J77" s="30">
        <f>H77/I77</f>
        <v>118.39410648392197</v>
      </c>
      <c r="K77" s="30">
        <f>SUM(K73:K76)</f>
        <v>0</v>
      </c>
      <c r="L77" s="31">
        <f>SUM(L73:L76)</f>
        <v>0</v>
      </c>
      <c r="M77" s="30" t="e">
        <f>K77/L77</f>
        <v>#DIV/0!</v>
      </c>
      <c r="N77" s="30">
        <f>SUM(N73:N76)</f>
        <v>627876.87</v>
      </c>
      <c r="O77" s="31">
        <f>SUM(O73:O76)</f>
        <v>6808</v>
      </c>
      <c r="P77" s="30">
        <f>N77/O77</f>
        <v>92.226332256169215</v>
      </c>
      <c r="Q77" s="30">
        <f>SUM(Q73:Q76)</f>
        <v>1500</v>
      </c>
      <c r="R77" s="31">
        <f>SUM(R73:R76)</f>
        <v>15</v>
      </c>
      <c r="S77" s="30">
        <f>Q77/R77</f>
        <v>100</v>
      </c>
      <c r="T77" s="30">
        <f>SUM(T73:T76)</f>
        <v>1017513.4400000001</v>
      </c>
      <c r="U77" s="31">
        <f>SUM(U73:U76)</f>
        <v>10180</v>
      </c>
      <c r="V77" s="32">
        <f>T77/U77</f>
        <v>99.952204322200402</v>
      </c>
    </row>
    <row r="78" spans="2:22" ht="39" customHeight="1" x14ac:dyDescent="0.25">
      <c r="B78" s="52" t="s">
        <v>29</v>
      </c>
      <c r="C78" s="52"/>
      <c r="D78" s="52"/>
      <c r="E78" s="33">
        <f>SUM(E77,E72,E66)</f>
        <v>406162.26999999996</v>
      </c>
      <c r="F78" s="34">
        <f>SUM(F77,F72,F66)</f>
        <v>3970.8</v>
      </c>
      <c r="G78" s="33">
        <f>E78/F78</f>
        <v>102.28726453107684</v>
      </c>
      <c r="H78" s="33">
        <f>SUM(H77,H72,H66)</f>
        <v>650970.87</v>
      </c>
      <c r="I78" s="34">
        <f>SUM(I77,I72,I66)</f>
        <v>5901</v>
      </c>
      <c r="J78" s="33">
        <f>H78/I78</f>
        <v>110.31534824605998</v>
      </c>
      <c r="K78" s="33">
        <f>SUM(K77,K72,K66)</f>
        <v>0</v>
      </c>
      <c r="L78" s="34">
        <f>SUM(L77,L72,L66)</f>
        <v>0</v>
      </c>
      <c r="M78" s="33" t="e">
        <f>K78/L78</f>
        <v>#DIV/0!</v>
      </c>
      <c r="N78" s="33">
        <f>SUM(N77,N72,N66)</f>
        <v>1591727.69</v>
      </c>
      <c r="O78" s="34">
        <f>SUM(O77,O72,O66)</f>
        <v>17596.2</v>
      </c>
      <c r="P78" s="33">
        <f>N78/O78</f>
        <v>90.458604130437251</v>
      </c>
      <c r="Q78" s="33">
        <f>SUM(Q77,Q72,Q66)</f>
        <v>64260</v>
      </c>
      <c r="R78" s="34">
        <f>SUM(R77,R72,R66)</f>
        <v>680.5</v>
      </c>
      <c r="S78" s="33">
        <f>Q78/R78</f>
        <v>94.430565760470245</v>
      </c>
      <c r="T78" s="33">
        <f>SUM(T77,T72,T66)</f>
        <v>2713120.83</v>
      </c>
      <c r="U78" s="34">
        <f>SUM(U77,U72,U66)</f>
        <v>28148.499999999996</v>
      </c>
      <c r="V78" s="33">
        <f>T78/U78</f>
        <v>96.385982556797003</v>
      </c>
    </row>
    <row r="79" spans="2:22" ht="23.25" customHeight="1" x14ac:dyDescent="0.25">
      <c r="B79" s="53" t="s">
        <v>38</v>
      </c>
      <c r="C79" s="54"/>
      <c r="D79" s="54"/>
      <c r="E79" s="9">
        <f>SUM(E78,E59,E39,E20)</f>
        <v>497880.87</v>
      </c>
      <c r="F79" s="10">
        <f>SUM(F78,F59,F39,F20)</f>
        <v>4942.3999999999996</v>
      </c>
      <c r="G79" s="9">
        <f>E79/F79</f>
        <v>100.73666032696666</v>
      </c>
      <c r="H79" s="9">
        <f>SUM(H78,H59,H39,H20)</f>
        <v>3397711.63</v>
      </c>
      <c r="I79" s="10">
        <f>SUM(I78,I59,I39,I20)</f>
        <v>32665</v>
      </c>
      <c r="J79" s="9">
        <f>H79/I79</f>
        <v>104.0168874942599</v>
      </c>
      <c r="K79" s="9">
        <f>SUM(K78,K59,K39,K20)</f>
        <v>0</v>
      </c>
      <c r="L79" s="10">
        <f>SUM(L78,L59,L39,L20)</f>
        <v>0</v>
      </c>
      <c r="M79" s="9" t="e">
        <f>K79/L79</f>
        <v>#DIV/0!</v>
      </c>
      <c r="N79" s="9">
        <f>SUM(N78,N59,N39,N20)</f>
        <v>6506602.1299999999</v>
      </c>
      <c r="O79" s="10">
        <f>SUM(O78,O59,O39,O20)</f>
        <v>71686</v>
      </c>
      <c r="P79" s="9">
        <f>N79/O79</f>
        <v>90.765311636860758</v>
      </c>
      <c r="Q79" s="9">
        <f>SUM(Q78,Q59,Q39,Q20)</f>
        <v>1388252.99</v>
      </c>
      <c r="R79" s="10">
        <f>SUM(R78,R59,R39,R20)</f>
        <v>13338.4</v>
      </c>
      <c r="S79" s="9">
        <f>Q79/R79</f>
        <v>104.07942406885384</v>
      </c>
      <c r="T79" s="9">
        <f>SUM(T78,T59,T39,T20)</f>
        <v>11790447.620000001</v>
      </c>
      <c r="U79" s="10">
        <f>SUM(U78,U59,U39,U20)</f>
        <v>122631.79999999999</v>
      </c>
      <c r="V79" s="9">
        <f>T79/U79</f>
        <v>96.145107712681394</v>
      </c>
    </row>
  </sheetData>
  <mergeCells count="70">
    <mergeCell ref="B78:D78"/>
    <mergeCell ref="B79:D79"/>
    <mergeCell ref="K2:M2"/>
    <mergeCell ref="K60:M60"/>
    <mergeCell ref="B59:D59"/>
    <mergeCell ref="B43:B58"/>
    <mergeCell ref="C43:C46"/>
    <mergeCell ref="C47:D47"/>
    <mergeCell ref="C48:C52"/>
    <mergeCell ref="C53:D53"/>
    <mergeCell ref="C54:C57"/>
    <mergeCell ref="C58:D58"/>
    <mergeCell ref="E41:G41"/>
    <mergeCell ref="H41:J41"/>
    <mergeCell ref="K41:M41"/>
    <mergeCell ref="K21:M21"/>
    <mergeCell ref="N60:P60"/>
    <mergeCell ref="Q60:S60"/>
    <mergeCell ref="T60:V60"/>
    <mergeCell ref="B62:B77"/>
    <mergeCell ref="C62:C65"/>
    <mergeCell ref="C66:D66"/>
    <mergeCell ref="C67:C71"/>
    <mergeCell ref="C72:D72"/>
    <mergeCell ref="C73:C76"/>
    <mergeCell ref="B60:B61"/>
    <mergeCell ref="C60:C61"/>
    <mergeCell ref="D60:D61"/>
    <mergeCell ref="E60:G60"/>
    <mergeCell ref="H60:J60"/>
    <mergeCell ref="C77:D77"/>
    <mergeCell ref="N41:P41"/>
    <mergeCell ref="Q41:S41"/>
    <mergeCell ref="T41:V41"/>
    <mergeCell ref="C38:D38"/>
    <mergeCell ref="B39:D39"/>
    <mergeCell ref="B40:D40"/>
    <mergeCell ref="B41:B42"/>
    <mergeCell ref="C41:C42"/>
    <mergeCell ref="D41:D42"/>
    <mergeCell ref="N21:P21"/>
    <mergeCell ref="Q21:S21"/>
    <mergeCell ref="T21:V21"/>
    <mergeCell ref="B23:B38"/>
    <mergeCell ref="C23:C26"/>
    <mergeCell ref="C27:D27"/>
    <mergeCell ref="C28:C32"/>
    <mergeCell ref="C33:D33"/>
    <mergeCell ref="C34:C37"/>
    <mergeCell ref="H21:J21"/>
    <mergeCell ref="B20:D20"/>
    <mergeCell ref="B21:B22"/>
    <mergeCell ref="C21:C22"/>
    <mergeCell ref="D21:D22"/>
    <mergeCell ref="E21:G21"/>
    <mergeCell ref="N2:P2"/>
    <mergeCell ref="Q2:S2"/>
    <mergeCell ref="T2:V2"/>
    <mergeCell ref="B4:B19"/>
    <mergeCell ref="C4:C7"/>
    <mergeCell ref="C8:D8"/>
    <mergeCell ref="C9:C12"/>
    <mergeCell ref="C13:D13"/>
    <mergeCell ref="C14:C17"/>
    <mergeCell ref="C19:D19"/>
    <mergeCell ref="B2:B3"/>
    <mergeCell ref="C2:C3"/>
    <mergeCell ref="D2:D3"/>
    <mergeCell ref="E2:G2"/>
    <mergeCell ref="H2:J2"/>
  </mergeCells>
  <printOptions horizontalCentered="1"/>
  <pageMargins left="0.7" right="0.7" top="1" bottom="0.75" header="0.3" footer="0.3"/>
  <pageSetup paperSize="17" scale="74" orientation="landscape" r:id="rId1"/>
  <headerFooter>
    <oddHeader>&amp;C&amp;"Arial Black,Regular"&amp;16 2022 SALES REPORT
&amp;12SALESMAN PERFORMANCE</oddHeader>
    <oddFooter>&amp;L&amp;Z&amp;F&amp;R&amp;D</oddFooter>
  </headerFooter>
  <rowBreaks count="1" manualBreakCount="1">
    <brk id="40" max="2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DC97-1D27-4087-9CB4-30EFBED36153}">
  <sheetPr codeName="Sheet5"/>
  <dimension ref="B2:X79"/>
  <sheetViews>
    <sheetView view="pageBreakPreview" zoomScale="130" zoomScaleNormal="130" zoomScaleSheetLayoutView="130" workbookViewId="0">
      <pane xSplit="3" ySplit="3" topLeftCell="D32" activePane="bottomRight" state="frozen"/>
      <selection pane="topRight" activeCell="C1" sqref="C1"/>
      <selection pane="bottomLeft" activeCell="A5" sqref="A5"/>
      <selection pane="bottomRight" activeCell="X37" sqref="X37"/>
    </sheetView>
  </sheetViews>
  <sheetFormatPr defaultRowHeight="15" x14ac:dyDescent="0.25"/>
  <cols>
    <col min="1" max="1" width="1.140625" customWidth="1"/>
    <col min="2" max="3" width="6" bestFit="1" customWidth="1"/>
    <col min="4" max="4" width="7.42578125" bestFit="1" customWidth="1"/>
    <col min="5" max="5" width="16.140625" style="2" customWidth="1"/>
    <col min="6" max="6" width="10.42578125" style="4" customWidth="1"/>
    <col min="7" max="7" width="8.85546875" style="2" bestFit="1" customWidth="1"/>
    <col min="8" max="8" width="16.140625" style="2" customWidth="1"/>
    <col min="9" max="9" width="10.42578125" style="4" customWidth="1"/>
    <col min="10" max="10" width="9.28515625" style="2" customWidth="1"/>
    <col min="11" max="11" width="16.140625" style="2" hidden="1" customWidth="1"/>
    <col min="12" max="12" width="10.42578125" style="4" hidden="1" customWidth="1"/>
    <col min="13" max="13" width="9.28515625" style="2" hidden="1" customWidth="1"/>
    <col min="14" max="14" width="16.140625" style="2" customWidth="1"/>
    <col min="15" max="15" width="10.42578125" style="4" customWidth="1"/>
    <col min="16" max="16" width="9.28515625" style="2" customWidth="1"/>
    <col min="17" max="17" width="16.140625" style="2" customWidth="1"/>
    <col min="18" max="18" width="10.42578125" style="4" customWidth="1"/>
    <col min="19" max="19" width="9.28515625" style="2" customWidth="1"/>
    <col min="20" max="20" width="16.140625" style="2" customWidth="1"/>
    <col min="21" max="21" width="10.42578125" style="4" customWidth="1"/>
    <col min="22" max="22" width="9.28515625" style="2" customWidth="1"/>
    <col min="23" max="23" width="1.140625" customWidth="1"/>
    <col min="24" max="24" width="13.7109375" bestFit="1" customWidth="1"/>
  </cols>
  <sheetData>
    <row r="2" spans="2:24" x14ac:dyDescent="0.25">
      <c r="B2" s="67" t="s">
        <v>15</v>
      </c>
      <c r="C2" s="67" t="s">
        <v>10</v>
      </c>
      <c r="D2" s="67" t="s">
        <v>0</v>
      </c>
      <c r="E2" s="58" t="s">
        <v>40</v>
      </c>
      <c r="F2" s="58"/>
      <c r="G2" s="58"/>
      <c r="H2" s="58" t="s">
        <v>7</v>
      </c>
      <c r="I2" s="58"/>
      <c r="J2" s="58"/>
      <c r="K2" s="55" t="s">
        <v>27</v>
      </c>
      <c r="L2" s="56"/>
      <c r="M2" s="57"/>
      <c r="N2" s="58" t="s">
        <v>41</v>
      </c>
      <c r="O2" s="58"/>
      <c r="P2" s="58"/>
      <c r="Q2" s="58" t="s">
        <v>4</v>
      </c>
      <c r="R2" s="58"/>
      <c r="S2" s="58"/>
      <c r="T2" s="58" t="s">
        <v>9</v>
      </c>
      <c r="U2" s="58"/>
      <c r="V2" s="58"/>
    </row>
    <row r="3" spans="2:24" x14ac:dyDescent="0.25">
      <c r="B3" s="67"/>
      <c r="C3" s="67"/>
      <c r="D3" s="67"/>
      <c r="E3" s="1" t="s">
        <v>1</v>
      </c>
      <c r="F3" s="3" t="s">
        <v>2</v>
      </c>
      <c r="G3" s="1" t="s">
        <v>3</v>
      </c>
      <c r="H3" s="1" t="s">
        <v>1</v>
      </c>
      <c r="I3" s="3" t="s">
        <v>2</v>
      </c>
      <c r="J3" s="1" t="s">
        <v>3</v>
      </c>
      <c r="K3" s="1" t="s">
        <v>1</v>
      </c>
      <c r="L3" s="3" t="s">
        <v>2</v>
      </c>
      <c r="M3" s="1" t="s">
        <v>3</v>
      </c>
      <c r="N3" s="1" t="s">
        <v>1</v>
      </c>
      <c r="O3" s="3" t="s">
        <v>2</v>
      </c>
      <c r="P3" s="1" t="s">
        <v>3</v>
      </c>
      <c r="Q3" s="1" t="s">
        <v>1</v>
      </c>
      <c r="R3" s="3" t="s">
        <v>2</v>
      </c>
      <c r="S3" s="1" t="s">
        <v>3</v>
      </c>
      <c r="T3" s="1" t="s">
        <v>1</v>
      </c>
      <c r="U3" s="3" t="s">
        <v>2</v>
      </c>
      <c r="V3" s="1" t="s">
        <v>3</v>
      </c>
    </row>
    <row r="4" spans="2:24" ht="23.25" customHeight="1" x14ac:dyDescent="0.25">
      <c r="B4" s="59" t="s">
        <v>16</v>
      </c>
      <c r="C4" s="59" t="s">
        <v>11</v>
      </c>
      <c r="D4" s="11">
        <v>44566</v>
      </c>
      <c r="E4" s="13">
        <v>30585</v>
      </c>
      <c r="F4" s="16">
        <v>321.3</v>
      </c>
      <c r="G4" s="13">
        <f t="shared" ref="G4:G18" si="0">E4/F4</f>
        <v>95.191409897292246</v>
      </c>
      <c r="H4" s="13">
        <v>107795.87</v>
      </c>
      <c r="I4" s="16">
        <v>993.5</v>
      </c>
      <c r="J4" s="13">
        <f t="shared" ref="J4:J18" si="1">H4/I4</f>
        <v>108.50112732762959</v>
      </c>
      <c r="K4" s="13"/>
      <c r="L4" s="16"/>
      <c r="M4" s="13" t="e">
        <f t="shared" ref="M4:M18" si="2">K4/L4</f>
        <v>#DIV/0!</v>
      </c>
      <c r="N4" s="38"/>
      <c r="O4" s="39"/>
      <c r="P4" s="38"/>
      <c r="Q4" s="13">
        <v>206197.84</v>
      </c>
      <c r="R4" s="16">
        <v>1584.5</v>
      </c>
      <c r="S4" s="13">
        <f t="shared" ref="S4:S18" si="3">Q4/R4</f>
        <v>130.13432628589459</v>
      </c>
      <c r="T4" s="13">
        <f t="shared" ref="T4:U7" si="4">SUM(E4,H4,K4,N4,Q4)</f>
        <v>344578.70999999996</v>
      </c>
      <c r="U4" s="16">
        <f t="shared" si="4"/>
        <v>2899.3</v>
      </c>
      <c r="V4" s="13">
        <f t="shared" ref="V4:V18" si="5">T4/U4</f>
        <v>118.84893250094848</v>
      </c>
    </row>
    <row r="5" spans="2:24" ht="23.25" customHeight="1" x14ac:dyDescent="0.25">
      <c r="B5" s="60"/>
      <c r="C5" s="60"/>
      <c r="D5" s="11">
        <v>44573</v>
      </c>
      <c r="E5" s="13">
        <v>26400</v>
      </c>
      <c r="F5" s="16">
        <v>236.3</v>
      </c>
      <c r="G5" s="13">
        <f t="shared" si="0"/>
        <v>111.72238679644519</v>
      </c>
      <c r="H5" s="13">
        <v>13125</v>
      </c>
      <c r="I5" s="16">
        <v>109.5</v>
      </c>
      <c r="J5" s="13">
        <f t="shared" si="1"/>
        <v>119.86301369863014</v>
      </c>
      <c r="K5" s="13"/>
      <c r="L5" s="16"/>
      <c r="M5" s="13" t="e">
        <f t="shared" si="2"/>
        <v>#DIV/0!</v>
      </c>
      <c r="N5" s="38"/>
      <c r="O5" s="39"/>
      <c r="P5" s="38"/>
      <c r="Q5" s="13">
        <v>274492.31</v>
      </c>
      <c r="R5" s="16">
        <v>3009</v>
      </c>
      <c r="S5" s="13">
        <f t="shared" si="3"/>
        <v>91.223765370555</v>
      </c>
      <c r="T5" s="13">
        <f t="shared" si="4"/>
        <v>314017.31</v>
      </c>
      <c r="U5" s="16">
        <f t="shared" si="4"/>
        <v>3354.8</v>
      </c>
      <c r="V5" s="13">
        <f t="shared" si="5"/>
        <v>93.602393585310594</v>
      </c>
    </row>
    <row r="6" spans="2:24" ht="23.25" customHeight="1" x14ac:dyDescent="0.25">
      <c r="B6" s="60"/>
      <c r="C6" s="60"/>
      <c r="D6" s="11">
        <v>44580</v>
      </c>
      <c r="E6" s="38"/>
      <c r="F6" s="39"/>
      <c r="G6" s="38"/>
      <c r="H6" s="13">
        <v>65333.79</v>
      </c>
      <c r="I6" s="16">
        <v>616.5</v>
      </c>
      <c r="J6" s="13">
        <f t="shared" si="1"/>
        <v>105.97532846715329</v>
      </c>
      <c r="K6" s="13"/>
      <c r="L6" s="16"/>
      <c r="M6" s="13" t="e">
        <f t="shared" si="2"/>
        <v>#DIV/0!</v>
      </c>
      <c r="N6" s="38"/>
      <c r="O6" s="39"/>
      <c r="P6" s="38"/>
      <c r="Q6" s="13">
        <v>8321.5</v>
      </c>
      <c r="R6" s="16">
        <v>83.5</v>
      </c>
      <c r="S6" s="13">
        <f t="shared" si="3"/>
        <v>99.658682634730539</v>
      </c>
      <c r="T6" s="13">
        <f t="shared" si="4"/>
        <v>73655.290000000008</v>
      </c>
      <c r="U6" s="16">
        <f t="shared" si="4"/>
        <v>700</v>
      </c>
      <c r="V6" s="13">
        <f t="shared" si="5"/>
        <v>105.22184285714287</v>
      </c>
    </row>
    <row r="7" spans="2:24" ht="23.25" customHeight="1" x14ac:dyDescent="0.25">
      <c r="B7" s="60"/>
      <c r="C7" s="60"/>
      <c r="D7" s="12">
        <v>44588</v>
      </c>
      <c r="E7" s="13">
        <v>21948.75</v>
      </c>
      <c r="F7" s="16">
        <v>322</v>
      </c>
      <c r="G7" s="13">
        <f t="shared" si="0"/>
        <v>68.163819875776397</v>
      </c>
      <c r="H7" s="13">
        <v>139251.75</v>
      </c>
      <c r="I7" s="16">
        <v>1000.5</v>
      </c>
      <c r="J7" s="13">
        <f t="shared" si="1"/>
        <v>139.18215892053973</v>
      </c>
      <c r="K7" s="13"/>
      <c r="L7" s="16"/>
      <c r="M7" s="13" t="e">
        <f t="shared" si="2"/>
        <v>#DIV/0!</v>
      </c>
      <c r="N7" s="38"/>
      <c r="O7" s="39"/>
      <c r="P7" s="38"/>
      <c r="Q7" s="13">
        <v>114345</v>
      </c>
      <c r="R7" s="16">
        <v>1044</v>
      </c>
      <c r="S7" s="13">
        <f t="shared" si="3"/>
        <v>109.52586206896552</v>
      </c>
      <c r="T7" s="13">
        <f t="shared" si="4"/>
        <v>275545.5</v>
      </c>
      <c r="U7" s="16">
        <f t="shared" si="4"/>
        <v>2366.5</v>
      </c>
      <c r="V7" s="13">
        <f t="shared" si="5"/>
        <v>116.43587576589901</v>
      </c>
      <c r="X7" s="2">
        <f>SUM(T4:T7)</f>
        <v>1007796.81</v>
      </c>
    </row>
    <row r="8" spans="2:24" ht="23.25" customHeight="1" x14ac:dyDescent="0.25">
      <c r="B8" s="60"/>
      <c r="C8" s="63" t="s">
        <v>36</v>
      </c>
      <c r="D8" s="64"/>
      <c r="E8" s="30">
        <f>SUM(E4:E7)</f>
        <v>78933.75</v>
      </c>
      <c r="F8" s="31">
        <f>SUM(F4:F7)</f>
        <v>879.6</v>
      </c>
      <c r="G8" s="30">
        <f>E8/F8</f>
        <v>89.738233287858108</v>
      </c>
      <c r="H8" s="30">
        <f>SUM(H4:H7)</f>
        <v>325506.41000000003</v>
      </c>
      <c r="I8" s="31">
        <f>SUM(I4:I7)</f>
        <v>2720</v>
      </c>
      <c r="J8" s="30">
        <f>H8/I8</f>
        <v>119.67147426470589</v>
      </c>
      <c r="K8" s="30">
        <f>SUM(K4:K7)</f>
        <v>0</v>
      </c>
      <c r="L8" s="31">
        <f>SUM(L4:L7)</f>
        <v>0</v>
      </c>
      <c r="M8" s="30" t="e">
        <f>K8/L8</f>
        <v>#DIV/0!</v>
      </c>
      <c r="N8" s="30">
        <f>SUM(N4:N7)</f>
        <v>0</v>
      </c>
      <c r="O8" s="31">
        <f>SUM(O4:O7)</f>
        <v>0</v>
      </c>
      <c r="P8" s="30" t="e">
        <f>N8/O8</f>
        <v>#DIV/0!</v>
      </c>
      <c r="Q8" s="30">
        <f>SUM(Q4:Q7)</f>
        <v>603356.65</v>
      </c>
      <c r="R8" s="31">
        <f>SUM(R4:R7)</f>
        <v>5721</v>
      </c>
      <c r="S8" s="30">
        <f>Q8/R8</f>
        <v>105.46349414438036</v>
      </c>
      <c r="T8" s="30">
        <f>SUM(T4:T7)</f>
        <v>1007796.81</v>
      </c>
      <c r="U8" s="31">
        <f>SUM(U4:U7)</f>
        <v>9320.6</v>
      </c>
      <c r="V8" s="32">
        <f>T8/U8</f>
        <v>108.12574405081219</v>
      </c>
    </row>
    <row r="9" spans="2:24" ht="23.25" customHeight="1" x14ac:dyDescent="0.25">
      <c r="B9" s="60"/>
      <c r="C9" s="59" t="s">
        <v>12</v>
      </c>
      <c r="D9" s="11">
        <v>44959</v>
      </c>
      <c r="E9" s="13">
        <v>19075</v>
      </c>
      <c r="F9" s="16">
        <v>244</v>
      </c>
      <c r="G9" s="13">
        <f t="shared" si="0"/>
        <v>78.176229508196727</v>
      </c>
      <c r="H9" s="13">
        <v>23820</v>
      </c>
      <c r="I9" s="16">
        <v>230</v>
      </c>
      <c r="J9" s="13">
        <f t="shared" si="1"/>
        <v>103.56521739130434</v>
      </c>
      <c r="K9" s="13"/>
      <c r="L9" s="16"/>
      <c r="M9" s="13" t="e">
        <f t="shared" si="2"/>
        <v>#DIV/0!</v>
      </c>
      <c r="N9" s="13">
        <v>5550</v>
      </c>
      <c r="O9" s="16">
        <v>78</v>
      </c>
      <c r="P9" s="13">
        <f t="shared" ref="P9:P18" si="6">N9/O9</f>
        <v>71.15384615384616</v>
      </c>
      <c r="Q9" s="13">
        <v>62015</v>
      </c>
      <c r="R9" s="16">
        <v>561</v>
      </c>
      <c r="S9" s="13">
        <f t="shared" si="3"/>
        <v>110.54367201426025</v>
      </c>
      <c r="T9" s="13">
        <f t="shared" ref="T9:U12" si="7">SUM(E9,H9,K9,N9,Q9)</f>
        <v>110460</v>
      </c>
      <c r="U9" s="16">
        <f t="shared" si="7"/>
        <v>1113</v>
      </c>
      <c r="V9" s="13">
        <f t="shared" si="5"/>
        <v>99.245283018867923</v>
      </c>
    </row>
    <row r="10" spans="2:24" ht="23.25" customHeight="1" x14ac:dyDescent="0.25">
      <c r="B10" s="60"/>
      <c r="C10" s="60"/>
      <c r="D10" s="11">
        <v>44966</v>
      </c>
      <c r="E10" s="13">
        <v>83148.5</v>
      </c>
      <c r="F10" s="16">
        <v>835</v>
      </c>
      <c r="G10" s="13">
        <f t="shared" si="0"/>
        <v>99.579041916167668</v>
      </c>
      <c r="H10" s="13">
        <v>77865.919999999998</v>
      </c>
      <c r="I10" s="16">
        <v>681.5</v>
      </c>
      <c r="J10" s="13">
        <f t="shared" si="1"/>
        <v>114.25666911225238</v>
      </c>
      <c r="K10" s="13"/>
      <c r="L10" s="16"/>
      <c r="M10" s="13" t="e">
        <f t="shared" si="2"/>
        <v>#DIV/0!</v>
      </c>
      <c r="N10" s="13">
        <v>46522.05</v>
      </c>
      <c r="O10" s="16">
        <v>482</v>
      </c>
      <c r="P10" s="13">
        <f t="shared" si="6"/>
        <v>96.518775933609959</v>
      </c>
      <c r="Q10" s="13">
        <v>197922.2</v>
      </c>
      <c r="R10" s="16">
        <v>1841</v>
      </c>
      <c r="S10" s="13">
        <f t="shared" si="3"/>
        <v>107.50798479087453</v>
      </c>
      <c r="T10" s="13">
        <f t="shared" si="7"/>
        <v>405458.67</v>
      </c>
      <c r="U10" s="16">
        <f t="shared" si="7"/>
        <v>3839.5</v>
      </c>
      <c r="V10" s="13">
        <f t="shared" si="5"/>
        <v>105.60194556582888</v>
      </c>
      <c r="X10" s="2"/>
    </row>
    <row r="11" spans="2:24" ht="23.25" customHeight="1" x14ac:dyDescent="0.25">
      <c r="B11" s="60"/>
      <c r="C11" s="60"/>
      <c r="D11" s="11">
        <v>44973</v>
      </c>
      <c r="E11" s="13">
        <v>8080</v>
      </c>
      <c r="F11" s="16">
        <v>81</v>
      </c>
      <c r="G11" s="13">
        <f t="shared" si="0"/>
        <v>99.753086419753089</v>
      </c>
      <c r="H11" s="13">
        <v>35878.75</v>
      </c>
      <c r="I11" s="16">
        <v>330.5</v>
      </c>
      <c r="J11" s="13">
        <f t="shared" si="1"/>
        <v>108.55900151285931</v>
      </c>
      <c r="K11" s="13"/>
      <c r="L11" s="16"/>
      <c r="M11" s="13" t="e">
        <f t="shared" si="2"/>
        <v>#DIV/0!</v>
      </c>
      <c r="N11" s="13">
        <v>19500</v>
      </c>
      <c r="O11" s="16">
        <v>153</v>
      </c>
      <c r="P11" s="13">
        <f t="shared" si="6"/>
        <v>127.45098039215686</v>
      </c>
      <c r="Q11" s="13">
        <v>200386.63</v>
      </c>
      <c r="R11" s="16">
        <v>1055</v>
      </c>
      <c r="S11" s="13">
        <f t="shared" si="3"/>
        <v>189.93993364928912</v>
      </c>
      <c r="T11" s="13">
        <f t="shared" si="7"/>
        <v>263845.38</v>
      </c>
      <c r="U11" s="16">
        <f t="shared" si="7"/>
        <v>1619.5</v>
      </c>
      <c r="V11" s="13">
        <f t="shared" si="5"/>
        <v>162.91780179067615</v>
      </c>
    </row>
    <row r="12" spans="2:24" ht="23.25" customHeight="1" x14ac:dyDescent="0.25">
      <c r="B12" s="60"/>
      <c r="C12" s="60"/>
      <c r="D12" s="11">
        <v>44980</v>
      </c>
      <c r="E12" s="13">
        <v>46987</v>
      </c>
      <c r="F12" s="16">
        <v>465.8</v>
      </c>
      <c r="G12" s="13">
        <f t="shared" si="0"/>
        <v>100.87376556462</v>
      </c>
      <c r="H12" s="13">
        <v>97529.4</v>
      </c>
      <c r="I12" s="16">
        <v>958.5</v>
      </c>
      <c r="J12" s="13">
        <f t="shared" si="1"/>
        <v>101.75211267605633</v>
      </c>
      <c r="K12" s="13"/>
      <c r="L12" s="16"/>
      <c r="M12" s="13" t="e">
        <f t="shared" si="2"/>
        <v>#DIV/0!</v>
      </c>
      <c r="N12" s="38"/>
      <c r="O12" s="39"/>
      <c r="P12" s="38"/>
      <c r="Q12" s="13">
        <v>331809</v>
      </c>
      <c r="R12" s="16">
        <v>3024.8</v>
      </c>
      <c r="S12" s="13">
        <f t="shared" si="3"/>
        <v>109.69617825971964</v>
      </c>
      <c r="T12" s="13">
        <f t="shared" si="7"/>
        <v>476325.4</v>
      </c>
      <c r="U12" s="16">
        <f t="shared" si="7"/>
        <v>4449.1000000000004</v>
      </c>
      <c r="V12" s="13">
        <f t="shared" si="5"/>
        <v>107.06106853071407</v>
      </c>
      <c r="X12" s="2">
        <f>SUM(T9:T12)</f>
        <v>1256089.4500000002</v>
      </c>
    </row>
    <row r="13" spans="2:24" ht="23.25" customHeight="1" x14ac:dyDescent="0.25">
      <c r="B13" s="60"/>
      <c r="C13" s="63" t="s">
        <v>36</v>
      </c>
      <c r="D13" s="64"/>
      <c r="E13" s="30">
        <f>SUM(E9:E12)</f>
        <v>157290.5</v>
      </c>
      <c r="F13" s="31">
        <f>SUM(F9:F12)</f>
        <v>1625.8</v>
      </c>
      <c r="G13" s="30">
        <f>E13/F13</f>
        <v>96.746524787796773</v>
      </c>
      <c r="H13" s="30">
        <f>SUM(H9:H12)</f>
        <v>235094.06999999998</v>
      </c>
      <c r="I13" s="31">
        <f>SUM(I9:I12)</f>
        <v>2200.5</v>
      </c>
      <c r="J13" s="30">
        <f>H13/I13</f>
        <v>106.83665985003407</v>
      </c>
      <c r="K13" s="30"/>
      <c r="L13" s="31"/>
      <c r="M13" s="30" t="e">
        <f>K13/L13</f>
        <v>#DIV/0!</v>
      </c>
      <c r="N13" s="30">
        <f>SUM(N9:N12)</f>
        <v>71572.05</v>
      </c>
      <c r="O13" s="31">
        <f>SUM(O9:O12)</f>
        <v>713</v>
      </c>
      <c r="P13" s="30">
        <f>N13/O13</f>
        <v>100.38155680224405</v>
      </c>
      <c r="Q13" s="30">
        <f>SUM(Q9:Q12)</f>
        <v>792132.83000000007</v>
      </c>
      <c r="R13" s="31">
        <f>SUM(R9:R12)</f>
        <v>6481.8</v>
      </c>
      <c r="S13" s="30">
        <f>Q13/R13</f>
        <v>122.20877379740196</v>
      </c>
      <c r="T13" s="30">
        <f>SUM(T9:T12)</f>
        <v>1256089.4500000002</v>
      </c>
      <c r="U13" s="31">
        <f>SUM(U9:U12)</f>
        <v>11021.1</v>
      </c>
      <c r="V13" s="32">
        <f>T13/U13</f>
        <v>113.97133226265981</v>
      </c>
    </row>
    <row r="14" spans="2:24" ht="23.25" customHeight="1" x14ac:dyDescent="0.25">
      <c r="B14" s="60"/>
      <c r="C14" s="59" t="s">
        <v>13</v>
      </c>
      <c r="D14" s="11">
        <v>44257</v>
      </c>
      <c r="E14" s="13">
        <v>7865</v>
      </c>
      <c r="F14" s="16">
        <v>84.8</v>
      </c>
      <c r="G14" s="13">
        <f t="shared" si="0"/>
        <v>92.747641509433961</v>
      </c>
      <c r="H14" s="13">
        <v>4480</v>
      </c>
      <c r="I14" s="16">
        <v>24</v>
      </c>
      <c r="J14" s="13">
        <f t="shared" si="1"/>
        <v>186.66666666666666</v>
      </c>
      <c r="K14" s="13"/>
      <c r="L14" s="16"/>
      <c r="M14" s="13" t="e">
        <f t="shared" si="2"/>
        <v>#DIV/0!</v>
      </c>
      <c r="N14" s="13">
        <v>13675</v>
      </c>
      <c r="O14" s="16">
        <v>137.80000000000001</v>
      </c>
      <c r="P14" s="13">
        <f t="shared" si="6"/>
        <v>99.238026124818575</v>
      </c>
      <c r="Q14" s="13">
        <v>46335</v>
      </c>
      <c r="R14" s="16">
        <v>428</v>
      </c>
      <c r="S14" s="13">
        <f t="shared" si="3"/>
        <v>108.25934579439253</v>
      </c>
      <c r="T14" s="13">
        <f t="shared" ref="T14:U18" si="8">SUM(E14,H14,K14,N14,Q14)</f>
        <v>72355</v>
      </c>
      <c r="U14" s="16">
        <f t="shared" si="8"/>
        <v>674.6</v>
      </c>
      <c r="V14" s="13">
        <f t="shared" si="5"/>
        <v>107.25615179365549</v>
      </c>
    </row>
    <row r="15" spans="2:24" ht="23.25" customHeight="1" x14ac:dyDescent="0.25">
      <c r="B15" s="60"/>
      <c r="C15" s="60"/>
      <c r="D15" s="11">
        <v>44264</v>
      </c>
      <c r="E15" s="13">
        <v>27236.25</v>
      </c>
      <c r="F15" s="16">
        <v>214.8</v>
      </c>
      <c r="G15" s="13">
        <f t="shared" si="0"/>
        <v>126.7981843575419</v>
      </c>
      <c r="H15" s="13">
        <v>119383.75</v>
      </c>
      <c r="I15" s="16">
        <v>974.5</v>
      </c>
      <c r="J15" s="13">
        <f t="shared" si="1"/>
        <v>122.50769625448949</v>
      </c>
      <c r="K15" s="13"/>
      <c r="L15" s="16"/>
      <c r="M15" s="13" t="e">
        <f t="shared" si="2"/>
        <v>#DIV/0!</v>
      </c>
      <c r="N15" s="13">
        <v>43435</v>
      </c>
      <c r="O15" s="16">
        <v>369</v>
      </c>
      <c r="P15" s="13">
        <f t="shared" si="6"/>
        <v>117.71002710027101</v>
      </c>
      <c r="Q15" s="13">
        <v>91389.119999999995</v>
      </c>
      <c r="R15" s="16">
        <v>767.5</v>
      </c>
      <c r="S15" s="13">
        <f t="shared" si="3"/>
        <v>119.07377198697068</v>
      </c>
      <c r="T15" s="13">
        <f t="shared" si="8"/>
        <v>281444.12</v>
      </c>
      <c r="U15" s="16">
        <f t="shared" si="8"/>
        <v>2325.8000000000002</v>
      </c>
      <c r="V15" s="13">
        <f t="shared" si="5"/>
        <v>121.00959669791038</v>
      </c>
      <c r="X15" s="2"/>
    </row>
    <row r="16" spans="2:24" ht="23.25" customHeight="1" x14ac:dyDescent="0.25">
      <c r="B16" s="60"/>
      <c r="C16" s="60"/>
      <c r="D16" s="11">
        <v>44271</v>
      </c>
      <c r="E16" s="13">
        <v>7795</v>
      </c>
      <c r="F16" s="16">
        <v>70</v>
      </c>
      <c r="G16" s="13">
        <f t="shared" si="0"/>
        <v>111.35714285714286</v>
      </c>
      <c r="H16" s="13">
        <v>34198</v>
      </c>
      <c r="I16" s="16">
        <v>328.5</v>
      </c>
      <c r="J16" s="13">
        <f t="shared" si="1"/>
        <v>104.10350076103501</v>
      </c>
      <c r="K16" s="13"/>
      <c r="L16" s="16"/>
      <c r="M16" s="13" t="e">
        <f t="shared" si="2"/>
        <v>#DIV/0!</v>
      </c>
      <c r="N16" s="13">
        <v>10470</v>
      </c>
      <c r="O16" s="16">
        <v>90</v>
      </c>
      <c r="P16" s="13">
        <f t="shared" si="6"/>
        <v>116.33333333333333</v>
      </c>
      <c r="Q16" s="13">
        <v>284431.81</v>
      </c>
      <c r="R16" s="16">
        <v>2655.8</v>
      </c>
      <c r="S16" s="13">
        <f t="shared" si="3"/>
        <v>107.09835454476993</v>
      </c>
      <c r="T16" s="13">
        <f t="shared" si="8"/>
        <v>336894.81</v>
      </c>
      <c r="U16" s="16">
        <f t="shared" si="8"/>
        <v>3144.3</v>
      </c>
      <c r="V16" s="13">
        <f t="shared" si="5"/>
        <v>107.14461406354354</v>
      </c>
      <c r="X16" s="2"/>
    </row>
    <row r="17" spans="2:24" ht="23.25" customHeight="1" x14ac:dyDescent="0.25">
      <c r="B17" s="60"/>
      <c r="C17" s="60"/>
      <c r="D17" s="11">
        <v>44279</v>
      </c>
      <c r="E17" s="13">
        <v>51850</v>
      </c>
      <c r="F17" s="16">
        <v>453</v>
      </c>
      <c r="G17" s="13">
        <f t="shared" si="0"/>
        <v>114.45916114790288</v>
      </c>
      <c r="H17" s="13">
        <v>70193.850000000006</v>
      </c>
      <c r="I17" s="16">
        <v>598</v>
      </c>
      <c r="J17" s="13">
        <f t="shared" si="1"/>
        <v>117.38102006688965</v>
      </c>
      <c r="K17" s="13"/>
      <c r="L17" s="16"/>
      <c r="M17" s="13" t="e">
        <f t="shared" si="2"/>
        <v>#DIV/0!</v>
      </c>
      <c r="N17" s="38"/>
      <c r="O17" s="39"/>
      <c r="P17" s="38"/>
      <c r="Q17" s="13">
        <v>86527</v>
      </c>
      <c r="R17" s="16">
        <v>855</v>
      </c>
      <c r="S17" s="13">
        <f t="shared" si="3"/>
        <v>101.20116959064327</v>
      </c>
      <c r="T17" s="13">
        <f t="shared" si="8"/>
        <v>208570.85</v>
      </c>
      <c r="U17" s="16">
        <f t="shared" si="8"/>
        <v>1906</v>
      </c>
      <c r="V17" s="13">
        <f t="shared" si="5"/>
        <v>109.42856768100735</v>
      </c>
      <c r="X17" s="2"/>
    </row>
    <row r="18" spans="2:24" ht="23.25" customHeight="1" x14ac:dyDescent="0.25">
      <c r="B18" s="60"/>
      <c r="C18" s="35"/>
      <c r="D18" s="11">
        <v>44285</v>
      </c>
      <c r="E18" s="13">
        <v>23439</v>
      </c>
      <c r="F18" s="16">
        <v>235</v>
      </c>
      <c r="G18" s="13">
        <f t="shared" si="0"/>
        <v>99.740425531914894</v>
      </c>
      <c r="H18" s="13">
        <v>103425.14</v>
      </c>
      <c r="I18" s="16">
        <v>900</v>
      </c>
      <c r="J18" s="13">
        <f t="shared" si="1"/>
        <v>114.91682222222222</v>
      </c>
      <c r="K18" s="13"/>
      <c r="L18" s="16"/>
      <c r="M18" s="13" t="e">
        <f t="shared" si="2"/>
        <v>#DIV/0!</v>
      </c>
      <c r="N18" s="13">
        <v>5825</v>
      </c>
      <c r="O18" s="16">
        <v>38</v>
      </c>
      <c r="P18" s="13">
        <f t="shared" si="6"/>
        <v>153.28947368421052</v>
      </c>
      <c r="Q18" s="13">
        <v>90034.25</v>
      </c>
      <c r="R18" s="16">
        <v>832</v>
      </c>
      <c r="S18" s="13">
        <f t="shared" si="3"/>
        <v>108.21424278846153</v>
      </c>
      <c r="T18" s="13">
        <f t="shared" si="8"/>
        <v>222723.39</v>
      </c>
      <c r="U18" s="16">
        <f t="shared" si="8"/>
        <v>2005</v>
      </c>
      <c r="V18" s="13">
        <f t="shared" si="5"/>
        <v>111.08398503740649</v>
      </c>
      <c r="X18" s="2">
        <f>SUM(T14:T18)</f>
        <v>1121988.17</v>
      </c>
    </row>
    <row r="19" spans="2:24" ht="23.25" customHeight="1" x14ac:dyDescent="0.25">
      <c r="B19" s="61"/>
      <c r="C19" s="63" t="s">
        <v>36</v>
      </c>
      <c r="D19" s="64"/>
      <c r="E19" s="30">
        <f>SUM(E14:E18)</f>
        <v>118185.25</v>
      </c>
      <c r="F19" s="31">
        <f>SUM(F14:F18)</f>
        <v>1057.5999999999999</v>
      </c>
      <c r="G19" s="30">
        <f>E19/F19</f>
        <v>111.74853441754918</v>
      </c>
      <c r="H19" s="30">
        <f>SUM(H14:H18)</f>
        <v>331680.74</v>
      </c>
      <c r="I19" s="31">
        <f>SUM(I14:I18)</f>
        <v>2825</v>
      </c>
      <c r="J19" s="30">
        <f>H19/I19</f>
        <v>117.40911150442477</v>
      </c>
      <c r="K19" s="30">
        <f>SUM(K14:K18)</f>
        <v>0</v>
      </c>
      <c r="L19" s="31">
        <f>SUM(L14:L18)</f>
        <v>0</v>
      </c>
      <c r="M19" s="30" t="e">
        <f>K19/L19</f>
        <v>#DIV/0!</v>
      </c>
      <c r="N19" s="30">
        <f>SUM(N14:N18)</f>
        <v>73405</v>
      </c>
      <c r="O19" s="31">
        <f>SUM(O14:O18)</f>
        <v>634.79999999999995</v>
      </c>
      <c r="P19" s="30">
        <f>N19/O19</f>
        <v>115.63484562066793</v>
      </c>
      <c r="Q19" s="30">
        <f>SUM(Q14:Q18)</f>
        <v>598717.17999999993</v>
      </c>
      <c r="R19" s="31">
        <f>SUM(R14:R18)</f>
        <v>5538.3</v>
      </c>
      <c r="S19" s="30">
        <f>Q19/R19</f>
        <v>108.10486611415054</v>
      </c>
      <c r="T19" s="30">
        <f>SUM(T14:T18)</f>
        <v>1121988.17</v>
      </c>
      <c r="U19" s="31">
        <f>SUM(U14:U18)</f>
        <v>10055.700000000001</v>
      </c>
      <c r="V19" s="32">
        <f>T19/U19</f>
        <v>111.57733126485475</v>
      </c>
    </row>
    <row r="20" spans="2:24" ht="39" customHeight="1" x14ac:dyDescent="0.25">
      <c r="B20" s="68" t="s">
        <v>20</v>
      </c>
      <c r="C20" s="68"/>
      <c r="D20" s="68"/>
      <c r="E20" s="33">
        <f>SUM(E19,E13,E8)</f>
        <v>354409.5</v>
      </c>
      <c r="F20" s="34">
        <f>SUM(F19,F13,F8)</f>
        <v>3562.9999999999995</v>
      </c>
      <c r="G20" s="33">
        <f>E20/F20</f>
        <v>99.469407802413713</v>
      </c>
      <c r="H20" s="33">
        <f t="shared" ref="H20:I20" si="9">SUM(H19,H13,H8)</f>
        <v>892281.22</v>
      </c>
      <c r="I20" s="34">
        <f t="shared" si="9"/>
        <v>7745.5</v>
      </c>
      <c r="J20" s="33">
        <f>H20/I20</f>
        <v>115.19995093925505</v>
      </c>
      <c r="K20" s="33">
        <f t="shared" ref="K20:L20" si="10">SUM(K19,K13,K8)</f>
        <v>0</v>
      </c>
      <c r="L20" s="34">
        <f t="shared" si="10"/>
        <v>0</v>
      </c>
      <c r="M20" s="33" t="e">
        <f>K20/L20</f>
        <v>#DIV/0!</v>
      </c>
      <c r="N20" s="33">
        <f t="shared" ref="N20:O20" si="11">SUM(N19,N13,N8)</f>
        <v>144977.04999999999</v>
      </c>
      <c r="O20" s="34">
        <f t="shared" si="11"/>
        <v>1347.8</v>
      </c>
      <c r="P20" s="33">
        <f>N20/O20</f>
        <v>107.56569965870307</v>
      </c>
      <c r="Q20" s="33">
        <f t="shared" ref="Q20:R20" si="12">SUM(Q19,Q13,Q8)</f>
        <v>1994206.6600000001</v>
      </c>
      <c r="R20" s="34">
        <f t="shared" si="12"/>
        <v>17741.099999999999</v>
      </c>
      <c r="S20" s="33">
        <f>Q20/R20</f>
        <v>112.40603232043111</v>
      </c>
      <c r="T20" s="33">
        <f>SUM(T19,T13,T8)</f>
        <v>3385874.43</v>
      </c>
      <c r="U20" s="34">
        <f>SUM(U19,U13,U8)</f>
        <v>30397.4</v>
      </c>
      <c r="V20" s="33">
        <f>T20/U20</f>
        <v>111.38697487285097</v>
      </c>
    </row>
    <row r="21" spans="2:24" x14ac:dyDescent="0.25">
      <c r="B21" s="67" t="s">
        <v>15</v>
      </c>
      <c r="C21" s="67" t="s">
        <v>10</v>
      </c>
      <c r="D21" s="67" t="s">
        <v>0</v>
      </c>
      <c r="E21" s="58" t="s">
        <v>40</v>
      </c>
      <c r="F21" s="58"/>
      <c r="G21" s="58"/>
      <c r="H21" s="58" t="s">
        <v>7</v>
      </c>
      <c r="I21" s="58"/>
      <c r="J21" s="58"/>
      <c r="K21" s="55" t="s">
        <v>27</v>
      </c>
      <c r="L21" s="56"/>
      <c r="M21" s="57"/>
      <c r="N21" s="58" t="s">
        <v>41</v>
      </c>
      <c r="O21" s="58"/>
      <c r="P21" s="58"/>
      <c r="Q21" s="58" t="s">
        <v>4</v>
      </c>
      <c r="R21" s="58"/>
      <c r="S21" s="58"/>
      <c r="T21" s="58" t="s">
        <v>9</v>
      </c>
      <c r="U21" s="58"/>
      <c r="V21" s="58"/>
    </row>
    <row r="22" spans="2:24" x14ac:dyDescent="0.25">
      <c r="B22" s="67"/>
      <c r="C22" s="67"/>
      <c r="D22" s="67"/>
      <c r="E22" s="1" t="s">
        <v>1</v>
      </c>
      <c r="F22" s="3" t="s">
        <v>2</v>
      </c>
      <c r="G22" s="1" t="s">
        <v>3</v>
      </c>
      <c r="H22" s="1" t="s">
        <v>1</v>
      </c>
      <c r="I22" s="3" t="s">
        <v>2</v>
      </c>
      <c r="J22" s="1" t="s">
        <v>3</v>
      </c>
      <c r="K22" s="1" t="s">
        <v>1</v>
      </c>
      <c r="L22" s="3" t="s">
        <v>2</v>
      </c>
      <c r="M22" s="1" t="s">
        <v>3</v>
      </c>
      <c r="N22" s="1" t="s">
        <v>1</v>
      </c>
      <c r="O22" s="3" t="s">
        <v>2</v>
      </c>
      <c r="P22" s="1" t="s">
        <v>3</v>
      </c>
      <c r="Q22" s="1" t="s">
        <v>1</v>
      </c>
      <c r="R22" s="3" t="s">
        <v>2</v>
      </c>
      <c r="S22" s="1" t="s">
        <v>3</v>
      </c>
      <c r="T22" s="1" t="s">
        <v>1</v>
      </c>
      <c r="U22" s="3" t="s">
        <v>2</v>
      </c>
      <c r="V22" s="1" t="s">
        <v>3</v>
      </c>
    </row>
    <row r="23" spans="2:24" ht="23.25" customHeight="1" x14ac:dyDescent="0.25">
      <c r="B23" s="59" t="s">
        <v>19</v>
      </c>
      <c r="C23" s="62" t="s">
        <v>14</v>
      </c>
      <c r="D23" s="11">
        <v>44292</v>
      </c>
      <c r="E23" s="7">
        <v>61772.85</v>
      </c>
      <c r="F23" s="8">
        <v>560</v>
      </c>
      <c r="G23" s="7">
        <f t="shared" ref="G23:G26" si="13">E23/F23</f>
        <v>110.30866071428571</v>
      </c>
      <c r="H23" s="7">
        <v>21014.5</v>
      </c>
      <c r="I23" s="8">
        <v>198</v>
      </c>
      <c r="J23" s="7">
        <f t="shared" ref="J23:J37" si="14">H23/I23</f>
        <v>106.13383838383838</v>
      </c>
      <c r="K23" s="7"/>
      <c r="L23" s="8"/>
      <c r="M23" s="7" t="e">
        <f t="shared" ref="M23:M26" si="15">K23/L23</f>
        <v>#DIV/0!</v>
      </c>
      <c r="N23" s="7">
        <v>4985</v>
      </c>
      <c r="O23" s="8">
        <v>55.5</v>
      </c>
      <c r="P23" s="7">
        <f t="shared" ref="P23:P37" si="16">N23/O23</f>
        <v>89.819819819819813</v>
      </c>
      <c r="Q23" s="7">
        <v>232904.27</v>
      </c>
      <c r="R23" s="8">
        <v>2323.5</v>
      </c>
      <c r="S23" s="7">
        <f t="shared" ref="S23:S32" si="17">Q23/R23</f>
        <v>100.23854960189369</v>
      </c>
      <c r="T23" s="7">
        <f t="shared" ref="T23:U26" si="18">SUM(E23,H23,K23,N23,Q23)</f>
        <v>320676.62</v>
      </c>
      <c r="U23" s="8">
        <f t="shared" si="18"/>
        <v>3137</v>
      </c>
      <c r="V23" s="7">
        <f t="shared" ref="V23:V37" si="19">T23/U23</f>
        <v>102.22397832323877</v>
      </c>
    </row>
    <row r="24" spans="2:24" ht="23.25" customHeight="1" x14ac:dyDescent="0.25">
      <c r="B24" s="60"/>
      <c r="C24" s="62"/>
      <c r="D24" s="11">
        <v>44299</v>
      </c>
      <c r="E24" s="7">
        <v>59330.95</v>
      </c>
      <c r="F24" s="8">
        <v>657.5</v>
      </c>
      <c r="G24" s="7">
        <f t="shared" si="13"/>
        <v>90.23718631178707</v>
      </c>
      <c r="H24" s="7">
        <v>40929</v>
      </c>
      <c r="I24" s="8">
        <v>324</v>
      </c>
      <c r="J24" s="7">
        <f t="shared" si="14"/>
        <v>126.32407407407408</v>
      </c>
      <c r="K24" s="7"/>
      <c r="L24" s="8"/>
      <c r="M24" s="7" t="e">
        <f t="shared" si="15"/>
        <v>#DIV/0!</v>
      </c>
      <c r="N24" s="7">
        <v>8790</v>
      </c>
      <c r="O24" s="8">
        <v>90</v>
      </c>
      <c r="P24" s="7">
        <f t="shared" si="16"/>
        <v>97.666666666666671</v>
      </c>
      <c r="Q24" s="7">
        <v>54631.66</v>
      </c>
      <c r="R24" s="8">
        <v>562.5</v>
      </c>
      <c r="S24" s="7">
        <f t="shared" si="17"/>
        <v>97.122951111111121</v>
      </c>
      <c r="T24" s="7">
        <f t="shared" si="18"/>
        <v>163681.60999999999</v>
      </c>
      <c r="U24" s="8">
        <f t="shared" si="18"/>
        <v>1634</v>
      </c>
      <c r="V24" s="7">
        <f t="shared" si="19"/>
        <v>100.17234394124846</v>
      </c>
    </row>
    <row r="25" spans="2:24" ht="23.25" customHeight="1" x14ac:dyDescent="0.25">
      <c r="B25" s="60"/>
      <c r="C25" s="62"/>
      <c r="D25" s="11">
        <v>44306</v>
      </c>
      <c r="E25" s="7">
        <v>155792.75</v>
      </c>
      <c r="F25" s="8">
        <v>1701</v>
      </c>
      <c r="G25" s="7">
        <f t="shared" si="13"/>
        <v>91.58891828336273</v>
      </c>
      <c r="H25" s="7">
        <v>64782</v>
      </c>
      <c r="I25" s="8">
        <v>598.5</v>
      </c>
      <c r="J25" s="7">
        <f t="shared" si="14"/>
        <v>108.24060150375939</v>
      </c>
      <c r="K25" s="7"/>
      <c r="L25" s="8"/>
      <c r="M25" s="7" t="e">
        <f t="shared" si="15"/>
        <v>#DIV/0!</v>
      </c>
      <c r="N25" s="7">
        <v>19824.25</v>
      </c>
      <c r="O25" s="8">
        <v>216.5</v>
      </c>
      <c r="P25" s="7">
        <f t="shared" si="16"/>
        <v>91.56697459584295</v>
      </c>
      <c r="Q25" s="7">
        <v>179867</v>
      </c>
      <c r="R25" s="8">
        <v>1908.3</v>
      </c>
      <c r="S25" s="7">
        <f t="shared" si="17"/>
        <v>94.255096158884868</v>
      </c>
      <c r="T25" s="7">
        <f t="shared" si="18"/>
        <v>420266</v>
      </c>
      <c r="U25" s="8">
        <f t="shared" si="18"/>
        <v>4424.3</v>
      </c>
      <c r="V25" s="7">
        <f t="shared" si="19"/>
        <v>94.990393960626534</v>
      </c>
    </row>
    <row r="26" spans="2:24" ht="23.25" customHeight="1" x14ac:dyDescent="0.25">
      <c r="B26" s="60"/>
      <c r="C26" s="62"/>
      <c r="D26" s="11">
        <v>44313</v>
      </c>
      <c r="E26" s="7">
        <v>88792.14</v>
      </c>
      <c r="F26" s="8">
        <v>812.8</v>
      </c>
      <c r="G26" s="7">
        <f t="shared" si="13"/>
        <v>109.24229822834646</v>
      </c>
      <c r="H26" s="7">
        <v>46572.9</v>
      </c>
      <c r="I26" s="8">
        <v>446.5</v>
      </c>
      <c r="J26" s="7">
        <f t="shared" si="14"/>
        <v>104.30660694288915</v>
      </c>
      <c r="K26" s="7"/>
      <c r="L26" s="8"/>
      <c r="M26" s="7" t="e">
        <f t="shared" si="15"/>
        <v>#DIV/0!</v>
      </c>
      <c r="N26" s="7">
        <v>630</v>
      </c>
      <c r="O26" s="8">
        <v>6</v>
      </c>
      <c r="P26" s="7">
        <f t="shared" si="16"/>
        <v>105</v>
      </c>
      <c r="Q26" s="7">
        <v>20478</v>
      </c>
      <c r="R26" s="8">
        <v>226</v>
      </c>
      <c r="S26" s="7">
        <f t="shared" si="17"/>
        <v>90.610619469026545</v>
      </c>
      <c r="T26" s="7">
        <f t="shared" si="18"/>
        <v>156473.04</v>
      </c>
      <c r="U26" s="8">
        <f t="shared" si="18"/>
        <v>1491.3</v>
      </c>
      <c r="V26" s="7">
        <f t="shared" si="19"/>
        <v>104.92391872862603</v>
      </c>
      <c r="X26" s="2">
        <f>SUM(T23:T26)</f>
        <v>1061097.27</v>
      </c>
    </row>
    <row r="27" spans="2:24" ht="23.25" customHeight="1" x14ac:dyDescent="0.25">
      <c r="B27" s="60"/>
      <c r="C27" s="63" t="s">
        <v>36</v>
      </c>
      <c r="D27" s="64"/>
      <c r="E27" s="30">
        <f>SUM(E23:E26)</f>
        <v>365688.69</v>
      </c>
      <c r="F27" s="31">
        <f>SUM(F23:F26)</f>
        <v>3731.3</v>
      </c>
      <c r="G27" s="30">
        <f>E27/F27</f>
        <v>98.005705786187121</v>
      </c>
      <c r="H27" s="30">
        <f>SUM(H23:H26)</f>
        <v>173298.4</v>
      </c>
      <c r="I27" s="31">
        <f>SUM(I23:I26)</f>
        <v>1567</v>
      </c>
      <c r="J27" s="30">
        <f>H27/I27</f>
        <v>110.59246968730056</v>
      </c>
      <c r="K27" s="30">
        <f>SUM(K23:K26)</f>
        <v>0</v>
      </c>
      <c r="L27" s="31">
        <f>SUM(L23:L26)</f>
        <v>0</v>
      </c>
      <c r="M27" s="30" t="e">
        <f>K27/L27</f>
        <v>#DIV/0!</v>
      </c>
      <c r="N27" s="30">
        <f>SUM(N23:N26)</f>
        <v>34229.25</v>
      </c>
      <c r="O27" s="31">
        <f>SUM(O23:O26)</f>
        <v>368</v>
      </c>
      <c r="P27" s="30">
        <f>N27/O27</f>
        <v>93.014266304347828</v>
      </c>
      <c r="Q27" s="30">
        <f>SUM(Q23:Q26)</f>
        <v>487880.93</v>
      </c>
      <c r="R27" s="31">
        <f>SUM(R23:R26)</f>
        <v>5020.3</v>
      </c>
      <c r="S27" s="30">
        <f>Q27/R27</f>
        <v>97.181628587932991</v>
      </c>
      <c r="T27" s="30">
        <f>SUM(T23:T26)</f>
        <v>1061097.27</v>
      </c>
      <c r="U27" s="31">
        <f>SUM(U23:U26)</f>
        <v>10686.599999999999</v>
      </c>
      <c r="V27" s="32">
        <f>T27/U27</f>
        <v>99.292316545954762</v>
      </c>
    </row>
    <row r="28" spans="2:24" ht="23.25" customHeight="1" x14ac:dyDescent="0.25">
      <c r="B28" s="60"/>
      <c r="C28" s="59" t="s">
        <v>17</v>
      </c>
      <c r="D28" s="11">
        <v>44320</v>
      </c>
      <c r="E28" s="7">
        <v>49818.06</v>
      </c>
      <c r="F28" s="8">
        <v>488.8</v>
      </c>
      <c r="G28" s="7">
        <f t="shared" ref="G28:G32" si="20">E28/F28</f>
        <v>101.91910801963992</v>
      </c>
      <c r="H28" s="7">
        <v>116559.75</v>
      </c>
      <c r="I28" s="8">
        <v>1155.5</v>
      </c>
      <c r="J28" s="7">
        <f t="shared" si="14"/>
        <v>100.87386412808308</v>
      </c>
      <c r="K28" s="7"/>
      <c r="L28" s="8"/>
      <c r="M28" s="7" t="e">
        <f t="shared" ref="M28:M32" si="21">K28/L28</f>
        <v>#DIV/0!</v>
      </c>
      <c r="N28" s="7">
        <v>8999</v>
      </c>
      <c r="O28" s="8">
        <v>97</v>
      </c>
      <c r="P28" s="7">
        <f t="shared" si="16"/>
        <v>92.773195876288653</v>
      </c>
      <c r="Q28" s="7">
        <v>169906.75</v>
      </c>
      <c r="R28" s="8">
        <v>1832.3</v>
      </c>
      <c r="S28" s="7">
        <f t="shared" si="17"/>
        <v>92.728674343721011</v>
      </c>
      <c r="T28" s="7">
        <f t="shared" ref="T28:U32" si="22">SUM(E28,H28,K28,N28,Q28)</f>
        <v>345283.56</v>
      </c>
      <c r="U28" s="8">
        <f t="shared" si="22"/>
        <v>3573.6</v>
      </c>
      <c r="V28" s="7">
        <f t="shared" si="19"/>
        <v>96.6206514439221</v>
      </c>
    </row>
    <row r="29" spans="2:24" ht="23.25" customHeight="1" x14ac:dyDescent="0.25">
      <c r="B29" s="60"/>
      <c r="C29" s="60">
        <v>7</v>
      </c>
      <c r="D29" s="11">
        <v>44327</v>
      </c>
      <c r="E29" s="7">
        <v>275</v>
      </c>
      <c r="F29" s="8">
        <v>3</v>
      </c>
      <c r="G29" s="7">
        <f t="shared" si="20"/>
        <v>91.666666666666671</v>
      </c>
      <c r="H29" s="7">
        <v>92103.8</v>
      </c>
      <c r="I29" s="8">
        <v>823</v>
      </c>
      <c r="J29" s="7">
        <f t="shared" si="14"/>
        <v>111.91227217496963</v>
      </c>
      <c r="K29" s="7"/>
      <c r="L29" s="8"/>
      <c r="M29" s="7" t="e">
        <f t="shared" si="21"/>
        <v>#DIV/0!</v>
      </c>
      <c r="N29" s="36"/>
      <c r="O29" s="37"/>
      <c r="P29" s="36"/>
      <c r="Q29" s="7">
        <v>209064.78</v>
      </c>
      <c r="R29" s="8">
        <v>2460</v>
      </c>
      <c r="S29" s="7">
        <f t="shared" si="17"/>
        <v>84.98568292682927</v>
      </c>
      <c r="T29" s="7">
        <f t="shared" si="22"/>
        <v>301443.58</v>
      </c>
      <c r="U29" s="8">
        <f t="shared" si="22"/>
        <v>3286</v>
      </c>
      <c r="V29" s="7">
        <f t="shared" si="19"/>
        <v>91.735721241631168</v>
      </c>
    </row>
    <row r="30" spans="2:24" ht="23.25" customHeight="1" x14ac:dyDescent="0.25">
      <c r="B30" s="60"/>
      <c r="C30" s="60">
        <v>8</v>
      </c>
      <c r="D30" s="11">
        <v>44334</v>
      </c>
      <c r="E30" s="7">
        <v>18475</v>
      </c>
      <c r="F30" s="8">
        <v>181.5</v>
      </c>
      <c r="G30" s="7">
        <f t="shared" si="20"/>
        <v>101.79063360881543</v>
      </c>
      <c r="H30" s="7">
        <v>71252.88</v>
      </c>
      <c r="I30" s="8">
        <v>658.5</v>
      </c>
      <c r="J30" s="7">
        <f t="shared" si="14"/>
        <v>108.20482915717541</v>
      </c>
      <c r="K30" s="7"/>
      <c r="L30" s="8"/>
      <c r="M30" s="7" t="e">
        <f t="shared" si="21"/>
        <v>#DIV/0!</v>
      </c>
      <c r="N30" s="7">
        <v>6940</v>
      </c>
      <c r="O30" s="8">
        <v>70</v>
      </c>
      <c r="P30" s="7">
        <f t="shared" si="16"/>
        <v>99.142857142857139</v>
      </c>
      <c r="Q30" s="7">
        <v>104861.25</v>
      </c>
      <c r="R30" s="8">
        <v>1023.5</v>
      </c>
      <c r="S30" s="7">
        <f t="shared" si="17"/>
        <v>102.45359062042013</v>
      </c>
      <c r="T30" s="7">
        <f t="shared" si="22"/>
        <v>201529.13</v>
      </c>
      <c r="U30" s="8">
        <f t="shared" si="22"/>
        <v>1933.5</v>
      </c>
      <c r="V30" s="7">
        <f t="shared" si="19"/>
        <v>104.23021980863719</v>
      </c>
    </row>
    <row r="31" spans="2:24" ht="23.25" customHeight="1" x14ac:dyDescent="0.25">
      <c r="B31" s="60"/>
      <c r="C31" s="60">
        <v>9</v>
      </c>
      <c r="D31" s="11">
        <v>44341</v>
      </c>
      <c r="E31" s="7">
        <v>170165.13</v>
      </c>
      <c r="F31" s="8">
        <v>1665</v>
      </c>
      <c r="G31" s="7">
        <f t="shared" si="20"/>
        <v>102.20127927927928</v>
      </c>
      <c r="H31" s="7">
        <v>98224.75</v>
      </c>
      <c r="I31" s="8">
        <v>976</v>
      </c>
      <c r="J31" s="7">
        <f t="shared" si="14"/>
        <v>100.64011270491804</v>
      </c>
      <c r="K31" s="7"/>
      <c r="L31" s="8"/>
      <c r="M31" s="7" t="e">
        <f t="shared" si="21"/>
        <v>#DIV/0!</v>
      </c>
      <c r="N31" s="7">
        <v>65858.25</v>
      </c>
      <c r="O31" s="8">
        <v>603</v>
      </c>
      <c r="P31" s="7">
        <f t="shared" si="16"/>
        <v>109.21766169154229</v>
      </c>
      <c r="Q31" s="7">
        <v>54431</v>
      </c>
      <c r="R31" s="8">
        <v>548.5</v>
      </c>
      <c r="S31" s="7">
        <f t="shared" si="17"/>
        <v>99.236098450319048</v>
      </c>
      <c r="T31" s="7">
        <f t="shared" si="22"/>
        <v>388679.13</v>
      </c>
      <c r="U31" s="8">
        <f t="shared" si="22"/>
        <v>3792.5</v>
      </c>
      <c r="V31" s="7">
        <f t="shared" si="19"/>
        <v>102.48625708635466</v>
      </c>
    </row>
    <row r="32" spans="2:24" ht="23.25" customHeight="1" x14ac:dyDescent="0.25">
      <c r="B32" s="60"/>
      <c r="C32" s="61"/>
      <c r="D32" s="11">
        <v>44348</v>
      </c>
      <c r="E32" s="7">
        <v>121988.62</v>
      </c>
      <c r="F32" s="8">
        <v>1175</v>
      </c>
      <c r="G32" s="7">
        <f t="shared" si="20"/>
        <v>103.82010212765957</v>
      </c>
      <c r="H32" s="7">
        <v>126666.11</v>
      </c>
      <c r="I32" s="8">
        <v>1269</v>
      </c>
      <c r="J32" s="7">
        <f t="shared" si="14"/>
        <v>99.815689519306545</v>
      </c>
      <c r="K32" s="7"/>
      <c r="L32" s="8"/>
      <c r="M32" s="7" t="e">
        <f t="shared" si="21"/>
        <v>#DIV/0!</v>
      </c>
      <c r="N32" s="36"/>
      <c r="O32" s="37"/>
      <c r="P32" s="36"/>
      <c r="Q32" s="7">
        <v>21603.75</v>
      </c>
      <c r="R32" s="8">
        <v>218</v>
      </c>
      <c r="S32" s="7">
        <f t="shared" si="17"/>
        <v>99.099770642201833</v>
      </c>
      <c r="T32" s="7">
        <f t="shared" si="22"/>
        <v>270258.48</v>
      </c>
      <c r="U32" s="8">
        <f t="shared" si="22"/>
        <v>2662</v>
      </c>
      <c r="V32" s="7">
        <f t="shared" si="19"/>
        <v>101.52459804658152</v>
      </c>
      <c r="X32" s="2">
        <f>SUM(T28:T32)</f>
        <v>1507193.88</v>
      </c>
    </row>
    <row r="33" spans="2:24" ht="23.25" customHeight="1" x14ac:dyDescent="0.25">
      <c r="B33" s="60"/>
      <c r="C33" s="63" t="s">
        <v>36</v>
      </c>
      <c r="D33" s="64"/>
      <c r="E33" s="30">
        <f>SUM(E28:E32)</f>
        <v>360721.81</v>
      </c>
      <c r="F33" s="31">
        <f>SUM(F28:F32)</f>
        <v>3513.3</v>
      </c>
      <c r="G33" s="30">
        <f>E33/F33</f>
        <v>102.67321606466854</v>
      </c>
      <c r="H33" s="30">
        <f t="shared" ref="H33:I33" si="23">SUM(H28:H32)</f>
        <v>504807.29</v>
      </c>
      <c r="I33" s="31">
        <f t="shared" si="23"/>
        <v>4882</v>
      </c>
      <c r="J33" s="30">
        <f>H33/I33</f>
        <v>103.40173904137649</v>
      </c>
      <c r="K33" s="30">
        <f t="shared" ref="K33:L33" si="24">SUM(K28:K32)</f>
        <v>0</v>
      </c>
      <c r="L33" s="31">
        <f t="shared" si="24"/>
        <v>0</v>
      </c>
      <c r="M33" s="30" t="e">
        <f>K33/L33</f>
        <v>#DIV/0!</v>
      </c>
      <c r="N33" s="30">
        <f t="shared" ref="N33:O33" si="25">SUM(N28:N32)</f>
        <v>81797.25</v>
      </c>
      <c r="O33" s="31">
        <f t="shared" si="25"/>
        <v>770</v>
      </c>
      <c r="P33" s="30">
        <f>N33/O33</f>
        <v>106.2301948051948</v>
      </c>
      <c r="Q33" s="30">
        <f t="shared" ref="Q33:R33" si="26">SUM(Q28:Q32)</f>
        <v>559867.53</v>
      </c>
      <c r="R33" s="31">
        <f t="shared" si="26"/>
        <v>6082.3</v>
      </c>
      <c r="S33" s="30">
        <f>Q33/R33</f>
        <v>92.048654291961924</v>
      </c>
      <c r="T33" s="30">
        <f t="shared" ref="T33:U33" si="27">SUM(T28:T32)</f>
        <v>1507193.88</v>
      </c>
      <c r="U33" s="31">
        <f t="shared" si="27"/>
        <v>15247.6</v>
      </c>
      <c r="V33" s="32">
        <f>T33/U33</f>
        <v>98.847941971195453</v>
      </c>
    </row>
    <row r="34" spans="2:24" ht="23.25" customHeight="1" x14ac:dyDescent="0.25">
      <c r="B34" s="60"/>
      <c r="C34" s="59" t="s">
        <v>18</v>
      </c>
      <c r="D34" s="11">
        <v>45085</v>
      </c>
      <c r="E34" s="7">
        <v>68899.5</v>
      </c>
      <c r="F34" s="8">
        <v>656</v>
      </c>
      <c r="G34" s="7">
        <f t="shared" ref="G34:G37" si="28">E34/F34</f>
        <v>105.0297256097561</v>
      </c>
      <c r="H34" s="7">
        <v>152680.91</v>
      </c>
      <c r="I34" s="8">
        <v>1495.5</v>
      </c>
      <c r="J34" s="7">
        <f t="shared" si="14"/>
        <v>102.0935539953193</v>
      </c>
      <c r="K34" s="7"/>
      <c r="L34" s="8"/>
      <c r="M34" s="7" t="e">
        <f t="shared" ref="M34:M37" si="29">K34/L34</f>
        <v>#DIV/0!</v>
      </c>
      <c r="N34" s="36"/>
      <c r="O34" s="37"/>
      <c r="P34" s="36"/>
      <c r="Q34" s="7">
        <v>161636.34</v>
      </c>
      <c r="R34" s="8">
        <v>2368</v>
      </c>
      <c r="S34" s="7">
        <f t="shared" ref="S34:S37" si="30">Q34/R34</f>
        <v>68.258589527027027</v>
      </c>
      <c r="T34" s="7">
        <f t="shared" ref="T34:U37" si="31">SUM(E34,H34,K34,N34,Q34)</f>
        <v>383216.75</v>
      </c>
      <c r="U34" s="8">
        <f t="shared" si="31"/>
        <v>4519.5</v>
      </c>
      <c r="V34" s="7">
        <f t="shared" si="19"/>
        <v>84.791846443190622</v>
      </c>
    </row>
    <row r="35" spans="2:24" ht="23.25" customHeight="1" x14ac:dyDescent="0.25">
      <c r="B35" s="60"/>
      <c r="C35" s="60"/>
      <c r="D35" s="11">
        <v>44362</v>
      </c>
      <c r="E35" s="7">
        <v>71116.75</v>
      </c>
      <c r="F35" s="8">
        <v>603</v>
      </c>
      <c r="G35" s="7">
        <f t="shared" si="28"/>
        <v>117.93822553897181</v>
      </c>
      <c r="H35" s="7">
        <v>51588.35</v>
      </c>
      <c r="I35" s="8">
        <v>504</v>
      </c>
      <c r="J35" s="7">
        <f t="shared" si="14"/>
        <v>102.3578373015873</v>
      </c>
      <c r="K35" s="7"/>
      <c r="L35" s="8"/>
      <c r="M35" s="7" t="e">
        <f t="shared" si="29"/>
        <v>#DIV/0!</v>
      </c>
      <c r="N35" s="7">
        <v>25725</v>
      </c>
      <c r="O35" s="8">
        <v>259.5</v>
      </c>
      <c r="P35" s="7">
        <f t="shared" si="16"/>
        <v>99.132947976878611</v>
      </c>
      <c r="Q35" s="7">
        <v>193276</v>
      </c>
      <c r="R35" s="8">
        <v>1877.5</v>
      </c>
      <c r="S35" s="7">
        <f t="shared" si="30"/>
        <v>102.94327563249001</v>
      </c>
      <c r="T35" s="7">
        <f t="shared" si="31"/>
        <v>341706.1</v>
      </c>
      <c r="U35" s="8">
        <f t="shared" si="31"/>
        <v>3244</v>
      </c>
      <c r="V35" s="7">
        <f t="shared" si="19"/>
        <v>105.33480271270037</v>
      </c>
    </row>
    <row r="36" spans="2:24" ht="23.25" customHeight="1" x14ac:dyDescent="0.25">
      <c r="B36" s="60"/>
      <c r="C36" s="60"/>
      <c r="D36" s="11">
        <v>44369</v>
      </c>
      <c r="E36" s="7">
        <v>53060.5</v>
      </c>
      <c r="F36" s="8">
        <v>475.5</v>
      </c>
      <c r="G36" s="7">
        <f t="shared" si="28"/>
        <v>111.58885383806519</v>
      </c>
      <c r="H36" s="7">
        <v>88162.2</v>
      </c>
      <c r="I36" s="8">
        <v>911.5</v>
      </c>
      <c r="J36" s="7">
        <f t="shared" si="14"/>
        <v>96.722106417992322</v>
      </c>
      <c r="K36" s="7"/>
      <c r="L36" s="8"/>
      <c r="M36" s="7" t="e">
        <f t="shared" si="29"/>
        <v>#DIV/0!</v>
      </c>
      <c r="N36" s="7">
        <v>3485</v>
      </c>
      <c r="O36" s="8">
        <v>33</v>
      </c>
      <c r="P36" s="7">
        <f t="shared" si="16"/>
        <v>105.60606060606061</v>
      </c>
      <c r="Q36" s="7">
        <v>129567</v>
      </c>
      <c r="R36" s="8">
        <v>1510</v>
      </c>
      <c r="S36" s="7">
        <f t="shared" si="30"/>
        <v>85.805960264900662</v>
      </c>
      <c r="T36" s="7">
        <f t="shared" si="31"/>
        <v>274274.7</v>
      </c>
      <c r="U36" s="8">
        <f t="shared" si="31"/>
        <v>2930</v>
      </c>
      <c r="V36" s="7">
        <f t="shared" si="19"/>
        <v>93.609112627986349</v>
      </c>
    </row>
    <row r="37" spans="2:24" ht="23.25" customHeight="1" x14ac:dyDescent="0.25">
      <c r="B37" s="60"/>
      <c r="C37" s="60"/>
      <c r="D37" s="11">
        <v>44376</v>
      </c>
      <c r="E37" s="7">
        <v>69709.5</v>
      </c>
      <c r="F37" s="8">
        <v>672</v>
      </c>
      <c r="G37" s="7">
        <f t="shared" si="28"/>
        <v>103.734375</v>
      </c>
      <c r="H37" s="7">
        <v>82216.5</v>
      </c>
      <c r="I37" s="8">
        <v>768</v>
      </c>
      <c r="J37" s="7">
        <f t="shared" si="14"/>
        <v>107.052734375</v>
      </c>
      <c r="K37" s="7"/>
      <c r="L37" s="8"/>
      <c r="M37" s="7" t="e">
        <f t="shared" si="29"/>
        <v>#DIV/0!</v>
      </c>
      <c r="N37" s="7">
        <v>56872</v>
      </c>
      <c r="O37" s="8">
        <v>543</v>
      </c>
      <c r="P37" s="7">
        <f t="shared" si="16"/>
        <v>104.73664825046041</v>
      </c>
      <c r="Q37" s="7">
        <v>119402</v>
      </c>
      <c r="R37" s="8">
        <v>1217</v>
      </c>
      <c r="S37" s="7">
        <f t="shared" si="30"/>
        <v>98.111750205423178</v>
      </c>
      <c r="T37" s="7">
        <f t="shared" si="31"/>
        <v>328200</v>
      </c>
      <c r="U37" s="8">
        <f t="shared" si="31"/>
        <v>3200</v>
      </c>
      <c r="V37" s="7">
        <f t="shared" si="19"/>
        <v>102.5625</v>
      </c>
      <c r="X37" s="2">
        <f>SUM(T34:T37)</f>
        <v>1327397.55</v>
      </c>
    </row>
    <row r="38" spans="2:24" ht="23.25" customHeight="1" x14ac:dyDescent="0.25">
      <c r="B38" s="61"/>
      <c r="C38" s="63" t="s">
        <v>36</v>
      </c>
      <c r="D38" s="64"/>
      <c r="E38" s="30">
        <f>SUM(E34:E37)</f>
        <v>262786.25</v>
      </c>
      <c r="F38" s="31">
        <f>SUM(F34:F37)</f>
        <v>2406.5</v>
      </c>
      <c r="G38" s="30">
        <f>E38/F38</f>
        <v>109.19852482858924</v>
      </c>
      <c r="H38" s="30">
        <f>SUM(H34:H37)</f>
        <v>374647.96</v>
      </c>
      <c r="I38" s="31">
        <f>SUM(I34:I37)</f>
        <v>3679</v>
      </c>
      <c r="J38" s="30">
        <f>H38/I38</f>
        <v>101.83418320195706</v>
      </c>
      <c r="K38" s="30">
        <f>SUM(K34:K37)</f>
        <v>0</v>
      </c>
      <c r="L38" s="31">
        <f>SUM(L34:L37)</f>
        <v>0</v>
      </c>
      <c r="M38" s="30" t="e">
        <f>K38/L38</f>
        <v>#DIV/0!</v>
      </c>
      <c r="N38" s="30">
        <f>SUM(N34:N37)</f>
        <v>86082</v>
      </c>
      <c r="O38" s="31">
        <f>SUM(O34:O37)</f>
        <v>835.5</v>
      </c>
      <c r="P38" s="30">
        <f>N38/O38</f>
        <v>103.03052064631957</v>
      </c>
      <c r="Q38" s="30">
        <f>SUM(Q34:Q37)</f>
        <v>603881.34</v>
      </c>
      <c r="R38" s="31">
        <f>SUM(R34:R37)</f>
        <v>6972.5</v>
      </c>
      <c r="S38" s="30">
        <f>Q38/R38</f>
        <v>86.609012549300814</v>
      </c>
      <c r="T38" s="30">
        <f>SUM(T34:T37)</f>
        <v>1327397.55</v>
      </c>
      <c r="U38" s="31">
        <f>SUM(U34:U37)</f>
        <v>13893.5</v>
      </c>
      <c r="V38" s="32">
        <f>T38/U38</f>
        <v>95.540904019865408</v>
      </c>
    </row>
    <row r="39" spans="2:24" ht="39" customHeight="1" x14ac:dyDescent="0.25">
      <c r="B39" s="52" t="s">
        <v>21</v>
      </c>
      <c r="C39" s="52"/>
      <c r="D39" s="52"/>
      <c r="E39" s="33">
        <f>SUM(E38,E33,E27)</f>
        <v>989196.75</v>
      </c>
      <c r="F39" s="34">
        <f>SUM(F38,F33,F27)</f>
        <v>9651.1</v>
      </c>
      <c r="G39" s="33">
        <f>E39/F39</f>
        <v>102.49575177958988</v>
      </c>
      <c r="H39" s="33">
        <f>SUM(H38,H33,H27)</f>
        <v>1052753.6499999999</v>
      </c>
      <c r="I39" s="34">
        <f>SUM(I38,I33,I27)</f>
        <v>10128</v>
      </c>
      <c r="J39" s="33">
        <f>H39/I39</f>
        <v>103.9448706556082</v>
      </c>
      <c r="K39" s="33">
        <f>SUM(K38,K33,K27)</f>
        <v>0</v>
      </c>
      <c r="L39" s="34">
        <f>SUM(L38,L33,L27)</f>
        <v>0</v>
      </c>
      <c r="M39" s="33" t="e">
        <f>K39/L39</f>
        <v>#DIV/0!</v>
      </c>
      <c r="N39" s="33">
        <f>SUM(N38,N33,N27)</f>
        <v>202108.5</v>
      </c>
      <c r="O39" s="34">
        <f>SUM(O38,O33,O27)</f>
        <v>1973.5</v>
      </c>
      <c r="P39" s="33">
        <f>N39/O39</f>
        <v>102.41119837851532</v>
      </c>
      <c r="Q39" s="33">
        <f>SUM(Q38,Q33,Q27)</f>
        <v>1651629.8</v>
      </c>
      <c r="R39" s="34">
        <f>SUM(R38,R33,R27)</f>
        <v>18075.099999999999</v>
      </c>
      <c r="S39" s="33">
        <f>Q39/R39</f>
        <v>91.375970257425976</v>
      </c>
      <c r="T39" s="33">
        <f>SUM(T38,T33,T27)</f>
        <v>3895688.6999999997</v>
      </c>
      <c r="U39" s="34">
        <f>SUM(U38,U33,U27)</f>
        <v>39827.699999999997</v>
      </c>
      <c r="V39" s="33">
        <f>T39/U39</f>
        <v>97.813549363884931</v>
      </c>
    </row>
    <row r="40" spans="2:24" ht="23.25" customHeight="1" x14ac:dyDescent="0.25">
      <c r="B40" s="53" t="s">
        <v>39</v>
      </c>
      <c r="C40" s="54"/>
      <c r="D40" s="54"/>
      <c r="E40" s="9">
        <f>SUM(E39,E20)</f>
        <v>1343606.25</v>
      </c>
      <c r="F40" s="10">
        <f>SUM(F39,F20)</f>
        <v>13214.1</v>
      </c>
      <c r="G40" s="9">
        <f>E40/F40</f>
        <v>101.67973982337048</v>
      </c>
      <c r="H40" s="9">
        <f>SUM(H39,H20)</f>
        <v>1945034.8699999999</v>
      </c>
      <c r="I40" s="10">
        <f>SUM(I39,I20)</f>
        <v>17873.5</v>
      </c>
      <c r="J40" s="9">
        <f>H40/I40</f>
        <v>108.82227151928832</v>
      </c>
      <c r="K40" s="9">
        <f>SUM(K39,K20)</f>
        <v>0</v>
      </c>
      <c r="L40" s="10">
        <f>SUM(L39,L20)</f>
        <v>0</v>
      </c>
      <c r="M40" s="9" t="e">
        <f>K40/L40</f>
        <v>#DIV/0!</v>
      </c>
      <c r="N40" s="9">
        <f>SUM(N39,N20)</f>
        <v>347085.55</v>
      </c>
      <c r="O40" s="10">
        <f>SUM(O39,O20)</f>
        <v>3321.3</v>
      </c>
      <c r="P40" s="9">
        <f>N40/O40</f>
        <v>104.5029205431608</v>
      </c>
      <c r="Q40" s="9">
        <f>SUM(Q39,Q20)</f>
        <v>3645836.46</v>
      </c>
      <c r="R40" s="10">
        <f>SUM(R39,R20)</f>
        <v>35816.199999999997</v>
      </c>
      <c r="S40" s="9">
        <f>Q40/R40</f>
        <v>101.79294453347927</v>
      </c>
      <c r="T40" s="9">
        <f>SUM(T39,T20)</f>
        <v>7281563.1299999999</v>
      </c>
      <c r="U40" s="10">
        <f>SUM(U39,U20)</f>
        <v>70225.100000000006</v>
      </c>
      <c r="V40" s="9">
        <f>T40/U40</f>
        <v>103.68889656262503</v>
      </c>
    </row>
    <row r="41" spans="2:24" x14ac:dyDescent="0.25">
      <c r="B41" s="67" t="s">
        <v>15</v>
      </c>
      <c r="C41" s="67" t="s">
        <v>10</v>
      </c>
      <c r="D41" s="67" t="s">
        <v>0</v>
      </c>
      <c r="E41" s="58" t="s">
        <v>40</v>
      </c>
      <c r="F41" s="58"/>
      <c r="G41" s="58"/>
      <c r="H41" s="58" t="s">
        <v>7</v>
      </c>
      <c r="I41" s="58"/>
      <c r="J41" s="58"/>
      <c r="K41" s="55" t="s">
        <v>27</v>
      </c>
      <c r="L41" s="56"/>
      <c r="M41" s="57"/>
      <c r="N41" s="58" t="s">
        <v>41</v>
      </c>
      <c r="O41" s="58"/>
      <c r="P41" s="58"/>
      <c r="Q41" s="58" t="s">
        <v>4</v>
      </c>
      <c r="R41" s="58"/>
      <c r="S41" s="58"/>
      <c r="T41" s="58" t="s">
        <v>9</v>
      </c>
      <c r="U41" s="58"/>
      <c r="V41" s="58"/>
    </row>
    <row r="42" spans="2:24" x14ac:dyDescent="0.25">
      <c r="B42" s="67"/>
      <c r="C42" s="67"/>
      <c r="D42" s="67"/>
      <c r="E42" s="1" t="s">
        <v>1</v>
      </c>
      <c r="F42" s="3" t="s">
        <v>2</v>
      </c>
      <c r="G42" s="1" t="s">
        <v>3</v>
      </c>
      <c r="H42" s="1" t="s">
        <v>1</v>
      </c>
      <c r="I42" s="3" t="s">
        <v>2</v>
      </c>
      <c r="J42" s="1" t="s">
        <v>3</v>
      </c>
      <c r="K42" s="1" t="s">
        <v>1</v>
      </c>
      <c r="L42" s="3" t="s">
        <v>2</v>
      </c>
      <c r="M42" s="1" t="s">
        <v>3</v>
      </c>
      <c r="N42" s="1" t="s">
        <v>1</v>
      </c>
      <c r="O42" s="3" t="s">
        <v>2</v>
      </c>
      <c r="P42" s="1" t="s">
        <v>3</v>
      </c>
      <c r="Q42" s="1" t="s">
        <v>1</v>
      </c>
      <c r="R42" s="3" t="s">
        <v>2</v>
      </c>
      <c r="S42" s="1" t="s">
        <v>3</v>
      </c>
      <c r="T42" s="1" t="s">
        <v>1</v>
      </c>
      <c r="U42" s="3" t="s">
        <v>2</v>
      </c>
      <c r="V42" s="1" t="s">
        <v>3</v>
      </c>
    </row>
    <row r="43" spans="2:24" ht="23.25" customHeight="1" x14ac:dyDescent="0.25">
      <c r="B43" s="59" t="s">
        <v>26</v>
      </c>
      <c r="C43" s="59" t="s">
        <v>23</v>
      </c>
      <c r="D43" s="11">
        <v>44383</v>
      </c>
      <c r="E43" s="13">
        <v>15687.25</v>
      </c>
      <c r="F43" s="16">
        <v>200.3</v>
      </c>
      <c r="G43" s="13">
        <f t="shared" ref="G43:G57" si="32">E43/F43</f>
        <v>78.318771842236643</v>
      </c>
      <c r="H43" s="13">
        <v>44194.98</v>
      </c>
      <c r="I43" s="16">
        <v>469.5</v>
      </c>
      <c r="J43" s="13">
        <f t="shared" ref="J43:J57" si="33">H43/I43</f>
        <v>94.132012779552724</v>
      </c>
      <c r="K43" s="13"/>
      <c r="L43" s="16"/>
      <c r="M43" s="13" t="e">
        <f t="shared" ref="M43:M46" si="34">K43/L43</f>
        <v>#DIV/0!</v>
      </c>
      <c r="N43" s="13">
        <v>4980</v>
      </c>
      <c r="O43" s="16">
        <v>46.5</v>
      </c>
      <c r="P43" s="13">
        <f t="shared" ref="P43:P57" si="35">N43/O43</f>
        <v>107.09677419354838</v>
      </c>
      <c r="Q43" s="13">
        <v>122531.66</v>
      </c>
      <c r="R43" s="16">
        <v>1404.5</v>
      </c>
      <c r="S43" s="13">
        <f t="shared" ref="S43:S46" si="36">Q43/R43</f>
        <v>87.242192951228191</v>
      </c>
      <c r="T43" s="13">
        <f t="shared" ref="T43:U46" si="37">SUM(E43,H43,K43,N43,Q43)</f>
        <v>187393.89</v>
      </c>
      <c r="U43" s="16">
        <f t="shared" si="37"/>
        <v>2120.8000000000002</v>
      </c>
      <c r="V43" s="13">
        <f t="shared" ref="V43:V57" si="38">T43/U43</f>
        <v>88.360000943040362</v>
      </c>
    </row>
    <row r="44" spans="2:24" ht="23.25" customHeight="1" x14ac:dyDescent="0.25">
      <c r="B44" s="60"/>
      <c r="C44" s="60"/>
      <c r="D44" s="11">
        <v>44390</v>
      </c>
      <c r="E44" s="13">
        <v>84014.25</v>
      </c>
      <c r="F44" s="16">
        <v>797.5</v>
      </c>
      <c r="G44" s="13">
        <f t="shared" si="32"/>
        <v>105.34702194357367</v>
      </c>
      <c r="H44" s="13">
        <v>85785.61</v>
      </c>
      <c r="I44" s="16">
        <v>818.5</v>
      </c>
      <c r="J44" s="13">
        <f t="shared" si="33"/>
        <v>104.80832009773977</v>
      </c>
      <c r="K44" s="13"/>
      <c r="L44" s="16"/>
      <c r="M44" s="13" t="e">
        <f t="shared" si="34"/>
        <v>#DIV/0!</v>
      </c>
      <c r="N44" s="13">
        <v>16933</v>
      </c>
      <c r="O44" s="16">
        <v>161</v>
      </c>
      <c r="P44" s="13">
        <f t="shared" si="35"/>
        <v>105.17391304347827</v>
      </c>
      <c r="Q44" s="13">
        <v>162453</v>
      </c>
      <c r="R44" s="16">
        <v>1589</v>
      </c>
      <c r="S44" s="13">
        <f t="shared" si="36"/>
        <v>102.23599748269352</v>
      </c>
      <c r="T44" s="13">
        <f t="shared" si="37"/>
        <v>349185.86</v>
      </c>
      <c r="U44" s="16">
        <f t="shared" si="37"/>
        <v>3366</v>
      </c>
      <c r="V44" s="13">
        <f t="shared" si="38"/>
        <v>103.7391146761735</v>
      </c>
    </row>
    <row r="45" spans="2:24" ht="23.25" customHeight="1" x14ac:dyDescent="0.25">
      <c r="B45" s="60"/>
      <c r="C45" s="60"/>
      <c r="D45" s="11">
        <v>44397</v>
      </c>
      <c r="E45" s="13">
        <v>24085</v>
      </c>
      <c r="F45" s="16">
        <v>210.5</v>
      </c>
      <c r="G45" s="13">
        <f t="shared" si="32"/>
        <v>114.41805225653206</v>
      </c>
      <c r="H45" s="13">
        <v>118331.8</v>
      </c>
      <c r="I45" s="16">
        <v>1148.5</v>
      </c>
      <c r="J45" s="13">
        <f t="shared" si="33"/>
        <v>103.03160644318677</v>
      </c>
      <c r="K45" s="13"/>
      <c r="L45" s="16"/>
      <c r="M45" s="13" t="e">
        <f t="shared" si="34"/>
        <v>#DIV/0!</v>
      </c>
      <c r="N45" s="13">
        <v>72997.25</v>
      </c>
      <c r="O45" s="16">
        <v>899.3</v>
      </c>
      <c r="P45" s="13">
        <f t="shared" si="35"/>
        <v>81.171188702324031</v>
      </c>
      <c r="Q45" s="13">
        <v>41607</v>
      </c>
      <c r="R45" s="16">
        <v>426.5</v>
      </c>
      <c r="S45" s="13">
        <f t="shared" si="36"/>
        <v>97.554513481828835</v>
      </c>
      <c r="T45" s="13">
        <f t="shared" si="37"/>
        <v>257021.05</v>
      </c>
      <c r="U45" s="16">
        <f t="shared" si="37"/>
        <v>2684.8</v>
      </c>
      <c r="V45" s="13">
        <f t="shared" si="38"/>
        <v>95.731916716328953</v>
      </c>
      <c r="X45" s="2">
        <f>SUM(T43:T45)</f>
        <v>793600.8</v>
      </c>
    </row>
    <row r="46" spans="2:24" ht="23.25" customHeight="1" x14ac:dyDescent="0.25">
      <c r="B46" s="60"/>
      <c r="C46" s="61"/>
      <c r="D46" s="11">
        <v>44405</v>
      </c>
      <c r="E46" s="13">
        <v>76895.850000000006</v>
      </c>
      <c r="F46" s="16">
        <v>712.3</v>
      </c>
      <c r="G46" s="13">
        <f t="shared" si="32"/>
        <v>107.95430296223503</v>
      </c>
      <c r="H46" s="13">
        <v>3200</v>
      </c>
      <c r="I46" s="16">
        <v>27</v>
      </c>
      <c r="J46" s="13">
        <f t="shared" si="33"/>
        <v>118.51851851851852</v>
      </c>
      <c r="K46" s="13"/>
      <c r="L46" s="16"/>
      <c r="M46" s="13" t="e">
        <f t="shared" si="34"/>
        <v>#DIV/0!</v>
      </c>
      <c r="N46" s="13">
        <v>42465</v>
      </c>
      <c r="O46" s="16">
        <v>426</v>
      </c>
      <c r="P46" s="13">
        <f t="shared" si="35"/>
        <v>99.683098591549296</v>
      </c>
      <c r="Q46" s="13">
        <v>108104.5</v>
      </c>
      <c r="R46" s="16">
        <v>1361.5</v>
      </c>
      <c r="S46" s="13">
        <f t="shared" si="36"/>
        <v>79.401028277634964</v>
      </c>
      <c r="T46" s="13">
        <f t="shared" si="37"/>
        <v>230665.35</v>
      </c>
      <c r="U46" s="16">
        <f t="shared" si="37"/>
        <v>2526.8000000000002</v>
      </c>
      <c r="V46" s="13">
        <f t="shared" si="38"/>
        <v>91.287537596960576</v>
      </c>
    </row>
    <row r="47" spans="2:24" ht="23.25" customHeight="1" x14ac:dyDescent="0.25">
      <c r="B47" s="60"/>
      <c r="C47" s="63" t="s">
        <v>36</v>
      </c>
      <c r="D47" s="64"/>
      <c r="E47" s="30">
        <f>SUM(E43:E46)</f>
        <v>200682.35</v>
      </c>
      <c r="F47" s="31">
        <f>SUM(F43:F46)</f>
        <v>1920.6</v>
      </c>
      <c r="G47" s="30">
        <f>E47/F47</f>
        <v>104.48940435280642</v>
      </c>
      <c r="H47" s="30">
        <f>SUM(H43:H46)</f>
        <v>251512.39</v>
      </c>
      <c r="I47" s="31">
        <f>SUM(I43:I46)</f>
        <v>2463.5</v>
      </c>
      <c r="J47" s="30">
        <f>H47/I47</f>
        <v>102.09555104526082</v>
      </c>
      <c r="K47" s="30">
        <f>SUM(K43:K46)</f>
        <v>0</v>
      </c>
      <c r="L47" s="31">
        <f>SUM(L43:L46)</f>
        <v>0</v>
      </c>
      <c r="M47" s="30" t="e">
        <f>K47/L47</f>
        <v>#DIV/0!</v>
      </c>
      <c r="N47" s="30">
        <f>SUM(N43:N46)</f>
        <v>137375.25</v>
      </c>
      <c r="O47" s="31">
        <f>SUM(O43:O46)</f>
        <v>1532.8</v>
      </c>
      <c r="P47" s="30">
        <f>N47/O47</f>
        <v>89.623727818371606</v>
      </c>
      <c r="Q47" s="30">
        <f>SUM(Q43:Q46)</f>
        <v>434696.16000000003</v>
      </c>
      <c r="R47" s="31">
        <f>SUM(R43:R46)</f>
        <v>4781.5</v>
      </c>
      <c r="S47" s="30">
        <f>Q47/R47</f>
        <v>90.912090348217092</v>
      </c>
      <c r="T47" s="30">
        <f>SUM(T43:T46)</f>
        <v>1024266.15</v>
      </c>
      <c r="U47" s="31">
        <f>SUM(U43:U46)</f>
        <v>10698.400000000001</v>
      </c>
      <c r="V47" s="32">
        <f>T47/U47</f>
        <v>95.740124691542647</v>
      </c>
    </row>
    <row r="48" spans="2:24" ht="23.25" customHeight="1" x14ac:dyDescent="0.25">
      <c r="B48" s="60"/>
      <c r="C48" s="59" t="s">
        <v>24</v>
      </c>
      <c r="D48" s="11">
        <v>44411</v>
      </c>
      <c r="E48" s="13">
        <v>90821</v>
      </c>
      <c r="F48" s="16">
        <v>925.5</v>
      </c>
      <c r="G48" s="13">
        <f t="shared" si="32"/>
        <v>98.131820637493249</v>
      </c>
      <c r="H48" s="13">
        <v>88307.5</v>
      </c>
      <c r="I48" s="16">
        <v>993.8</v>
      </c>
      <c r="J48" s="13">
        <f t="shared" si="33"/>
        <v>88.858422217750061</v>
      </c>
      <c r="K48" s="13"/>
      <c r="L48" s="16"/>
      <c r="M48" s="13" t="e">
        <f t="shared" ref="M48:M52" si="39">K48/L48</f>
        <v>#DIV/0!</v>
      </c>
      <c r="N48" s="13">
        <v>2750</v>
      </c>
      <c r="O48" s="16">
        <v>28</v>
      </c>
      <c r="P48" s="13">
        <f t="shared" si="35"/>
        <v>98.214285714285708</v>
      </c>
      <c r="Q48" s="13">
        <v>49264</v>
      </c>
      <c r="R48" s="16">
        <v>468</v>
      </c>
      <c r="S48" s="13">
        <f t="shared" ref="S48:S57" si="40">Q48/R48</f>
        <v>105.26495726495726</v>
      </c>
      <c r="T48" s="13">
        <f t="shared" ref="T48:U52" si="41">SUM(E48,H48,K48,N48,Q48)</f>
        <v>231142.5</v>
      </c>
      <c r="U48" s="16">
        <f t="shared" si="41"/>
        <v>2415.3000000000002</v>
      </c>
      <c r="V48" s="13">
        <f t="shared" si="38"/>
        <v>95.699292013414478</v>
      </c>
    </row>
    <row r="49" spans="2:24" ht="23.25" customHeight="1" x14ac:dyDescent="0.25">
      <c r="B49" s="60"/>
      <c r="C49" s="60">
        <v>7</v>
      </c>
      <c r="D49" s="11">
        <v>44418</v>
      </c>
      <c r="E49" s="13">
        <v>70772.47</v>
      </c>
      <c r="F49" s="16">
        <v>671.5</v>
      </c>
      <c r="G49" s="13">
        <f t="shared" si="32"/>
        <v>105.39459419210722</v>
      </c>
      <c r="H49" s="13">
        <v>69832.75</v>
      </c>
      <c r="I49" s="16">
        <v>817.3</v>
      </c>
      <c r="J49" s="13">
        <f t="shared" si="33"/>
        <v>85.443227700966602</v>
      </c>
      <c r="K49" s="13"/>
      <c r="L49" s="16"/>
      <c r="M49" s="13" t="e">
        <f t="shared" si="39"/>
        <v>#DIV/0!</v>
      </c>
      <c r="N49" s="13">
        <v>56845</v>
      </c>
      <c r="O49" s="16">
        <v>537.79999999999995</v>
      </c>
      <c r="P49" s="13">
        <f t="shared" si="35"/>
        <v>105.69914466344366</v>
      </c>
      <c r="Q49" s="13">
        <v>163339</v>
      </c>
      <c r="R49" s="16">
        <v>1508.5</v>
      </c>
      <c r="S49" s="13">
        <f t="shared" si="40"/>
        <v>108.27908518395758</v>
      </c>
      <c r="T49" s="13">
        <f t="shared" si="41"/>
        <v>360789.22</v>
      </c>
      <c r="U49" s="16">
        <f t="shared" si="41"/>
        <v>3535.1</v>
      </c>
      <c r="V49" s="13">
        <f t="shared" si="38"/>
        <v>102.05912704025346</v>
      </c>
    </row>
    <row r="50" spans="2:24" ht="23.25" customHeight="1" x14ac:dyDescent="0.25">
      <c r="B50" s="60"/>
      <c r="C50" s="60">
        <v>8</v>
      </c>
      <c r="D50" s="11">
        <v>44425</v>
      </c>
      <c r="E50" s="13">
        <v>51885</v>
      </c>
      <c r="F50" s="16">
        <v>506.5</v>
      </c>
      <c r="G50" s="13">
        <f t="shared" si="32"/>
        <v>102.43830207305035</v>
      </c>
      <c r="H50" s="13">
        <v>19740</v>
      </c>
      <c r="I50" s="16">
        <v>188</v>
      </c>
      <c r="J50" s="13">
        <f t="shared" si="33"/>
        <v>105</v>
      </c>
      <c r="K50" s="13"/>
      <c r="L50" s="16"/>
      <c r="M50" s="13" t="e">
        <f t="shared" si="39"/>
        <v>#DIV/0!</v>
      </c>
      <c r="N50" s="13">
        <v>91559.25</v>
      </c>
      <c r="O50" s="16">
        <v>874</v>
      </c>
      <c r="P50" s="13">
        <f t="shared" si="35"/>
        <v>104.75886727688787</v>
      </c>
      <c r="Q50" s="13">
        <v>49070</v>
      </c>
      <c r="R50" s="16">
        <v>505</v>
      </c>
      <c r="S50" s="13">
        <f t="shared" si="40"/>
        <v>97.168316831683171</v>
      </c>
      <c r="T50" s="13">
        <f t="shared" si="41"/>
        <v>212254.25</v>
      </c>
      <c r="U50" s="16">
        <f t="shared" si="41"/>
        <v>2073.5</v>
      </c>
      <c r="V50" s="13">
        <f t="shared" si="38"/>
        <v>102.36520376175548</v>
      </c>
      <c r="X50" s="2"/>
    </row>
    <row r="51" spans="2:24" ht="23.25" customHeight="1" x14ac:dyDescent="0.25">
      <c r="B51" s="60"/>
      <c r="C51" s="60">
        <v>9</v>
      </c>
      <c r="D51" s="11">
        <v>44432</v>
      </c>
      <c r="E51" s="13">
        <v>43310.25</v>
      </c>
      <c r="F51" s="16">
        <v>405.5</v>
      </c>
      <c r="G51" s="13">
        <f t="shared" si="32"/>
        <v>106.80702836004932</v>
      </c>
      <c r="H51" s="13">
        <v>47518.75</v>
      </c>
      <c r="I51" s="16">
        <v>435</v>
      </c>
      <c r="J51" s="13">
        <f t="shared" si="33"/>
        <v>109.23850574712644</v>
      </c>
      <c r="K51" s="13"/>
      <c r="L51" s="16"/>
      <c r="M51" s="13" t="e">
        <f t="shared" si="39"/>
        <v>#DIV/0!</v>
      </c>
      <c r="N51" s="13">
        <v>15035</v>
      </c>
      <c r="O51" s="16">
        <v>138</v>
      </c>
      <c r="P51" s="13">
        <f t="shared" si="35"/>
        <v>108.94927536231884</v>
      </c>
      <c r="Q51" s="13">
        <v>84606</v>
      </c>
      <c r="R51" s="16">
        <v>978.3</v>
      </c>
      <c r="S51" s="13">
        <f t="shared" si="40"/>
        <v>86.48267402637228</v>
      </c>
      <c r="T51" s="13">
        <f t="shared" si="41"/>
        <v>190470</v>
      </c>
      <c r="U51" s="16">
        <f t="shared" si="41"/>
        <v>1956.8</v>
      </c>
      <c r="V51" s="13">
        <f t="shared" si="38"/>
        <v>97.337489779231404</v>
      </c>
      <c r="X51" s="2"/>
    </row>
    <row r="52" spans="2:24" ht="23.25" customHeight="1" x14ac:dyDescent="0.25">
      <c r="B52" s="60"/>
      <c r="C52" s="61"/>
      <c r="D52" s="11">
        <v>45169</v>
      </c>
      <c r="E52" s="13">
        <v>38187.5</v>
      </c>
      <c r="F52" s="16">
        <v>296.5</v>
      </c>
      <c r="G52" s="13">
        <f t="shared" si="32"/>
        <v>128.79426644182124</v>
      </c>
      <c r="H52" s="13">
        <v>36525.5</v>
      </c>
      <c r="I52" s="16">
        <v>305</v>
      </c>
      <c r="J52" s="13">
        <f t="shared" si="33"/>
        <v>119.75573770491803</v>
      </c>
      <c r="K52" s="13"/>
      <c r="L52" s="16"/>
      <c r="M52" s="13" t="e">
        <f t="shared" si="39"/>
        <v>#DIV/0!</v>
      </c>
      <c r="N52" s="38"/>
      <c r="O52" s="39"/>
      <c r="P52" s="38"/>
      <c r="Q52" s="13">
        <v>86231</v>
      </c>
      <c r="R52" s="16">
        <v>1161.3</v>
      </c>
      <c r="S52" s="13">
        <f t="shared" si="40"/>
        <v>74.25385344011022</v>
      </c>
      <c r="T52" s="13">
        <f t="shared" si="41"/>
        <v>160944</v>
      </c>
      <c r="U52" s="16">
        <f t="shared" si="41"/>
        <v>1762.8</v>
      </c>
      <c r="V52" s="13">
        <f t="shared" si="38"/>
        <v>91.3002042205582</v>
      </c>
      <c r="X52" s="2">
        <f>SUM(T48:T52)</f>
        <v>1155599.97</v>
      </c>
    </row>
    <row r="53" spans="2:24" ht="23.25" customHeight="1" x14ac:dyDescent="0.25">
      <c r="B53" s="60"/>
      <c r="C53" s="63" t="s">
        <v>36</v>
      </c>
      <c r="D53" s="64"/>
      <c r="E53" s="30">
        <f>SUM(E48:E52)</f>
        <v>294976.21999999997</v>
      </c>
      <c r="F53" s="31">
        <f>SUM(F48:F52)</f>
        <v>2805.5</v>
      </c>
      <c r="G53" s="30">
        <f>E53/F53</f>
        <v>105.14212083407591</v>
      </c>
      <c r="H53" s="30">
        <f t="shared" ref="H53:I53" si="42">SUM(H48:H52)</f>
        <v>261924.5</v>
      </c>
      <c r="I53" s="31">
        <f t="shared" si="42"/>
        <v>2739.1</v>
      </c>
      <c r="J53" s="30">
        <f>H53/I53</f>
        <v>95.624292650870728</v>
      </c>
      <c r="K53" s="30">
        <f t="shared" ref="K53:L53" si="43">SUM(K48:K52)</f>
        <v>0</v>
      </c>
      <c r="L53" s="31">
        <f t="shared" si="43"/>
        <v>0</v>
      </c>
      <c r="M53" s="30" t="e">
        <f>K53/L53</f>
        <v>#DIV/0!</v>
      </c>
      <c r="N53" s="30">
        <f t="shared" ref="N53:O53" si="44">SUM(N48:N52)</f>
        <v>166189.25</v>
      </c>
      <c r="O53" s="31">
        <f t="shared" si="44"/>
        <v>1577.8</v>
      </c>
      <c r="P53" s="30">
        <f>N53/O53</f>
        <v>105.32973127139054</v>
      </c>
      <c r="Q53" s="30">
        <f t="shared" ref="Q53:R53" si="45">SUM(Q48:Q52)</f>
        <v>432510</v>
      </c>
      <c r="R53" s="31">
        <f t="shared" si="45"/>
        <v>4621.1000000000004</v>
      </c>
      <c r="S53" s="30">
        <f>Q53/R53</f>
        <v>93.594598688623918</v>
      </c>
      <c r="T53" s="30">
        <f t="shared" ref="T53:U53" si="46">SUM(T48:T52)</f>
        <v>1155599.97</v>
      </c>
      <c r="U53" s="31">
        <f t="shared" si="46"/>
        <v>11743.499999999998</v>
      </c>
      <c r="V53" s="32">
        <f>T53/U53</f>
        <v>98.403369523566241</v>
      </c>
    </row>
    <row r="54" spans="2:24" ht="23.25" customHeight="1" x14ac:dyDescent="0.25">
      <c r="B54" s="60"/>
      <c r="C54" s="59" t="s">
        <v>25</v>
      </c>
      <c r="D54" s="11">
        <v>44446</v>
      </c>
      <c r="E54" s="13">
        <v>33475</v>
      </c>
      <c r="F54" s="16">
        <v>288.5</v>
      </c>
      <c r="G54" s="13">
        <f t="shared" si="32"/>
        <v>116.03119584055459</v>
      </c>
      <c r="H54" s="13">
        <v>51050</v>
      </c>
      <c r="I54" s="16">
        <v>558.5</v>
      </c>
      <c r="J54" s="13">
        <f t="shared" si="33"/>
        <v>91.405550581915847</v>
      </c>
      <c r="K54" s="13"/>
      <c r="L54" s="16"/>
      <c r="M54" s="13" t="e">
        <f t="shared" ref="M54:M57" si="47">K54/L54</f>
        <v>#DIV/0!</v>
      </c>
      <c r="N54" s="13">
        <v>21240</v>
      </c>
      <c r="O54" s="16">
        <v>183</v>
      </c>
      <c r="P54" s="13">
        <f t="shared" si="35"/>
        <v>116.06557377049181</v>
      </c>
      <c r="Q54" s="13">
        <v>400897.41</v>
      </c>
      <c r="R54" s="16">
        <v>3843.5</v>
      </c>
      <c r="S54" s="13">
        <f t="shared" si="40"/>
        <v>104.30529725510601</v>
      </c>
      <c r="T54" s="13">
        <f t="shared" ref="T54:U57" si="48">SUM(E54,H54,K54,N54,Q54)</f>
        <v>506662.41</v>
      </c>
      <c r="U54" s="16">
        <f t="shared" si="48"/>
        <v>4873.5</v>
      </c>
      <c r="V54" s="13">
        <f t="shared" si="38"/>
        <v>103.96273930440135</v>
      </c>
    </row>
    <row r="55" spans="2:24" ht="23.25" customHeight="1" x14ac:dyDescent="0.25">
      <c r="B55" s="60"/>
      <c r="C55" s="60"/>
      <c r="D55" s="11">
        <v>44453</v>
      </c>
      <c r="E55" s="13">
        <v>35399.18</v>
      </c>
      <c r="F55" s="16">
        <v>335</v>
      </c>
      <c r="G55" s="13">
        <f t="shared" si="32"/>
        <v>105.66919402985074</v>
      </c>
      <c r="H55" s="13">
        <v>14400</v>
      </c>
      <c r="I55" s="16">
        <v>181</v>
      </c>
      <c r="J55" s="13">
        <f t="shared" si="33"/>
        <v>79.55801104972376</v>
      </c>
      <c r="K55" s="13"/>
      <c r="L55" s="16"/>
      <c r="M55" s="13" t="e">
        <f t="shared" si="47"/>
        <v>#DIV/0!</v>
      </c>
      <c r="N55" s="13">
        <v>40084.25</v>
      </c>
      <c r="O55" s="16">
        <v>416</v>
      </c>
      <c r="P55" s="13">
        <f t="shared" si="35"/>
        <v>96.356370192307693</v>
      </c>
      <c r="Q55" s="13">
        <v>111873.75</v>
      </c>
      <c r="R55" s="16">
        <v>1040.5</v>
      </c>
      <c r="S55" s="13">
        <f t="shared" si="40"/>
        <v>107.51922152811149</v>
      </c>
      <c r="T55" s="13">
        <f t="shared" si="48"/>
        <v>201757.18</v>
      </c>
      <c r="U55" s="16">
        <f t="shared" si="48"/>
        <v>1972.5</v>
      </c>
      <c r="V55" s="13">
        <f t="shared" si="38"/>
        <v>102.28500887198986</v>
      </c>
      <c r="X55" s="2"/>
    </row>
    <row r="56" spans="2:24" ht="23.25" customHeight="1" x14ac:dyDescent="0.25">
      <c r="B56" s="60"/>
      <c r="C56" s="60"/>
      <c r="D56" s="11">
        <v>44460</v>
      </c>
      <c r="E56" s="13">
        <v>86499.73</v>
      </c>
      <c r="F56" s="16">
        <v>804.8</v>
      </c>
      <c r="G56" s="13">
        <f t="shared" si="32"/>
        <v>107.4797837972167</v>
      </c>
      <c r="H56" s="13">
        <v>25314.25</v>
      </c>
      <c r="I56" s="16">
        <v>316.5</v>
      </c>
      <c r="J56" s="13">
        <f t="shared" si="33"/>
        <v>79.981832543443915</v>
      </c>
      <c r="K56" s="13"/>
      <c r="L56" s="16"/>
      <c r="M56" s="13" t="e">
        <f t="shared" si="47"/>
        <v>#DIV/0!</v>
      </c>
      <c r="N56" s="13">
        <v>31890.75</v>
      </c>
      <c r="O56" s="16">
        <v>328</v>
      </c>
      <c r="P56" s="13">
        <f t="shared" si="35"/>
        <v>97.227896341463421</v>
      </c>
      <c r="Q56" s="13">
        <v>194207</v>
      </c>
      <c r="R56" s="16">
        <v>1963.5</v>
      </c>
      <c r="S56" s="13">
        <f t="shared" si="40"/>
        <v>98.908581614463969</v>
      </c>
      <c r="T56" s="13">
        <f t="shared" si="48"/>
        <v>337911.73</v>
      </c>
      <c r="U56" s="16">
        <f t="shared" si="48"/>
        <v>3412.8</v>
      </c>
      <c r="V56" s="13">
        <f t="shared" si="38"/>
        <v>99.013047937177674</v>
      </c>
    </row>
    <row r="57" spans="2:24" ht="23.25" customHeight="1" x14ac:dyDescent="0.25">
      <c r="B57" s="60"/>
      <c r="C57" s="60"/>
      <c r="D57" s="11">
        <v>44467</v>
      </c>
      <c r="E57" s="13">
        <v>28735.5</v>
      </c>
      <c r="F57" s="16">
        <v>238.5</v>
      </c>
      <c r="G57" s="13">
        <f t="shared" si="32"/>
        <v>120.48427672955975</v>
      </c>
      <c r="H57" s="13">
        <v>100698.75</v>
      </c>
      <c r="I57" s="16">
        <v>925.5</v>
      </c>
      <c r="J57" s="13">
        <f t="shared" si="33"/>
        <v>108.80470016207455</v>
      </c>
      <c r="K57" s="13"/>
      <c r="L57" s="16"/>
      <c r="M57" s="13" t="e">
        <f t="shared" si="47"/>
        <v>#DIV/0!</v>
      </c>
      <c r="N57" s="13">
        <v>22640</v>
      </c>
      <c r="O57" s="16">
        <v>209.5</v>
      </c>
      <c r="P57" s="13">
        <f t="shared" si="35"/>
        <v>108.06682577565633</v>
      </c>
      <c r="Q57" s="13">
        <v>121862</v>
      </c>
      <c r="R57" s="16">
        <v>1171.3</v>
      </c>
      <c r="S57" s="13">
        <f t="shared" si="40"/>
        <v>104.03995560488347</v>
      </c>
      <c r="T57" s="13">
        <f t="shared" si="48"/>
        <v>273936.25</v>
      </c>
      <c r="U57" s="16">
        <f t="shared" si="48"/>
        <v>2544.8000000000002</v>
      </c>
      <c r="V57" s="13">
        <f t="shared" si="38"/>
        <v>107.64549276956932</v>
      </c>
      <c r="X57" s="2">
        <f>SUM(T54:T57)</f>
        <v>1320267.5699999998</v>
      </c>
    </row>
    <row r="58" spans="2:24" ht="23.25" customHeight="1" x14ac:dyDescent="0.25">
      <c r="B58" s="61"/>
      <c r="C58" s="63" t="s">
        <v>36</v>
      </c>
      <c r="D58" s="64"/>
      <c r="E58" s="30">
        <f>SUM(E54:E57)</f>
        <v>184109.40999999997</v>
      </c>
      <c r="F58" s="31">
        <f>SUM(F54:F57)</f>
        <v>1666.8</v>
      </c>
      <c r="G58" s="30">
        <f>E58/F58</f>
        <v>110.45680945524357</v>
      </c>
      <c r="H58" s="30">
        <f>SUM(H54:H57)</f>
        <v>191463</v>
      </c>
      <c r="I58" s="31">
        <f>SUM(I54:I57)</f>
        <v>1981.5</v>
      </c>
      <c r="J58" s="30">
        <f>H58/I58</f>
        <v>96.625283875851622</v>
      </c>
      <c r="K58" s="30">
        <f>SUM(K54:K57)</f>
        <v>0</v>
      </c>
      <c r="L58" s="31">
        <f>SUM(L54:L57)</f>
        <v>0</v>
      </c>
      <c r="M58" s="30" t="e">
        <f>K58/L58</f>
        <v>#DIV/0!</v>
      </c>
      <c r="N58" s="30">
        <f>SUM(N54:N57)</f>
        <v>115855</v>
      </c>
      <c r="O58" s="31">
        <f>SUM(O54:O57)</f>
        <v>1136.5</v>
      </c>
      <c r="P58" s="30">
        <f>N58/O58</f>
        <v>101.94016717993841</v>
      </c>
      <c r="Q58" s="30">
        <f>SUM(Q54:Q57)</f>
        <v>828840.15999999992</v>
      </c>
      <c r="R58" s="31">
        <f>SUM(R54:R57)</f>
        <v>8018.8</v>
      </c>
      <c r="S58" s="30">
        <f>Q58/R58</f>
        <v>103.36211902030227</v>
      </c>
      <c r="T58" s="30">
        <f>SUM(T54:T57)</f>
        <v>1320267.5699999998</v>
      </c>
      <c r="U58" s="31">
        <f>SUM(U54:U57)</f>
        <v>12803.599999999999</v>
      </c>
      <c r="V58" s="32">
        <f>T58/U58</f>
        <v>103.11690227748446</v>
      </c>
    </row>
    <row r="59" spans="2:24" ht="39" customHeight="1" x14ac:dyDescent="0.25">
      <c r="B59" s="52" t="s">
        <v>30</v>
      </c>
      <c r="C59" s="52"/>
      <c r="D59" s="52"/>
      <c r="E59" s="33">
        <f>SUM(E58,E53,E47)</f>
        <v>679767.98</v>
      </c>
      <c r="F59" s="34">
        <f>SUM(F58,F53,F47)</f>
        <v>6392.9</v>
      </c>
      <c r="G59" s="33">
        <f>E59/F59</f>
        <v>106.33170861424394</v>
      </c>
      <c r="H59" s="33">
        <f>SUM(H58,H53,H47)</f>
        <v>704899.89</v>
      </c>
      <c r="I59" s="34">
        <f>SUM(I58,I53,I47)</f>
        <v>7184.1</v>
      </c>
      <c r="J59" s="33">
        <f>H59/I59</f>
        <v>98.119442936484731</v>
      </c>
      <c r="K59" s="33">
        <f>SUM(K58,K53,K47)</f>
        <v>0</v>
      </c>
      <c r="L59" s="34">
        <f>SUM(L58,L53,L47)</f>
        <v>0</v>
      </c>
      <c r="M59" s="33" t="e">
        <f>K59/L59</f>
        <v>#DIV/0!</v>
      </c>
      <c r="N59" s="33">
        <f>SUM(N58,N53,N47)</f>
        <v>419419.5</v>
      </c>
      <c r="O59" s="34">
        <f>SUM(O58,O53,O47)</f>
        <v>4247.1000000000004</v>
      </c>
      <c r="P59" s="33">
        <f>N59/O59</f>
        <v>98.754326481599207</v>
      </c>
      <c r="Q59" s="33">
        <f>SUM(Q58,Q53,Q47)</f>
        <v>1696046.3199999998</v>
      </c>
      <c r="R59" s="34">
        <f>SUM(R58,R53,R47)</f>
        <v>17421.400000000001</v>
      </c>
      <c r="S59" s="33">
        <f>Q59/R59</f>
        <v>97.354191970794517</v>
      </c>
      <c r="T59" s="33">
        <f>SUM(T58,T53,T47)</f>
        <v>3500133.69</v>
      </c>
      <c r="U59" s="34">
        <f>SUM(U58,U53,U47)</f>
        <v>35245.5</v>
      </c>
      <c r="V59" s="33">
        <f>T59/U59</f>
        <v>99.307250287270719</v>
      </c>
    </row>
    <row r="60" spans="2:24" x14ac:dyDescent="0.25">
      <c r="B60" s="67" t="s">
        <v>15</v>
      </c>
      <c r="C60" s="67" t="s">
        <v>10</v>
      </c>
      <c r="D60" s="67" t="s">
        <v>0</v>
      </c>
      <c r="E60" s="58" t="s">
        <v>40</v>
      </c>
      <c r="F60" s="58"/>
      <c r="G60" s="58"/>
      <c r="H60" s="58" t="s">
        <v>7</v>
      </c>
      <c r="I60" s="58"/>
      <c r="J60" s="58"/>
      <c r="K60" s="55" t="s">
        <v>27</v>
      </c>
      <c r="L60" s="56"/>
      <c r="M60" s="57"/>
      <c r="N60" s="58" t="s">
        <v>41</v>
      </c>
      <c r="O60" s="58"/>
      <c r="P60" s="58"/>
      <c r="Q60" s="58" t="s">
        <v>4</v>
      </c>
      <c r="R60" s="58"/>
      <c r="S60" s="58"/>
      <c r="T60" s="58" t="s">
        <v>9</v>
      </c>
      <c r="U60" s="58"/>
      <c r="V60" s="58"/>
    </row>
    <row r="61" spans="2:24" x14ac:dyDescent="0.25">
      <c r="B61" s="67"/>
      <c r="C61" s="67"/>
      <c r="D61" s="67"/>
      <c r="E61" s="1" t="s">
        <v>1</v>
      </c>
      <c r="F61" s="3" t="s">
        <v>2</v>
      </c>
      <c r="G61" s="1" t="s">
        <v>3</v>
      </c>
      <c r="H61" s="1" t="s">
        <v>1</v>
      </c>
      <c r="I61" s="3" t="s">
        <v>2</v>
      </c>
      <c r="J61" s="1" t="s">
        <v>3</v>
      </c>
      <c r="K61" s="1" t="s">
        <v>1</v>
      </c>
      <c r="L61" s="3" t="s">
        <v>2</v>
      </c>
      <c r="M61" s="1" t="s">
        <v>3</v>
      </c>
      <c r="N61" s="1" t="s">
        <v>1</v>
      </c>
      <c r="O61" s="3" t="s">
        <v>2</v>
      </c>
      <c r="P61" s="1" t="s">
        <v>3</v>
      </c>
      <c r="Q61" s="1" t="s">
        <v>1</v>
      </c>
      <c r="R61" s="3" t="s">
        <v>2</v>
      </c>
      <c r="S61" s="1" t="s">
        <v>3</v>
      </c>
      <c r="T61" s="1" t="s">
        <v>1</v>
      </c>
      <c r="U61" s="3" t="s">
        <v>2</v>
      </c>
      <c r="V61" s="1" t="s">
        <v>3</v>
      </c>
    </row>
    <row r="62" spans="2:24" ht="23.25" customHeight="1" x14ac:dyDescent="0.25">
      <c r="B62" s="59" t="s">
        <v>28</v>
      </c>
      <c r="C62" s="62" t="s">
        <v>31</v>
      </c>
      <c r="D62" s="11">
        <v>44839</v>
      </c>
      <c r="E62" s="7">
        <v>35300.25</v>
      </c>
      <c r="F62" s="8">
        <v>290.5</v>
      </c>
      <c r="G62" s="7">
        <f t="shared" ref="G62:G76" si="49">E62/F62</f>
        <v>121.51549053356283</v>
      </c>
      <c r="H62" s="7">
        <v>42513.51</v>
      </c>
      <c r="I62" s="8">
        <v>363.5</v>
      </c>
      <c r="J62" s="7">
        <f t="shared" ref="J62:J76" si="50">H62/I62</f>
        <v>116.95601100412655</v>
      </c>
      <c r="K62" s="7"/>
      <c r="L62" s="8"/>
      <c r="M62" s="7" t="e">
        <f t="shared" ref="M62:M65" si="51">K62/L62</f>
        <v>#DIV/0!</v>
      </c>
      <c r="N62" s="7">
        <v>30690</v>
      </c>
      <c r="O62" s="8">
        <v>325.5</v>
      </c>
      <c r="P62" s="7">
        <f t="shared" ref="P62:P76" si="52">N62/O62</f>
        <v>94.285714285714292</v>
      </c>
      <c r="Q62" s="7">
        <v>94766.75</v>
      </c>
      <c r="R62" s="8">
        <v>1057</v>
      </c>
      <c r="S62" s="7">
        <f t="shared" ref="S62:S76" si="53">Q62/R62</f>
        <v>89.656338694418167</v>
      </c>
      <c r="T62" s="7">
        <f t="shared" ref="T62:U65" si="54">SUM(E62,H62,K62,N62,Q62)</f>
        <v>203270.51</v>
      </c>
      <c r="U62" s="8">
        <f t="shared" si="54"/>
        <v>2036.5</v>
      </c>
      <c r="V62" s="7">
        <f t="shared" ref="V62:V76" si="55">T62/U62</f>
        <v>99.813655781978895</v>
      </c>
    </row>
    <row r="63" spans="2:24" ht="23.25" customHeight="1" x14ac:dyDescent="0.25">
      <c r="B63" s="60"/>
      <c r="C63" s="62"/>
      <c r="D63" s="11">
        <v>44846</v>
      </c>
      <c r="E63" s="7">
        <v>42564.17</v>
      </c>
      <c r="F63" s="8">
        <v>405</v>
      </c>
      <c r="G63" s="7">
        <f t="shared" si="49"/>
        <v>105.09671604938271</v>
      </c>
      <c r="H63" s="7">
        <v>56449.75</v>
      </c>
      <c r="I63" s="8">
        <v>518</v>
      </c>
      <c r="J63" s="7">
        <f t="shared" si="50"/>
        <v>108.97635135135135</v>
      </c>
      <c r="K63" s="7"/>
      <c r="L63" s="8"/>
      <c r="M63" s="7" t="e">
        <f t="shared" si="51"/>
        <v>#DIV/0!</v>
      </c>
      <c r="N63" s="7">
        <v>80872</v>
      </c>
      <c r="O63" s="8">
        <v>727.3</v>
      </c>
      <c r="P63" s="7">
        <f t="shared" si="52"/>
        <v>111.19483019386773</v>
      </c>
      <c r="Q63" s="7">
        <v>86960</v>
      </c>
      <c r="R63" s="8">
        <v>920.5</v>
      </c>
      <c r="S63" s="7">
        <f t="shared" si="53"/>
        <v>94.470396523628466</v>
      </c>
      <c r="T63" s="7">
        <f t="shared" si="54"/>
        <v>266845.92</v>
      </c>
      <c r="U63" s="8">
        <f t="shared" si="54"/>
        <v>2570.8000000000002</v>
      </c>
      <c r="V63" s="7">
        <f t="shared" si="55"/>
        <v>103.79878637000154</v>
      </c>
    </row>
    <row r="64" spans="2:24" ht="23.25" customHeight="1" x14ac:dyDescent="0.25">
      <c r="B64" s="60"/>
      <c r="C64" s="62"/>
      <c r="D64" s="11">
        <v>44488</v>
      </c>
      <c r="E64" s="7">
        <v>8965</v>
      </c>
      <c r="F64" s="8">
        <v>74.5</v>
      </c>
      <c r="G64" s="7">
        <f t="shared" si="49"/>
        <v>120.33557046979865</v>
      </c>
      <c r="H64" s="7">
        <v>48428.5</v>
      </c>
      <c r="I64" s="8">
        <v>496</v>
      </c>
      <c r="J64" s="7">
        <f t="shared" si="50"/>
        <v>97.63810483870968</v>
      </c>
      <c r="K64" s="7"/>
      <c r="L64" s="8"/>
      <c r="M64" s="7" t="e">
        <f t="shared" si="51"/>
        <v>#DIV/0!</v>
      </c>
      <c r="N64" s="7">
        <v>19465.75</v>
      </c>
      <c r="O64" s="8">
        <v>159</v>
      </c>
      <c r="P64" s="7">
        <f t="shared" si="52"/>
        <v>122.42610062893081</v>
      </c>
      <c r="Q64" s="7">
        <v>279899</v>
      </c>
      <c r="R64" s="8">
        <v>2247.5</v>
      </c>
      <c r="S64" s="7">
        <f t="shared" si="53"/>
        <v>124.53793103448275</v>
      </c>
      <c r="T64" s="7">
        <f t="shared" si="54"/>
        <v>356758.25</v>
      </c>
      <c r="U64" s="8">
        <f t="shared" si="54"/>
        <v>2977</v>
      </c>
      <c r="V64" s="7">
        <f t="shared" si="55"/>
        <v>119.83817601612361</v>
      </c>
      <c r="X64" s="2"/>
    </row>
    <row r="65" spans="2:24" ht="23.25" customHeight="1" x14ac:dyDescent="0.25">
      <c r="B65" s="60"/>
      <c r="C65" s="62"/>
      <c r="D65" s="11">
        <v>44495</v>
      </c>
      <c r="E65" s="7">
        <v>39381.25</v>
      </c>
      <c r="F65" s="8">
        <v>407.5</v>
      </c>
      <c r="G65" s="7">
        <f t="shared" si="49"/>
        <v>96.641104294478524</v>
      </c>
      <c r="H65" s="7">
        <v>87778.5</v>
      </c>
      <c r="I65" s="8">
        <v>835.5</v>
      </c>
      <c r="J65" s="7">
        <f t="shared" si="50"/>
        <v>105.06104129263913</v>
      </c>
      <c r="K65" s="7"/>
      <c r="L65" s="8"/>
      <c r="M65" s="7" t="e">
        <f t="shared" si="51"/>
        <v>#DIV/0!</v>
      </c>
      <c r="N65" s="7">
        <v>34882.5</v>
      </c>
      <c r="O65" s="8">
        <v>372.5</v>
      </c>
      <c r="P65" s="7">
        <f t="shared" si="52"/>
        <v>93.644295302013418</v>
      </c>
      <c r="Q65" s="7">
        <v>120017.23</v>
      </c>
      <c r="R65" s="8">
        <v>1167.5</v>
      </c>
      <c r="S65" s="7">
        <f t="shared" si="53"/>
        <v>102.79848394004283</v>
      </c>
      <c r="T65" s="7">
        <f t="shared" si="54"/>
        <v>282059.48</v>
      </c>
      <c r="U65" s="8">
        <f t="shared" si="54"/>
        <v>2783</v>
      </c>
      <c r="V65" s="7">
        <f t="shared" si="55"/>
        <v>101.35087315846208</v>
      </c>
      <c r="X65" s="2">
        <f>SUM(T62:T65)</f>
        <v>1108934.1599999999</v>
      </c>
    </row>
    <row r="66" spans="2:24" ht="23.25" customHeight="1" x14ac:dyDescent="0.25">
      <c r="B66" s="60"/>
      <c r="C66" s="63" t="s">
        <v>36</v>
      </c>
      <c r="D66" s="64"/>
      <c r="E66" s="30">
        <f>SUM(E62:E65)</f>
        <v>126210.67</v>
      </c>
      <c r="F66" s="31">
        <f>SUM(F62:F65)</f>
        <v>1177.5</v>
      </c>
      <c r="G66" s="30">
        <f>E66/F66</f>
        <v>107.18528237791932</v>
      </c>
      <c r="H66" s="30">
        <f>SUM(H62:H65)</f>
        <v>235170.26</v>
      </c>
      <c r="I66" s="31">
        <f>SUM(I62:I65)</f>
        <v>2213</v>
      </c>
      <c r="J66" s="30">
        <f>H66/I66</f>
        <v>106.26762765476728</v>
      </c>
      <c r="K66" s="30">
        <f>SUM(K62:K65)</f>
        <v>0</v>
      </c>
      <c r="L66" s="31">
        <f>SUM(L62:L65)</f>
        <v>0</v>
      </c>
      <c r="M66" s="30" t="e">
        <f>K66/L66</f>
        <v>#DIV/0!</v>
      </c>
      <c r="N66" s="30">
        <f>SUM(N62:N65)</f>
        <v>165910.25</v>
      </c>
      <c r="O66" s="31">
        <f>SUM(O62:O65)</f>
        <v>1584.3</v>
      </c>
      <c r="P66" s="30">
        <f>N66/O66</f>
        <v>104.72148582970398</v>
      </c>
      <c r="Q66" s="30">
        <f>SUM(Q62:Q65)</f>
        <v>581642.98</v>
      </c>
      <c r="R66" s="31">
        <f>SUM(R62:R65)</f>
        <v>5392.5</v>
      </c>
      <c r="S66" s="30">
        <f>Q66/R66</f>
        <v>107.86147056096429</v>
      </c>
      <c r="T66" s="30">
        <f>SUM(T62:T65)</f>
        <v>1108934.1599999999</v>
      </c>
      <c r="U66" s="31">
        <f>SUM(U62:U65)</f>
        <v>10367.299999999999</v>
      </c>
      <c r="V66" s="32">
        <f>T66/U66</f>
        <v>106.96460602085403</v>
      </c>
    </row>
    <row r="67" spans="2:24" ht="23.25" customHeight="1" x14ac:dyDescent="0.25">
      <c r="B67" s="60"/>
      <c r="C67" s="72" t="s">
        <v>32</v>
      </c>
      <c r="D67" s="11">
        <v>45232</v>
      </c>
      <c r="E67" s="7">
        <v>128429</v>
      </c>
      <c r="F67" s="8">
        <v>1187.5</v>
      </c>
      <c r="G67" s="7">
        <f t="shared" si="49"/>
        <v>108.15073684210526</v>
      </c>
      <c r="H67" s="7">
        <v>15695.5</v>
      </c>
      <c r="I67" s="8">
        <v>151</v>
      </c>
      <c r="J67" s="7">
        <f t="shared" si="50"/>
        <v>103.94370860927152</v>
      </c>
      <c r="K67" s="7"/>
      <c r="L67" s="8"/>
      <c r="M67" s="7" t="e">
        <f t="shared" ref="M67:M71" si="56">K67/L67</f>
        <v>#DIV/0!</v>
      </c>
      <c r="N67" s="7">
        <v>22223.5</v>
      </c>
      <c r="O67" s="8">
        <v>208</v>
      </c>
      <c r="P67" s="7">
        <f t="shared" si="52"/>
        <v>106.84375</v>
      </c>
      <c r="Q67" s="7">
        <v>69732.5</v>
      </c>
      <c r="R67" s="8">
        <v>712.5</v>
      </c>
      <c r="S67" s="7">
        <f t="shared" si="53"/>
        <v>97.87017543859649</v>
      </c>
      <c r="T67" s="7">
        <f t="shared" ref="T67:U71" si="57">SUM(E67,H67,K67,N67,Q67)</f>
        <v>236080.5</v>
      </c>
      <c r="U67" s="8">
        <f t="shared" si="57"/>
        <v>2259</v>
      </c>
      <c r="V67" s="7">
        <f t="shared" si="55"/>
        <v>104.5066401062417</v>
      </c>
    </row>
    <row r="68" spans="2:24" ht="23.25" customHeight="1" x14ac:dyDescent="0.25">
      <c r="B68" s="60"/>
      <c r="C68" s="65">
        <v>7</v>
      </c>
      <c r="D68" s="11">
        <v>44510</v>
      </c>
      <c r="E68" s="7">
        <v>115302.5</v>
      </c>
      <c r="F68" s="8">
        <v>1086</v>
      </c>
      <c r="G68" s="7">
        <f t="shared" si="49"/>
        <v>106.17173112338858</v>
      </c>
      <c r="H68" s="7">
        <v>51421</v>
      </c>
      <c r="I68" s="8">
        <v>449.5</v>
      </c>
      <c r="J68" s="7">
        <f t="shared" si="50"/>
        <v>114.39599555061179</v>
      </c>
      <c r="K68" s="7"/>
      <c r="L68" s="8"/>
      <c r="M68" s="7" t="e">
        <f t="shared" si="56"/>
        <v>#DIV/0!</v>
      </c>
      <c r="N68" s="7">
        <v>45015</v>
      </c>
      <c r="O68" s="8">
        <v>450</v>
      </c>
      <c r="P68" s="7">
        <f t="shared" si="52"/>
        <v>100.03333333333333</v>
      </c>
      <c r="Q68" s="7">
        <v>132366.54999999999</v>
      </c>
      <c r="R68" s="8">
        <v>1091</v>
      </c>
      <c r="S68" s="7">
        <f t="shared" si="53"/>
        <v>121.32589367552703</v>
      </c>
      <c r="T68" s="7">
        <f t="shared" si="57"/>
        <v>344105.05</v>
      </c>
      <c r="U68" s="8">
        <f t="shared" si="57"/>
        <v>3076.5</v>
      </c>
      <c r="V68" s="7">
        <f t="shared" si="55"/>
        <v>111.84952055907686</v>
      </c>
    </row>
    <row r="69" spans="2:24" ht="23.25" customHeight="1" x14ac:dyDescent="0.25">
      <c r="B69" s="60"/>
      <c r="C69" s="65">
        <v>8</v>
      </c>
      <c r="D69" s="11">
        <v>44516</v>
      </c>
      <c r="E69" s="7">
        <v>59998.75</v>
      </c>
      <c r="F69" s="8">
        <v>563</v>
      </c>
      <c r="G69" s="7">
        <f t="shared" si="49"/>
        <v>106.56971580817051</v>
      </c>
      <c r="H69" s="7">
        <v>119262.75</v>
      </c>
      <c r="I69" s="8">
        <v>1189.5</v>
      </c>
      <c r="J69" s="7">
        <f t="shared" si="50"/>
        <v>100.26292559899117</v>
      </c>
      <c r="K69" s="7"/>
      <c r="L69" s="8"/>
      <c r="M69" s="7" t="e">
        <f t="shared" si="56"/>
        <v>#DIV/0!</v>
      </c>
      <c r="N69" s="7">
        <v>54205</v>
      </c>
      <c r="O69" s="8">
        <v>492.5</v>
      </c>
      <c r="P69" s="7">
        <f t="shared" si="52"/>
        <v>110.06091370558376</v>
      </c>
      <c r="Q69" s="7">
        <v>134713.25</v>
      </c>
      <c r="R69" s="8">
        <v>1708</v>
      </c>
      <c r="S69" s="7">
        <f t="shared" si="53"/>
        <v>78.87192622950819</v>
      </c>
      <c r="T69" s="7">
        <f t="shared" si="57"/>
        <v>368179.75</v>
      </c>
      <c r="U69" s="8">
        <f t="shared" si="57"/>
        <v>3953</v>
      </c>
      <c r="V69" s="7">
        <f t="shared" si="55"/>
        <v>93.139324563622566</v>
      </c>
      <c r="X69" s="2"/>
    </row>
    <row r="70" spans="2:24" ht="23.25" customHeight="1" x14ac:dyDescent="0.25">
      <c r="B70" s="60"/>
      <c r="C70" s="65">
        <v>9</v>
      </c>
      <c r="D70" s="11">
        <v>44523</v>
      </c>
      <c r="E70" s="7">
        <v>47848.75</v>
      </c>
      <c r="F70" s="8">
        <v>515.5</v>
      </c>
      <c r="G70" s="7">
        <f t="shared" si="49"/>
        <v>92.820077594568374</v>
      </c>
      <c r="H70" s="7">
        <v>107403.25</v>
      </c>
      <c r="I70" s="8">
        <v>1028.5</v>
      </c>
      <c r="J70" s="7">
        <f t="shared" si="50"/>
        <v>104.42707826932426</v>
      </c>
      <c r="K70" s="7"/>
      <c r="L70" s="8"/>
      <c r="M70" s="7" t="e">
        <f t="shared" si="56"/>
        <v>#DIV/0!</v>
      </c>
      <c r="N70" s="7">
        <v>28728.5</v>
      </c>
      <c r="O70" s="8">
        <v>344</v>
      </c>
      <c r="P70" s="7">
        <f t="shared" si="52"/>
        <v>83.513081395348834</v>
      </c>
      <c r="Q70" s="7">
        <v>64767.5</v>
      </c>
      <c r="R70" s="8">
        <v>661</v>
      </c>
      <c r="S70" s="7">
        <f t="shared" si="53"/>
        <v>97.984114977307115</v>
      </c>
      <c r="T70" s="7">
        <f t="shared" si="57"/>
        <v>248748</v>
      </c>
      <c r="U70" s="8">
        <f t="shared" si="57"/>
        <v>2549</v>
      </c>
      <c r="V70" s="7">
        <f t="shared" si="55"/>
        <v>97.586504511573168</v>
      </c>
      <c r="X70" s="2">
        <f>SUM(T67:T70)</f>
        <v>1197113.3</v>
      </c>
    </row>
    <row r="71" spans="2:24" ht="23.25" customHeight="1" x14ac:dyDescent="0.25">
      <c r="B71" s="60"/>
      <c r="C71" s="66"/>
      <c r="D71" s="11">
        <v>44530</v>
      </c>
      <c r="E71" s="7">
        <v>34382.5</v>
      </c>
      <c r="F71" s="8">
        <v>322</v>
      </c>
      <c r="G71" s="7">
        <f t="shared" si="49"/>
        <v>106.77795031055901</v>
      </c>
      <c r="H71" s="7">
        <v>111739</v>
      </c>
      <c r="I71" s="8">
        <v>1001.5</v>
      </c>
      <c r="J71" s="7">
        <f t="shared" si="50"/>
        <v>111.57164253619571</v>
      </c>
      <c r="K71" s="7"/>
      <c r="L71" s="8"/>
      <c r="M71" s="7" t="e">
        <f t="shared" si="56"/>
        <v>#DIV/0!</v>
      </c>
      <c r="N71" s="7">
        <v>23000</v>
      </c>
      <c r="O71" s="8">
        <v>249</v>
      </c>
      <c r="P71" s="7">
        <f t="shared" si="52"/>
        <v>92.369477911646584</v>
      </c>
      <c r="Q71" s="7">
        <v>16305</v>
      </c>
      <c r="R71" s="8">
        <v>167</v>
      </c>
      <c r="S71" s="7">
        <f t="shared" si="53"/>
        <v>97.634730538922156</v>
      </c>
      <c r="T71" s="7">
        <f t="shared" si="57"/>
        <v>185426.5</v>
      </c>
      <c r="U71" s="8">
        <f t="shared" si="57"/>
        <v>1739.5</v>
      </c>
      <c r="V71" s="7">
        <f t="shared" si="55"/>
        <v>106.59758551307847</v>
      </c>
    </row>
    <row r="72" spans="2:24" ht="23.25" customHeight="1" x14ac:dyDescent="0.25">
      <c r="B72" s="60"/>
      <c r="C72" s="63" t="s">
        <v>36</v>
      </c>
      <c r="D72" s="64"/>
      <c r="E72" s="30">
        <f>SUM(E67:E71)</f>
        <v>385961.5</v>
      </c>
      <c r="F72" s="31">
        <f>SUM(F67:F71)</f>
        <v>3674</v>
      </c>
      <c r="G72" s="30">
        <f>E72/F72</f>
        <v>105.05212302667393</v>
      </c>
      <c r="H72" s="30">
        <f t="shared" ref="H72:I72" si="58">SUM(H67:H71)</f>
        <v>405521.5</v>
      </c>
      <c r="I72" s="31">
        <f t="shared" si="58"/>
        <v>3820</v>
      </c>
      <c r="J72" s="30">
        <f>H72/I72</f>
        <v>106.15746073298429</v>
      </c>
      <c r="K72" s="30">
        <f t="shared" ref="K72:L72" si="59">SUM(K67:K71)</f>
        <v>0</v>
      </c>
      <c r="L72" s="31">
        <f t="shared" si="59"/>
        <v>0</v>
      </c>
      <c r="M72" s="30" t="e">
        <f>K72/L72</f>
        <v>#DIV/0!</v>
      </c>
      <c r="N72" s="30">
        <f t="shared" ref="N72:O72" si="60">SUM(N67:N71)</f>
        <v>173172</v>
      </c>
      <c r="O72" s="31">
        <f t="shared" si="60"/>
        <v>1743.5</v>
      </c>
      <c r="P72" s="30">
        <f>N72/O72</f>
        <v>99.324347576713507</v>
      </c>
      <c r="Q72" s="30">
        <f t="shared" ref="Q72:R72" si="61">SUM(Q67:Q71)</f>
        <v>417884.8</v>
      </c>
      <c r="R72" s="31">
        <f t="shared" si="61"/>
        <v>4339.5</v>
      </c>
      <c r="S72" s="30">
        <f>Q72/R72</f>
        <v>96.297914506279525</v>
      </c>
      <c r="T72" s="30">
        <f t="shared" ref="T72:U72" si="62">SUM(T67:T71)</f>
        <v>1382539.8</v>
      </c>
      <c r="U72" s="31">
        <f t="shared" si="62"/>
        <v>13577</v>
      </c>
      <c r="V72" s="32">
        <f>T72/U72</f>
        <v>101.82954997422111</v>
      </c>
    </row>
    <row r="73" spans="2:24" ht="23.25" customHeight="1" x14ac:dyDescent="0.25">
      <c r="B73" s="60"/>
      <c r="C73" s="62" t="s">
        <v>33</v>
      </c>
      <c r="D73" s="11">
        <v>44537</v>
      </c>
      <c r="E73" s="7">
        <v>84514.82</v>
      </c>
      <c r="F73" s="8">
        <v>771.5</v>
      </c>
      <c r="G73" s="7">
        <f t="shared" si="49"/>
        <v>109.54610499027869</v>
      </c>
      <c r="H73" s="7">
        <v>30620</v>
      </c>
      <c r="I73" s="8">
        <v>282</v>
      </c>
      <c r="J73" s="7">
        <f t="shared" si="50"/>
        <v>108.58156028368795</v>
      </c>
      <c r="K73" s="7"/>
      <c r="L73" s="8"/>
      <c r="M73" s="7" t="e">
        <f t="shared" ref="M73:M76" si="63">K73/L73</f>
        <v>#DIV/0!</v>
      </c>
      <c r="N73" s="7">
        <v>22140</v>
      </c>
      <c r="O73" s="8">
        <v>198.5</v>
      </c>
      <c r="P73" s="7">
        <f t="shared" si="52"/>
        <v>111.53652392947103</v>
      </c>
      <c r="Q73" s="7">
        <v>51705</v>
      </c>
      <c r="R73" s="8">
        <v>438</v>
      </c>
      <c r="S73" s="7">
        <f t="shared" si="53"/>
        <v>118.04794520547945</v>
      </c>
      <c r="T73" s="7">
        <f t="shared" ref="T73:U76" si="64">SUM(E73,H73,K73,N73,Q73)</f>
        <v>188979.82</v>
      </c>
      <c r="U73" s="8">
        <f t="shared" si="64"/>
        <v>1690</v>
      </c>
      <c r="V73" s="7">
        <f t="shared" si="55"/>
        <v>111.82237869822485</v>
      </c>
    </row>
    <row r="74" spans="2:24" ht="23.25" customHeight="1" x14ac:dyDescent="0.25">
      <c r="B74" s="60"/>
      <c r="C74" s="62">
        <v>11</v>
      </c>
      <c r="D74" s="11">
        <v>44544</v>
      </c>
      <c r="E74" s="7">
        <v>65863.25</v>
      </c>
      <c r="F74" s="8">
        <v>556.5</v>
      </c>
      <c r="G74" s="7">
        <f t="shared" si="49"/>
        <v>118.35265049415993</v>
      </c>
      <c r="H74" s="7">
        <v>69236.25</v>
      </c>
      <c r="I74" s="8">
        <v>532</v>
      </c>
      <c r="J74" s="7">
        <f t="shared" si="50"/>
        <v>130.14332706766916</v>
      </c>
      <c r="K74" s="7"/>
      <c r="L74" s="8"/>
      <c r="M74" s="7" t="e">
        <f t="shared" si="63"/>
        <v>#DIV/0!</v>
      </c>
      <c r="N74" s="7">
        <v>76952.83</v>
      </c>
      <c r="O74" s="8">
        <v>724</v>
      </c>
      <c r="P74" s="7">
        <f t="shared" si="52"/>
        <v>106.28843922651934</v>
      </c>
      <c r="Q74" s="7">
        <v>79000.25</v>
      </c>
      <c r="R74" s="8">
        <v>777</v>
      </c>
      <c r="S74" s="7">
        <f t="shared" si="53"/>
        <v>101.67342342342343</v>
      </c>
      <c r="T74" s="7">
        <f t="shared" si="64"/>
        <v>291052.58</v>
      </c>
      <c r="U74" s="8">
        <f t="shared" si="64"/>
        <v>2589.5</v>
      </c>
      <c r="V74" s="7">
        <f t="shared" si="55"/>
        <v>112.39721181695309</v>
      </c>
      <c r="X74" s="2">
        <f>SUM(T73:T74)</f>
        <v>480032.4</v>
      </c>
    </row>
    <row r="75" spans="2:24" ht="23.25" customHeight="1" x14ac:dyDescent="0.25">
      <c r="B75" s="60"/>
      <c r="C75" s="62">
        <v>12</v>
      </c>
      <c r="D75" s="11">
        <v>44916</v>
      </c>
      <c r="E75" s="7">
        <v>180348</v>
      </c>
      <c r="F75" s="8">
        <v>1668.5</v>
      </c>
      <c r="G75" s="7">
        <f t="shared" si="49"/>
        <v>108.08990110878034</v>
      </c>
      <c r="H75" s="7">
        <v>41760</v>
      </c>
      <c r="I75" s="8">
        <v>368.5</v>
      </c>
      <c r="J75" s="7">
        <f t="shared" si="50"/>
        <v>113.32428765264586</v>
      </c>
      <c r="K75" s="7"/>
      <c r="L75" s="8"/>
      <c r="M75" s="7" t="e">
        <f t="shared" si="63"/>
        <v>#DIV/0!</v>
      </c>
      <c r="N75" s="7">
        <v>26305</v>
      </c>
      <c r="O75" s="8">
        <v>266</v>
      </c>
      <c r="P75" s="7">
        <f t="shared" si="52"/>
        <v>98.890977443609017</v>
      </c>
      <c r="Q75" s="7">
        <v>117838</v>
      </c>
      <c r="R75" s="8">
        <v>1433.5</v>
      </c>
      <c r="S75" s="7">
        <f t="shared" si="53"/>
        <v>82.202999651203342</v>
      </c>
      <c r="T75" s="7">
        <f t="shared" si="64"/>
        <v>366251</v>
      </c>
      <c r="U75" s="8">
        <f t="shared" si="64"/>
        <v>3736.5</v>
      </c>
      <c r="V75" s="7">
        <f t="shared" si="55"/>
        <v>98.019804630001332</v>
      </c>
    </row>
    <row r="76" spans="2:24" ht="23.25" customHeight="1" x14ac:dyDescent="0.25">
      <c r="B76" s="60"/>
      <c r="C76" s="62">
        <v>13</v>
      </c>
      <c r="D76" s="11">
        <v>44923</v>
      </c>
      <c r="E76" s="7">
        <v>30380</v>
      </c>
      <c r="F76" s="8">
        <v>294</v>
      </c>
      <c r="G76" s="7">
        <f t="shared" si="49"/>
        <v>103.33333333333333</v>
      </c>
      <c r="H76" s="7">
        <v>80330.03</v>
      </c>
      <c r="I76" s="8">
        <v>747.5</v>
      </c>
      <c r="J76" s="7">
        <f t="shared" si="50"/>
        <v>107.46492307692307</v>
      </c>
      <c r="K76" s="7"/>
      <c r="L76" s="8"/>
      <c r="M76" s="7" t="e">
        <f t="shared" si="63"/>
        <v>#DIV/0!</v>
      </c>
      <c r="N76" s="7">
        <v>24220</v>
      </c>
      <c r="O76" s="8">
        <v>216.5</v>
      </c>
      <c r="P76" s="7">
        <f t="shared" si="52"/>
        <v>111.87066974595842</v>
      </c>
      <c r="Q76" s="7">
        <v>11640</v>
      </c>
      <c r="R76" s="8">
        <v>78</v>
      </c>
      <c r="S76" s="7">
        <f t="shared" si="53"/>
        <v>149.23076923076923</v>
      </c>
      <c r="T76" s="7">
        <f t="shared" si="64"/>
        <v>146570.03</v>
      </c>
      <c r="U76" s="8">
        <f t="shared" si="64"/>
        <v>1336</v>
      </c>
      <c r="V76" s="7">
        <f t="shared" si="55"/>
        <v>109.70810628742515</v>
      </c>
    </row>
    <row r="77" spans="2:24" ht="23.25" customHeight="1" x14ac:dyDescent="0.25">
      <c r="B77" s="61"/>
      <c r="C77" s="63" t="s">
        <v>36</v>
      </c>
      <c r="D77" s="64"/>
      <c r="E77" s="30">
        <f>SUM(E73:E76)</f>
        <v>361106.07</v>
      </c>
      <c r="F77" s="31">
        <f>SUM(F73:F76)</f>
        <v>3290.5</v>
      </c>
      <c r="G77" s="30">
        <f>E77/F77</f>
        <v>109.74200577419845</v>
      </c>
      <c r="H77" s="30">
        <f>SUM(H73:H76)</f>
        <v>221946.28</v>
      </c>
      <c r="I77" s="31">
        <f>SUM(I73:I76)</f>
        <v>1930</v>
      </c>
      <c r="J77" s="30">
        <f>H77/I77</f>
        <v>114.9980725388601</v>
      </c>
      <c r="K77" s="30">
        <f>SUM(K73:K76)</f>
        <v>0</v>
      </c>
      <c r="L77" s="31">
        <f>SUM(L73:L76)</f>
        <v>0</v>
      </c>
      <c r="M77" s="30" t="e">
        <f>K77/L77</f>
        <v>#DIV/0!</v>
      </c>
      <c r="N77" s="30">
        <f>SUM(N73:N76)</f>
        <v>149617.83000000002</v>
      </c>
      <c r="O77" s="31">
        <f>SUM(O73:O76)</f>
        <v>1405</v>
      </c>
      <c r="P77" s="30">
        <f>N77/O77</f>
        <v>106.48955871886122</v>
      </c>
      <c r="Q77" s="30">
        <f>SUM(Q73:Q76)</f>
        <v>260183.25</v>
      </c>
      <c r="R77" s="31">
        <f>SUM(R73:R76)</f>
        <v>2726.5</v>
      </c>
      <c r="S77" s="30">
        <f>Q77/R77</f>
        <v>95.427562809462685</v>
      </c>
      <c r="T77" s="30">
        <f>SUM(T73:T76)</f>
        <v>992853.43</v>
      </c>
      <c r="U77" s="31">
        <f>SUM(U73:U76)</f>
        <v>9352</v>
      </c>
      <c r="V77" s="32">
        <f>T77/U77</f>
        <v>106.16482356715142</v>
      </c>
    </row>
    <row r="78" spans="2:24" ht="39" customHeight="1" x14ac:dyDescent="0.25">
      <c r="B78" s="52" t="s">
        <v>29</v>
      </c>
      <c r="C78" s="52"/>
      <c r="D78" s="52"/>
      <c r="E78" s="33">
        <f>SUM(E77,E72,E66)</f>
        <v>873278.24000000011</v>
      </c>
      <c r="F78" s="34">
        <f>SUM(F77,F72,F66)</f>
        <v>8142</v>
      </c>
      <c r="G78" s="33">
        <f>E78/F78</f>
        <v>107.25598624416607</v>
      </c>
      <c r="H78" s="33">
        <f>SUM(H77,H72,H66)</f>
        <v>862638.04</v>
      </c>
      <c r="I78" s="34">
        <f>SUM(I77,I72,I66)</f>
        <v>7963</v>
      </c>
      <c r="J78" s="33">
        <f>H78/I78</f>
        <v>108.33078488007033</v>
      </c>
      <c r="K78" s="33">
        <f>SUM(K77,K72,K66)</f>
        <v>0</v>
      </c>
      <c r="L78" s="34">
        <f>SUM(L77,L72,L66)</f>
        <v>0</v>
      </c>
      <c r="M78" s="33" t="e">
        <f>K78/L78</f>
        <v>#DIV/0!</v>
      </c>
      <c r="N78" s="33">
        <f>SUM(N77,N72,N66)</f>
        <v>488700.08</v>
      </c>
      <c r="O78" s="34">
        <f>SUM(O77,O72,O66)</f>
        <v>4732.8</v>
      </c>
      <c r="P78" s="33">
        <f>N78/O78</f>
        <v>103.25813049357674</v>
      </c>
      <c r="Q78" s="33">
        <f>SUM(Q77,Q72,Q66)</f>
        <v>1259711.03</v>
      </c>
      <c r="R78" s="34">
        <f>SUM(R77,R72,R66)</f>
        <v>12458.5</v>
      </c>
      <c r="S78" s="33">
        <f>Q78/R78</f>
        <v>101.11257615282739</v>
      </c>
      <c r="T78" s="33">
        <f>SUM(T77,T72,T66)</f>
        <v>3484327.3899999997</v>
      </c>
      <c r="U78" s="34">
        <f>SUM(U77,U72,U66)</f>
        <v>33296.300000000003</v>
      </c>
      <c r="V78" s="33">
        <f>T78/U78</f>
        <v>104.64608349876711</v>
      </c>
    </row>
    <row r="79" spans="2:24" ht="23.25" customHeight="1" x14ac:dyDescent="0.25">
      <c r="B79" s="53" t="s">
        <v>38</v>
      </c>
      <c r="C79" s="54"/>
      <c r="D79" s="54"/>
      <c r="E79" s="9">
        <f>SUM(E78,E59,E39,E20)</f>
        <v>2896652.47</v>
      </c>
      <c r="F79" s="10">
        <f>SUM(F78,F59,F39,F20)</f>
        <v>27749</v>
      </c>
      <c r="G79" s="9">
        <f>E79/F79</f>
        <v>104.3876345093517</v>
      </c>
      <c r="H79" s="9">
        <f>SUM(H78,H59,H39,H20)</f>
        <v>3512572.8</v>
      </c>
      <c r="I79" s="10">
        <f>SUM(I78,I59,I39,I20)</f>
        <v>33020.6</v>
      </c>
      <c r="J79" s="9">
        <f>H79/I79</f>
        <v>106.3751960897137</v>
      </c>
      <c r="K79" s="9">
        <f>SUM(K78,K59,K39,K20)</f>
        <v>0</v>
      </c>
      <c r="L79" s="10">
        <f>SUM(L78,L59,L39,L20)</f>
        <v>0</v>
      </c>
      <c r="M79" s="9" t="e">
        <f>K79/L79</f>
        <v>#DIV/0!</v>
      </c>
      <c r="N79" s="9">
        <f>SUM(N78,N59,N39,N20)</f>
        <v>1255205.1300000001</v>
      </c>
      <c r="O79" s="10">
        <f>SUM(O78,O59,O39,O20)</f>
        <v>12301.2</v>
      </c>
      <c r="P79" s="9">
        <f>N79/O79</f>
        <v>102.03924251292557</v>
      </c>
      <c r="Q79" s="9">
        <f>SUM(Q78,Q59,Q39,Q20)</f>
        <v>6601593.8099999996</v>
      </c>
      <c r="R79" s="10">
        <f>SUM(R78,R59,R39,R20)</f>
        <v>65696.100000000006</v>
      </c>
      <c r="S79" s="9">
        <f>Q79/R79</f>
        <v>100.48684488120298</v>
      </c>
      <c r="T79" s="9">
        <f>SUM(T78,T59,T39,T20)</f>
        <v>14266024.209999999</v>
      </c>
      <c r="U79" s="10">
        <f>SUM(U78,U59,U39,U20)</f>
        <v>138766.9</v>
      </c>
      <c r="V79" s="9">
        <f>T79/U79</f>
        <v>102.80567058859137</v>
      </c>
    </row>
  </sheetData>
  <mergeCells count="70">
    <mergeCell ref="B78:D78"/>
    <mergeCell ref="B79:D79"/>
    <mergeCell ref="K60:M60"/>
    <mergeCell ref="N60:P60"/>
    <mergeCell ref="Q60:S60"/>
    <mergeCell ref="T60:V60"/>
    <mergeCell ref="B62:B77"/>
    <mergeCell ref="C62:C65"/>
    <mergeCell ref="C66:D66"/>
    <mergeCell ref="C67:C71"/>
    <mergeCell ref="C72:D72"/>
    <mergeCell ref="C73:C76"/>
    <mergeCell ref="H60:J60"/>
    <mergeCell ref="C77:D77"/>
    <mergeCell ref="B59:D59"/>
    <mergeCell ref="B60:B61"/>
    <mergeCell ref="C60:C61"/>
    <mergeCell ref="D60:D61"/>
    <mergeCell ref="E60:G60"/>
    <mergeCell ref="B43:B58"/>
    <mergeCell ref="C43:C46"/>
    <mergeCell ref="C47:D47"/>
    <mergeCell ref="C48:C52"/>
    <mergeCell ref="C53:D53"/>
    <mergeCell ref="C54:C57"/>
    <mergeCell ref="C58:D58"/>
    <mergeCell ref="T41:V41"/>
    <mergeCell ref="C38:D38"/>
    <mergeCell ref="B39:D39"/>
    <mergeCell ref="B40:D40"/>
    <mergeCell ref="B41:B42"/>
    <mergeCell ref="C41:C42"/>
    <mergeCell ref="D41:D42"/>
    <mergeCell ref="E41:G41"/>
    <mergeCell ref="H41:J41"/>
    <mergeCell ref="K41:M41"/>
    <mergeCell ref="N41:P41"/>
    <mergeCell ref="Q41:S41"/>
    <mergeCell ref="K21:M21"/>
    <mergeCell ref="N21:P21"/>
    <mergeCell ref="Q21:S21"/>
    <mergeCell ref="T21:V21"/>
    <mergeCell ref="B23:B38"/>
    <mergeCell ref="C23:C26"/>
    <mergeCell ref="C27:D27"/>
    <mergeCell ref="C28:C32"/>
    <mergeCell ref="C33:D33"/>
    <mergeCell ref="C34:C37"/>
    <mergeCell ref="H21:J21"/>
    <mergeCell ref="B20:D20"/>
    <mergeCell ref="B21:B22"/>
    <mergeCell ref="C21:C22"/>
    <mergeCell ref="D21:D22"/>
    <mergeCell ref="E21:G21"/>
    <mergeCell ref="N2:P2"/>
    <mergeCell ref="Q2:S2"/>
    <mergeCell ref="T2:V2"/>
    <mergeCell ref="B4:B19"/>
    <mergeCell ref="C4:C7"/>
    <mergeCell ref="C8:D8"/>
    <mergeCell ref="C9:C12"/>
    <mergeCell ref="C13:D13"/>
    <mergeCell ref="C14:C17"/>
    <mergeCell ref="C19:D19"/>
    <mergeCell ref="B2:B3"/>
    <mergeCell ref="C2:C3"/>
    <mergeCell ref="D2:D3"/>
    <mergeCell ref="E2:G2"/>
    <mergeCell ref="H2:J2"/>
    <mergeCell ref="K2:M2"/>
  </mergeCells>
  <printOptions horizontalCentered="1"/>
  <pageMargins left="0.7" right="0.7" top="1" bottom="0.75" header="0.3" footer="0.3"/>
  <pageSetup paperSize="17" scale="74" orientation="landscape" r:id="rId1"/>
  <headerFooter>
    <oddHeader>&amp;C&amp;"Arial Black,Regular"&amp;16 2023 SALES REPORT
&amp;12SALESMAN PERFORMANCE</oddHeader>
    <oddFooter>&amp;L&amp;Z&amp;F&amp;R&amp;D</oddFooter>
  </headerFooter>
  <rowBreaks count="1" manualBreakCount="1">
    <brk id="40" max="2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4B97-3FDB-4043-9300-ABCD9474809E}">
  <sheetPr codeName="Sheet6"/>
  <dimension ref="B2:X85"/>
  <sheetViews>
    <sheetView view="pageBreakPreview" zoomScale="130" zoomScaleNormal="130" zoomScaleSheetLayoutView="130" workbookViewId="0">
      <pane xSplit="3" ySplit="3" topLeftCell="H34" activePane="bottomRight" state="frozen"/>
      <selection pane="topRight" activeCell="C1" sqref="C1"/>
      <selection pane="bottomLeft" activeCell="A5" sqref="A5"/>
      <selection pane="bottomRight" activeCell="X46" sqref="X46"/>
    </sheetView>
  </sheetViews>
  <sheetFormatPr defaultRowHeight="15" x14ac:dyDescent="0.25"/>
  <cols>
    <col min="1" max="1" width="1.140625" customWidth="1"/>
    <col min="2" max="3" width="6" bestFit="1" customWidth="1"/>
    <col min="4" max="4" width="7.42578125" bestFit="1" customWidth="1"/>
    <col min="5" max="5" width="16.140625" style="2" customWidth="1"/>
    <col min="6" max="6" width="10.42578125" style="4" customWidth="1"/>
    <col min="7" max="7" width="8.85546875" style="2" bestFit="1" customWidth="1"/>
    <col min="8" max="8" width="16.140625" style="2" customWidth="1"/>
    <col min="9" max="9" width="10.42578125" style="4" customWidth="1"/>
    <col min="10" max="10" width="9.28515625" style="2" customWidth="1"/>
    <col min="11" max="11" width="16.140625" style="2" customWidth="1"/>
    <col min="12" max="12" width="10.42578125" style="4" customWidth="1"/>
    <col min="13" max="13" width="9.28515625" style="2" customWidth="1"/>
    <col min="14" max="14" width="16.140625" style="2" customWidth="1"/>
    <col min="15" max="15" width="10.42578125" style="4" customWidth="1"/>
    <col min="16" max="16" width="9.28515625" style="2" customWidth="1"/>
    <col min="17" max="17" width="16.140625" style="2" customWidth="1"/>
    <col min="18" max="18" width="10.42578125" style="4" customWidth="1"/>
    <col min="19" max="19" width="9.28515625" style="2" customWidth="1"/>
    <col min="20" max="20" width="16.140625" style="2" customWidth="1"/>
    <col min="21" max="21" width="10.42578125" style="4" customWidth="1"/>
    <col min="22" max="22" width="9.28515625" style="2" customWidth="1"/>
    <col min="23" max="23" width="1.140625" customWidth="1"/>
    <col min="24" max="24" width="13.7109375" bestFit="1" customWidth="1"/>
  </cols>
  <sheetData>
    <row r="2" spans="2:24" x14ac:dyDescent="0.25">
      <c r="B2" s="67" t="s">
        <v>15</v>
      </c>
      <c r="C2" s="67" t="s">
        <v>10</v>
      </c>
      <c r="D2" s="67" t="s">
        <v>0</v>
      </c>
      <c r="E2" s="58" t="s">
        <v>40</v>
      </c>
      <c r="F2" s="58"/>
      <c r="G2" s="58"/>
      <c r="H2" s="58" t="s">
        <v>7</v>
      </c>
      <c r="I2" s="58"/>
      <c r="J2" s="58"/>
      <c r="K2" s="55" t="s">
        <v>42</v>
      </c>
      <c r="L2" s="56"/>
      <c r="M2" s="57"/>
      <c r="N2" s="58" t="s">
        <v>43</v>
      </c>
      <c r="O2" s="58"/>
      <c r="P2" s="58"/>
      <c r="Q2" s="58" t="s">
        <v>4</v>
      </c>
      <c r="R2" s="58"/>
      <c r="S2" s="58"/>
      <c r="T2" s="58" t="s">
        <v>9</v>
      </c>
      <c r="U2" s="58"/>
      <c r="V2" s="58"/>
    </row>
    <row r="3" spans="2:24" x14ac:dyDescent="0.25">
      <c r="B3" s="67"/>
      <c r="C3" s="67"/>
      <c r="D3" s="67"/>
      <c r="E3" s="1" t="s">
        <v>1</v>
      </c>
      <c r="F3" s="3" t="s">
        <v>2</v>
      </c>
      <c r="G3" s="1" t="s">
        <v>3</v>
      </c>
      <c r="H3" s="1" t="s">
        <v>1</v>
      </c>
      <c r="I3" s="3" t="s">
        <v>2</v>
      </c>
      <c r="J3" s="1" t="s">
        <v>3</v>
      </c>
      <c r="K3" s="1" t="s">
        <v>1</v>
      </c>
      <c r="L3" s="3" t="s">
        <v>2</v>
      </c>
      <c r="M3" s="1" t="s">
        <v>3</v>
      </c>
      <c r="N3" s="1" t="s">
        <v>1</v>
      </c>
      <c r="O3" s="3" t="s">
        <v>2</v>
      </c>
      <c r="P3" s="1" t="s">
        <v>3</v>
      </c>
      <c r="Q3" s="1" t="s">
        <v>1</v>
      </c>
      <c r="R3" s="3" t="s">
        <v>2</v>
      </c>
      <c r="S3" s="1" t="s">
        <v>3</v>
      </c>
      <c r="T3" s="1" t="s">
        <v>1</v>
      </c>
      <c r="U3" s="3" t="s">
        <v>2</v>
      </c>
      <c r="V3" s="1" t="s">
        <v>3</v>
      </c>
    </row>
    <row r="4" spans="2:24" ht="23.25" customHeight="1" x14ac:dyDescent="0.25">
      <c r="B4" s="59" t="s">
        <v>16</v>
      </c>
      <c r="C4" s="59" t="s">
        <v>11</v>
      </c>
      <c r="D4" s="11">
        <v>45295</v>
      </c>
      <c r="E4" s="13">
        <v>50468.5</v>
      </c>
      <c r="F4" s="16">
        <v>471</v>
      </c>
      <c r="G4" s="13">
        <f t="shared" ref="G4:G18" si="0">E4/F4</f>
        <v>107.15180467091295</v>
      </c>
      <c r="H4" s="13">
        <v>66159.399999999994</v>
      </c>
      <c r="I4" s="16">
        <v>622.5</v>
      </c>
      <c r="J4" s="13">
        <f t="shared" ref="J4:J18" si="1">H4/I4</f>
        <v>106.28016064257027</v>
      </c>
      <c r="K4" s="38"/>
      <c r="L4" s="39"/>
      <c r="M4" s="38"/>
      <c r="N4" s="13">
        <v>31995</v>
      </c>
      <c r="O4" s="16">
        <v>291.5</v>
      </c>
      <c r="P4" s="13">
        <f t="shared" ref="P4:P7" si="2">N4/O4</f>
        <v>109.75986277873071</v>
      </c>
      <c r="Q4" s="13">
        <v>21855</v>
      </c>
      <c r="R4" s="16">
        <v>221.5</v>
      </c>
      <c r="S4" s="13">
        <f t="shared" ref="S4:S18" si="3">Q4/R4</f>
        <v>98.668171557562076</v>
      </c>
      <c r="T4" s="13">
        <f t="shared" ref="T4:T7" si="4">SUM(E4,H4,K4,N4,Q4)</f>
        <v>170477.9</v>
      </c>
      <c r="U4" s="16">
        <f t="shared" ref="U4:U7" si="5">SUM(F4,I4,L4,O4,R4)</f>
        <v>1606.5</v>
      </c>
      <c r="V4" s="13">
        <f t="shared" ref="V4:V18" si="6">T4/U4</f>
        <v>106.11758481170246</v>
      </c>
    </row>
    <row r="5" spans="2:24" ht="23.25" customHeight="1" x14ac:dyDescent="0.25">
      <c r="B5" s="60"/>
      <c r="C5" s="60"/>
      <c r="D5" s="11">
        <v>45302</v>
      </c>
      <c r="E5" s="13">
        <v>35040</v>
      </c>
      <c r="F5" s="16">
        <v>295</v>
      </c>
      <c r="G5" s="13">
        <f t="shared" si="0"/>
        <v>118.77966101694915</v>
      </c>
      <c r="H5" s="13">
        <v>60801.25</v>
      </c>
      <c r="I5" s="16">
        <v>617</v>
      </c>
      <c r="J5" s="13">
        <f t="shared" si="1"/>
        <v>98.543354943273911</v>
      </c>
      <c r="K5" s="38"/>
      <c r="L5" s="39"/>
      <c r="M5" s="38"/>
      <c r="N5" s="13">
        <v>25407.25</v>
      </c>
      <c r="O5" s="16">
        <v>327.3</v>
      </c>
      <c r="P5" s="13">
        <f t="shared" si="2"/>
        <v>77.626794989306447</v>
      </c>
      <c r="Q5" s="13">
        <v>236118.66</v>
      </c>
      <c r="R5" s="16">
        <v>2333.5</v>
      </c>
      <c r="S5" s="13">
        <f t="shared" si="3"/>
        <v>101.18648382258411</v>
      </c>
      <c r="T5" s="13">
        <f t="shared" si="4"/>
        <v>357367.16000000003</v>
      </c>
      <c r="U5" s="16">
        <f t="shared" si="5"/>
        <v>3572.8</v>
      </c>
      <c r="V5" s="13">
        <f t="shared" si="6"/>
        <v>100.02439543215405</v>
      </c>
    </row>
    <row r="6" spans="2:24" ht="23.25" customHeight="1" x14ac:dyDescent="0.25">
      <c r="B6" s="60"/>
      <c r="C6" s="60"/>
      <c r="D6" s="11">
        <v>45309</v>
      </c>
      <c r="E6" s="13">
        <v>14952.5</v>
      </c>
      <c r="F6" s="16">
        <v>167.5</v>
      </c>
      <c r="G6" s="13">
        <f t="shared" si="0"/>
        <v>89.268656716417908</v>
      </c>
      <c r="H6" s="13">
        <v>19241.560000000001</v>
      </c>
      <c r="I6" s="16">
        <v>177</v>
      </c>
      <c r="J6" s="13">
        <f t="shared" si="1"/>
        <v>108.70937853107345</v>
      </c>
      <c r="K6" s="38"/>
      <c r="L6" s="39"/>
      <c r="M6" s="38"/>
      <c r="N6" s="13">
        <v>22038.25</v>
      </c>
      <c r="O6" s="16">
        <v>299.5</v>
      </c>
      <c r="P6" s="13">
        <f t="shared" si="2"/>
        <v>73.583472454090156</v>
      </c>
      <c r="Q6" s="13">
        <v>101853</v>
      </c>
      <c r="R6" s="16">
        <v>934</v>
      </c>
      <c r="S6" s="13">
        <f t="shared" si="3"/>
        <v>109.05032119914347</v>
      </c>
      <c r="T6" s="13">
        <f t="shared" si="4"/>
        <v>158085.31</v>
      </c>
      <c r="U6" s="16">
        <f t="shared" si="5"/>
        <v>1578</v>
      </c>
      <c r="V6" s="13">
        <f t="shared" si="6"/>
        <v>100.18080481622306</v>
      </c>
    </row>
    <row r="7" spans="2:24" ht="23.25" customHeight="1" x14ac:dyDescent="0.25">
      <c r="B7" s="60"/>
      <c r="C7" s="60"/>
      <c r="D7" s="12">
        <v>45316</v>
      </c>
      <c r="E7" s="13">
        <v>15050</v>
      </c>
      <c r="F7" s="16">
        <v>162</v>
      </c>
      <c r="G7" s="13">
        <f t="shared" si="0"/>
        <v>92.901234567901241</v>
      </c>
      <c r="H7" s="13">
        <v>25546</v>
      </c>
      <c r="I7" s="16">
        <v>227</v>
      </c>
      <c r="J7" s="13">
        <f t="shared" si="1"/>
        <v>112.53744493392071</v>
      </c>
      <c r="K7" s="38"/>
      <c r="L7" s="39"/>
      <c r="M7" s="38"/>
      <c r="N7" s="13">
        <v>40623.75</v>
      </c>
      <c r="O7" s="16">
        <v>391</v>
      </c>
      <c r="P7" s="13">
        <f t="shared" si="2"/>
        <v>103.89705882352941</v>
      </c>
      <c r="Q7" s="13">
        <v>214700</v>
      </c>
      <c r="R7" s="16">
        <v>2191.5</v>
      </c>
      <c r="S7" s="13">
        <f t="shared" si="3"/>
        <v>97.969427332877018</v>
      </c>
      <c r="T7" s="13">
        <f t="shared" si="4"/>
        <v>295919.75</v>
      </c>
      <c r="U7" s="16">
        <f t="shared" si="5"/>
        <v>2971.5</v>
      </c>
      <c r="V7" s="13">
        <f t="shared" si="6"/>
        <v>99.585983510011772</v>
      </c>
    </row>
    <row r="8" spans="2:24" ht="23.25" customHeight="1" x14ac:dyDescent="0.25">
      <c r="B8" s="60"/>
      <c r="C8" s="35"/>
      <c r="D8" s="12">
        <v>45322</v>
      </c>
      <c r="E8" s="13">
        <v>129047.27</v>
      </c>
      <c r="F8" s="16">
        <v>1163</v>
      </c>
      <c r="G8" s="13">
        <f t="shared" ref="G8" si="7">E8/F8</f>
        <v>110.96067927773001</v>
      </c>
      <c r="H8" s="13">
        <v>70877.279999999999</v>
      </c>
      <c r="I8" s="16">
        <v>646</v>
      </c>
      <c r="J8" s="13">
        <f t="shared" ref="J8" si="8">H8/I8</f>
        <v>109.71715170278638</v>
      </c>
      <c r="K8" s="38"/>
      <c r="L8" s="39"/>
      <c r="M8" s="38"/>
      <c r="N8" s="13">
        <v>12325</v>
      </c>
      <c r="O8" s="16">
        <v>121</v>
      </c>
      <c r="P8" s="13">
        <f t="shared" ref="P8" si="9">N8/O8</f>
        <v>101.85950413223141</v>
      </c>
      <c r="Q8" s="13">
        <v>103021.14</v>
      </c>
      <c r="R8" s="16">
        <v>1080.5</v>
      </c>
      <c r="S8" s="13">
        <f t="shared" ref="S8" si="10">Q8/R8</f>
        <v>95.345802869042103</v>
      </c>
      <c r="T8" s="13">
        <f t="shared" ref="T8" si="11">SUM(E8,H8,K8,N8,Q8)</f>
        <v>315270.69</v>
      </c>
      <c r="U8" s="16">
        <f t="shared" ref="U8" si="12">SUM(F8,I8,L8,O8,R8)</f>
        <v>3010.5</v>
      </c>
      <c r="V8" s="13">
        <f t="shared" ref="V8" si="13">T8/U8</f>
        <v>104.72369706028898</v>
      </c>
      <c r="X8" s="2">
        <f>SUM(T4:T8)</f>
        <v>1297120.81</v>
      </c>
    </row>
    <row r="9" spans="2:24" ht="23.25" customHeight="1" x14ac:dyDescent="0.25">
      <c r="B9" s="60"/>
      <c r="C9" s="63" t="s">
        <v>36</v>
      </c>
      <c r="D9" s="64"/>
      <c r="E9" s="30">
        <f>SUM(E4:E8)</f>
        <v>244558.27000000002</v>
      </c>
      <c r="F9" s="31">
        <f>SUM(F4:F8)</f>
        <v>2258.5</v>
      </c>
      <c r="G9" s="30">
        <f>E9/F9</f>
        <v>108.28349346911668</v>
      </c>
      <c r="H9" s="30">
        <f>SUM(H4:H8)</f>
        <v>242625.49</v>
      </c>
      <c r="I9" s="31">
        <f>SUM(I4:I8)</f>
        <v>2289.5</v>
      </c>
      <c r="J9" s="30">
        <f>H9/I9</f>
        <v>105.97313387202446</v>
      </c>
      <c r="K9" s="30">
        <f>SUM(K4:K7)</f>
        <v>0</v>
      </c>
      <c r="L9" s="31">
        <f>SUM(L4:L7)</f>
        <v>0</v>
      </c>
      <c r="M9" s="30">
        <v>0</v>
      </c>
      <c r="N9" s="30">
        <f>SUM(N4:N8)</f>
        <v>132389.25</v>
      </c>
      <c r="O9" s="31">
        <f>SUM(O4:O8)</f>
        <v>1430.3</v>
      </c>
      <c r="P9" s="30">
        <f>N9/O9</f>
        <v>92.560476823044127</v>
      </c>
      <c r="Q9" s="30">
        <f>SUM(Q4:Q8)</f>
        <v>677547.8</v>
      </c>
      <c r="R9" s="31">
        <f>SUM(R4:R8)</f>
        <v>6761</v>
      </c>
      <c r="S9" s="30">
        <f>Q9/R9</f>
        <v>100.21413992013017</v>
      </c>
      <c r="T9" s="30">
        <f>SUM(T4:T8)</f>
        <v>1297120.81</v>
      </c>
      <c r="U9" s="31">
        <f>SUM(U4:U8)</f>
        <v>12739.3</v>
      </c>
      <c r="V9" s="32">
        <f>T9/U9</f>
        <v>101.82041477946198</v>
      </c>
    </row>
    <row r="10" spans="2:24" ht="23.25" customHeight="1" x14ac:dyDescent="0.25">
      <c r="B10" s="60"/>
      <c r="C10" s="59" t="s">
        <v>12</v>
      </c>
      <c r="D10" s="11">
        <v>44965</v>
      </c>
      <c r="E10" s="13">
        <v>84348.25</v>
      </c>
      <c r="F10" s="16">
        <v>747.3</v>
      </c>
      <c r="G10" s="13">
        <f t="shared" si="0"/>
        <v>112.87066773718722</v>
      </c>
      <c r="H10" s="13">
        <v>19324.87</v>
      </c>
      <c r="I10" s="16">
        <v>175</v>
      </c>
      <c r="J10" s="13">
        <f t="shared" si="1"/>
        <v>110.42782857142856</v>
      </c>
      <c r="K10" s="38"/>
      <c r="L10" s="39"/>
      <c r="M10" s="38"/>
      <c r="N10" s="13">
        <v>19165</v>
      </c>
      <c r="O10" s="16">
        <v>156</v>
      </c>
      <c r="P10" s="13">
        <f t="shared" ref="P10:P18" si="14">N10/O10</f>
        <v>122.8525641025641</v>
      </c>
      <c r="Q10" s="13">
        <v>126407.65</v>
      </c>
      <c r="R10" s="16">
        <v>1232</v>
      </c>
      <c r="S10" s="13">
        <f t="shared" si="3"/>
        <v>102.60361201298701</v>
      </c>
      <c r="T10" s="13">
        <f t="shared" ref="T10:U13" si="15">SUM(E10,H10,K10,N10,Q10)</f>
        <v>249245.77</v>
      </c>
      <c r="U10" s="16">
        <f t="shared" si="15"/>
        <v>2310.3000000000002</v>
      </c>
      <c r="V10" s="13">
        <f t="shared" si="6"/>
        <v>107.88459074579058</v>
      </c>
    </row>
    <row r="11" spans="2:24" ht="23.25" customHeight="1" x14ac:dyDescent="0.25">
      <c r="B11" s="60"/>
      <c r="C11" s="60"/>
      <c r="D11" s="11">
        <v>44972</v>
      </c>
      <c r="E11" s="13">
        <v>59912.5</v>
      </c>
      <c r="F11" s="16">
        <v>548.5</v>
      </c>
      <c r="G11" s="13">
        <f t="shared" si="0"/>
        <v>109.22971741112124</v>
      </c>
      <c r="H11" s="13">
        <v>41402</v>
      </c>
      <c r="I11" s="16">
        <v>379.5</v>
      </c>
      <c r="J11" s="13">
        <f t="shared" si="1"/>
        <v>109.0961791831357</v>
      </c>
      <c r="K11" s="38"/>
      <c r="L11" s="39"/>
      <c r="M11" s="38"/>
      <c r="N11" s="13">
        <v>35295</v>
      </c>
      <c r="O11" s="16">
        <v>310</v>
      </c>
      <c r="P11" s="13">
        <f t="shared" si="14"/>
        <v>113.85483870967742</v>
      </c>
      <c r="Q11" s="13">
        <v>107090</v>
      </c>
      <c r="R11" s="16">
        <v>1085</v>
      </c>
      <c r="S11" s="13">
        <f t="shared" si="3"/>
        <v>98.700460829493082</v>
      </c>
      <c r="T11" s="13">
        <f t="shared" si="15"/>
        <v>243699.5</v>
      </c>
      <c r="U11" s="16">
        <f t="shared" si="15"/>
        <v>2323</v>
      </c>
      <c r="V11" s="13">
        <f t="shared" si="6"/>
        <v>104.90723202755058</v>
      </c>
      <c r="X11" s="2"/>
    </row>
    <row r="12" spans="2:24" ht="23.25" customHeight="1" x14ac:dyDescent="0.25">
      <c r="B12" s="60"/>
      <c r="C12" s="60"/>
      <c r="D12" s="11">
        <v>44979</v>
      </c>
      <c r="E12" s="13">
        <v>63360</v>
      </c>
      <c r="F12" s="16">
        <v>660.5</v>
      </c>
      <c r="G12" s="13">
        <f>E12/F12</f>
        <v>95.927327781983351</v>
      </c>
      <c r="H12" s="13">
        <v>38713.75</v>
      </c>
      <c r="I12" s="16">
        <v>353.5</v>
      </c>
      <c r="J12" s="13">
        <f t="shared" si="1"/>
        <v>109.51555869872702</v>
      </c>
      <c r="K12" s="38"/>
      <c r="L12" s="39"/>
      <c r="M12" s="38"/>
      <c r="N12" s="38"/>
      <c r="O12" s="39"/>
      <c r="P12" s="38"/>
      <c r="Q12" s="13">
        <v>50395</v>
      </c>
      <c r="R12" s="16">
        <v>460.5</v>
      </c>
      <c r="S12" s="13">
        <f t="shared" si="3"/>
        <v>109.43539630836048</v>
      </c>
      <c r="T12" s="13">
        <f>SUM(E12,H12,K12,N12,Q12)</f>
        <v>152468.75</v>
      </c>
      <c r="U12" s="16">
        <f t="shared" si="15"/>
        <v>1474.5</v>
      </c>
      <c r="V12" s="13">
        <f t="shared" si="6"/>
        <v>103.40369616819261</v>
      </c>
      <c r="X12" s="2"/>
    </row>
    <row r="13" spans="2:24" ht="23.25" customHeight="1" x14ac:dyDescent="0.25">
      <c r="B13" s="60"/>
      <c r="C13" s="60"/>
      <c r="D13" s="11">
        <v>45351</v>
      </c>
      <c r="E13" s="38"/>
      <c r="F13" s="39"/>
      <c r="G13" s="38"/>
      <c r="H13" s="13">
        <v>15359.75</v>
      </c>
      <c r="I13" s="16">
        <v>119.5</v>
      </c>
      <c r="J13" s="13">
        <f t="shared" si="1"/>
        <v>128.53347280334728</v>
      </c>
      <c r="K13" s="38"/>
      <c r="L13" s="39"/>
      <c r="M13" s="38"/>
      <c r="N13" s="13">
        <v>11057</v>
      </c>
      <c r="O13" s="16">
        <v>105</v>
      </c>
      <c r="P13" s="13">
        <f t="shared" si="14"/>
        <v>105.3047619047619</v>
      </c>
      <c r="Q13" s="13">
        <v>24025</v>
      </c>
      <c r="R13" s="16">
        <v>248.3</v>
      </c>
      <c r="S13" s="13">
        <f t="shared" si="3"/>
        <v>96.757954087797017</v>
      </c>
      <c r="T13" s="13">
        <f>SUM(E13,H13,K13,N13,Q13)</f>
        <v>50441.75</v>
      </c>
      <c r="U13" s="16">
        <f t="shared" si="15"/>
        <v>472.8</v>
      </c>
      <c r="V13" s="13">
        <f t="shared" si="6"/>
        <v>106.68728849407783</v>
      </c>
      <c r="X13" s="2">
        <f>SUM(T10:T13)</f>
        <v>695855.77</v>
      </c>
    </row>
    <row r="14" spans="2:24" ht="23.25" customHeight="1" x14ac:dyDescent="0.25">
      <c r="B14" s="60"/>
      <c r="C14" s="63" t="s">
        <v>36</v>
      </c>
      <c r="D14" s="64"/>
      <c r="E14" s="30">
        <f>SUM(E10:E13)</f>
        <v>207620.75</v>
      </c>
      <c r="F14" s="31">
        <f>SUM(F10:F13)</f>
        <v>1956.3</v>
      </c>
      <c r="G14" s="30">
        <f>E14/F14</f>
        <v>106.12930020957931</v>
      </c>
      <c r="H14" s="30">
        <f>SUM(H10:H13)</f>
        <v>114800.37</v>
      </c>
      <c r="I14" s="31">
        <f>SUM(I10:I13)</f>
        <v>1027.5</v>
      </c>
      <c r="J14" s="30">
        <f>H14/I14</f>
        <v>111.72785401459853</v>
      </c>
      <c r="K14" s="30"/>
      <c r="L14" s="31"/>
      <c r="M14" s="30" t="e">
        <f>K14/L14</f>
        <v>#DIV/0!</v>
      </c>
      <c r="N14" s="30">
        <f>SUM(N10:N13)</f>
        <v>65517</v>
      </c>
      <c r="O14" s="31">
        <f>SUM(O10:O13)</f>
        <v>571</v>
      </c>
      <c r="P14" s="30">
        <f>N14/O14</f>
        <v>114.74080560420315</v>
      </c>
      <c r="Q14" s="30">
        <f>SUM(Q10:Q13)</f>
        <v>307917.65000000002</v>
      </c>
      <c r="R14" s="31">
        <f>SUM(R10:R13)</f>
        <v>3025.8</v>
      </c>
      <c r="S14" s="30">
        <f>Q14/R14</f>
        <v>101.76404587216604</v>
      </c>
      <c r="T14" s="30">
        <f>SUM(T10:T13)</f>
        <v>695855.77</v>
      </c>
      <c r="U14" s="31">
        <f>SUM(U10:U13)</f>
        <v>6580.6</v>
      </c>
      <c r="V14" s="32">
        <f>T14/U14</f>
        <v>105.74351426921557</v>
      </c>
    </row>
    <row r="15" spans="2:24" ht="23.25" customHeight="1" x14ac:dyDescent="0.25">
      <c r="B15" s="60"/>
      <c r="C15" s="59" t="s">
        <v>13</v>
      </c>
      <c r="D15" s="11">
        <v>44262</v>
      </c>
      <c r="E15" s="13">
        <v>179872.5</v>
      </c>
      <c r="F15" s="16">
        <v>1684.5</v>
      </c>
      <c r="G15" s="13">
        <f t="shared" si="0"/>
        <v>106.78094390026715</v>
      </c>
      <c r="H15" s="13">
        <v>37475</v>
      </c>
      <c r="I15" s="16">
        <v>288.5</v>
      </c>
      <c r="J15" s="13">
        <f t="shared" si="1"/>
        <v>129.89601386481803</v>
      </c>
      <c r="K15" s="38"/>
      <c r="L15" s="39"/>
      <c r="M15" s="38"/>
      <c r="N15" s="13">
        <v>19405</v>
      </c>
      <c r="O15" s="16">
        <v>172</v>
      </c>
      <c r="P15" s="13">
        <f t="shared" si="14"/>
        <v>112.81976744186046</v>
      </c>
      <c r="Q15" s="13">
        <v>230862</v>
      </c>
      <c r="R15" s="16">
        <v>2973</v>
      </c>
      <c r="S15" s="13">
        <f t="shared" si="3"/>
        <v>77.652875882946518</v>
      </c>
      <c r="T15" s="13">
        <f t="shared" ref="T15:U18" si="16">SUM(E15,H15,K15,N15,Q15)</f>
        <v>467614.5</v>
      </c>
      <c r="U15" s="16">
        <f t="shared" si="16"/>
        <v>5118</v>
      </c>
      <c r="V15" s="13">
        <f t="shared" si="6"/>
        <v>91.36664712778429</v>
      </c>
    </row>
    <row r="16" spans="2:24" ht="23.25" customHeight="1" x14ac:dyDescent="0.25">
      <c r="B16" s="60"/>
      <c r="C16" s="60"/>
      <c r="D16" s="11">
        <v>44269</v>
      </c>
      <c r="E16" s="13">
        <v>35140</v>
      </c>
      <c r="F16" s="16">
        <v>360</v>
      </c>
      <c r="G16" s="13">
        <f t="shared" si="0"/>
        <v>97.611111111111114</v>
      </c>
      <c r="H16" s="13">
        <v>67179</v>
      </c>
      <c r="I16" s="16">
        <v>620.5</v>
      </c>
      <c r="J16" s="13">
        <f t="shared" si="1"/>
        <v>108.26591458501208</v>
      </c>
      <c r="K16" s="13">
        <v>3801.75</v>
      </c>
      <c r="L16" s="16">
        <v>40</v>
      </c>
      <c r="M16" s="13">
        <f t="shared" ref="M16:M18" si="17">K16/L16</f>
        <v>95.043750000000003</v>
      </c>
      <c r="N16" s="13">
        <v>24880</v>
      </c>
      <c r="O16" s="16">
        <v>221</v>
      </c>
      <c r="P16" s="13">
        <f t="shared" si="14"/>
        <v>112.57918552036199</v>
      </c>
      <c r="Q16" s="13">
        <v>136753</v>
      </c>
      <c r="R16" s="16">
        <v>1431</v>
      </c>
      <c r="S16" s="13">
        <f t="shared" si="3"/>
        <v>95.564640111809922</v>
      </c>
      <c r="T16" s="13">
        <f t="shared" si="16"/>
        <v>267753.75</v>
      </c>
      <c r="U16" s="16">
        <f t="shared" si="16"/>
        <v>2672.5</v>
      </c>
      <c r="V16" s="13">
        <f t="shared" si="6"/>
        <v>100.18849391955098</v>
      </c>
      <c r="X16" s="2"/>
    </row>
    <row r="17" spans="2:24" ht="23.25" customHeight="1" x14ac:dyDescent="0.25">
      <c r="B17" s="60"/>
      <c r="C17" s="60"/>
      <c r="D17" s="11">
        <v>44276</v>
      </c>
      <c r="E17" s="13">
        <v>5600</v>
      </c>
      <c r="F17" s="16">
        <v>52.5</v>
      </c>
      <c r="G17" s="13">
        <f t="shared" si="0"/>
        <v>106.66666666666667</v>
      </c>
      <c r="H17" s="13">
        <v>29150</v>
      </c>
      <c r="I17" s="16">
        <v>232.5</v>
      </c>
      <c r="J17" s="13">
        <f t="shared" si="1"/>
        <v>125.3763440860215</v>
      </c>
      <c r="K17" s="38"/>
      <c r="L17" s="39"/>
      <c r="M17" s="38"/>
      <c r="N17" s="13">
        <v>1155</v>
      </c>
      <c r="O17" s="16">
        <v>7</v>
      </c>
      <c r="P17" s="13">
        <f t="shared" si="14"/>
        <v>165</v>
      </c>
      <c r="Q17" s="13">
        <v>31077.5</v>
      </c>
      <c r="R17" s="16">
        <v>259.5</v>
      </c>
      <c r="S17" s="13">
        <f t="shared" si="3"/>
        <v>119.75915221579962</v>
      </c>
      <c r="T17" s="13">
        <f t="shared" si="16"/>
        <v>66982.5</v>
      </c>
      <c r="U17" s="16">
        <f t="shared" si="16"/>
        <v>551.5</v>
      </c>
      <c r="V17" s="13">
        <f t="shared" si="6"/>
        <v>121.45512239347235</v>
      </c>
      <c r="X17" s="2"/>
    </row>
    <row r="18" spans="2:24" ht="23.25" customHeight="1" x14ac:dyDescent="0.25">
      <c r="B18" s="60"/>
      <c r="C18" s="60"/>
      <c r="D18" s="11">
        <v>44283</v>
      </c>
      <c r="E18" s="13">
        <v>102914.25</v>
      </c>
      <c r="F18" s="16">
        <v>934</v>
      </c>
      <c r="G18" s="13">
        <f t="shared" si="0"/>
        <v>110.18656316916488</v>
      </c>
      <c r="H18" s="13">
        <v>18613.5</v>
      </c>
      <c r="I18" s="16">
        <v>146</v>
      </c>
      <c r="J18" s="13">
        <f t="shared" si="1"/>
        <v>127.48972602739725</v>
      </c>
      <c r="K18" s="13">
        <v>22797.5</v>
      </c>
      <c r="L18" s="16">
        <v>202</v>
      </c>
      <c r="M18" s="13">
        <f t="shared" si="17"/>
        <v>112.85891089108911</v>
      </c>
      <c r="N18" s="13">
        <v>9950</v>
      </c>
      <c r="O18" s="16">
        <v>91.5</v>
      </c>
      <c r="P18" s="13">
        <f t="shared" si="14"/>
        <v>108.7431693989071</v>
      </c>
      <c r="Q18" s="13">
        <v>162145</v>
      </c>
      <c r="R18" s="16">
        <v>1865.5</v>
      </c>
      <c r="S18" s="13">
        <f t="shared" si="3"/>
        <v>86.91771642991155</v>
      </c>
      <c r="T18" s="13">
        <f t="shared" si="16"/>
        <v>316420.25</v>
      </c>
      <c r="U18" s="16">
        <f t="shared" si="16"/>
        <v>3239</v>
      </c>
      <c r="V18" s="13">
        <f t="shared" si="6"/>
        <v>97.690722445199142</v>
      </c>
      <c r="X18" s="2">
        <f>SUM(T15:T18)</f>
        <v>1118771</v>
      </c>
    </row>
    <row r="19" spans="2:24" ht="23.25" customHeight="1" x14ac:dyDescent="0.25">
      <c r="B19" s="61"/>
      <c r="C19" s="63" t="s">
        <v>36</v>
      </c>
      <c r="D19" s="64"/>
      <c r="E19" s="30">
        <f>SUM(E15:E18)</f>
        <v>323526.75</v>
      </c>
      <c r="F19" s="31">
        <f>SUM(F15:F18)</f>
        <v>3031</v>
      </c>
      <c r="G19" s="30">
        <f>E19/F19</f>
        <v>106.73927746618278</v>
      </c>
      <c r="H19" s="30">
        <f>SUM(H15:H18)</f>
        <v>152417.5</v>
      </c>
      <c r="I19" s="31">
        <f>SUM(I15:I18)</f>
        <v>1287.5</v>
      </c>
      <c r="J19" s="30">
        <f>H19/I19</f>
        <v>118.38252427184466</v>
      </c>
      <c r="K19" s="30">
        <f>SUM(K15:K18)</f>
        <v>26599.25</v>
      </c>
      <c r="L19" s="31">
        <f>SUM(L15:L18)</f>
        <v>242</v>
      </c>
      <c r="M19" s="30">
        <f>K19/L19</f>
        <v>109.9142561983471</v>
      </c>
      <c r="N19" s="30">
        <f>SUM(N15:N18)</f>
        <v>55390</v>
      </c>
      <c r="O19" s="31">
        <f>SUM(O15:O18)</f>
        <v>491.5</v>
      </c>
      <c r="P19" s="30">
        <f>N19/O19</f>
        <v>112.69582909460834</v>
      </c>
      <c r="Q19" s="30">
        <f>SUM(Q15:Q18)</f>
        <v>560837.5</v>
      </c>
      <c r="R19" s="31">
        <f>SUM(R15:R18)</f>
        <v>6529</v>
      </c>
      <c r="S19" s="30">
        <f>Q19/R19</f>
        <v>85.899448613876544</v>
      </c>
      <c r="T19" s="30">
        <f>SUM(T15:T18)</f>
        <v>1118771</v>
      </c>
      <c r="U19" s="31">
        <f>SUM(U15:U18)</f>
        <v>11581</v>
      </c>
      <c r="V19" s="32">
        <f>T19/U19</f>
        <v>96.604006562473018</v>
      </c>
    </row>
    <row r="20" spans="2:24" ht="39" customHeight="1" x14ac:dyDescent="0.25">
      <c r="B20" s="68" t="s">
        <v>20</v>
      </c>
      <c r="C20" s="68"/>
      <c r="D20" s="68"/>
      <c r="E20" s="33">
        <f>SUM(E19,E14,E9)</f>
        <v>775705.77</v>
      </c>
      <c r="F20" s="34">
        <f>SUM(F19,F14,F9)</f>
        <v>7245.8</v>
      </c>
      <c r="G20" s="33">
        <f>E20/F20</f>
        <v>107.05591791106572</v>
      </c>
      <c r="H20" s="33">
        <f>SUM(H19,H14,H9)</f>
        <v>509843.36</v>
      </c>
      <c r="I20" s="34">
        <f>SUM(I19,I14,I9)</f>
        <v>4604.5</v>
      </c>
      <c r="J20" s="33">
        <f>H20/I20</f>
        <v>110.72719296340536</v>
      </c>
      <c r="K20" s="33">
        <f>SUM(K19,K14,K9)</f>
        <v>26599.25</v>
      </c>
      <c r="L20" s="34">
        <f>SUM(L19,L14,L9)</f>
        <v>242</v>
      </c>
      <c r="M20" s="33">
        <f>K20/L20</f>
        <v>109.9142561983471</v>
      </c>
      <c r="N20" s="33">
        <f>SUM(N19,N14,N9)</f>
        <v>253296.25</v>
      </c>
      <c r="O20" s="34">
        <f>SUM(O19,O14,O9)</f>
        <v>2492.8000000000002</v>
      </c>
      <c r="P20" s="33">
        <f>N20/O20</f>
        <v>101.6111400834403</v>
      </c>
      <c r="Q20" s="33">
        <f>SUM(Q19,Q14,Q9)</f>
        <v>1546302.9500000002</v>
      </c>
      <c r="R20" s="34">
        <f>SUM(R19,R14,R9)</f>
        <v>16315.8</v>
      </c>
      <c r="S20" s="33">
        <f>Q20/R20</f>
        <v>94.773345468809396</v>
      </c>
      <c r="T20" s="33">
        <f>SUM(T19,T14,T9)</f>
        <v>3111747.58</v>
      </c>
      <c r="U20" s="34">
        <f>SUM(U19,U14,U9)</f>
        <v>30900.899999999998</v>
      </c>
      <c r="V20" s="33">
        <f>T20/U20</f>
        <v>100.70087214288257</v>
      </c>
    </row>
    <row r="21" spans="2:24" x14ac:dyDescent="0.25">
      <c r="B21" s="67" t="s">
        <v>15</v>
      </c>
      <c r="C21" s="67" t="s">
        <v>10</v>
      </c>
      <c r="D21" s="67" t="s">
        <v>0</v>
      </c>
      <c r="E21" s="58" t="s">
        <v>40</v>
      </c>
      <c r="F21" s="58"/>
      <c r="G21" s="58"/>
      <c r="H21" s="58" t="s">
        <v>7</v>
      </c>
      <c r="I21" s="58"/>
      <c r="J21" s="58"/>
      <c r="K21" s="55" t="s">
        <v>42</v>
      </c>
      <c r="L21" s="56"/>
      <c r="M21" s="57"/>
      <c r="N21" s="58" t="s">
        <v>41</v>
      </c>
      <c r="O21" s="58"/>
      <c r="P21" s="58"/>
      <c r="Q21" s="58" t="s">
        <v>4</v>
      </c>
      <c r="R21" s="58"/>
      <c r="S21" s="58"/>
      <c r="T21" s="58" t="s">
        <v>9</v>
      </c>
      <c r="U21" s="58"/>
      <c r="V21" s="58"/>
    </row>
    <row r="22" spans="2:24" x14ac:dyDescent="0.25">
      <c r="B22" s="67"/>
      <c r="C22" s="67"/>
      <c r="D22" s="67"/>
      <c r="E22" s="1" t="s">
        <v>1</v>
      </c>
      <c r="F22" s="3" t="s">
        <v>2</v>
      </c>
      <c r="G22" s="1" t="s">
        <v>3</v>
      </c>
      <c r="H22" s="1" t="s">
        <v>1</v>
      </c>
      <c r="I22" s="3" t="s">
        <v>2</v>
      </c>
      <c r="J22" s="1" t="s">
        <v>3</v>
      </c>
      <c r="K22" s="1" t="s">
        <v>1</v>
      </c>
      <c r="L22" s="3" t="s">
        <v>2</v>
      </c>
      <c r="M22" s="1" t="s">
        <v>3</v>
      </c>
      <c r="N22" s="1" t="s">
        <v>1</v>
      </c>
      <c r="O22" s="3" t="s">
        <v>2</v>
      </c>
      <c r="P22" s="1" t="s">
        <v>3</v>
      </c>
      <c r="Q22" s="1" t="s">
        <v>1</v>
      </c>
      <c r="R22" s="3" t="s">
        <v>2</v>
      </c>
      <c r="S22" s="1" t="s">
        <v>3</v>
      </c>
      <c r="T22" s="1" t="s">
        <v>1</v>
      </c>
      <c r="U22" s="3" t="s">
        <v>2</v>
      </c>
      <c r="V22" s="1" t="s">
        <v>3</v>
      </c>
    </row>
    <row r="23" spans="2:24" ht="23.25" customHeight="1" x14ac:dyDescent="0.25">
      <c r="B23" s="59" t="s">
        <v>19</v>
      </c>
      <c r="C23" s="62" t="s">
        <v>14</v>
      </c>
      <c r="D23" s="11">
        <v>45386</v>
      </c>
      <c r="E23" s="7">
        <v>3075</v>
      </c>
      <c r="F23" s="8">
        <v>31</v>
      </c>
      <c r="G23" s="7">
        <f t="shared" ref="G23:G26" si="18">E23/F23</f>
        <v>99.193548387096769</v>
      </c>
      <c r="H23" s="7">
        <v>59265.75</v>
      </c>
      <c r="I23" s="8">
        <v>719</v>
      </c>
      <c r="J23" s="7">
        <f t="shared" ref="J23:J37" si="19">H23/I23</f>
        <v>82.428025034770513</v>
      </c>
      <c r="K23" s="7">
        <v>102068.75</v>
      </c>
      <c r="L23" s="8">
        <v>882.5</v>
      </c>
      <c r="M23" s="7">
        <f t="shared" ref="M23:M25" si="20">K23/L23</f>
        <v>115.65864022662889</v>
      </c>
      <c r="N23" s="36"/>
      <c r="O23" s="37"/>
      <c r="P23" s="36"/>
      <c r="Q23" s="7">
        <v>60900</v>
      </c>
      <c r="R23" s="8">
        <v>619.5</v>
      </c>
      <c r="S23" s="7">
        <f t="shared" ref="S23:S32" si="21">Q23/R23</f>
        <v>98.305084745762713</v>
      </c>
      <c r="T23" s="7">
        <f t="shared" ref="T23:U26" si="22">SUM(E23,H23,K23,N23,Q23)</f>
        <v>225309.5</v>
      </c>
      <c r="U23" s="8">
        <f t="shared" si="22"/>
        <v>2252</v>
      </c>
      <c r="V23" s="7">
        <f t="shared" ref="V23:V37" si="23">T23/U23</f>
        <v>100.04862344582594</v>
      </c>
    </row>
    <row r="24" spans="2:24" ht="23.25" customHeight="1" x14ac:dyDescent="0.25">
      <c r="B24" s="60"/>
      <c r="C24" s="62"/>
      <c r="D24" s="11">
        <v>44297</v>
      </c>
      <c r="E24" s="7">
        <v>43968.25</v>
      </c>
      <c r="F24" s="8">
        <v>425.5</v>
      </c>
      <c r="G24" s="7">
        <f t="shared" si="18"/>
        <v>103.3331374853114</v>
      </c>
      <c r="H24" s="7">
        <v>165905.25</v>
      </c>
      <c r="I24" s="8">
        <v>1415.5</v>
      </c>
      <c r="J24" s="7">
        <f t="shared" si="19"/>
        <v>117.20611091487108</v>
      </c>
      <c r="K24" s="7">
        <v>3675</v>
      </c>
      <c r="L24" s="8">
        <v>37</v>
      </c>
      <c r="M24" s="7">
        <f t="shared" si="20"/>
        <v>99.324324324324323</v>
      </c>
      <c r="N24" s="7">
        <v>48595</v>
      </c>
      <c r="O24" s="8">
        <v>538.79999999999995</v>
      </c>
      <c r="P24" s="7">
        <f t="shared" ref="P24:P37" si="24">N24/O24</f>
        <v>90.191165553080921</v>
      </c>
      <c r="Q24" s="7">
        <v>62731.63</v>
      </c>
      <c r="R24" s="8">
        <v>591</v>
      </c>
      <c r="S24" s="7">
        <f t="shared" si="21"/>
        <v>106.14489001692047</v>
      </c>
      <c r="T24" s="7">
        <f t="shared" si="22"/>
        <v>324875.13</v>
      </c>
      <c r="U24" s="8">
        <f t="shared" si="22"/>
        <v>3007.8</v>
      </c>
      <c r="V24" s="7">
        <f t="shared" si="23"/>
        <v>108.01088170756034</v>
      </c>
    </row>
    <row r="25" spans="2:24" ht="23.25" customHeight="1" x14ac:dyDescent="0.25">
      <c r="B25" s="60"/>
      <c r="C25" s="62"/>
      <c r="D25" s="11">
        <v>44304</v>
      </c>
      <c r="E25" s="7">
        <v>53317</v>
      </c>
      <c r="F25" s="8">
        <v>511.5</v>
      </c>
      <c r="G25" s="7">
        <f t="shared" si="18"/>
        <v>104.23655913978494</v>
      </c>
      <c r="H25" s="7">
        <v>51467.25</v>
      </c>
      <c r="I25" s="8">
        <v>473.5</v>
      </c>
      <c r="J25" s="7">
        <f t="shared" si="19"/>
        <v>108.69535374868005</v>
      </c>
      <c r="K25" s="7">
        <v>1980</v>
      </c>
      <c r="L25" s="8">
        <v>18</v>
      </c>
      <c r="M25" s="7">
        <f t="shared" si="20"/>
        <v>110</v>
      </c>
      <c r="N25" s="7">
        <v>59528.25</v>
      </c>
      <c r="O25" s="8">
        <v>566</v>
      </c>
      <c r="P25" s="7">
        <f t="shared" si="24"/>
        <v>105.17358657243817</v>
      </c>
      <c r="Q25" s="7">
        <v>131900.81</v>
      </c>
      <c r="R25" s="8">
        <v>1449.3</v>
      </c>
      <c r="S25" s="7">
        <f t="shared" si="21"/>
        <v>91.010011729800596</v>
      </c>
      <c r="T25" s="7">
        <f t="shared" si="22"/>
        <v>298193.31</v>
      </c>
      <c r="U25" s="8">
        <f t="shared" si="22"/>
        <v>3018.3</v>
      </c>
      <c r="V25" s="7">
        <f t="shared" si="23"/>
        <v>98.795119769406611</v>
      </c>
    </row>
    <row r="26" spans="2:24" ht="23.25" customHeight="1" x14ac:dyDescent="0.25">
      <c r="B26" s="60"/>
      <c r="C26" s="62"/>
      <c r="D26" s="11">
        <v>44311</v>
      </c>
      <c r="E26" s="7">
        <v>69854.25</v>
      </c>
      <c r="F26" s="8">
        <v>672</v>
      </c>
      <c r="G26" s="7">
        <f t="shared" si="18"/>
        <v>103.94977678571429</v>
      </c>
      <c r="H26" s="7">
        <v>173956.5</v>
      </c>
      <c r="I26" s="8">
        <v>1494</v>
      </c>
      <c r="J26" s="7">
        <f t="shared" si="19"/>
        <v>116.43674698795181</v>
      </c>
      <c r="K26" s="36"/>
      <c r="L26" s="37"/>
      <c r="M26" s="36"/>
      <c r="N26" s="7">
        <v>26215</v>
      </c>
      <c r="O26" s="8">
        <v>235</v>
      </c>
      <c r="P26" s="7">
        <f t="shared" si="24"/>
        <v>111.55319148936171</v>
      </c>
      <c r="Q26" s="7">
        <v>74334</v>
      </c>
      <c r="R26" s="8">
        <v>780</v>
      </c>
      <c r="S26" s="7">
        <f t="shared" si="21"/>
        <v>95.3</v>
      </c>
      <c r="T26" s="7">
        <f t="shared" si="22"/>
        <v>344359.75</v>
      </c>
      <c r="U26" s="8">
        <f t="shared" si="22"/>
        <v>3181</v>
      </c>
      <c r="V26" s="7">
        <f t="shared" si="23"/>
        <v>108.25518704809808</v>
      </c>
      <c r="X26" s="2">
        <f>SUM(T23:T26)</f>
        <v>1192737.69</v>
      </c>
    </row>
    <row r="27" spans="2:24" ht="23.25" customHeight="1" x14ac:dyDescent="0.25">
      <c r="B27" s="60"/>
      <c r="C27" s="63" t="s">
        <v>36</v>
      </c>
      <c r="D27" s="64"/>
      <c r="E27" s="30">
        <f>SUM(E23:E26)</f>
        <v>170214.5</v>
      </c>
      <c r="F27" s="31">
        <f>SUM(F23:F26)</f>
        <v>1640</v>
      </c>
      <c r="G27" s="30">
        <f>E27/F27</f>
        <v>103.78932926829269</v>
      </c>
      <c r="H27" s="30">
        <f>SUM(H23:H26)</f>
        <v>450594.75</v>
      </c>
      <c r="I27" s="31">
        <f>SUM(I23:I26)</f>
        <v>4102</v>
      </c>
      <c r="J27" s="30">
        <f>H27/I27</f>
        <v>109.84757435397367</v>
      </c>
      <c r="K27" s="30">
        <f>SUM(K23:K26)</f>
        <v>107723.75</v>
      </c>
      <c r="L27" s="31">
        <f>SUM(L23:L26)</f>
        <v>937.5</v>
      </c>
      <c r="M27" s="30">
        <f>K27/L27</f>
        <v>114.90533333333333</v>
      </c>
      <c r="N27" s="30">
        <f>SUM(N23:N26)</f>
        <v>134338.25</v>
      </c>
      <c r="O27" s="31">
        <f>SUM(O23:O26)</f>
        <v>1339.8</v>
      </c>
      <c r="P27" s="30">
        <f>N27/O27</f>
        <v>100.26739065532169</v>
      </c>
      <c r="Q27" s="30">
        <f>SUM(Q23:Q26)</f>
        <v>329866.44</v>
      </c>
      <c r="R27" s="31">
        <f>SUM(R23:R26)</f>
        <v>3439.8</v>
      </c>
      <c r="S27" s="30">
        <f>Q27/R27</f>
        <v>95.896982382696663</v>
      </c>
      <c r="T27" s="30">
        <f>SUM(T23:T26)</f>
        <v>1192737.69</v>
      </c>
      <c r="U27" s="31">
        <f>SUM(U23:U26)</f>
        <v>11459.1</v>
      </c>
      <c r="V27" s="32">
        <f>T27/U27</f>
        <v>104.08650679372725</v>
      </c>
    </row>
    <row r="28" spans="2:24" ht="23.25" customHeight="1" x14ac:dyDescent="0.25">
      <c r="B28" s="60"/>
      <c r="C28" s="59" t="s">
        <v>17</v>
      </c>
      <c r="D28" s="11">
        <v>44318</v>
      </c>
      <c r="E28" s="7">
        <v>61624.3</v>
      </c>
      <c r="F28" s="8">
        <v>520.5</v>
      </c>
      <c r="G28" s="7">
        <f t="shared" ref="G28:G32" si="25">E28/F28</f>
        <v>118.39442843419789</v>
      </c>
      <c r="H28" s="7">
        <v>159326.25</v>
      </c>
      <c r="I28" s="8">
        <v>1448</v>
      </c>
      <c r="J28" s="7">
        <f t="shared" si="19"/>
        <v>110.03194060773481</v>
      </c>
      <c r="K28" s="36"/>
      <c r="L28" s="37"/>
      <c r="M28" s="36"/>
      <c r="N28" s="7">
        <v>34002.75</v>
      </c>
      <c r="O28" s="8">
        <v>372</v>
      </c>
      <c r="P28" s="7">
        <f t="shared" si="24"/>
        <v>91.405241935483872</v>
      </c>
      <c r="Q28" s="7">
        <v>89699.85</v>
      </c>
      <c r="R28" s="8">
        <v>868.5</v>
      </c>
      <c r="S28" s="7">
        <f t="shared" si="21"/>
        <v>103.28134715025908</v>
      </c>
      <c r="T28" s="7">
        <f t="shared" ref="T28:U32" si="26">SUM(E28,H28,K28,N28,Q28)</f>
        <v>344653.15</v>
      </c>
      <c r="U28" s="8">
        <f t="shared" si="26"/>
        <v>3209</v>
      </c>
      <c r="V28" s="7">
        <f t="shared" si="23"/>
        <v>107.40204113430975</v>
      </c>
    </row>
    <row r="29" spans="2:24" ht="23.25" customHeight="1" x14ac:dyDescent="0.25">
      <c r="B29" s="60"/>
      <c r="C29" s="60">
        <v>7</v>
      </c>
      <c r="D29" s="11">
        <v>44325</v>
      </c>
      <c r="E29" s="7">
        <v>12701.25</v>
      </c>
      <c r="F29" s="8">
        <v>108.3</v>
      </c>
      <c r="G29" s="7">
        <f t="shared" si="25"/>
        <v>117.27839335180056</v>
      </c>
      <c r="H29" s="7">
        <v>157711.42000000001</v>
      </c>
      <c r="I29" s="8">
        <v>1248.3</v>
      </c>
      <c r="J29" s="7">
        <f t="shared" si="19"/>
        <v>126.34095970519908</v>
      </c>
      <c r="K29" s="7">
        <v>2560</v>
      </c>
      <c r="L29" s="8">
        <v>21.5</v>
      </c>
      <c r="M29" s="7">
        <f t="shared" ref="M29:M30" si="27">K29/L29</f>
        <v>119.06976744186046</v>
      </c>
      <c r="N29" s="7">
        <v>51614</v>
      </c>
      <c r="O29" s="8">
        <v>469.3</v>
      </c>
      <c r="P29" s="7">
        <f t="shared" si="24"/>
        <v>109.98082250159813</v>
      </c>
      <c r="Q29" s="7">
        <v>45125.25</v>
      </c>
      <c r="R29" s="8">
        <v>370.5</v>
      </c>
      <c r="S29" s="7">
        <f t="shared" si="21"/>
        <v>121.79554655870446</v>
      </c>
      <c r="T29" s="7">
        <f t="shared" si="26"/>
        <v>269711.92000000004</v>
      </c>
      <c r="U29" s="8">
        <f t="shared" si="26"/>
        <v>2217.8999999999996</v>
      </c>
      <c r="V29" s="7">
        <f t="shared" si="23"/>
        <v>121.60688939988282</v>
      </c>
    </row>
    <row r="30" spans="2:24" ht="23.25" customHeight="1" x14ac:dyDescent="0.25">
      <c r="B30" s="60"/>
      <c r="C30" s="60">
        <v>8</v>
      </c>
      <c r="D30" s="11">
        <v>44332</v>
      </c>
      <c r="E30" s="7">
        <v>61051.53</v>
      </c>
      <c r="F30" s="8">
        <v>509.3</v>
      </c>
      <c r="G30" s="7">
        <f t="shared" si="25"/>
        <v>119.87341449047712</v>
      </c>
      <c r="H30" s="7">
        <v>124583.25</v>
      </c>
      <c r="I30" s="8">
        <v>1018</v>
      </c>
      <c r="J30" s="7">
        <f t="shared" si="19"/>
        <v>122.38040275049116</v>
      </c>
      <c r="K30" s="7">
        <v>132755.5</v>
      </c>
      <c r="L30" s="8">
        <v>1184.5</v>
      </c>
      <c r="M30" s="7">
        <f t="shared" si="27"/>
        <v>112.07724778387505</v>
      </c>
      <c r="N30" s="7">
        <v>2795</v>
      </c>
      <c r="O30" s="8">
        <v>24</v>
      </c>
      <c r="P30" s="7">
        <f t="shared" si="24"/>
        <v>116.45833333333333</v>
      </c>
      <c r="Q30" s="7">
        <v>68475.5</v>
      </c>
      <c r="R30" s="8">
        <v>759.5</v>
      </c>
      <c r="S30" s="7">
        <f t="shared" si="21"/>
        <v>90.158657011191579</v>
      </c>
      <c r="T30" s="7">
        <f t="shared" si="26"/>
        <v>389660.78</v>
      </c>
      <c r="U30" s="8">
        <f t="shared" si="26"/>
        <v>3495.3</v>
      </c>
      <c r="V30" s="7">
        <f t="shared" si="23"/>
        <v>111.48135496237805</v>
      </c>
    </row>
    <row r="31" spans="2:24" ht="23.25" customHeight="1" x14ac:dyDescent="0.25">
      <c r="B31" s="60"/>
      <c r="C31" s="60">
        <v>9</v>
      </c>
      <c r="D31" s="11">
        <v>44339</v>
      </c>
      <c r="E31" s="7">
        <v>83093.75</v>
      </c>
      <c r="F31" s="8">
        <v>775.5</v>
      </c>
      <c r="G31" s="7">
        <f t="shared" si="25"/>
        <v>107.14861379754997</v>
      </c>
      <c r="H31" s="7">
        <v>112734.75</v>
      </c>
      <c r="I31" s="8">
        <v>952.8</v>
      </c>
      <c r="J31" s="7">
        <f t="shared" si="19"/>
        <v>118.31942695214106</v>
      </c>
      <c r="K31" s="36"/>
      <c r="L31" s="37"/>
      <c r="M31" s="36"/>
      <c r="N31" s="7">
        <v>69149</v>
      </c>
      <c r="O31" s="8">
        <v>583.29999999999995</v>
      </c>
      <c r="P31" s="7">
        <f t="shared" si="24"/>
        <v>118.54791702382994</v>
      </c>
      <c r="Q31" s="7">
        <v>17850.400000000001</v>
      </c>
      <c r="R31" s="8">
        <v>186</v>
      </c>
      <c r="S31" s="7">
        <f t="shared" si="21"/>
        <v>95.969892473118293</v>
      </c>
      <c r="T31" s="7">
        <f t="shared" si="26"/>
        <v>282827.90000000002</v>
      </c>
      <c r="U31" s="8">
        <f t="shared" si="26"/>
        <v>2497.6</v>
      </c>
      <c r="V31" s="7">
        <f t="shared" si="23"/>
        <v>113.23987027546445</v>
      </c>
    </row>
    <row r="32" spans="2:24" ht="23.25" customHeight="1" x14ac:dyDescent="0.25">
      <c r="B32" s="60"/>
      <c r="C32" s="61"/>
      <c r="D32" s="11">
        <v>45442</v>
      </c>
      <c r="E32" s="7">
        <v>84068.5</v>
      </c>
      <c r="F32" s="8">
        <v>796.5</v>
      </c>
      <c r="G32" s="7">
        <f t="shared" si="25"/>
        <v>105.5473948524796</v>
      </c>
      <c r="H32" s="7">
        <v>123838.75</v>
      </c>
      <c r="I32" s="8">
        <v>1051.3</v>
      </c>
      <c r="J32" s="7">
        <f t="shared" si="19"/>
        <v>117.79582421763531</v>
      </c>
      <c r="K32" s="36"/>
      <c r="L32" s="37"/>
      <c r="M32" s="36"/>
      <c r="N32" s="7">
        <v>61624</v>
      </c>
      <c r="O32" s="8">
        <v>523.29999999999995</v>
      </c>
      <c r="P32" s="7">
        <f t="shared" si="24"/>
        <v>117.76036690235048</v>
      </c>
      <c r="Q32" s="7">
        <v>12994.5</v>
      </c>
      <c r="R32" s="8">
        <v>122.5</v>
      </c>
      <c r="S32" s="7">
        <f t="shared" si="21"/>
        <v>106.07755102040817</v>
      </c>
      <c r="T32" s="7">
        <f t="shared" si="26"/>
        <v>282525.75</v>
      </c>
      <c r="U32" s="8">
        <f t="shared" si="26"/>
        <v>2493.6</v>
      </c>
      <c r="V32" s="7">
        <f t="shared" si="23"/>
        <v>113.30034889316651</v>
      </c>
    </row>
    <row r="33" spans="2:24" ht="23.25" customHeight="1" x14ac:dyDescent="0.25">
      <c r="B33" s="60"/>
      <c r="C33" s="63" t="s">
        <v>36</v>
      </c>
      <c r="D33" s="64"/>
      <c r="E33" s="30">
        <f>SUM(E28:E32)</f>
        <v>302539.33</v>
      </c>
      <c r="F33" s="31">
        <f>SUM(F28:F32)</f>
        <v>2710.1</v>
      </c>
      <c r="G33" s="30">
        <f>E33/F33</f>
        <v>111.63400981513598</v>
      </c>
      <c r="H33" s="30">
        <f t="shared" ref="H33:I33" si="28">SUM(H28:H32)</f>
        <v>678194.42</v>
      </c>
      <c r="I33" s="31">
        <f t="shared" si="28"/>
        <v>5718.4000000000005</v>
      </c>
      <c r="J33" s="30">
        <f>H33/I33</f>
        <v>118.59863248461107</v>
      </c>
      <c r="K33" s="30">
        <f t="shared" ref="K33:L33" si="29">SUM(K28:K32)</f>
        <v>135315.5</v>
      </c>
      <c r="L33" s="31">
        <f t="shared" si="29"/>
        <v>1206</v>
      </c>
      <c r="M33" s="30">
        <f>K33/L33</f>
        <v>112.20190713101161</v>
      </c>
      <c r="N33" s="30">
        <f t="shared" ref="N33:O33" si="30">SUM(N28:N32)</f>
        <v>219184.75</v>
      </c>
      <c r="O33" s="31">
        <f t="shared" si="30"/>
        <v>1971.8999999999999</v>
      </c>
      <c r="P33" s="30">
        <f>N33/O33</f>
        <v>111.15408996399412</v>
      </c>
      <c r="Q33" s="30">
        <f t="shared" ref="Q33:R33" si="31">SUM(Q28:Q32)</f>
        <v>234145.5</v>
      </c>
      <c r="R33" s="31">
        <f t="shared" si="31"/>
        <v>2307</v>
      </c>
      <c r="S33" s="30">
        <f>Q33/R33</f>
        <v>101.49349804941482</v>
      </c>
      <c r="T33" s="30">
        <f t="shared" ref="T33:U33" si="32">SUM(T28:T32)</f>
        <v>1569379.5</v>
      </c>
      <c r="U33" s="31">
        <f t="shared" si="32"/>
        <v>13913.400000000001</v>
      </c>
      <c r="V33" s="32">
        <f>T33/U33</f>
        <v>112.7962611583078</v>
      </c>
    </row>
    <row r="34" spans="2:24" ht="23.25" customHeight="1" x14ac:dyDescent="0.25">
      <c r="B34" s="60"/>
      <c r="C34" s="59" t="s">
        <v>18</v>
      </c>
      <c r="D34" s="11">
        <v>45083</v>
      </c>
      <c r="E34" s="7">
        <v>40494.5</v>
      </c>
      <c r="F34" s="8">
        <v>341</v>
      </c>
      <c r="G34" s="7">
        <f t="shared" ref="G34:G37" si="33">E34/F34</f>
        <v>118.75219941348973</v>
      </c>
      <c r="H34" s="7">
        <v>111154.6</v>
      </c>
      <c r="I34" s="8">
        <v>959.5</v>
      </c>
      <c r="J34" s="7">
        <f t="shared" si="19"/>
        <v>115.84637832204274</v>
      </c>
      <c r="K34" s="36"/>
      <c r="L34" s="37"/>
      <c r="M34" s="36"/>
      <c r="N34" s="7">
        <v>29375</v>
      </c>
      <c r="O34" s="8">
        <v>263.8</v>
      </c>
      <c r="P34" s="7">
        <f t="shared" si="24"/>
        <v>111.35329795299469</v>
      </c>
      <c r="Q34" s="7">
        <v>145497.59</v>
      </c>
      <c r="R34" s="8">
        <v>1129.5</v>
      </c>
      <c r="S34" s="7">
        <f t="shared" ref="S34:S37" si="34">Q34/R34</f>
        <v>128.81592740150509</v>
      </c>
      <c r="T34" s="7">
        <f t="shared" ref="T34:U37" si="35">SUM(E34,H34,K34,N34,Q34)</f>
        <v>326521.69</v>
      </c>
      <c r="U34" s="8">
        <f t="shared" si="35"/>
        <v>2693.8</v>
      </c>
      <c r="V34" s="7">
        <f t="shared" si="23"/>
        <v>121.21229861162669</v>
      </c>
    </row>
    <row r="35" spans="2:24" ht="23.25" customHeight="1" x14ac:dyDescent="0.25">
      <c r="B35" s="60"/>
      <c r="C35" s="60"/>
      <c r="D35" s="11">
        <v>44360</v>
      </c>
      <c r="E35" s="7">
        <v>61205</v>
      </c>
      <c r="F35" s="8">
        <v>500</v>
      </c>
      <c r="G35" s="7">
        <f t="shared" si="33"/>
        <v>122.41</v>
      </c>
      <c r="H35" s="7">
        <v>102278</v>
      </c>
      <c r="I35" s="8">
        <v>946.5</v>
      </c>
      <c r="J35" s="7">
        <f t="shared" si="19"/>
        <v>108.05916534601162</v>
      </c>
      <c r="K35" s="36"/>
      <c r="L35" s="37"/>
      <c r="M35" s="36"/>
      <c r="N35" s="7">
        <v>31861.5</v>
      </c>
      <c r="O35" s="8">
        <v>274.5</v>
      </c>
      <c r="P35" s="7">
        <f t="shared" si="24"/>
        <v>116.07103825136612</v>
      </c>
      <c r="Q35" s="7">
        <v>174436.88</v>
      </c>
      <c r="R35" s="8">
        <v>1673</v>
      </c>
      <c r="S35" s="7">
        <f t="shared" si="34"/>
        <v>104.2659175134489</v>
      </c>
      <c r="T35" s="7">
        <f t="shared" si="35"/>
        <v>369781.38</v>
      </c>
      <c r="U35" s="8">
        <f t="shared" si="35"/>
        <v>3394</v>
      </c>
      <c r="V35" s="7">
        <f t="shared" si="23"/>
        <v>108.95149675898645</v>
      </c>
    </row>
    <row r="36" spans="2:24" ht="23.25" customHeight="1" x14ac:dyDescent="0.25">
      <c r="B36" s="60"/>
      <c r="C36" s="60"/>
      <c r="D36" s="11">
        <v>44367</v>
      </c>
      <c r="E36" s="7">
        <v>44329.75</v>
      </c>
      <c r="F36" s="8">
        <v>371</v>
      </c>
      <c r="G36" s="7">
        <f t="shared" si="33"/>
        <v>119.48719676549865</v>
      </c>
      <c r="H36" s="7">
        <v>0</v>
      </c>
      <c r="I36" s="8">
        <v>2</v>
      </c>
      <c r="J36" s="7">
        <f t="shared" si="19"/>
        <v>0</v>
      </c>
      <c r="K36" s="7">
        <v>30408.75</v>
      </c>
      <c r="L36" s="8">
        <v>211.3</v>
      </c>
      <c r="M36" s="7">
        <f t="shared" ref="M36:M37" si="36">K36/L36</f>
        <v>143.91268338854709</v>
      </c>
      <c r="N36" s="7">
        <v>24145</v>
      </c>
      <c r="O36" s="8">
        <v>204</v>
      </c>
      <c r="P36" s="7">
        <f t="shared" si="24"/>
        <v>118.3578431372549</v>
      </c>
      <c r="Q36" s="7">
        <v>95395</v>
      </c>
      <c r="R36" s="8">
        <v>847.8</v>
      </c>
      <c r="S36" s="7">
        <f t="shared" si="34"/>
        <v>112.52064166076906</v>
      </c>
      <c r="T36" s="7">
        <f t="shared" si="35"/>
        <v>194278.5</v>
      </c>
      <c r="U36" s="8">
        <f t="shared" si="35"/>
        <v>1636.1</v>
      </c>
      <c r="V36" s="7">
        <f t="shared" si="23"/>
        <v>118.74488111973596</v>
      </c>
      <c r="X36" s="2"/>
    </row>
    <row r="37" spans="2:24" ht="23.25" customHeight="1" x14ac:dyDescent="0.25">
      <c r="B37" s="60"/>
      <c r="C37" s="60"/>
      <c r="D37" s="11">
        <v>44374</v>
      </c>
      <c r="E37" s="7">
        <v>59943</v>
      </c>
      <c r="F37" s="8">
        <v>518.79999999999995</v>
      </c>
      <c r="G37" s="7">
        <f t="shared" si="33"/>
        <v>115.54163454124905</v>
      </c>
      <c r="H37" s="7">
        <v>120468.5</v>
      </c>
      <c r="I37" s="8">
        <v>1089</v>
      </c>
      <c r="J37" s="7">
        <f t="shared" si="19"/>
        <v>110.62304866850322</v>
      </c>
      <c r="K37" s="7">
        <v>19160</v>
      </c>
      <c r="L37" s="8">
        <v>162</v>
      </c>
      <c r="M37" s="7">
        <f t="shared" si="36"/>
        <v>118.27160493827161</v>
      </c>
      <c r="N37" s="7">
        <v>50367.75</v>
      </c>
      <c r="O37" s="8">
        <v>434.5</v>
      </c>
      <c r="P37" s="7">
        <f t="shared" si="24"/>
        <v>115.92117376294591</v>
      </c>
      <c r="Q37" s="7">
        <v>98443</v>
      </c>
      <c r="R37" s="8">
        <v>1059</v>
      </c>
      <c r="S37" s="7">
        <f t="shared" si="34"/>
        <v>92.958451369216235</v>
      </c>
      <c r="T37" s="7">
        <f t="shared" si="35"/>
        <v>348382.25</v>
      </c>
      <c r="U37" s="8">
        <f t="shared" si="35"/>
        <v>3263.3</v>
      </c>
      <c r="V37" s="7">
        <f t="shared" si="23"/>
        <v>106.75765329574357</v>
      </c>
      <c r="X37" s="2">
        <f>SUM(T34:T37)</f>
        <v>1238963.82</v>
      </c>
    </row>
    <row r="38" spans="2:24" ht="23.25" customHeight="1" x14ac:dyDescent="0.25">
      <c r="B38" s="61"/>
      <c r="C38" s="63" t="s">
        <v>36</v>
      </c>
      <c r="D38" s="64"/>
      <c r="E38" s="30">
        <f>SUM(E34:E37)</f>
        <v>205972.25</v>
      </c>
      <c r="F38" s="31">
        <f>SUM(F34:F37)</f>
        <v>1730.8</v>
      </c>
      <c r="G38" s="30">
        <f>E38/F38</f>
        <v>119.00407326091981</v>
      </c>
      <c r="H38" s="30">
        <f>SUM(H34:H37)</f>
        <v>333901.09999999998</v>
      </c>
      <c r="I38" s="31">
        <f>SUM(I34:I37)</f>
        <v>2997</v>
      </c>
      <c r="J38" s="30">
        <f>H38/I38</f>
        <v>111.41177844511176</v>
      </c>
      <c r="K38" s="30">
        <f>SUM(K34:K37)</f>
        <v>49568.75</v>
      </c>
      <c r="L38" s="31">
        <f>SUM(L34:L37)</f>
        <v>373.3</v>
      </c>
      <c r="M38" s="30">
        <f>K38/L38</f>
        <v>132.78529332976157</v>
      </c>
      <c r="N38" s="30">
        <f>SUM(N34:N37)</f>
        <v>135749.25</v>
      </c>
      <c r="O38" s="31">
        <f>SUM(O34:O37)</f>
        <v>1176.8</v>
      </c>
      <c r="P38" s="30">
        <f>N38/O38</f>
        <v>115.35456322229776</v>
      </c>
      <c r="Q38" s="30">
        <f>SUM(Q34:Q37)</f>
        <v>513772.47</v>
      </c>
      <c r="R38" s="31">
        <f>SUM(R34:R37)</f>
        <v>4709.3</v>
      </c>
      <c r="S38" s="30">
        <f>Q38/R38</f>
        <v>109.09741787526808</v>
      </c>
      <c r="T38" s="30">
        <f>SUM(T34:T37)</f>
        <v>1238963.82</v>
      </c>
      <c r="U38" s="31">
        <f>SUM(U34:U37)</f>
        <v>10987.2</v>
      </c>
      <c r="V38" s="32">
        <f>T38/U38</f>
        <v>112.76429117518568</v>
      </c>
    </row>
    <row r="39" spans="2:24" ht="39" customHeight="1" x14ac:dyDescent="0.25">
      <c r="B39" s="52" t="s">
        <v>21</v>
      </c>
      <c r="C39" s="52"/>
      <c r="D39" s="52"/>
      <c r="E39" s="33">
        <f>SUM(E38,E33,E27)</f>
        <v>678726.08000000007</v>
      </c>
      <c r="F39" s="34">
        <f>SUM(F38,F33,F27)</f>
        <v>6080.9</v>
      </c>
      <c r="G39" s="33">
        <f>E39/F39</f>
        <v>111.6160568336924</v>
      </c>
      <c r="H39" s="33">
        <f>SUM(H38,H33,H27)</f>
        <v>1462690.27</v>
      </c>
      <c r="I39" s="34">
        <f>SUM(I38,I33,I27)</f>
        <v>12817.400000000001</v>
      </c>
      <c r="J39" s="33">
        <f>H39/I39</f>
        <v>114.11754880084884</v>
      </c>
      <c r="K39" s="33">
        <f>SUM(K38,K33,K27)</f>
        <v>292608</v>
      </c>
      <c r="L39" s="34">
        <f>SUM(L38,L33,L27)</f>
        <v>2516.8000000000002</v>
      </c>
      <c r="M39" s="33">
        <f>K39/L39</f>
        <v>116.26191989828352</v>
      </c>
      <c r="N39" s="33">
        <f>SUM(N38,N33,N27)</f>
        <v>489272.25</v>
      </c>
      <c r="O39" s="34">
        <f>SUM(O38,O33,O27)</f>
        <v>4488.5</v>
      </c>
      <c r="P39" s="33">
        <f>N39/O39</f>
        <v>109.00573688314581</v>
      </c>
      <c r="Q39" s="33">
        <f>SUM(Q38,Q33,Q27)</f>
        <v>1077784.4099999999</v>
      </c>
      <c r="R39" s="34">
        <f>SUM(R38,R33,R27)</f>
        <v>10456.1</v>
      </c>
      <c r="S39" s="33">
        <f>Q39/R39</f>
        <v>103.07709471026482</v>
      </c>
      <c r="T39" s="33">
        <f>SUM(T38,T33,T27)</f>
        <v>4001081.0100000002</v>
      </c>
      <c r="U39" s="34">
        <f>SUM(U38,U33,U27)</f>
        <v>36359.700000000004</v>
      </c>
      <c r="V39" s="33">
        <f>T39/U39</f>
        <v>110.04163978250645</v>
      </c>
    </row>
    <row r="40" spans="2:24" ht="23.25" customHeight="1" x14ac:dyDescent="0.25">
      <c r="B40" s="53" t="s">
        <v>39</v>
      </c>
      <c r="C40" s="54"/>
      <c r="D40" s="54"/>
      <c r="E40" s="9">
        <f>SUM(E39,E20)</f>
        <v>1454431.85</v>
      </c>
      <c r="F40" s="10">
        <f>SUM(F39,F20)</f>
        <v>13326.7</v>
      </c>
      <c r="G40" s="9">
        <f>E40/F40</f>
        <v>109.13668425041459</v>
      </c>
      <c r="H40" s="9">
        <f>SUM(H39,H20)</f>
        <v>1972533.63</v>
      </c>
      <c r="I40" s="10">
        <f>SUM(I39,I20)</f>
        <v>17421.900000000001</v>
      </c>
      <c r="J40" s="9">
        <f>H40/I40</f>
        <v>113.2214988032304</v>
      </c>
      <c r="K40" s="9">
        <f>SUM(K39,K20)</f>
        <v>319207.25</v>
      </c>
      <c r="L40" s="10">
        <f>SUM(L39,L20)</f>
        <v>2758.8</v>
      </c>
      <c r="M40" s="9">
        <f>K40/L40</f>
        <v>115.70510729302595</v>
      </c>
      <c r="N40" s="9">
        <f>SUM(N39,N20)</f>
        <v>742568.5</v>
      </c>
      <c r="O40" s="10">
        <f>SUM(O39,O20)</f>
        <v>6981.3</v>
      </c>
      <c r="P40" s="9">
        <f>N40/O40</f>
        <v>106.36536175210921</v>
      </c>
      <c r="Q40" s="9">
        <f>SUM(Q39,Q20)</f>
        <v>2624087.3600000003</v>
      </c>
      <c r="R40" s="10">
        <f>SUM(R39,R20)</f>
        <v>26771.9</v>
      </c>
      <c r="S40" s="9">
        <f>Q40/R40</f>
        <v>98.016478471830553</v>
      </c>
      <c r="T40" s="9">
        <f>SUM(T39,T20)</f>
        <v>7112828.5899999999</v>
      </c>
      <c r="U40" s="10">
        <f>SUM(U39,U20)</f>
        <v>67260.600000000006</v>
      </c>
      <c r="V40" s="9">
        <f>T40/U40</f>
        <v>105.75029943235712</v>
      </c>
    </row>
    <row r="41" spans="2:24" x14ac:dyDescent="0.25">
      <c r="B41" s="67" t="s">
        <v>15</v>
      </c>
      <c r="C41" s="67" t="s">
        <v>10</v>
      </c>
      <c r="D41" s="67" t="s">
        <v>0</v>
      </c>
      <c r="E41" s="58" t="s">
        <v>40</v>
      </c>
      <c r="F41" s="58"/>
      <c r="G41" s="58"/>
      <c r="H41" s="58" t="s">
        <v>7</v>
      </c>
      <c r="I41" s="58"/>
      <c r="J41" s="58"/>
      <c r="K41" s="55" t="s">
        <v>42</v>
      </c>
      <c r="L41" s="56"/>
      <c r="M41" s="57"/>
      <c r="N41" s="58" t="s">
        <v>43</v>
      </c>
      <c r="O41" s="58"/>
      <c r="P41" s="58"/>
      <c r="Q41" s="58" t="s">
        <v>4</v>
      </c>
      <c r="R41" s="58"/>
      <c r="S41" s="58"/>
      <c r="T41" s="58" t="s">
        <v>9</v>
      </c>
      <c r="U41" s="58"/>
      <c r="V41" s="58"/>
    </row>
    <row r="42" spans="2:24" x14ac:dyDescent="0.25">
      <c r="B42" s="67"/>
      <c r="C42" s="67"/>
      <c r="D42" s="67"/>
      <c r="E42" s="1" t="s">
        <v>1</v>
      </c>
      <c r="F42" s="3" t="s">
        <v>2</v>
      </c>
      <c r="G42" s="1" t="s">
        <v>3</v>
      </c>
      <c r="H42" s="1" t="s">
        <v>1</v>
      </c>
      <c r="I42" s="3" t="s">
        <v>2</v>
      </c>
      <c r="J42" s="1" t="s">
        <v>3</v>
      </c>
      <c r="K42" s="1" t="s">
        <v>1</v>
      </c>
      <c r="L42" s="3" t="s">
        <v>2</v>
      </c>
      <c r="M42" s="1" t="s">
        <v>3</v>
      </c>
      <c r="N42" s="1" t="s">
        <v>1</v>
      </c>
      <c r="O42" s="3" t="s">
        <v>2</v>
      </c>
      <c r="P42" s="1" t="s">
        <v>3</v>
      </c>
      <c r="Q42" s="1" t="s">
        <v>1</v>
      </c>
      <c r="R42" s="3" t="s">
        <v>2</v>
      </c>
      <c r="S42" s="1" t="s">
        <v>3</v>
      </c>
      <c r="T42" s="1" t="s">
        <v>1</v>
      </c>
      <c r="U42" s="3" t="s">
        <v>2</v>
      </c>
      <c r="V42" s="1" t="s">
        <v>3</v>
      </c>
    </row>
    <row r="43" spans="2:24" ht="23.25" customHeight="1" x14ac:dyDescent="0.25">
      <c r="B43" s="59" t="s">
        <v>26</v>
      </c>
      <c r="C43" s="59" t="s">
        <v>23</v>
      </c>
      <c r="D43" s="11">
        <v>44381</v>
      </c>
      <c r="E43" s="13">
        <v>55843.6</v>
      </c>
      <c r="F43" s="16">
        <v>489.8</v>
      </c>
      <c r="G43" s="13">
        <f t="shared" ref="G43:G57" si="37">E43/F43</f>
        <v>114.01306655777869</v>
      </c>
      <c r="H43" s="13">
        <v>52657.5</v>
      </c>
      <c r="I43" s="16">
        <v>438.5</v>
      </c>
      <c r="J43" s="13">
        <f t="shared" ref="J43:J57" si="38">H43/I43</f>
        <v>120.08551881413911</v>
      </c>
      <c r="K43" s="13">
        <v>2375</v>
      </c>
      <c r="L43" s="16">
        <v>31.5</v>
      </c>
      <c r="M43" s="13">
        <f t="shared" ref="M43:M47" si="39">K43/L43</f>
        <v>75.396825396825392</v>
      </c>
      <c r="N43" s="13">
        <v>4745</v>
      </c>
      <c r="O43" s="16">
        <v>40</v>
      </c>
      <c r="P43" s="13">
        <f t="shared" ref="P43:P57" si="40">N43/O43</f>
        <v>118.625</v>
      </c>
      <c r="Q43" s="13">
        <v>32023</v>
      </c>
      <c r="R43" s="16">
        <v>469</v>
      </c>
      <c r="S43" s="13">
        <f t="shared" ref="S43:S47" si="41">Q43/R43</f>
        <v>68.279317697228151</v>
      </c>
      <c r="T43" s="13">
        <f t="shared" ref="T43:U47" si="42">SUM(E43,H43,K43,N43,Q43)</f>
        <v>147644.1</v>
      </c>
      <c r="U43" s="16">
        <f t="shared" si="42"/>
        <v>1468.8</v>
      </c>
      <c r="V43" s="13">
        <f t="shared" ref="V43:V57" si="43">T43/U43</f>
        <v>100.5202205882353</v>
      </c>
    </row>
    <row r="44" spans="2:24" ht="23.25" customHeight="1" x14ac:dyDescent="0.25">
      <c r="B44" s="60"/>
      <c r="C44" s="60"/>
      <c r="D44" s="11">
        <v>44388</v>
      </c>
      <c r="E44" s="13">
        <v>55811.5</v>
      </c>
      <c r="F44" s="16">
        <v>485</v>
      </c>
      <c r="G44" s="13">
        <f t="shared" si="37"/>
        <v>115.07525773195876</v>
      </c>
      <c r="H44" s="13">
        <v>5685</v>
      </c>
      <c r="I44" s="16">
        <v>52</v>
      </c>
      <c r="J44" s="13">
        <f t="shared" si="38"/>
        <v>109.32692307692308</v>
      </c>
      <c r="K44" s="38"/>
      <c r="L44" s="39"/>
      <c r="M44" s="38"/>
      <c r="N44" s="38"/>
      <c r="O44" s="39"/>
      <c r="P44" s="38"/>
      <c r="Q44" s="13">
        <v>48524.959999999999</v>
      </c>
      <c r="R44" s="16">
        <v>447.3</v>
      </c>
      <c r="S44" s="13">
        <f t="shared" si="41"/>
        <v>108.48414934048736</v>
      </c>
      <c r="T44" s="13">
        <f t="shared" si="42"/>
        <v>110021.45999999999</v>
      </c>
      <c r="U44" s="16">
        <f t="shared" si="42"/>
        <v>984.3</v>
      </c>
      <c r="V44" s="13">
        <f t="shared" si="43"/>
        <v>111.7763486741847</v>
      </c>
    </row>
    <row r="45" spans="2:24" ht="23.25" customHeight="1" x14ac:dyDescent="0.25">
      <c r="B45" s="60"/>
      <c r="C45" s="60"/>
      <c r="D45" s="11">
        <v>44395</v>
      </c>
      <c r="E45" s="13">
        <v>40592.22</v>
      </c>
      <c r="F45" s="16">
        <v>356.8</v>
      </c>
      <c r="G45" s="13">
        <f t="shared" si="37"/>
        <v>113.76743273542601</v>
      </c>
      <c r="H45" s="13">
        <v>32145.55</v>
      </c>
      <c r="I45" s="16">
        <v>276</v>
      </c>
      <c r="J45" s="13">
        <f t="shared" si="38"/>
        <v>116.46938405797101</v>
      </c>
      <c r="K45" s="13">
        <v>8435</v>
      </c>
      <c r="L45" s="16">
        <v>136.30000000000001</v>
      </c>
      <c r="M45" s="13">
        <f t="shared" si="39"/>
        <v>61.885546588407919</v>
      </c>
      <c r="N45" s="13">
        <v>34710</v>
      </c>
      <c r="O45" s="16">
        <v>299</v>
      </c>
      <c r="P45" s="13">
        <f t="shared" si="40"/>
        <v>116.08695652173913</v>
      </c>
      <c r="Q45" s="13">
        <v>152009.94</v>
      </c>
      <c r="R45" s="16">
        <v>1158</v>
      </c>
      <c r="S45" s="13">
        <f t="shared" si="41"/>
        <v>131.26937823834197</v>
      </c>
      <c r="T45" s="13">
        <f t="shared" si="42"/>
        <v>267892.71000000002</v>
      </c>
      <c r="U45" s="16">
        <f t="shared" si="42"/>
        <v>2226.1</v>
      </c>
      <c r="V45" s="13">
        <f t="shared" si="43"/>
        <v>120.34172319302819</v>
      </c>
    </row>
    <row r="46" spans="2:24" ht="23.25" customHeight="1" x14ac:dyDescent="0.25">
      <c r="B46" s="60"/>
      <c r="C46" s="60"/>
      <c r="D46" s="11">
        <v>44402</v>
      </c>
      <c r="E46" s="13">
        <v>45895</v>
      </c>
      <c r="F46" s="16">
        <v>408.8</v>
      </c>
      <c r="G46" s="13">
        <f t="shared" si="37"/>
        <v>112.26761252446184</v>
      </c>
      <c r="H46" s="13">
        <v>44637.75</v>
      </c>
      <c r="I46" s="16">
        <v>545.79999999999995</v>
      </c>
      <c r="J46" s="13">
        <f t="shared" si="38"/>
        <v>81.784078417002576</v>
      </c>
      <c r="K46" s="13">
        <v>41955</v>
      </c>
      <c r="L46" s="16">
        <v>382</v>
      </c>
      <c r="M46" s="13">
        <f t="shared" si="39"/>
        <v>109.82984293193718</v>
      </c>
      <c r="N46" s="13">
        <v>6600</v>
      </c>
      <c r="O46" s="16">
        <v>60</v>
      </c>
      <c r="P46" s="13">
        <f t="shared" si="40"/>
        <v>110</v>
      </c>
      <c r="Q46" s="13">
        <v>245613.25</v>
      </c>
      <c r="R46" s="16">
        <v>2360.5</v>
      </c>
      <c r="S46" s="13">
        <f t="shared" si="41"/>
        <v>104.05136623596695</v>
      </c>
      <c r="T46" s="13">
        <f t="shared" si="42"/>
        <v>384701</v>
      </c>
      <c r="U46" s="16">
        <f t="shared" si="42"/>
        <v>3757.1</v>
      </c>
      <c r="V46" s="13">
        <f t="shared" si="43"/>
        <v>102.39306912246147</v>
      </c>
      <c r="X46" s="2">
        <f>SUM(T43:T46)</f>
        <v>910259.27</v>
      </c>
    </row>
    <row r="47" spans="2:24" ht="23.25" customHeight="1" x14ac:dyDescent="0.25">
      <c r="B47" s="60"/>
      <c r="C47" s="61"/>
      <c r="D47" s="11">
        <v>44409</v>
      </c>
      <c r="E47" s="13">
        <v>71429.2</v>
      </c>
      <c r="F47" s="16">
        <v>595</v>
      </c>
      <c r="G47" s="13">
        <f t="shared" ref="G47" si="44">E47/F47</f>
        <v>120.04907563025209</v>
      </c>
      <c r="H47" s="13">
        <v>20379.75</v>
      </c>
      <c r="I47" s="16">
        <v>173</v>
      </c>
      <c r="J47" s="13">
        <f t="shared" ref="J47" si="45">H47/I47</f>
        <v>117.80202312138728</v>
      </c>
      <c r="K47" s="13">
        <v>920</v>
      </c>
      <c r="L47" s="16">
        <v>8</v>
      </c>
      <c r="M47" s="13">
        <f t="shared" si="39"/>
        <v>115</v>
      </c>
      <c r="N47" s="13">
        <v>54072</v>
      </c>
      <c r="O47" s="16">
        <v>449.3</v>
      </c>
      <c r="P47" s="13">
        <f t="shared" ref="P47" si="46">N47/O47</f>
        <v>120.34720676608056</v>
      </c>
      <c r="Q47" s="13">
        <v>64263.09</v>
      </c>
      <c r="R47" s="16">
        <v>584.29999999999995</v>
      </c>
      <c r="S47" s="13">
        <f t="shared" si="41"/>
        <v>109.98303953448571</v>
      </c>
      <c r="T47" s="13">
        <f t="shared" si="42"/>
        <v>211064.04</v>
      </c>
      <c r="U47" s="16">
        <f t="shared" si="42"/>
        <v>1809.6</v>
      </c>
      <c r="V47" s="13">
        <f t="shared" ref="V47" si="47">T47/U47</f>
        <v>116.63574270557031</v>
      </c>
    </row>
    <row r="48" spans="2:24" ht="23.25" customHeight="1" x14ac:dyDescent="0.25">
      <c r="B48" s="60"/>
      <c r="C48" s="63" t="s">
        <v>36</v>
      </c>
      <c r="D48" s="64"/>
      <c r="E48" s="30">
        <f>SUM(E43:E47)</f>
        <v>269571.52</v>
      </c>
      <c r="F48" s="31">
        <f>SUM(F43:F47)</f>
        <v>2335.3999999999996</v>
      </c>
      <c r="G48" s="30">
        <f>E48/F48</f>
        <v>115.42841483257689</v>
      </c>
      <c r="H48" s="30">
        <f t="shared" ref="H48:I48" si="48">SUM(H43:H47)</f>
        <v>155505.54999999999</v>
      </c>
      <c r="I48" s="31">
        <f t="shared" si="48"/>
        <v>1485.3</v>
      </c>
      <c r="J48" s="30">
        <f>H48/I48</f>
        <v>104.69639130142059</v>
      </c>
      <c r="K48" s="30">
        <f t="shared" ref="K48:L48" si="49">SUM(K43:K47)</f>
        <v>53685</v>
      </c>
      <c r="L48" s="31">
        <f t="shared" si="49"/>
        <v>557.79999999999995</v>
      </c>
      <c r="M48" s="30">
        <f>K48/L48</f>
        <v>96.244173538902842</v>
      </c>
      <c r="N48" s="30">
        <f t="shared" ref="N48:O48" si="50">SUM(N43:N47)</f>
        <v>100127</v>
      </c>
      <c r="O48" s="31">
        <f t="shared" si="50"/>
        <v>848.3</v>
      </c>
      <c r="P48" s="30">
        <f>N48/O48</f>
        <v>118.03253565955441</v>
      </c>
      <c r="Q48" s="30">
        <f t="shared" ref="Q48:R48" si="51">SUM(Q43:Q47)</f>
        <v>542434.24</v>
      </c>
      <c r="R48" s="31">
        <f t="shared" si="51"/>
        <v>5019.1000000000004</v>
      </c>
      <c r="S48" s="30">
        <f>Q48/R48</f>
        <v>108.07400529975493</v>
      </c>
      <c r="T48" s="30">
        <f t="shared" ref="T48:U48" si="52">SUM(T43:T47)</f>
        <v>1121323.31</v>
      </c>
      <c r="U48" s="31">
        <f t="shared" si="52"/>
        <v>10245.9</v>
      </c>
      <c r="V48" s="32">
        <f>T48/U48</f>
        <v>109.44117256658762</v>
      </c>
    </row>
    <row r="49" spans="2:22" ht="23.25" customHeight="1" x14ac:dyDescent="0.25">
      <c r="B49" s="60"/>
      <c r="C49" s="60" t="s">
        <v>24</v>
      </c>
      <c r="D49" s="11">
        <v>44416</v>
      </c>
      <c r="E49" s="13">
        <v>13885</v>
      </c>
      <c r="F49" s="16">
        <v>114</v>
      </c>
      <c r="G49" s="13">
        <f t="shared" si="37"/>
        <v>121.79824561403508</v>
      </c>
      <c r="H49" s="13">
        <v>113968.1</v>
      </c>
      <c r="I49" s="16">
        <v>977.5</v>
      </c>
      <c r="J49" s="13">
        <f t="shared" si="38"/>
        <v>116.59140664961637</v>
      </c>
      <c r="K49" s="13">
        <v>19160</v>
      </c>
      <c r="L49" s="16">
        <v>227.8</v>
      </c>
      <c r="M49" s="13">
        <f t="shared" ref="M49:M51" si="53">K49/L49</f>
        <v>84.108867427568043</v>
      </c>
      <c r="N49" s="13">
        <v>225</v>
      </c>
      <c r="O49" s="16">
        <v>3</v>
      </c>
      <c r="P49" s="13">
        <f t="shared" si="40"/>
        <v>75</v>
      </c>
      <c r="Q49" s="13">
        <v>148066.53</v>
      </c>
      <c r="R49" s="16">
        <v>1669.5</v>
      </c>
      <c r="S49" s="13">
        <f t="shared" ref="S49:S57" si="54">Q49/R49</f>
        <v>88.689146451033238</v>
      </c>
      <c r="T49" s="13">
        <f t="shared" ref="T49:U52" si="55">SUM(E49,H49,K49,N49,Q49)</f>
        <v>295304.63</v>
      </c>
      <c r="U49" s="16">
        <f t="shared" si="55"/>
        <v>2991.8</v>
      </c>
      <c r="V49" s="13">
        <f t="shared" si="43"/>
        <v>98.704669429774711</v>
      </c>
    </row>
    <row r="50" spans="2:22" ht="23.25" customHeight="1" x14ac:dyDescent="0.25">
      <c r="B50" s="60"/>
      <c r="C50" s="60">
        <v>8</v>
      </c>
      <c r="D50" s="11">
        <v>44423</v>
      </c>
      <c r="E50" s="13">
        <v>15226</v>
      </c>
      <c r="F50" s="16">
        <v>107</v>
      </c>
      <c r="G50" s="13">
        <f t="shared" si="37"/>
        <v>142.29906542056074</v>
      </c>
      <c r="H50" s="13">
        <v>37917.410000000003</v>
      </c>
      <c r="I50" s="16">
        <v>324</v>
      </c>
      <c r="J50" s="13">
        <f t="shared" si="38"/>
        <v>117.02904320987655</v>
      </c>
      <c r="K50" s="38"/>
      <c r="L50" s="39"/>
      <c r="M50" s="38"/>
      <c r="N50" s="13">
        <v>9745</v>
      </c>
      <c r="O50" s="16">
        <v>79.3</v>
      </c>
      <c r="P50" s="13">
        <f t="shared" si="40"/>
        <v>122.88776796973519</v>
      </c>
      <c r="Q50" s="13">
        <v>142686.69</v>
      </c>
      <c r="R50" s="16">
        <v>1368.8</v>
      </c>
      <c r="S50" s="13">
        <f t="shared" si="54"/>
        <v>104.24217562828755</v>
      </c>
      <c r="T50" s="13">
        <f t="shared" si="55"/>
        <v>205575.1</v>
      </c>
      <c r="U50" s="16">
        <f t="shared" si="55"/>
        <v>1879.1</v>
      </c>
      <c r="V50" s="13">
        <f t="shared" si="43"/>
        <v>109.40083018466288</v>
      </c>
    </row>
    <row r="51" spans="2:22" ht="23.25" customHeight="1" x14ac:dyDescent="0.25">
      <c r="B51" s="60"/>
      <c r="C51" s="60">
        <v>9</v>
      </c>
      <c r="D51" s="11">
        <v>44430</v>
      </c>
      <c r="E51" s="13">
        <v>34481.75</v>
      </c>
      <c r="F51" s="16">
        <v>299.3</v>
      </c>
      <c r="G51" s="13">
        <f t="shared" si="37"/>
        <v>115.20798529903107</v>
      </c>
      <c r="H51" s="13">
        <v>110715</v>
      </c>
      <c r="I51" s="16">
        <v>938</v>
      </c>
      <c r="J51" s="13">
        <f t="shared" si="38"/>
        <v>118.03304904051173</v>
      </c>
      <c r="K51" s="13">
        <v>21212.75</v>
      </c>
      <c r="L51" s="16">
        <v>182</v>
      </c>
      <c r="M51" s="13">
        <f t="shared" si="53"/>
        <v>116.55357142857143</v>
      </c>
      <c r="N51" s="13">
        <v>14480</v>
      </c>
      <c r="O51" s="16">
        <v>141</v>
      </c>
      <c r="P51" s="13">
        <f t="shared" si="40"/>
        <v>102.69503546099291</v>
      </c>
      <c r="Q51" s="13">
        <v>116096.4</v>
      </c>
      <c r="R51" s="16">
        <v>1085.5</v>
      </c>
      <c r="S51" s="13">
        <f t="shared" si="54"/>
        <v>106.95200368493781</v>
      </c>
      <c r="T51" s="13">
        <f t="shared" si="55"/>
        <v>296985.90000000002</v>
      </c>
      <c r="U51" s="16">
        <f t="shared" si="55"/>
        <v>2645.8</v>
      </c>
      <c r="V51" s="13">
        <f t="shared" si="43"/>
        <v>112.24805351878449</v>
      </c>
    </row>
    <row r="52" spans="2:22" ht="23.25" customHeight="1" x14ac:dyDescent="0.25">
      <c r="B52" s="60"/>
      <c r="C52" s="61"/>
      <c r="D52" s="11">
        <v>45167</v>
      </c>
      <c r="E52" s="13">
        <v>38975</v>
      </c>
      <c r="F52" s="16">
        <v>326</v>
      </c>
      <c r="G52" s="13">
        <f t="shared" si="37"/>
        <v>119.55521472392638</v>
      </c>
      <c r="H52" s="13">
        <v>90150.25</v>
      </c>
      <c r="I52" s="16">
        <v>716</v>
      </c>
      <c r="J52" s="13">
        <f t="shared" si="38"/>
        <v>125.90817039106145</v>
      </c>
      <c r="K52" s="38"/>
      <c r="L52" s="39"/>
      <c r="M52" s="38"/>
      <c r="N52" s="13">
        <v>5197.5</v>
      </c>
      <c r="O52" s="16">
        <v>45</v>
      </c>
      <c r="P52" s="13">
        <f t="shared" si="40"/>
        <v>115.5</v>
      </c>
      <c r="Q52" s="13">
        <v>20006.98</v>
      </c>
      <c r="R52" s="16">
        <v>140.5</v>
      </c>
      <c r="S52" s="13">
        <f t="shared" si="54"/>
        <v>142.39843416370107</v>
      </c>
      <c r="T52" s="13">
        <f t="shared" si="55"/>
        <v>154329.73000000001</v>
      </c>
      <c r="U52" s="16">
        <f t="shared" si="55"/>
        <v>1227.5</v>
      </c>
      <c r="V52" s="13">
        <f t="shared" si="43"/>
        <v>125.72686761710796</v>
      </c>
    </row>
    <row r="53" spans="2:22" ht="23.25" customHeight="1" x14ac:dyDescent="0.25">
      <c r="B53" s="60"/>
      <c r="C53" s="63" t="s">
        <v>36</v>
      </c>
      <c r="D53" s="64"/>
      <c r="E53" s="30">
        <f>SUM(E49:E52)</f>
        <v>102567.75</v>
      </c>
      <c r="F53" s="31">
        <f>SUM(F49:F52)</f>
        <v>846.3</v>
      </c>
      <c r="G53" s="30">
        <f>E53/F53</f>
        <v>121.19549805033677</v>
      </c>
      <c r="H53" s="30">
        <f>SUM(H49:H52)</f>
        <v>352750.76</v>
      </c>
      <c r="I53" s="31">
        <f>SUM(I49:I52)</f>
        <v>2955.5</v>
      </c>
      <c r="J53" s="30">
        <f>H53/I53</f>
        <v>119.35400439857892</v>
      </c>
      <c r="K53" s="30">
        <f>SUM(K49:K52)</f>
        <v>40372.75</v>
      </c>
      <c r="L53" s="31">
        <f>SUM(L49:L52)</f>
        <v>409.8</v>
      </c>
      <c r="M53" s="30">
        <f>K53/L53</f>
        <v>98.518179599804782</v>
      </c>
      <c r="N53" s="30">
        <f>SUM(N49:N52)</f>
        <v>29647.5</v>
      </c>
      <c r="O53" s="31">
        <f>SUM(O49:O52)</f>
        <v>268.3</v>
      </c>
      <c r="P53" s="30">
        <f>N53/O53</f>
        <v>110.501304509877</v>
      </c>
      <c r="Q53" s="30">
        <f>SUM(Q49:Q52)</f>
        <v>426856.6</v>
      </c>
      <c r="R53" s="31">
        <f>SUM(R49:R52)</f>
        <v>4264.3</v>
      </c>
      <c r="S53" s="30">
        <f>Q53/R53</f>
        <v>100.10003986586308</v>
      </c>
      <c r="T53" s="30">
        <f>SUM(T49:T52)</f>
        <v>952195.36</v>
      </c>
      <c r="U53" s="31">
        <f>SUM(U49:U52)</f>
        <v>8744.2000000000007</v>
      </c>
      <c r="V53" s="32">
        <f>T53/U53</f>
        <v>108.89450835982707</v>
      </c>
    </row>
    <row r="54" spans="2:22" ht="23.25" customHeight="1" x14ac:dyDescent="0.25">
      <c r="B54" s="60"/>
      <c r="C54" s="59" t="s">
        <v>25</v>
      </c>
      <c r="D54" s="11">
        <v>45540</v>
      </c>
      <c r="E54" s="13">
        <v>69223.25</v>
      </c>
      <c r="F54" s="16">
        <v>605.5</v>
      </c>
      <c r="G54" s="13">
        <f t="shared" si="37"/>
        <v>114.32411230388109</v>
      </c>
      <c r="H54" s="13">
        <v>40058</v>
      </c>
      <c r="I54" s="16">
        <v>291</v>
      </c>
      <c r="J54" s="13">
        <f t="shared" si="38"/>
        <v>137.65635738831614</v>
      </c>
      <c r="K54" s="38"/>
      <c r="L54" s="39"/>
      <c r="M54" s="38"/>
      <c r="N54" s="13">
        <v>20390</v>
      </c>
      <c r="O54" s="16">
        <v>146</v>
      </c>
      <c r="P54" s="13">
        <f t="shared" si="40"/>
        <v>139.65753424657535</v>
      </c>
      <c r="Q54" s="13">
        <v>118847.05</v>
      </c>
      <c r="R54" s="16">
        <v>1022.3</v>
      </c>
      <c r="S54" s="13">
        <f t="shared" si="54"/>
        <v>116.25457302161793</v>
      </c>
      <c r="T54" s="13">
        <f t="shared" ref="T54:U57" si="56">SUM(E54,H54,K54,N54,Q54)</f>
        <v>248518.3</v>
      </c>
      <c r="U54" s="16">
        <f t="shared" si="56"/>
        <v>2064.8000000000002</v>
      </c>
      <c r="V54" s="13">
        <f t="shared" si="43"/>
        <v>120.35950213095698</v>
      </c>
    </row>
    <row r="55" spans="2:22" ht="23.25" customHeight="1" x14ac:dyDescent="0.25">
      <c r="B55" s="60"/>
      <c r="C55" s="60"/>
      <c r="D55" s="11">
        <v>45547</v>
      </c>
      <c r="E55" s="13">
        <v>19491.25</v>
      </c>
      <c r="F55" s="16">
        <v>161</v>
      </c>
      <c r="G55" s="13">
        <f t="shared" si="37"/>
        <v>121.0636645962733</v>
      </c>
      <c r="H55" s="13">
        <v>39369.75</v>
      </c>
      <c r="I55" s="16">
        <v>337.3</v>
      </c>
      <c r="J55" s="13">
        <f t="shared" si="38"/>
        <v>116.72027868366439</v>
      </c>
      <c r="K55" s="13">
        <v>11735</v>
      </c>
      <c r="L55" s="16">
        <v>97.5</v>
      </c>
      <c r="M55" s="13">
        <f t="shared" ref="M55:M57" si="57">K55/L55</f>
        <v>120.35897435897436</v>
      </c>
      <c r="N55" s="13">
        <v>42077</v>
      </c>
      <c r="O55" s="16">
        <v>407</v>
      </c>
      <c r="P55" s="13">
        <f t="shared" si="40"/>
        <v>103.38329238329239</v>
      </c>
      <c r="Q55" s="13">
        <v>47287</v>
      </c>
      <c r="R55" s="16">
        <v>416.8</v>
      </c>
      <c r="S55" s="13">
        <f t="shared" si="54"/>
        <v>113.45249520153551</v>
      </c>
      <c r="T55" s="13">
        <f t="shared" si="56"/>
        <v>159960</v>
      </c>
      <c r="U55" s="16">
        <f t="shared" si="56"/>
        <v>1419.6</v>
      </c>
      <c r="V55" s="13">
        <f t="shared" si="43"/>
        <v>112.67962806424346</v>
      </c>
    </row>
    <row r="56" spans="2:22" ht="23.25" customHeight="1" x14ac:dyDescent="0.25">
      <c r="B56" s="60"/>
      <c r="C56" s="60"/>
      <c r="D56" s="11">
        <v>45554</v>
      </c>
      <c r="E56" s="13">
        <v>69970</v>
      </c>
      <c r="F56" s="16">
        <v>589</v>
      </c>
      <c r="G56" s="13">
        <f t="shared" si="37"/>
        <v>118.79456706281833</v>
      </c>
      <c r="H56" s="13">
        <v>86810.82</v>
      </c>
      <c r="I56" s="16">
        <v>835.5</v>
      </c>
      <c r="J56" s="13">
        <f t="shared" si="38"/>
        <v>103.90283662477559</v>
      </c>
      <c r="K56" s="38"/>
      <c r="L56" s="39"/>
      <c r="M56" s="38"/>
      <c r="N56" s="38"/>
      <c r="O56" s="39"/>
      <c r="P56" s="38"/>
      <c r="Q56" s="13">
        <v>466109.19</v>
      </c>
      <c r="R56" s="16">
        <v>4519.5</v>
      </c>
      <c r="S56" s="13">
        <f t="shared" si="54"/>
        <v>103.13291072021241</v>
      </c>
      <c r="T56" s="13">
        <f t="shared" si="56"/>
        <v>622890.01</v>
      </c>
      <c r="U56" s="16">
        <f t="shared" si="56"/>
        <v>5944</v>
      </c>
      <c r="V56" s="13">
        <f t="shared" si="43"/>
        <v>104.7930703230148</v>
      </c>
    </row>
    <row r="57" spans="2:22" ht="23.25" customHeight="1" x14ac:dyDescent="0.25">
      <c r="B57" s="60"/>
      <c r="C57" s="60"/>
      <c r="D57" s="11">
        <v>45561</v>
      </c>
      <c r="E57" s="13">
        <v>3770</v>
      </c>
      <c r="F57" s="16">
        <v>31</v>
      </c>
      <c r="G57" s="13">
        <f t="shared" si="37"/>
        <v>121.61290322580645</v>
      </c>
      <c r="H57" s="13">
        <v>27901.41</v>
      </c>
      <c r="I57" s="16">
        <v>246</v>
      </c>
      <c r="J57" s="13">
        <f t="shared" si="38"/>
        <v>113.42036585365854</v>
      </c>
      <c r="K57" s="13">
        <v>230</v>
      </c>
      <c r="L57" s="16">
        <v>6</v>
      </c>
      <c r="M57" s="13">
        <f t="shared" si="57"/>
        <v>38.333333333333336</v>
      </c>
      <c r="N57" s="13">
        <v>114516.45</v>
      </c>
      <c r="O57" s="16">
        <v>882.5</v>
      </c>
      <c r="P57" s="13">
        <f t="shared" si="40"/>
        <v>129.76368271954675</v>
      </c>
      <c r="Q57" s="13">
        <v>19380</v>
      </c>
      <c r="R57" s="16">
        <v>164</v>
      </c>
      <c r="S57" s="13">
        <f t="shared" si="54"/>
        <v>118.17073170731707</v>
      </c>
      <c r="T57" s="13">
        <f t="shared" si="56"/>
        <v>165797.85999999999</v>
      </c>
      <c r="U57" s="16">
        <f t="shared" si="56"/>
        <v>1329.5</v>
      </c>
      <c r="V57" s="13">
        <f t="shared" si="43"/>
        <v>124.70692741632192</v>
      </c>
    </row>
    <row r="58" spans="2:22" ht="23.25" customHeight="1" x14ac:dyDescent="0.25">
      <c r="B58" s="61"/>
      <c r="C58" s="63" t="s">
        <v>36</v>
      </c>
      <c r="D58" s="64"/>
      <c r="E58" s="30">
        <f>SUM(E54:E57)</f>
        <v>162454.5</v>
      </c>
      <c r="F58" s="31">
        <f>SUM(F54:F57)</f>
        <v>1386.5</v>
      </c>
      <c r="G58" s="30">
        <f>E58/F58</f>
        <v>117.16877028489002</v>
      </c>
      <c r="H58" s="30">
        <f>SUM(H54:H57)</f>
        <v>194139.98</v>
      </c>
      <c r="I58" s="31">
        <f>SUM(I54:I57)</f>
        <v>1709.8</v>
      </c>
      <c r="J58" s="30">
        <f>H58/I58</f>
        <v>113.54543221429408</v>
      </c>
      <c r="K58" s="30">
        <f>SUM(K54:K57)</f>
        <v>11965</v>
      </c>
      <c r="L58" s="31">
        <f>SUM(L54:L57)</f>
        <v>103.5</v>
      </c>
      <c r="M58" s="30">
        <f>K58/L58</f>
        <v>115.60386473429952</v>
      </c>
      <c r="N58" s="30">
        <f>SUM(N54:N57)</f>
        <v>176983.45</v>
      </c>
      <c r="O58" s="31">
        <f>SUM(O54:O57)</f>
        <v>1435.5</v>
      </c>
      <c r="P58" s="30">
        <f>N58/O58</f>
        <v>123.29045628700801</v>
      </c>
      <c r="Q58" s="30">
        <f>SUM(Q54:Q57)</f>
        <v>651623.24</v>
      </c>
      <c r="R58" s="31">
        <f>SUM(R54:R57)</f>
        <v>6122.6</v>
      </c>
      <c r="S58" s="30">
        <f>Q58/R58</f>
        <v>106.42917061379151</v>
      </c>
      <c r="T58" s="30">
        <f>SUM(T54:T57)</f>
        <v>1197166.17</v>
      </c>
      <c r="U58" s="31">
        <f>SUM(U54:U57)</f>
        <v>10757.9</v>
      </c>
      <c r="V58" s="32">
        <f>T58/U58</f>
        <v>111.28251517489473</v>
      </c>
    </row>
    <row r="59" spans="2:22" ht="39" customHeight="1" x14ac:dyDescent="0.25">
      <c r="B59" s="52" t="s">
        <v>30</v>
      </c>
      <c r="C59" s="52"/>
      <c r="D59" s="52"/>
      <c r="E59" s="33">
        <f>SUM(E58,E53,E48)</f>
        <v>534593.77</v>
      </c>
      <c r="F59" s="34">
        <f>SUM(F58,F53,F48)</f>
        <v>4568.2</v>
      </c>
      <c r="G59" s="33">
        <f>E59/F59</f>
        <v>117.02503611925924</v>
      </c>
      <c r="H59" s="33">
        <f>SUM(H58,H53,H48)</f>
        <v>702396.29</v>
      </c>
      <c r="I59" s="34">
        <f>SUM(I58,I53,I48)</f>
        <v>6150.6</v>
      </c>
      <c r="J59" s="33">
        <f>H59/I59</f>
        <v>114.1996374337463</v>
      </c>
      <c r="K59" s="33">
        <f>SUM(K58,K53,K48)</f>
        <v>106022.75</v>
      </c>
      <c r="L59" s="34">
        <f>SUM(L58,L53,L48)</f>
        <v>1071.0999999999999</v>
      </c>
      <c r="M59" s="33">
        <f>K59/L59</f>
        <v>98.984922042759791</v>
      </c>
      <c r="N59" s="33">
        <f>SUM(N58,N53,N48)</f>
        <v>306757.95</v>
      </c>
      <c r="O59" s="34">
        <f>SUM(O58,O53,O48)</f>
        <v>2552.1</v>
      </c>
      <c r="P59" s="33">
        <f>N59/O59</f>
        <v>120.19824850123429</v>
      </c>
      <c r="Q59" s="33">
        <f>SUM(Q58,Q53,Q48)</f>
        <v>1620914.0799999998</v>
      </c>
      <c r="R59" s="34">
        <f>SUM(R58,R53,R48)</f>
        <v>15406.000000000002</v>
      </c>
      <c r="S59" s="33">
        <f>Q59/R59</f>
        <v>105.2131688952356</v>
      </c>
      <c r="T59" s="33">
        <f>SUM(T58,T53,T48)</f>
        <v>3270684.84</v>
      </c>
      <c r="U59" s="34">
        <f>SUM(U58,U53,U48)</f>
        <v>29748</v>
      </c>
      <c r="V59" s="33">
        <f>T59/U59</f>
        <v>109.94637757160145</v>
      </c>
    </row>
    <row r="60" spans="2:22" x14ac:dyDescent="0.25">
      <c r="B60" s="67" t="s">
        <v>15</v>
      </c>
      <c r="C60" s="67" t="s">
        <v>10</v>
      </c>
      <c r="D60" s="67" t="s">
        <v>0</v>
      </c>
      <c r="E60" s="58" t="s">
        <v>40</v>
      </c>
      <c r="F60" s="58"/>
      <c r="G60" s="58"/>
      <c r="H60" s="58" t="s">
        <v>7</v>
      </c>
      <c r="I60" s="58"/>
      <c r="J60" s="58"/>
      <c r="K60" s="55" t="s">
        <v>42</v>
      </c>
      <c r="L60" s="56"/>
      <c r="M60" s="57"/>
      <c r="N60" s="58" t="s">
        <v>43</v>
      </c>
      <c r="O60" s="58"/>
      <c r="P60" s="58"/>
      <c r="Q60" s="58" t="s">
        <v>4</v>
      </c>
      <c r="R60" s="58"/>
      <c r="S60" s="58"/>
      <c r="T60" s="58" t="s">
        <v>9</v>
      </c>
      <c r="U60" s="58"/>
      <c r="V60" s="58"/>
    </row>
    <row r="61" spans="2:22" x14ac:dyDescent="0.25">
      <c r="B61" s="67"/>
      <c r="C61" s="67"/>
      <c r="D61" s="67"/>
      <c r="E61" s="1" t="s">
        <v>1</v>
      </c>
      <c r="F61" s="3" t="s">
        <v>2</v>
      </c>
      <c r="G61" s="1" t="s">
        <v>3</v>
      </c>
      <c r="H61" s="1" t="s">
        <v>1</v>
      </c>
      <c r="I61" s="3" t="s">
        <v>2</v>
      </c>
      <c r="J61" s="1" t="s">
        <v>3</v>
      </c>
      <c r="K61" s="1" t="s">
        <v>1</v>
      </c>
      <c r="L61" s="3" t="s">
        <v>2</v>
      </c>
      <c r="M61" s="1" t="s">
        <v>3</v>
      </c>
      <c r="N61" s="1" t="s">
        <v>1</v>
      </c>
      <c r="O61" s="3" t="s">
        <v>2</v>
      </c>
      <c r="P61" s="1" t="s">
        <v>3</v>
      </c>
      <c r="Q61" s="1" t="s">
        <v>1</v>
      </c>
      <c r="R61" s="3" t="s">
        <v>2</v>
      </c>
      <c r="S61" s="1" t="s">
        <v>3</v>
      </c>
      <c r="T61" s="1" t="s">
        <v>1</v>
      </c>
      <c r="U61" s="3" t="s">
        <v>2</v>
      </c>
      <c r="V61" s="1" t="s">
        <v>3</v>
      </c>
    </row>
    <row r="62" spans="2:22" ht="23.25" customHeight="1" x14ac:dyDescent="0.25">
      <c r="B62" s="59" t="s">
        <v>28</v>
      </c>
      <c r="C62" s="62" t="s">
        <v>31</v>
      </c>
      <c r="D62" s="11">
        <v>45568</v>
      </c>
      <c r="E62" s="7">
        <v>51291</v>
      </c>
      <c r="F62" s="8">
        <v>421.5</v>
      </c>
      <c r="G62" s="7">
        <f t="shared" ref="G62:G76" si="58">E62/F62</f>
        <v>121.68683274021352</v>
      </c>
      <c r="H62" s="7">
        <v>108481.75</v>
      </c>
      <c r="I62" s="8">
        <v>860</v>
      </c>
      <c r="J62" s="7">
        <f t="shared" ref="J62:J76" si="59">H62/I62</f>
        <v>126.14156976744187</v>
      </c>
      <c r="K62" s="7">
        <v>60195</v>
      </c>
      <c r="L62" s="8">
        <v>503</v>
      </c>
      <c r="M62" s="7">
        <f t="shared" ref="M62:M66" si="60">K62/L62</f>
        <v>119.67196819085487</v>
      </c>
      <c r="N62" s="7">
        <v>7409.75</v>
      </c>
      <c r="O62" s="8">
        <v>76.5</v>
      </c>
      <c r="P62" s="7">
        <f t="shared" ref="P62:P75" si="61">N62/O62</f>
        <v>96.859477124183002</v>
      </c>
      <c r="Q62" s="7">
        <v>127314</v>
      </c>
      <c r="R62" s="8">
        <v>952.3</v>
      </c>
      <c r="S62" s="7">
        <f t="shared" ref="S62:S76" si="62">Q62/R62</f>
        <v>133.69106374041795</v>
      </c>
      <c r="T62" s="7">
        <f t="shared" ref="T62:U66" si="63">SUM(E62,H62,K62,N62,Q62)</f>
        <v>354691.5</v>
      </c>
      <c r="U62" s="8">
        <f t="shared" si="63"/>
        <v>2813.3</v>
      </c>
      <c r="V62" s="7">
        <f t="shared" ref="V62:V76" si="64">T62/U62</f>
        <v>126.07667152454412</v>
      </c>
    </row>
    <row r="63" spans="2:22" ht="23.25" customHeight="1" x14ac:dyDescent="0.25">
      <c r="B63" s="60"/>
      <c r="C63" s="62"/>
      <c r="D63" s="11">
        <v>45575</v>
      </c>
      <c r="E63" s="7">
        <v>68163.41</v>
      </c>
      <c r="F63" s="8">
        <v>577.79999999999995</v>
      </c>
      <c r="G63" s="7">
        <f t="shared" si="58"/>
        <v>117.97059536171687</v>
      </c>
      <c r="H63" s="7">
        <v>59094.759999999995</v>
      </c>
      <c r="I63" s="8">
        <v>496</v>
      </c>
      <c r="J63" s="7">
        <f t="shared" si="59"/>
        <v>119.14266129032256</v>
      </c>
      <c r="K63" s="36"/>
      <c r="L63" s="37"/>
      <c r="M63" s="36"/>
      <c r="N63" s="7">
        <v>6298</v>
      </c>
      <c r="O63" s="8">
        <v>36.5</v>
      </c>
      <c r="P63" s="7">
        <f t="shared" si="61"/>
        <v>172.54794520547946</v>
      </c>
      <c r="Q63" s="7">
        <v>59499</v>
      </c>
      <c r="R63" s="8">
        <v>726</v>
      </c>
      <c r="S63" s="7">
        <f t="shared" si="62"/>
        <v>81.954545454545453</v>
      </c>
      <c r="T63" s="7">
        <f t="shared" si="63"/>
        <v>193055.16999999998</v>
      </c>
      <c r="U63" s="8">
        <f t="shared" si="63"/>
        <v>1836.3</v>
      </c>
      <c r="V63" s="7">
        <f t="shared" si="64"/>
        <v>105.13269618254097</v>
      </c>
    </row>
    <row r="64" spans="2:22" ht="23.25" customHeight="1" x14ac:dyDescent="0.25">
      <c r="B64" s="60"/>
      <c r="C64" s="62"/>
      <c r="D64" s="11">
        <v>45582</v>
      </c>
      <c r="E64" s="7">
        <v>109164</v>
      </c>
      <c r="F64" s="8">
        <v>982</v>
      </c>
      <c r="G64" s="7">
        <f t="shared" si="58"/>
        <v>111.16496945010184</v>
      </c>
      <c r="H64" s="7">
        <v>68166.39</v>
      </c>
      <c r="I64" s="8">
        <v>623.5</v>
      </c>
      <c r="J64" s="7">
        <f t="shared" si="59"/>
        <v>109.32861267040899</v>
      </c>
      <c r="K64" s="7">
        <v>67468.429999999993</v>
      </c>
      <c r="L64" s="8">
        <v>552.5</v>
      </c>
      <c r="M64" s="7">
        <f t="shared" si="60"/>
        <v>122.11480542986425</v>
      </c>
      <c r="N64" s="7">
        <v>7445</v>
      </c>
      <c r="O64" s="8">
        <v>65.5</v>
      </c>
      <c r="P64" s="7">
        <f t="shared" si="61"/>
        <v>113.66412213740458</v>
      </c>
      <c r="Q64" s="7">
        <v>24683.5</v>
      </c>
      <c r="R64" s="8">
        <v>200.5</v>
      </c>
      <c r="S64" s="7">
        <f t="shared" si="62"/>
        <v>123.10972568578553</v>
      </c>
      <c r="T64" s="7">
        <f t="shared" si="63"/>
        <v>276927.32</v>
      </c>
      <c r="U64" s="8">
        <f t="shared" si="63"/>
        <v>2424</v>
      </c>
      <c r="V64" s="7">
        <f t="shared" si="64"/>
        <v>114.24394389438945</v>
      </c>
    </row>
    <row r="65" spans="2:22" ht="23.25" customHeight="1" x14ac:dyDescent="0.25">
      <c r="B65" s="60"/>
      <c r="C65" s="62"/>
      <c r="D65" s="11">
        <v>45589</v>
      </c>
      <c r="E65" s="7">
        <v>16457.5</v>
      </c>
      <c r="F65" s="8">
        <v>138</v>
      </c>
      <c r="G65" s="7">
        <f t="shared" ref="G65" si="65">E65/F65</f>
        <v>119.25724637681159</v>
      </c>
      <c r="H65" s="7">
        <v>46428.08</v>
      </c>
      <c r="I65" s="8">
        <v>336.5</v>
      </c>
      <c r="J65" s="7">
        <f t="shared" ref="J65" si="66">H65/I65</f>
        <v>137.97349182763745</v>
      </c>
      <c r="K65" s="7">
        <v>15595</v>
      </c>
      <c r="L65" s="8">
        <v>95.8</v>
      </c>
      <c r="M65" s="7">
        <f t="shared" ref="M65" si="67">K65/L65</f>
        <v>162.78705636743214</v>
      </c>
      <c r="N65" s="7">
        <v>69411.5</v>
      </c>
      <c r="O65" s="8">
        <v>595.79999999999995</v>
      </c>
      <c r="P65" s="7">
        <f t="shared" ref="P65" si="68">N65/O65</f>
        <v>116.50134273246057</v>
      </c>
      <c r="Q65" s="7">
        <v>175760.75</v>
      </c>
      <c r="R65" s="8">
        <v>2033.5</v>
      </c>
      <c r="S65" s="7">
        <f t="shared" ref="S65" si="69">Q65/R65</f>
        <v>86.43262847307598</v>
      </c>
      <c r="T65" s="7">
        <f t="shared" ref="T65" si="70">SUM(E65,H65,K65,N65,Q65)</f>
        <v>323652.83</v>
      </c>
      <c r="U65" s="8">
        <f t="shared" ref="U65" si="71">SUM(F65,I65,L65,O65,R65)</f>
        <v>3199.6</v>
      </c>
      <c r="V65" s="7">
        <f t="shared" ref="V65" si="72">T65/U65</f>
        <v>101.15415364420554</v>
      </c>
    </row>
    <row r="66" spans="2:22" ht="23.25" customHeight="1" x14ac:dyDescent="0.25">
      <c r="B66" s="60"/>
      <c r="C66" s="62"/>
      <c r="D66" s="11">
        <v>45596</v>
      </c>
      <c r="E66" s="7">
        <v>40567.25</v>
      </c>
      <c r="F66" s="8">
        <v>365.8</v>
      </c>
      <c r="G66" s="7">
        <f t="shared" si="58"/>
        <v>110.90008201202842</v>
      </c>
      <c r="H66" s="7">
        <v>58231.25</v>
      </c>
      <c r="I66" s="8">
        <v>485</v>
      </c>
      <c r="J66" s="7">
        <f t="shared" si="59"/>
        <v>120.06443298969072</v>
      </c>
      <c r="K66" s="7">
        <v>21175</v>
      </c>
      <c r="L66" s="8">
        <v>237.8</v>
      </c>
      <c r="M66" s="7">
        <f t="shared" si="60"/>
        <v>89.045416316232121</v>
      </c>
      <c r="N66" s="7">
        <v>22745</v>
      </c>
      <c r="O66" s="8">
        <v>188</v>
      </c>
      <c r="P66" s="7">
        <f t="shared" si="61"/>
        <v>120.98404255319149</v>
      </c>
      <c r="Q66" s="7">
        <v>391079.34</v>
      </c>
      <c r="R66" s="8"/>
      <c r="S66" s="7" t="e">
        <f t="shared" si="62"/>
        <v>#DIV/0!</v>
      </c>
      <c r="T66" s="7">
        <f t="shared" si="63"/>
        <v>533797.84000000008</v>
      </c>
      <c r="U66" s="8">
        <f t="shared" si="63"/>
        <v>1276.5999999999999</v>
      </c>
      <c r="V66" s="7">
        <f t="shared" si="64"/>
        <v>418.14024753250834</v>
      </c>
    </row>
    <row r="67" spans="2:22" ht="23.25" customHeight="1" x14ac:dyDescent="0.25">
      <c r="B67" s="60"/>
      <c r="C67" s="63" t="s">
        <v>36</v>
      </c>
      <c r="D67" s="64"/>
      <c r="E67" s="30">
        <f>SUM(E62:E66)</f>
        <v>285643.16000000003</v>
      </c>
      <c r="F67" s="31">
        <f>SUM(F62:F66)</f>
        <v>2485.1000000000004</v>
      </c>
      <c r="G67" s="30">
        <f>E67/F67</f>
        <v>114.94232022856222</v>
      </c>
      <c r="H67" s="30">
        <f>SUM(H62:H66)</f>
        <v>340402.23000000004</v>
      </c>
      <c r="I67" s="31">
        <f>SUM(I62:I66)</f>
        <v>2801</v>
      </c>
      <c r="J67" s="30">
        <f>H67/I67</f>
        <v>121.52882184933954</v>
      </c>
      <c r="K67" s="30">
        <f>SUM(K62:K66)</f>
        <v>164433.43</v>
      </c>
      <c r="L67" s="31">
        <f>SUM(L62:L66)</f>
        <v>1389.1</v>
      </c>
      <c r="M67" s="30">
        <f>K67/L67</f>
        <v>118.37407674033547</v>
      </c>
      <c r="N67" s="30">
        <f>SUM(N62:N66)</f>
        <v>113309.25</v>
      </c>
      <c r="O67" s="31">
        <f>SUM(O62:O66)</f>
        <v>962.3</v>
      </c>
      <c r="P67" s="30">
        <f>N67/O67</f>
        <v>117.74836329626936</v>
      </c>
      <c r="Q67" s="30">
        <f>SUM(Q62:Q66)</f>
        <v>778336.59000000008</v>
      </c>
      <c r="R67" s="31">
        <f>SUM(R62:R66)</f>
        <v>3912.3</v>
      </c>
      <c r="S67" s="30">
        <f>Q67/R67</f>
        <v>198.94603941415536</v>
      </c>
      <c r="T67" s="30">
        <f>SUM(T62:T66)</f>
        <v>1682124.6600000001</v>
      </c>
      <c r="U67" s="31">
        <f>SUM(U62:U66)</f>
        <v>11549.800000000001</v>
      </c>
      <c r="V67" s="32">
        <f>T67/U67</f>
        <v>145.64102062373374</v>
      </c>
    </row>
    <row r="68" spans="2:22" ht="23.25" customHeight="1" x14ac:dyDescent="0.25">
      <c r="B68" s="60"/>
      <c r="C68" s="65" t="s">
        <v>32</v>
      </c>
      <c r="D68" s="11">
        <v>44507</v>
      </c>
      <c r="E68" s="7">
        <v>61134</v>
      </c>
      <c r="F68" s="8">
        <v>518.5</v>
      </c>
      <c r="G68" s="7">
        <f t="shared" si="58"/>
        <v>117.90549662487946</v>
      </c>
      <c r="H68" s="7">
        <v>78015</v>
      </c>
      <c r="I68" s="8">
        <v>666</v>
      </c>
      <c r="J68" s="7">
        <f t="shared" si="59"/>
        <v>117.13963963963964</v>
      </c>
      <c r="K68" s="7">
        <v>34555</v>
      </c>
      <c r="L68" s="8">
        <v>286</v>
      </c>
      <c r="M68" s="7">
        <f t="shared" ref="M68:M71" si="73">K68/L68</f>
        <v>120.82167832167832</v>
      </c>
      <c r="N68" s="7">
        <v>37160.75</v>
      </c>
      <c r="O68" s="8">
        <v>287.8</v>
      </c>
      <c r="P68" s="7">
        <f t="shared" si="61"/>
        <v>129.12004864489228</v>
      </c>
      <c r="Q68" s="7">
        <v>111270.2</v>
      </c>
      <c r="R68" s="8">
        <v>803.3</v>
      </c>
      <c r="S68" s="7">
        <f t="shared" si="62"/>
        <v>138.51636997385785</v>
      </c>
      <c r="T68" s="7">
        <f t="shared" ref="T68:U71" si="74">SUM(E68,H68,K68,N68,Q68)</f>
        <v>322134.95</v>
      </c>
      <c r="U68" s="8">
        <f t="shared" si="74"/>
        <v>2561.6</v>
      </c>
      <c r="V68" s="7">
        <f t="shared" si="64"/>
        <v>125.75536773891319</v>
      </c>
    </row>
    <row r="69" spans="2:22" ht="23.25" customHeight="1" x14ac:dyDescent="0.25">
      <c r="B69" s="60"/>
      <c r="C69" s="65">
        <v>8</v>
      </c>
      <c r="D69" s="11">
        <v>44514</v>
      </c>
      <c r="E69" s="7">
        <v>92633</v>
      </c>
      <c r="F69" s="8">
        <v>739.8</v>
      </c>
      <c r="G69" s="7">
        <f t="shared" si="58"/>
        <v>125.21357123546905</v>
      </c>
      <c r="H69" s="7">
        <v>48658.25</v>
      </c>
      <c r="I69" s="8">
        <v>404</v>
      </c>
      <c r="J69" s="7">
        <f t="shared" si="59"/>
        <v>120.44121287128714</v>
      </c>
      <c r="K69" s="7">
        <v>12935</v>
      </c>
      <c r="L69" s="8">
        <v>95.5</v>
      </c>
      <c r="M69" s="7">
        <f t="shared" si="73"/>
        <v>135.44502617801047</v>
      </c>
      <c r="N69" s="7">
        <v>28755.29</v>
      </c>
      <c r="O69" s="8">
        <v>275.3</v>
      </c>
      <c r="P69" s="7">
        <f t="shared" si="61"/>
        <v>104.45074464220851</v>
      </c>
      <c r="Q69" s="7">
        <v>83807.75</v>
      </c>
      <c r="R69" s="8">
        <v>759.5</v>
      </c>
      <c r="S69" s="7">
        <f t="shared" si="62"/>
        <v>110.3459512837393</v>
      </c>
      <c r="T69" s="7">
        <f t="shared" si="74"/>
        <v>266789.29000000004</v>
      </c>
      <c r="U69" s="8">
        <f t="shared" si="74"/>
        <v>2274.1</v>
      </c>
      <c r="V69" s="7">
        <f t="shared" si="64"/>
        <v>117.31642847719979</v>
      </c>
    </row>
    <row r="70" spans="2:22" ht="23.25" customHeight="1" x14ac:dyDescent="0.25">
      <c r="B70" s="60"/>
      <c r="C70" s="65">
        <v>9</v>
      </c>
      <c r="D70" s="11">
        <v>44521</v>
      </c>
      <c r="E70" s="7">
        <v>116269</v>
      </c>
      <c r="F70" s="8">
        <v>976.8</v>
      </c>
      <c r="G70" s="7">
        <f t="shared" si="58"/>
        <v>119.03050778050779</v>
      </c>
      <c r="H70" s="7">
        <v>50646.5</v>
      </c>
      <c r="I70" s="8">
        <v>458.3</v>
      </c>
      <c r="J70" s="7">
        <f t="shared" si="59"/>
        <v>110.50949159938904</v>
      </c>
      <c r="K70" s="7">
        <v>70956.5</v>
      </c>
      <c r="L70" s="8">
        <v>639.29999999999995</v>
      </c>
      <c r="M70" s="7">
        <f t="shared" si="73"/>
        <v>110.9909275770374</v>
      </c>
      <c r="N70" s="7">
        <v>6780</v>
      </c>
      <c r="O70" s="8">
        <v>93.5</v>
      </c>
      <c r="P70" s="7">
        <f t="shared" si="61"/>
        <v>72.513368983957221</v>
      </c>
      <c r="Q70" s="7">
        <v>139216</v>
      </c>
      <c r="R70" s="8">
        <v>1879.5</v>
      </c>
      <c r="S70" s="7">
        <f t="shared" si="62"/>
        <v>74.070763500931093</v>
      </c>
      <c r="T70" s="7">
        <f t="shared" si="74"/>
        <v>383868</v>
      </c>
      <c r="U70" s="8">
        <f t="shared" si="74"/>
        <v>4047.3999999999996</v>
      </c>
      <c r="V70" s="7">
        <f t="shared" si="64"/>
        <v>94.84310915649553</v>
      </c>
    </row>
    <row r="71" spans="2:22" ht="23.25" customHeight="1" x14ac:dyDescent="0.25">
      <c r="B71" s="60"/>
      <c r="C71" s="66"/>
      <c r="D71" s="11">
        <v>44528</v>
      </c>
      <c r="E71" s="7">
        <v>75375.75</v>
      </c>
      <c r="F71" s="8">
        <v>696.5</v>
      </c>
      <c r="G71" s="7">
        <f t="shared" si="58"/>
        <v>108.22074659009333</v>
      </c>
      <c r="H71" s="7">
        <v>82281.5</v>
      </c>
      <c r="I71" s="8">
        <v>713.75</v>
      </c>
      <c r="J71" s="7">
        <f t="shared" si="59"/>
        <v>115.28056042031524</v>
      </c>
      <c r="K71" s="7">
        <v>21209.75</v>
      </c>
      <c r="L71" s="8">
        <v>184</v>
      </c>
      <c r="M71" s="7">
        <f t="shared" si="73"/>
        <v>115.27038043478261</v>
      </c>
      <c r="N71" s="7">
        <v>28193.25</v>
      </c>
      <c r="O71" s="8">
        <v>225</v>
      </c>
      <c r="P71" s="7">
        <f t="shared" si="61"/>
        <v>125.30333333333333</v>
      </c>
      <c r="Q71" s="7">
        <v>66994.009999999995</v>
      </c>
      <c r="R71" s="8">
        <v>659</v>
      </c>
      <c r="S71" s="7">
        <f t="shared" si="62"/>
        <v>101.66010622154779</v>
      </c>
      <c r="T71" s="7">
        <f t="shared" si="74"/>
        <v>274054.26</v>
      </c>
      <c r="U71" s="8">
        <f t="shared" si="74"/>
        <v>2478.25</v>
      </c>
      <c r="V71" s="7">
        <f t="shared" si="64"/>
        <v>110.58378291132857</v>
      </c>
    </row>
    <row r="72" spans="2:22" ht="23.25" customHeight="1" x14ac:dyDescent="0.25">
      <c r="B72" s="60"/>
      <c r="C72" s="63" t="s">
        <v>36</v>
      </c>
      <c r="D72" s="64"/>
      <c r="E72" s="30">
        <f>SUM(E68:E71)</f>
        <v>345411.75</v>
      </c>
      <c r="F72" s="31">
        <f>SUM(F68:F71)</f>
        <v>2931.6</v>
      </c>
      <c r="G72" s="30">
        <f>E72/F72</f>
        <v>117.82362873516169</v>
      </c>
      <c r="H72" s="30">
        <f>SUM(H68:H71)</f>
        <v>259601.25</v>
      </c>
      <c r="I72" s="31">
        <f>SUM(I68:I71)</f>
        <v>2242.0500000000002</v>
      </c>
      <c r="J72" s="30">
        <f>H72/I72</f>
        <v>115.78744898641867</v>
      </c>
      <c r="K72" s="30">
        <f>SUM(K68:K71)</f>
        <v>139656.25</v>
      </c>
      <c r="L72" s="31">
        <f>SUM(L68:L71)</f>
        <v>1204.8</v>
      </c>
      <c r="M72" s="30">
        <f>K72/L72</f>
        <v>115.91654216467464</v>
      </c>
      <c r="N72" s="30">
        <f>SUM(N68:N71)</f>
        <v>100889.29000000001</v>
      </c>
      <c r="O72" s="31">
        <f>SUM(O68:O71)</f>
        <v>881.6</v>
      </c>
      <c r="P72" s="30">
        <f>N72/O72</f>
        <v>114.4388498185118</v>
      </c>
      <c r="Q72" s="30">
        <f>SUM(Q68:Q71)</f>
        <v>401287.96</v>
      </c>
      <c r="R72" s="31">
        <f>SUM(R68:R71)</f>
        <v>4101.3</v>
      </c>
      <c r="S72" s="30">
        <f>Q72/R72</f>
        <v>97.844088459756662</v>
      </c>
      <c r="T72" s="30">
        <f>SUM(T68:T71)</f>
        <v>1246846.5</v>
      </c>
      <c r="U72" s="31">
        <f>SUM(U68:U71)</f>
        <v>11361.349999999999</v>
      </c>
      <c r="V72" s="32">
        <f>T72/U72</f>
        <v>109.74457260800875</v>
      </c>
    </row>
    <row r="73" spans="2:22" ht="23.25" customHeight="1" x14ac:dyDescent="0.25">
      <c r="B73" s="60"/>
      <c r="C73" s="62" t="s">
        <v>33</v>
      </c>
      <c r="D73" s="11">
        <v>44535</v>
      </c>
      <c r="E73" s="7">
        <v>67226.75</v>
      </c>
      <c r="F73" s="8">
        <v>548.5</v>
      </c>
      <c r="G73" s="7">
        <f t="shared" si="58"/>
        <v>122.56472196900638</v>
      </c>
      <c r="H73" s="7">
        <v>26538</v>
      </c>
      <c r="I73" s="8">
        <v>216.3</v>
      </c>
      <c r="J73" s="7">
        <f t="shared" si="59"/>
        <v>122.69070735090152</v>
      </c>
      <c r="K73" s="36"/>
      <c r="L73" s="37"/>
      <c r="M73" s="36"/>
      <c r="N73" s="7">
        <v>13438.75</v>
      </c>
      <c r="O73" s="8">
        <v>123.8</v>
      </c>
      <c r="P73" s="7">
        <f t="shared" si="61"/>
        <v>108.5521001615509</v>
      </c>
      <c r="Q73" s="7">
        <v>59396</v>
      </c>
      <c r="R73" s="8">
        <v>514.29999999999995</v>
      </c>
      <c r="S73" s="7">
        <f t="shared" si="62"/>
        <v>115.48901419405017</v>
      </c>
      <c r="T73" s="7">
        <f t="shared" ref="T73:U76" si="75">SUM(E73,H73,K73,N73,Q73)</f>
        <v>166599.5</v>
      </c>
      <c r="U73" s="8">
        <f t="shared" si="75"/>
        <v>1402.8999999999999</v>
      </c>
      <c r="V73" s="7">
        <f t="shared" si="64"/>
        <v>118.75365314705255</v>
      </c>
    </row>
    <row r="74" spans="2:22" ht="23.25" customHeight="1" x14ac:dyDescent="0.25">
      <c r="B74" s="60"/>
      <c r="C74" s="62">
        <v>11</v>
      </c>
      <c r="D74" s="11">
        <v>44542</v>
      </c>
      <c r="E74" s="7">
        <v>78375</v>
      </c>
      <c r="F74" s="8">
        <v>806.8</v>
      </c>
      <c r="G74" s="7">
        <f t="shared" si="58"/>
        <v>97.143034209221625</v>
      </c>
      <c r="H74" s="7">
        <v>58549</v>
      </c>
      <c r="I74" s="8">
        <v>558.5</v>
      </c>
      <c r="J74" s="7">
        <f t="shared" si="59"/>
        <v>104.8325872873769</v>
      </c>
      <c r="K74" s="7">
        <v>25570</v>
      </c>
      <c r="L74" s="8">
        <v>281.3</v>
      </c>
      <c r="M74" s="7">
        <f t="shared" ref="M74:M76" si="76">K74/L74</f>
        <v>90.899395662993243</v>
      </c>
      <c r="N74" s="36"/>
      <c r="O74" s="37"/>
      <c r="P74" s="36"/>
      <c r="Q74" s="7">
        <v>52371.18</v>
      </c>
      <c r="R74" s="8">
        <v>576</v>
      </c>
      <c r="S74" s="7">
        <f t="shared" si="62"/>
        <v>90.922187500000007</v>
      </c>
      <c r="T74" s="7">
        <f t="shared" si="75"/>
        <v>214865.18</v>
      </c>
      <c r="U74" s="8">
        <f t="shared" si="75"/>
        <v>2222.6</v>
      </c>
      <c r="V74" s="7">
        <f t="shared" si="64"/>
        <v>96.672896607576718</v>
      </c>
    </row>
    <row r="75" spans="2:22" ht="23.25" customHeight="1" x14ac:dyDescent="0.25">
      <c r="B75" s="60"/>
      <c r="C75" s="62">
        <v>12</v>
      </c>
      <c r="D75" s="11">
        <v>44914</v>
      </c>
      <c r="E75" s="7">
        <v>65045</v>
      </c>
      <c r="F75" s="8">
        <v>557.29999999999995</v>
      </c>
      <c r="G75" s="7">
        <f t="shared" si="58"/>
        <v>116.7145164184461</v>
      </c>
      <c r="H75" s="7">
        <v>98232.5</v>
      </c>
      <c r="I75" s="8">
        <v>826</v>
      </c>
      <c r="J75" s="7">
        <f t="shared" si="59"/>
        <v>118.92554479418887</v>
      </c>
      <c r="K75" s="7">
        <v>52365</v>
      </c>
      <c r="L75" s="8">
        <v>429.5</v>
      </c>
      <c r="M75" s="7">
        <f t="shared" si="76"/>
        <v>121.9208381839348</v>
      </c>
      <c r="N75" s="7">
        <v>36530</v>
      </c>
      <c r="O75" s="8">
        <v>326</v>
      </c>
      <c r="P75" s="7">
        <f t="shared" si="61"/>
        <v>112.05521472392638</v>
      </c>
      <c r="Q75" s="7">
        <v>177405.11</v>
      </c>
      <c r="R75" s="8">
        <v>1668.8</v>
      </c>
      <c r="S75" s="7">
        <f t="shared" si="62"/>
        <v>106.30699304889741</v>
      </c>
      <c r="T75" s="7">
        <f t="shared" si="75"/>
        <v>429577.61</v>
      </c>
      <c r="U75" s="8">
        <f t="shared" si="75"/>
        <v>3807.6000000000004</v>
      </c>
      <c r="V75" s="7">
        <f t="shared" si="64"/>
        <v>112.82109727912595</v>
      </c>
    </row>
    <row r="76" spans="2:22" ht="23.25" customHeight="1" x14ac:dyDescent="0.25">
      <c r="B76" s="60"/>
      <c r="C76" s="62">
        <v>13</v>
      </c>
      <c r="D76" s="11">
        <v>44921</v>
      </c>
      <c r="E76" s="7">
        <v>28498.75</v>
      </c>
      <c r="F76" s="8">
        <v>234.8</v>
      </c>
      <c r="G76" s="7">
        <f t="shared" si="58"/>
        <v>121.3745741056218</v>
      </c>
      <c r="H76" s="7">
        <v>212984.48</v>
      </c>
      <c r="I76" s="8">
        <v>2221.3000000000002</v>
      </c>
      <c r="J76" s="7">
        <f t="shared" si="59"/>
        <v>95.882807365056493</v>
      </c>
      <c r="K76" s="7">
        <v>23328</v>
      </c>
      <c r="L76" s="8">
        <v>206.5</v>
      </c>
      <c r="M76" s="7">
        <f t="shared" si="76"/>
        <v>112.96852300242131</v>
      </c>
      <c r="N76" s="36"/>
      <c r="O76" s="37"/>
      <c r="P76" s="36"/>
      <c r="Q76" s="7">
        <v>114331.22</v>
      </c>
      <c r="R76" s="8">
        <v>1111</v>
      </c>
      <c r="S76" s="7">
        <f t="shared" si="62"/>
        <v>102.90838883888389</v>
      </c>
      <c r="T76" s="7">
        <f t="shared" si="75"/>
        <v>379142.44999999995</v>
      </c>
      <c r="U76" s="8">
        <f t="shared" si="75"/>
        <v>3773.6000000000004</v>
      </c>
      <c r="V76" s="7">
        <f t="shared" si="64"/>
        <v>100.47234736061054</v>
      </c>
    </row>
    <row r="77" spans="2:22" ht="23.25" customHeight="1" x14ac:dyDescent="0.25">
      <c r="B77" s="61"/>
      <c r="C77" s="63" t="s">
        <v>36</v>
      </c>
      <c r="D77" s="64"/>
      <c r="E77" s="30">
        <f>SUM(E73:E76)</f>
        <v>239145.5</v>
      </c>
      <c r="F77" s="31">
        <f>SUM(F73:F76)</f>
        <v>2147.4</v>
      </c>
      <c r="G77" s="30">
        <f>E77/F77</f>
        <v>111.36513923814846</v>
      </c>
      <c r="H77" s="30">
        <f>SUM(H73:H76)</f>
        <v>396303.98</v>
      </c>
      <c r="I77" s="31">
        <f>SUM(I73:I76)</f>
        <v>3822.1000000000004</v>
      </c>
      <c r="J77" s="30">
        <f>H77/I77</f>
        <v>103.68749640250122</v>
      </c>
      <c r="K77" s="30">
        <f>SUM(K73:K76)</f>
        <v>101263</v>
      </c>
      <c r="L77" s="31">
        <f>SUM(L73:L76)</f>
        <v>917.3</v>
      </c>
      <c r="M77" s="30">
        <f>K77/L77</f>
        <v>110.39245612122534</v>
      </c>
      <c r="N77" s="30">
        <f>SUM(N73:N76)</f>
        <v>49968.75</v>
      </c>
      <c r="O77" s="31">
        <f>SUM(O73:O76)</f>
        <v>449.8</v>
      </c>
      <c r="P77" s="30">
        <f>N77/O77</f>
        <v>111.09104046242774</v>
      </c>
      <c r="Q77" s="30">
        <f>SUM(Q73:Q76)</f>
        <v>403503.51</v>
      </c>
      <c r="R77" s="31">
        <f>SUM(R73:R76)</f>
        <v>3870.1</v>
      </c>
      <c r="S77" s="30">
        <f>Q77/R77</f>
        <v>104.26177876540659</v>
      </c>
      <c r="T77" s="30">
        <f>SUM(T73:T76)</f>
        <v>1190184.74</v>
      </c>
      <c r="U77" s="31">
        <f>SUM(U73:U76)</f>
        <v>11206.7</v>
      </c>
      <c r="V77" s="32">
        <f>T77/U77</f>
        <v>106.20296251349639</v>
      </c>
    </row>
    <row r="78" spans="2:22" ht="39" customHeight="1" x14ac:dyDescent="0.25">
      <c r="B78" s="52" t="s">
        <v>29</v>
      </c>
      <c r="C78" s="52"/>
      <c r="D78" s="52"/>
      <c r="E78" s="33">
        <f>SUM(E77,E72,E67)</f>
        <v>870200.41</v>
      </c>
      <c r="F78" s="34">
        <f>SUM(F77,F72,F67)</f>
        <v>7564.1</v>
      </c>
      <c r="G78" s="33">
        <f>E78/F78</f>
        <v>115.04348303168916</v>
      </c>
      <c r="H78" s="33">
        <f>SUM(H77,H72,H67)</f>
        <v>996307.46</v>
      </c>
      <c r="I78" s="34">
        <f>SUM(I77,I72,I67)</f>
        <v>8865.1500000000015</v>
      </c>
      <c r="J78" s="33">
        <f>H78/I78</f>
        <v>112.38472671077193</v>
      </c>
      <c r="K78" s="33">
        <f>SUM(K77,K72,K67)</f>
        <v>405352.68</v>
      </c>
      <c r="L78" s="34">
        <f>SUM(L77,L72,L67)</f>
        <v>3511.2</v>
      </c>
      <c r="M78" s="33">
        <f>K78/L78</f>
        <v>115.44562542720438</v>
      </c>
      <c r="N78" s="33">
        <f>SUM(N77,N72,N67)</f>
        <v>264167.29000000004</v>
      </c>
      <c r="O78" s="34">
        <f>SUM(O77,O72,O67)</f>
        <v>2293.6999999999998</v>
      </c>
      <c r="P78" s="33">
        <f>N78/O78</f>
        <v>115.17081135283605</v>
      </c>
      <c r="Q78" s="33">
        <f>SUM(Q77,Q72,Q67)</f>
        <v>1583128.06</v>
      </c>
      <c r="R78" s="34">
        <f>SUM(R77,R72,R67)</f>
        <v>11883.7</v>
      </c>
      <c r="S78" s="33">
        <f>Q78/R78</f>
        <v>133.21844711663874</v>
      </c>
      <c r="T78" s="33">
        <f>SUM(T77,T72,T67)</f>
        <v>4119155.9000000004</v>
      </c>
      <c r="U78" s="34">
        <f>SUM(U77,U72,U67)</f>
        <v>34117.85</v>
      </c>
      <c r="V78" s="33">
        <f>T78/U78</f>
        <v>120.73316167343489</v>
      </c>
    </row>
    <row r="79" spans="2:22" ht="23.25" customHeight="1" x14ac:dyDescent="0.25">
      <c r="B79" s="53" t="s">
        <v>38</v>
      </c>
      <c r="C79" s="54"/>
      <c r="D79" s="54"/>
      <c r="E79" s="9">
        <f>SUM(E78,E59,E39,E20)</f>
        <v>2859226.0300000003</v>
      </c>
      <c r="F79" s="10">
        <f>SUM(F78,F59,F39,F20)</f>
        <v>25458.999999999996</v>
      </c>
      <c r="G79" s="9">
        <f>E79/F79</f>
        <v>112.30708315330534</v>
      </c>
      <c r="H79" s="9">
        <f>SUM(H78,H59,H39,H20)</f>
        <v>3671237.38</v>
      </c>
      <c r="I79" s="10">
        <f>SUM(I78,I59,I39,I20)</f>
        <v>32437.65</v>
      </c>
      <c r="J79" s="9">
        <f>H79/I79</f>
        <v>113.17827832780733</v>
      </c>
      <c r="K79" s="9">
        <f>SUM(K78,K59,K39,K20)</f>
        <v>830582.67999999993</v>
      </c>
      <c r="L79" s="10">
        <f>SUM(L78,L59,L39,L20)</f>
        <v>7341.0999999999995</v>
      </c>
      <c r="M79" s="9">
        <f>K79/L79</f>
        <v>113.14144746700086</v>
      </c>
      <c r="N79" s="9">
        <f>SUM(N78,N59,N39,N20)</f>
        <v>1313493.74</v>
      </c>
      <c r="O79" s="10">
        <f>SUM(O78,O59,O39,O20)</f>
        <v>11827.099999999999</v>
      </c>
      <c r="P79" s="9">
        <f>N79/O79</f>
        <v>111.05797194578554</v>
      </c>
      <c r="Q79" s="9">
        <f>SUM(Q78,Q59,Q39,Q20)</f>
        <v>5828129.5</v>
      </c>
      <c r="R79" s="10">
        <f>SUM(R78,R59,R39,R20)</f>
        <v>54061.600000000006</v>
      </c>
      <c r="S79" s="9">
        <f>Q79/R79</f>
        <v>107.80534612368112</v>
      </c>
      <c r="T79" s="9">
        <f>SUM(T78,T59,T39,T20)</f>
        <v>14502669.33</v>
      </c>
      <c r="U79" s="10">
        <f>SUM(U78,U59,U39,U20)</f>
        <v>131126.45000000001</v>
      </c>
      <c r="V79" s="9">
        <f>T79/U79</f>
        <v>110.60064029797191</v>
      </c>
    </row>
    <row r="81" spans="20:20" x14ac:dyDescent="0.25">
      <c r="T81" s="2">
        <f>T79/240</f>
        <v>60427.788874999998</v>
      </c>
    </row>
    <row r="83" spans="20:20" x14ac:dyDescent="0.25">
      <c r="T83" s="2">
        <f>T81*120</f>
        <v>7251334.665</v>
      </c>
    </row>
    <row r="85" spans="20:20" x14ac:dyDescent="0.25">
      <c r="T85" s="2">
        <f>T79+T83</f>
        <v>21754003.995000001</v>
      </c>
    </row>
  </sheetData>
  <mergeCells count="70">
    <mergeCell ref="B78:D78"/>
    <mergeCell ref="B79:D79"/>
    <mergeCell ref="K60:M60"/>
    <mergeCell ref="N60:P60"/>
    <mergeCell ref="Q60:S60"/>
    <mergeCell ref="T60:V60"/>
    <mergeCell ref="B62:B77"/>
    <mergeCell ref="C62:C66"/>
    <mergeCell ref="C67:D67"/>
    <mergeCell ref="C68:C71"/>
    <mergeCell ref="C72:D72"/>
    <mergeCell ref="C73:C76"/>
    <mergeCell ref="H60:J60"/>
    <mergeCell ref="C77:D77"/>
    <mergeCell ref="B59:D59"/>
    <mergeCell ref="B60:B61"/>
    <mergeCell ref="C60:C61"/>
    <mergeCell ref="D60:D61"/>
    <mergeCell ref="E60:G60"/>
    <mergeCell ref="B43:B58"/>
    <mergeCell ref="C48:D48"/>
    <mergeCell ref="C49:C52"/>
    <mergeCell ref="C53:D53"/>
    <mergeCell ref="C54:C57"/>
    <mergeCell ref="C58:D58"/>
    <mergeCell ref="C43:C47"/>
    <mergeCell ref="T41:V41"/>
    <mergeCell ref="C38:D38"/>
    <mergeCell ref="B39:D39"/>
    <mergeCell ref="B40:D40"/>
    <mergeCell ref="B41:B42"/>
    <mergeCell ref="C41:C42"/>
    <mergeCell ref="D41:D42"/>
    <mergeCell ref="E41:G41"/>
    <mergeCell ref="H41:J41"/>
    <mergeCell ref="K41:M41"/>
    <mergeCell ref="N41:P41"/>
    <mergeCell ref="Q41:S41"/>
    <mergeCell ref="K21:M21"/>
    <mergeCell ref="N21:P21"/>
    <mergeCell ref="Q21:S21"/>
    <mergeCell ref="T21:V21"/>
    <mergeCell ref="B23:B38"/>
    <mergeCell ref="C23:C26"/>
    <mergeCell ref="C27:D27"/>
    <mergeCell ref="C28:C32"/>
    <mergeCell ref="C33:D33"/>
    <mergeCell ref="C34:C37"/>
    <mergeCell ref="H21:J21"/>
    <mergeCell ref="B20:D20"/>
    <mergeCell ref="B21:B22"/>
    <mergeCell ref="C21:C22"/>
    <mergeCell ref="D21:D22"/>
    <mergeCell ref="E21:G21"/>
    <mergeCell ref="N2:P2"/>
    <mergeCell ref="Q2:S2"/>
    <mergeCell ref="T2:V2"/>
    <mergeCell ref="B4:B19"/>
    <mergeCell ref="C4:C7"/>
    <mergeCell ref="C9:D9"/>
    <mergeCell ref="C10:C13"/>
    <mergeCell ref="C14:D14"/>
    <mergeCell ref="C15:C18"/>
    <mergeCell ref="C19:D19"/>
    <mergeCell ref="B2:B3"/>
    <mergeCell ref="C2:C3"/>
    <mergeCell ref="D2:D3"/>
    <mergeCell ref="E2:G2"/>
    <mergeCell ref="H2:J2"/>
    <mergeCell ref="K2:M2"/>
  </mergeCells>
  <printOptions horizontalCentered="1"/>
  <pageMargins left="0.7" right="0.7" top="1" bottom="0.75" header="0.3" footer="0.3"/>
  <pageSetup paperSize="17" scale="74" orientation="landscape" r:id="rId1"/>
  <headerFooter>
    <oddHeader>&amp;C&amp;"Arial Black,Regular"&amp;16 2024 SALES REPORT
&amp;12SALESMAN PERFORMANCE</oddHeader>
    <oddFooter>&amp;L&amp;Z&amp;F&amp;R&amp;D</oddFooter>
  </headerFooter>
  <rowBreaks count="1" manualBreakCount="1">
    <brk id="40" max="2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7548-5EA1-4894-B591-A89DEAFA24DA}">
  <sheetPr codeName="Sheet7"/>
  <dimension ref="B2:Y85"/>
  <sheetViews>
    <sheetView view="pageBreakPreview" zoomScale="130" zoomScaleNormal="130" zoomScaleSheetLayoutView="130" workbookViewId="0">
      <pane xSplit="3" ySplit="3" topLeftCell="D4" activePane="bottomRight" state="frozen"/>
      <selection activeCell="W7" sqref="W7"/>
      <selection pane="topRight" activeCell="W7" sqref="W7"/>
      <selection pane="bottomLeft" activeCell="W7" sqref="W7"/>
      <selection pane="bottomRight" activeCell="W7" sqref="W7"/>
    </sheetView>
  </sheetViews>
  <sheetFormatPr defaultRowHeight="15" x14ac:dyDescent="0.25"/>
  <cols>
    <col min="1" max="1" width="1.140625" customWidth="1"/>
    <col min="2" max="3" width="6" bestFit="1" customWidth="1"/>
    <col min="4" max="4" width="7.42578125" bestFit="1" customWidth="1"/>
    <col min="5" max="5" width="16.140625" style="2" customWidth="1"/>
    <col min="6" max="6" width="10.42578125" style="4" customWidth="1"/>
    <col min="7" max="7" width="8.85546875" style="2" bestFit="1" customWidth="1"/>
    <col min="8" max="8" width="16.140625" style="2" customWidth="1"/>
    <col min="9" max="9" width="10.42578125" style="4" customWidth="1"/>
    <col min="10" max="10" width="9.28515625" style="2" customWidth="1"/>
    <col min="11" max="11" width="16.140625" style="2" customWidth="1"/>
    <col min="12" max="12" width="10.42578125" style="4" customWidth="1"/>
    <col min="13" max="13" width="9.28515625" style="2" customWidth="1"/>
    <col min="14" max="14" width="16.140625" style="2" customWidth="1"/>
    <col min="15" max="15" width="10.42578125" style="4" customWidth="1"/>
    <col min="16" max="16" width="9.28515625" style="2" customWidth="1"/>
    <col min="17" max="17" width="16.140625" style="2" customWidth="1"/>
    <col min="18" max="18" width="10.42578125" style="4" customWidth="1"/>
    <col min="19" max="19" width="9.28515625" style="2" customWidth="1"/>
    <col min="20" max="20" width="16.140625" style="2" customWidth="1"/>
    <col min="21" max="21" width="10.42578125" style="4" customWidth="1"/>
    <col min="22" max="22" width="9.28515625" style="2" customWidth="1"/>
    <col min="23" max="23" width="16.140625" style="2" customWidth="1"/>
    <col min="24" max="24" width="10.42578125" style="4" customWidth="1"/>
    <col min="25" max="25" width="9.28515625" style="2" customWidth="1"/>
    <col min="26" max="26" width="1.140625" customWidth="1"/>
  </cols>
  <sheetData>
    <row r="2" spans="2:25" x14ac:dyDescent="0.25">
      <c r="B2" s="67" t="s">
        <v>15</v>
      </c>
      <c r="C2" s="67" t="s">
        <v>10</v>
      </c>
      <c r="D2" s="67" t="s">
        <v>0</v>
      </c>
      <c r="E2" s="58" t="s">
        <v>44</v>
      </c>
      <c r="F2" s="58"/>
      <c r="G2" s="58"/>
      <c r="H2" s="58" t="s">
        <v>40</v>
      </c>
      <c r="I2" s="58"/>
      <c r="J2" s="58"/>
      <c r="K2" s="55" t="s">
        <v>7</v>
      </c>
      <c r="L2" s="56"/>
      <c r="M2" s="57"/>
      <c r="N2" s="58" t="s">
        <v>42</v>
      </c>
      <c r="O2" s="58"/>
      <c r="P2" s="58"/>
      <c r="Q2" s="58" t="s">
        <v>45</v>
      </c>
      <c r="R2" s="58"/>
      <c r="S2" s="58"/>
      <c r="T2" s="58" t="s">
        <v>4</v>
      </c>
      <c r="U2" s="58"/>
      <c r="V2" s="58"/>
      <c r="W2" s="58" t="s">
        <v>9</v>
      </c>
      <c r="X2" s="58"/>
      <c r="Y2" s="58"/>
    </row>
    <row r="3" spans="2:25" x14ac:dyDescent="0.25">
      <c r="B3" s="67"/>
      <c r="C3" s="67"/>
      <c r="D3" s="67"/>
      <c r="E3" s="1" t="s">
        <v>1</v>
      </c>
      <c r="F3" s="3" t="s">
        <v>2</v>
      </c>
      <c r="G3" s="1" t="s">
        <v>3</v>
      </c>
      <c r="H3" s="1" t="s">
        <v>1</v>
      </c>
      <c r="I3" s="3" t="s">
        <v>2</v>
      </c>
      <c r="J3" s="1" t="s">
        <v>3</v>
      </c>
      <c r="K3" s="1" t="s">
        <v>1</v>
      </c>
      <c r="L3" s="3" t="s">
        <v>2</v>
      </c>
      <c r="M3" s="1" t="s">
        <v>3</v>
      </c>
      <c r="N3" s="1" t="s">
        <v>1</v>
      </c>
      <c r="O3" s="3" t="s">
        <v>2</v>
      </c>
      <c r="P3" s="1" t="s">
        <v>3</v>
      </c>
      <c r="Q3" s="1" t="s">
        <v>1</v>
      </c>
      <c r="R3" s="3" t="s">
        <v>2</v>
      </c>
      <c r="S3" s="1" t="s">
        <v>3</v>
      </c>
      <c r="T3" s="1" t="s">
        <v>1</v>
      </c>
      <c r="U3" s="3" t="s">
        <v>2</v>
      </c>
      <c r="V3" s="1" t="s">
        <v>3</v>
      </c>
      <c r="W3" s="1" t="s">
        <v>1</v>
      </c>
      <c r="X3" s="3" t="s">
        <v>2</v>
      </c>
      <c r="Y3" s="1" t="s">
        <v>3</v>
      </c>
    </row>
    <row r="4" spans="2:25" ht="23.25" customHeight="1" x14ac:dyDescent="0.25">
      <c r="B4" s="59" t="s">
        <v>16</v>
      </c>
      <c r="C4" s="59" t="s">
        <v>11</v>
      </c>
      <c r="D4" s="11">
        <v>45659</v>
      </c>
      <c r="E4" s="38"/>
      <c r="F4" s="39"/>
      <c r="G4" s="38"/>
      <c r="H4" s="13">
        <v>39220</v>
      </c>
      <c r="I4" s="16">
        <v>327</v>
      </c>
      <c r="J4" s="13">
        <f t="shared" ref="J4:J18" si="0">H4/I4</f>
        <v>119.93883792048929</v>
      </c>
      <c r="K4" s="13">
        <v>44269.75</v>
      </c>
      <c r="L4" s="16">
        <v>374.5</v>
      </c>
      <c r="M4" s="13">
        <f t="shared" ref="M4:M8" si="1">K4/L4</f>
        <v>118.21028037383178</v>
      </c>
      <c r="N4" s="38"/>
      <c r="O4" s="39"/>
      <c r="P4" s="38"/>
      <c r="Q4" s="38"/>
      <c r="R4" s="39"/>
      <c r="S4" s="38"/>
      <c r="T4" s="13">
        <v>121889</v>
      </c>
      <c r="U4" s="16">
        <v>1519</v>
      </c>
      <c r="V4" s="13">
        <f t="shared" ref="V4:V18" si="2">T4/U4</f>
        <v>80.242922975641875</v>
      </c>
      <c r="W4" s="13">
        <f>SUM(E4,H4,K4,N4,Q4,T4)</f>
        <v>205378.75</v>
      </c>
      <c r="X4" s="16">
        <f>SUM(F4,I4,L4,O4,R4,U4)</f>
        <v>2220.5</v>
      </c>
      <c r="Y4" s="13">
        <f t="shared" ref="Y4:Y18" si="3">W4/X4</f>
        <v>92.492118892141406</v>
      </c>
    </row>
    <row r="5" spans="2:25" ht="23.25" customHeight="1" x14ac:dyDescent="0.25">
      <c r="B5" s="60"/>
      <c r="C5" s="60"/>
      <c r="D5" s="11">
        <v>45666</v>
      </c>
      <c r="E5" s="38"/>
      <c r="F5" s="39"/>
      <c r="G5" s="38"/>
      <c r="H5" s="13">
        <v>15045</v>
      </c>
      <c r="I5" s="16">
        <v>150</v>
      </c>
      <c r="J5" s="13">
        <f t="shared" si="0"/>
        <v>100.3</v>
      </c>
      <c r="K5" s="13">
        <v>188376.11</v>
      </c>
      <c r="L5" s="16">
        <v>1548.8</v>
      </c>
      <c r="M5" s="13">
        <f t="shared" si="1"/>
        <v>121.62713713842975</v>
      </c>
      <c r="N5" s="13">
        <v>23385</v>
      </c>
      <c r="O5" s="16">
        <v>212.8</v>
      </c>
      <c r="P5" s="13">
        <f t="shared" ref="P5:P8" si="4">N5/O5</f>
        <v>109.89191729323308</v>
      </c>
      <c r="Q5" s="38"/>
      <c r="R5" s="39"/>
      <c r="S5" s="38"/>
      <c r="T5" s="13">
        <v>101274.4</v>
      </c>
      <c r="U5" s="16">
        <v>799.3</v>
      </c>
      <c r="V5" s="13">
        <f t="shared" si="2"/>
        <v>126.70386588264732</v>
      </c>
      <c r="W5" s="13">
        <f t="shared" ref="W5:W8" si="5">SUM(E5,H5,K5,N5,Q5,T5)</f>
        <v>328080.51</v>
      </c>
      <c r="X5" s="16">
        <f t="shared" ref="X5:X8" si="6">SUM(F5,I5,L5,O5,R5,U5)</f>
        <v>2710.8999999999996</v>
      </c>
      <c r="Y5" s="13">
        <f t="shared" si="3"/>
        <v>121.0227267697075</v>
      </c>
    </row>
    <row r="6" spans="2:25" ht="23.25" customHeight="1" x14ac:dyDescent="0.25">
      <c r="B6" s="60"/>
      <c r="C6" s="60"/>
      <c r="D6" s="11">
        <v>45673</v>
      </c>
      <c r="E6" s="13">
        <v>31122.959999999999</v>
      </c>
      <c r="F6" s="16">
        <v>211.6</v>
      </c>
      <c r="G6" s="13">
        <f t="shared" ref="G6:G18" si="7">E6/F6</f>
        <v>147.08393194706994</v>
      </c>
      <c r="H6" s="13">
        <v>87125.38</v>
      </c>
      <c r="I6" s="16">
        <v>694.9</v>
      </c>
      <c r="J6" s="13">
        <f t="shared" si="0"/>
        <v>125.3782990358325</v>
      </c>
      <c r="K6" s="13">
        <v>4080</v>
      </c>
      <c r="L6" s="16">
        <v>27.9</v>
      </c>
      <c r="M6" s="13">
        <f t="shared" si="1"/>
        <v>146.23655913978496</v>
      </c>
      <c r="N6" s="13">
        <v>4955</v>
      </c>
      <c r="O6" s="16">
        <v>45.4</v>
      </c>
      <c r="P6" s="13">
        <f t="shared" si="4"/>
        <v>109.1409691629956</v>
      </c>
      <c r="Q6" s="38">
        <v>79331.5</v>
      </c>
      <c r="R6" s="39">
        <v>519.1</v>
      </c>
      <c r="S6" s="38"/>
      <c r="T6" s="13">
        <v>140705.59</v>
      </c>
      <c r="U6" s="16">
        <v>1698.3</v>
      </c>
      <c r="V6" s="13">
        <f t="shared" si="2"/>
        <v>82.850844962609671</v>
      </c>
      <c r="W6" s="13">
        <f t="shared" si="5"/>
        <v>347320.43</v>
      </c>
      <c r="X6" s="16">
        <f t="shared" si="6"/>
        <v>3197.2</v>
      </c>
      <c r="Y6" s="13">
        <f t="shared" si="3"/>
        <v>108.63268797697987</v>
      </c>
    </row>
    <row r="7" spans="2:25" ht="23.25" customHeight="1" x14ac:dyDescent="0.25">
      <c r="B7" s="60"/>
      <c r="C7" s="60"/>
      <c r="D7" s="11">
        <v>45680</v>
      </c>
      <c r="E7" s="38"/>
      <c r="F7" s="39"/>
      <c r="G7" s="38"/>
      <c r="H7" s="13">
        <v>26213.75</v>
      </c>
      <c r="I7" s="16">
        <v>201.6</v>
      </c>
      <c r="J7" s="13">
        <f t="shared" si="0"/>
        <v>130.02852182539684</v>
      </c>
      <c r="K7" s="13">
        <v>20485</v>
      </c>
      <c r="L7" s="16">
        <v>164</v>
      </c>
      <c r="M7" s="13">
        <f t="shared" si="1"/>
        <v>124.90853658536585</v>
      </c>
      <c r="N7" s="38"/>
      <c r="O7" s="39"/>
      <c r="P7" s="38"/>
      <c r="Q7" s="38">
        <v>220214.58</v>
      </c>
      <c r="R7" s="39">
        <v>2247.4</v>
      </c>
      <c r="S7" s="38"/>
      <c r="T7" s="13">
        <v>34517.5</v>
      </c>
      <c r="U7" s="16">
        <v>246.5</v>
      </c>
      <c r="V7" s="13">
        <f t="shared" si="2"/>
        <v>140.03042596348885</v>
      </c>
      <c r="W7" s="13">
        <f t="shared" si="5"/>
        <v>301430.82999999996</v>
      </c>
      <c r="X7" s="16">
        <f t="shared" si="6"/>
        <v>2859.5</v>
      </c>
      <c r="Y7" s="13">
        <f t="shared" si="3"/>
        <v>105.41382409512151</v>
      </c>
    </row>
    <row r="8" spans="2:25" ht="23.25" customHeight="1" x14ac:dyDescent="0.25">
      <c r="B8" s="60"/>
      <c r="C8" s="35"/>
      <c r="D8" s="11">
        <v>45687</v>
      </c>
      <c r="E8" s="13">
        <v>23585</v>
      </c>
      <c r="F8" s="16">
        <v>197</v>
      </c>
      <c r="G8" s="13">
        <f t="shared" si="7"/>
        <v>119.72081218274111</v>
      </c>
      <c r="H8" s="13">
        <v>94720.5</v>
      </c>
      <c r="I8" s="16">
        <v>795.8</v>
      </c>
      <c r="J8" s="13">
        <f t="shared" si="0"/>
        <v>119.02550892183966</v>
      </c>
      <c r="K8" s="13">
        <v>266835.28000000003</v>
      </c>
      <c r="L8" s="16">
        <v>2108.8000000000002</v>
      </c>
      <c r="M8" s="13">
        <f t="shared" si="1"/>
        <v>126.53418057663126</v>
      </c>
      <c r="N8" s="13">
        <v>41166.17</v>
      </c>
      <c r="O8" s="16">
        <v>316</v>
      </c>
      <c r="P8" s="13">
        <f t="shared" si="4"/>
        <v>130.2726898734177</v>
      </c>
      <c r="Q8" s="38"/>
      <c r="R8" s="39"/>
      <c r="S8" s="38"/>
      <c r="T8" s="13">
        <v>122671.54</v>
      </c>
      <c r="U8" s="16">
        <v>1008</v>
      </c>
      <c r="V8" s="13">
        <f t="shared" si="2"/>
        <v>121.69795634920634</v>
      </c>
      <c r="W8" s="13">
        <f t="shared" si="5"/>
        <v>548978.49</v>
      </c>
      <c r="X8" s="16">
        <f t="shared" si="6"/>
        <v>4425.6000000000004</v>
      </c>
      <c r="Y8" s="13">
        <f t="shared" si="3"/>
        <v>124.04611578091105</v>
      </c>
    </row>
    <row r="9" spans="2:25" ht="23.25" customHeight="1" x14ac:dyDescent="0.25">
      <c r="B9" s="60"/>
      <c r="C9" s="63" t="s">
        <v>36</v>
      </c>
      <c r="D9" s="64"/>
      <c r="E9" s="30">
        <f>SUM(E4:E8)</f>
        <v>54707.96</v>
      </c>
      <c r="F9" s="31">
        <f>SUM(F4:F8)</f>
        <v>408.6</v>
      </c>
      <c r="G9" s="30">
        <f>E9/F9</f>
        <v>133.89123837493881</v>
      </c>
      <c r="H9" s="30">
        <f>SUM(H4:H8)</f>
        <v>262324.63</v>
      </c>
      <c r="I9" s="31">
        <f>SUM(I4:I8)</f>
        <v>2169.3000000000002</v>
      </c>
      <c r="J9" s="30">
        <f>H9/I9</f>
        <v>120.92593463329183</v>
      </c>
      <c r="K9" s="30">
        <f>SUM(K4:K8)</f>
        <v>524046.14</v>
      </c>
      <c r="L9" s="31">
        <f>SUM(L4:L8)</f>
        <v>4224</v>
      </c>
      <c r="M9" s="30">
        <v>0</v>
      </c>
      <c r="N9" s="30">
        <f>SUM(N4:N8)</f>
        <v>69506.17</v>
      </c>
      <c r="O9" s="31">
        <f>SUM(O4:O8)</f>
        <v>574.20000000000005</v>
      </c>
      <c r="P9" s="30">
        <f>N9/O9</f>
        <v>121.04871125043537</v>
      </c>
      <c r="Q9" s="30">
        <f>SUM(Q4:Q8)</f>
        <v>299546.07999999996</v>
      </c>
      <c r="R9" s="31">
        <f>SUM(R4:R8)</f>
        <v>2766.5</v>
      </c>
      <c r="S9" s="30">
        <f>Q9/R9</f>
        <v>108.27619013193565</v>
      </c>
      <c r="T9" s="30">
        <f>SUM(T4:T8)</f>
        <v>521058.02999999997</v>
      </c>
      <c r="U9" s="31">
        <f>SUM(U4:U8)</f>
        <v>5271.1</v>
      </c>
      <c r="V9" s="30">
        <f>T9/U9</f>
        <v>98.851858245906911</v>
      </c>
      <c r="W9" s="30">
        <f>SUM(W4:W8)</f>
        <v>1731189.01</v>
      </c>
      <c r="X9" s="31">
        <f>SUM(X4:X8)</f>
        <v>15413.699999999999</v>
      </c>
      <c r="Y9" s="32">
        <f>W9/X9</f>
        <v>112.31495422903002</v>
      </c>
    </row>
    <row r="10" spans="2:25" ht="23.25" customHeight="1" x14ac:dyDescent="0.25">
      <c r="B10" s="60"/>
      <c r="C10" s="59" t="s">
        <v>12</v>
      </c>
      <c r="D10" s="11">
        <v>45694</v>
      </c>
      <c r="E10" s="38"/>
      <c r="F10" s="39"/>
      <c r="G10" s="38"/>
      <c r="H10" s="13">
        <v>22148.03</v>
      </c>
      <c r="I10" s="16">
        <v>150.80000000000001</v>
      </c>
      <c r="J10" s="13">
        <f t="shared" si="0"/>
        <v>146.87022546419095</v>
      </c>
      <c r="K10" s="13">
        <v>71872.649999999994</v>
      </c>
      <c r="L10" s="16">
        <v>562.5</v>
      </c>
      <c r="M10" s="13">
        <f t="shared" ref="M10:M13" si="8">K10/L10</f>
        <v>127.77359999999999</v>
      </c>
      <c r="N10" s="13">
        <v>21135</v>
      </c>
      <c r="O10" s="16">
        <v>164</v>
      </c>
      <c r="P10" s="13">
        <f t="shared" ref="P10:P13" si="9">N10/O10</f>
        <v>128.8719512195122</v>
      </c>
      <c r="Q10" s="38"/>
      <c r="R10" s="39"/>
      <c r="S10" s="38"/>
      <c r="T10" s="13">
        <v>104783.05</v>
      </c>
      <c r="U10" s="16">
        <v>800.3</v>
      </c>
      <c r="V10" s="13">
        <f t="shared" si="2"/>
        <v>130.92971385730351</v>
      </c>
      <c r="W10" s="13">
        <f t="shared" ref="W10:W13" si="10">SUM(E10,H10,K10,N10,Q10,T10)</f>
        <v>219938.72999999998</v>
      </c>
      <c r="X10" s="16">
        <f t="shared" ref="X10:X13" si="11">SUM(F10,I10,L10,O10,R10,U10)</f>
        <v>1677.6</v>
      </c>
      <c r="Y10" s="13">
        <f t="shared" si="3"/>
        <v>131.10320100143062</v>
      </c>
    </row>
    <row r="11" spans="2:25" ht="23.25" customHeight="1" x14ac:dyDescent="0.25">
      <c r="B11" s="60"/>
      <c r="C11" s="60"/>
      <c r="D11" s="11">
        <v>45701</v>
      </c>
      <c r="E11" s="13">
        <v>49195</v>
      </c>
      <c r="F11" s="16">
        <v>391.8</v>
      </c>
      <c r="G11" s="13">
        <f t="shared" si="7"/>
        <v>125.56151097498723</v>
      </c>
      <c r="H11" s="13">
        <v>54150</v>
      </c>
      <c r="I11" s="16">
        <v>454</v>
      </c>
      <c r="J11" s="13">
        <f t="shared" si="0"/>
        <v>119.27312775330397</v>
      </c>
      <c r="K11" s="13">
        <v>87547.1</v>
      </c>
      <c r="L11" s="16">
        <v>741</v>
      </c>
      <c r="M11" s="13">
        <f t="shared" si="8"/>
        <v>118.1472334682861</v>
      </c>
      <c r="N11" s="13">
        <v>39000</v>
      </c>
      <c r="O11" s="16">
        <v>208</v>
      </c>
      <c r="P11" s="13">
        <f t="shared" si="9"/>
        <v>187.5</v>
      </c>
      <c r="Q11" s="38"/>
      <c r="R11" s="39"/>
      <c r="S11" s="38"/>
      <c r="T11" s="13">
        <v>181498.69</v>
      </c>
      <c r="U11" s="16">
        <v>1572.5</v>
      </c>
      <c r="V11" s="13">
        <f t="shared" si="2"/>
        <v>115.42047058823529</v>
      </c>
      <c r="W11" s="13">
        <f t="shared" si="10"/>
        <v>411390.79000000004</v>
      </c>
      <c r="X11" s="16">
        <f t="shared" si="11"/>
        <v>3367.3</v>
      </c>
      <c r="Y11" s="13">
        <f t="shared" si="3"/>
        <v>122.17230125025986</v>
      </c>
    </row>
    <row r="12" spans="2:25" ht="23.25" customHeight="1" x14ac:dyDescent="0.25">
      <c r="B12" s="60"/>
      <c r="C12" s="60"/>
      <c r="D12" s="11">
        <v>45708</v>
      </c>
      <c r="E12" s="38"/>
      <c r="F12" s="39"/>
      <c r="G12" s="38"/>
      <c r="H12" s="13">
        <v>43466.45</v>
      </c>
      <c r="I12" s="16">
        <v>387.3</v>
      </c>
      <c r="J12" s="13">
        <f t="shared" si="0"/>
        <v>112.22940872708493</v>
      </c>
      <c r="K12" s="13">
        <v>27935</v>
      </c>
      <c r="L12" s="16">
        <v>210</v>
      </c>
      <c r="M12" s="13">
        <f t="shared" si="8"/>
        <v>133.02380952380952</v>
      </c>
      <c r="N12" s="13">
        <v>27979.25</v>
      </c>
      <c r="O12" s="16">
        <v>228.5</v>
      </c>
      <c r="P12" s="13">
        <f t="shared" si="9"/>
        <v>122.44748358862144</v>
      </c>
      <c r="Q12" s="38"/>
      <c r="R12" s="39"/>
      <c r="S12" s="38"/>
      <c r="T12" s="13">
        <v>7585</v>
      </c>
      <c r="U12" s="16">
        <v>65.5</v>
      </c>
      <c r="V12" s="13">
        <f t="shared" si="2"/>
        <v>115.80152671755725</v>
      </c>
      <c r="W12" s="13">
        <f t="shared" si="10"/>
        <v>106965.7</v>
      </c>
      <c r="X12" s="16">
        <f t="shared" si="11"/>
        <v>891.3</v>
      </c>
      <c r="Y12" s="13">
        <f t="shared" si="3"/>
        <v>120.01088297991697</v>
      </c>
    </row>
    <row r="13" spans="2:25" ht="23.25" customHeight="1" x14ac:dyDescent="0.25">
      <c r="B13" s="60"/>
      <c r="C13" s="60"/>
      <c r="D13" s="11">
        <v>45715</v>
      </c>
      <c r="E13" s="13">
        <v>3150</v>
      </c>
      <c r="F13" s="16">
        <v>22</v>
      </c>
      <c r="G13" s="13">
        <f t="shared" si="7"/>
        <v>143.18181818181819</v>
      </c>
      <c r="H13" s="13">
        <v>87350</v>
      </c>
      <c r="I13" s="16">
        <v>636.5</v>
      </c>
      <c r="J13" s="13">
        <f t="shared" si="0"/>
        <v>137.23487824037707</v>
      </c>
      <c r="K13" s="13">
        <v>94050.5</v>
      </c>
      <c r="L13" s="16">
        <v>708</v>
      </c>
      <c r="M13" s="13">
        <f t="shared" si="8"/>
        <v>132.83968926553672</v>
      </c>
      <c r="N13" s="13">
        <v>7015</v>
      </c>
      <c r="O13" s="16">
        <v>86.3</v>
      </c>
      <c r="P13" s="13">
        <f t="shared" si="9"/>
        <v>81.286210892236383</v>
      </c>
      <c r="Q13" s="13">
        <v>85100</v>
      </c>
      <c r="R13" s="16">
        <v>1039.8</v>
      </c>
      <c r="S13" s="13">
        <f t="shared" ref="S13" si="12">Q13/R13</f>
        <v>81.84266205039431</v>
      </c>
      <c r="T13" s="13">
        <v>50815</v>
      </c>
      <c r="U13" s="16">
        <v>473.3</v>
      </c>
      <c r="V13" s="13">
        <f t="shared" si="2"/>
        <v>107.36319459116839</v>
      </c>
      <c r="W13" s="13">
        <f t="shared" si="10"/>
        <v>327480.5</v>
      </c>
      <c r="X13" s="16">
        <f t="shared" si="11"/>
        <v>2965.9</v>
      </c>
      <c r="Y13" s="13">
        <f t="shared" si="3"/>
        <v>110.41521966350854</v>
      </c>
    </row>
    <row r="14" spans="2:25" ht="23.25" customHeight="1" x14ac:dyDescent="0.25">
      <c r="B14" s="60"/>
      <c r="C14" s="63" t="s">
        <v>36</v>
      </c>
      <c r="D14" s="64"/>
      <c r="E14" s="30">
        <f>SUM(E10:E13)</f>
        <v>52345</v>
      </c>
      <c r="F14" s="31">
        <f>SUM(F10:F13)</f>
        <v>413.8</v>
      </c>
      <c r="G14" s="30">
        <f>E14/F14</f>
        <v>126.49830836152731</v>
      </c>
      <c r="H14" s="30">
        <f>SUM(H10:H13)</f>
        <v>207114.47999999998</v>
      </c>
      <c r="I14" s="31">
        <f>SUM(I10:I13)</f>
        <v>1628.6</v>
      </c>
      <c r="J14" s="30">
        <f>H14/I14</f>
        <v>127.17332678374063</v>
      </c>
      <c r="K14" s="30">
        <f>SUM(K10:K13)</f>
        <v>281405.25</v>
      </c>
      <c r="L14" s="31">
        <f>SUM(L10:L13)</f>
        <v>2221.5</v>
      </c>
      <c r="M14" s="30">
        <f>K14/L14</f>
        <v>126.67353139770425</v>
      </c>
      <c r="N14" s="30">
        <f>SUM(N10:N13)</f>
        <v>95129.25</v>
      </c>
      <c r="O14" s="31">
        <f>SUM(O10:O13)</f>
        <v>686.8</v>
      </c>
      <c r="P14" s="30">
        <f>N14/O14</f>
        <v>138.51084740827025</v>
      </c>
      <c r="Q14" s="30">
        <f>SUM(Q10:Q13)</f>
        <v>85100</v>
      </c>
      <c r="R14" s="31">
        <f>SUM(R10:R13)</f>
        <v>1039.8</v>
      </c>
      <c r="S14" s="30">
        <f>Q14/R14</f>
        <v>81.84266205039431</v>
      </c>
      <c r="T14" s="30">
        <f>SUM(T10:T13)</f>
        <v>344681.74</v>
      </c>
      <c r="U14" s="31">
        <f>SUM(U10:U13)</f>
        <v>2911.6000000000004</v>
      </c>
      <c r="V14" s="30">
        <f>T14/U14</f>
        <v>118.38224344003295</v>
      </c>
      <c r="W14" s="30">
        <f>SUM(W10:W13)</f>
        <v>1065775.72</v>
      </c>
      <c r="X14" s="31">
        <f>SUM(X10:X13)</f>
        <v>8902.1</v>
      </c>
      <c r="Y14" s="32">
        <f>W14/X14</f>
        <v>119.72183192729804</v>
      </c>
    </row>
    <row r="15" spans="2:25" ht="23.25" customHeight="1" x14ac:dyDescent="0.25">
      <c r="B15" s="60"/>
      <c r="C15" s="59" t="s">
        <v>13</v>
      </c>
      <c r="D15" s="11">
        <v>45722</v>
      </c>
      <c r="E15" s="13">
        <v>5165</v>
      </c>
      <c r="F15" s="16">
        <v>49</v>
      </c>
      <c r="G15" s="13">
        <f t="shared" si="7"/>
        <v>105.40816326530613</v>
      </c>
      <c r="H15" s="13">
        <v>60416.04</v>
      </c>
      <c r="I15" s="16">
        <v>472</v>
      </c>
      <c r="J15" s="13">
        <f t="shared" si="0"/>
        <v>128.00008474576271</v>
      </c>
      <c r="K15" s="13">
        <v>51695</v>
      </c>
      <c r="L15" s="16">
        <v>340.5</v>
      </c>
      <c r="M15" s="13">
        <f t="shared" ref="M15:M18" si="13">K15/L15</f>
        <v>151.8208516886931</v>
      </c>
      <c r="N15" s="13">
        <v>64156</v>
      </c>
      <c r="O15" s="16">
        <v>611</v>
      </c>
      <c r="P15" s="13">
        <f t="shared" ref="P15:P17" si="14">N15/O15</f>
        <v>105.00163666121112</v>
      </c>
      <c r="Q15" s="13">
        <v>8595</v>
      </c>
      <c r="R15" s="16">
        <v>81</v>
      </c>
      <c r="S15" s="13">
        <f t="shared" ref="S15:S18" si="15">Q15/R15</f>
        <v>106.11111111111111</v>
      </c>
      <c r="T15" s="13">
        <v>76980</v>
      </c>
      <c r="U15" s="16">
        <v>711.3</v>
      </c>
      <c r="V15" s="13">
        <f t="shared" si="2"/>
        <v>108.22437789962042</v>
      </c>
      <c r="W15" s="13">
        <f t="shared" ref="W15:W17" si="16">SUM(E15,H15,K15,N15,Q15,T15)</f>
        <v>267007.04000000004</v>
      </c>
      <c r="X15" s="16">
        <f t="shared" ref="X15:X18" si="17">SUM(F15,I15,L15,O15,R15,U15)</f>
        <v>2264.8000000000002</v>
      </c>
      <c r="Y15" s="13">
        <f t="shared" si="3"/>
        <v>117.8943129636171</v>
      </c>
    </row>
    <row r="16" spans="2:25" ht="23.25" customHeight="1" x14ac:dyDescent="0.25">
      <c r="B16" s="60"/>
      <c r="C16" s="60"/>
      <c r="D16" s="11">
        <v>45729</v>
      </c>
      <c r="E16" s="13">
        <v>10525</v>
      </c>
      <c r="F16" s="16">
        <v>80</v>
      </c>
      <c r="G16" s="13">
        <f t="shared" si="7"/>
        <v>131.5625</v>
      </c>
      <c r="H16" s="13">
        <v>123719.29</v>
      </c>
      <c r="I16" s="16">
        <v>969.8</v>
      </c>
      <c r="J16" s="13">
        <f t="shared" si="0"/>
        <v>127.57196329140029</v>
      </c>
      <c r="K16" s="13">
        <v>76072.5</v>
      </c>
      <c r="L16" s="16">
        <v>555.79999999999995</v>
      </c>
      <c r="M16" s="13">
        <f t="shared" si="13"/>
        <v>136.87027707808565</v>
      </c>
      <c r="N16" s="13">
        <v>105606</v>
      </c>
      <c r="O16" s="16">
        <v>887.5</v>
      </c>
      <c r="P16" s="13">
        <f t="shared" si="14"/>
        <v>118.99267605633803</v>
      </c>
      <c r="Q16" s="13">
        <v>93005</v>
      </c>
      <c r="R16" s="16">
        <v>762</v>
      </c>
      <c r="S16" s="13">
        <f t="shared" si="15"/>
        <v>122.05380577427822</v>
      </c>
      <c r="T16" s="13">
        <v>68222.259999999995</v>
      </c>
      <c r="U16" s="16">
        <v>585.5</v>
      </c>
      <c r="V16" s="13">
        <f t="shared" si="2"/>
        <v>116.519658411614</v>
      </c>
      <c r="W16" s="13">
        <f t="shared" si="16"/>
        <v>477150.05</v>
      </c>
      <c r="X16" s="16">
        <f t="shared" si="17"/>
        <v>3840.6</v>
      </c>
      <c r="Y16" s="13">
        <f t="shared" si="3"/>
        <v>124.23841326876008</v>
      </c>
    </row>
    <row r="17" spans="2:25" ht="23.25" customHeight="1" x14ac:dyDescent="0.25">
      <c r="B17" s="60"/>
      <c r="C17" s="60"/>
      <c r="D17" s="11">
        <v>45736</v>
      </c>
      <c r="E17" s="13">
        <v>25555</v>
      </c>
      <c r="F17" s="16">
        <v>129</v>
      </c>
      <c r="G17" s="13">
        <f t="shared" si="7"/>
        <v>198.10077519379846</v>
      </c>
      <c r="H17" s="13">
        <v>77641.100000000006</v>
      </c>
      <c r="I17" s="16">
        <v>572.5</v>
      </c>
      <c r="J17" s="13">
        <f t="shared" si="0"/>
        <v>135.61764192139739</v>
      </c>
      <c r="K17" s="13">
        <v>116040.04</v>
      </c>
      <c r="L17" s="16">
        <v>957</v>
      </c>
      <c r="M17" s="13">
        <f t="shared" si="13"/>
        <v>121.25396029258097</v>
      </c>
      <c r="N17" s="13">
        <v>4500</v>
      </c>
      <c r="O17" s="16">
        <v>47</v>
      </c>
      <c r="P17" s="13">
        <f t="shared" si="14"/>
        <v>95.744680851063833</v>
      </c>
      <c r="Q17" s="13">
        <v>661.5</v>
      </c>
      <c r="R17" s="16">
        <v>6</v>
      </c>
      <c r="S17" s="13">
        <f t="shared" si="15"/>
        <v>110.25</v>
      </c>
      <c r="T17" s="13">
        <v>18450</v>
      </c>
      <c r="U17" s="16">
        <v>138</v>
      </c>
      <c r="V17" s="13">
        <f t="shared" si="2"/>
        <v>133.69565217391303</v>
      </c>
      <c r="W17" s="13">
        <f t="shared" si="16"/>
        <v>242847.64</v>
      </c>
      <c r="X17" s="16">
        <f t="shared" si="17"/>
        <v>1849.5</v>
      </c>
      <c r="Y17" s="13">
        <f t="shared" si="3"/>
        <v>131.30448229251149</v>
      </c>
    </row>
    <row r="18" spans="2:25" ht="23.25" customHeight="1" x14ac:dyDescent="0.25">
      <c r="B18" s="60"/>
      <c r="C18" s="60"/>
      <c r="D18" s="11">
        <v>45743</v>
      </c>
      <c r="E18" s="13">
        <v>10278</v>
      </c>
      <c r="F18" s="16">
        <v>77.5</v>
      </c>
      <c r="G18" s="13">
        <f t="shared" si="7"/>
        <v>132.61935483870968</v>
      </c>
      <c r="H18" s="13">
        <v>35395</v>
      </c>
      <c r="I18" s="16">
        <v>250</v>
      </c>
      <c r="J18" s="13">
        <f t="shared" si="0"/>
        <v>141.58000000000001</v>
      </c>
      <c r="K18" s="13">
        <v>79975.759999999995</v>
      </c>
      <c r="L18" s="16">
        <v>626</v>
      </c>
      <c r="M18" s="13">
        <f t="shared" si="13"/>
        <v>127.75680511182108</v>
      </c>
      <c r="N18" s="38"/>
      <c r="O18" s="39"/>
      <c r="P18" s="38"/>
      <c r="Q18" s="13">
        <v>4390</v>
      </c>
      <c r="R18" s="16">
        <v>27</v>
      </c>
      <c r="S18" s="13">
        <f t="shared" si="15"/>
        <v>162.59259259259258</v>
      </c>
      <c r="T18" s="13">
        <v>27860</v>
      </c>
      <c r="U18" s="16">
        <v>216.8</v>
      </c>
      <c r="V18" s="13">
        <f t="shared" si="2"/>
        <v>128.50553505535055</v>
      </c>
      <c r="W18" s="13">
        <f>SUM(E18,H18,K18,N18,Q18,T18)</f>
        <v>157898.76</v>
      </c>
      <c r="X18" s="16">
        <f t="shared" si="17"/>
        <v>1197.3</v>
      </c>
      <c r="Y18" s="13">
        <f t="shared" si="3"/>
        <v>131.8790278125783</v>
      </c>
    </row>
    <row r="19" spans="2:25" ht="23.25" customHeight="1" x14ac:dyDescent="0.25">
      <c r="B19" s="61"/>
      <c r="C19" s="63" t="s">
        <v>36</v>
      </c>
      <c r="D19" s="64"/>
      <c r="E19" s="30">
        <f>SUM(E15:E18)</f>
        <v>51523</v>
      </c>
      <c r="F19" s="31">
        <f>SUM(F15:F18)</f>
        <v>335.5</v>
      </c>
      <c r="G19" s="30">
        <f>E19/F19</f>
        <v>153.57078986587183</v>
      </c>
      <c r="H19" s="30">
        <f>SUM(H15:H18)</f>
        <v>297171.43</v>
      </c>
      <c r="I19" s="31">
        <f>SUM(I15:I18)</f>
        <v>2264.3000000000002</v>
      </c>
      <c r="J19" s="30">
        <f>H19/I19</f>
        <v>131.2420748134081</v>
      </c>
      <c r="K19" s="30">
        <f>SUM(K15:K18)</f>
        <v>323783.3</v>
      </c>
      <c r="L19" s="31">
        <f>SUM(L15:L18)</f>
        <v>2479.3000000000002</v>
      </c>
      <c r="M19" s="30">
        <f>K19/L19</f>
        <v>130.59464364941715</v>
      </c>
      <c r="N19" s="30">
        <f>SUM(N15:N18)</f>
        <v>174262</v>
      </c>
      <c r="O19" s="31">
        <f>SUM(O15:O18)</f>
        <v>1545.5</v>
      </c>
      <c r="P19" s="30">
        <f>N19/O19</f>
        <v>112.75444839857651</v>
      </c>
      <c r="Q19" s="30">
        <f>SUM(Q15:Q18)</f>
        <v>106651.5</v>
      </c>
      <c r="R19" s="31">
        <f>SUM(R15:R18)</f>
        <v>876</v>
      </c>
      <c r="S19" s="30">
        <f>Q19/R19</f>
        <v>121.74828767123287</v>
      </c>
      <c r="T19" s="30">
        <f>SUM(T15:T18)</f>
        <v>191512.26</v>
      </c>
      <c r="U19" s="31">
        <f>SUM(U15:U18)</f>
        <v>1651.6</v>
      </c>
      <c r="V19" s="30">
        <f>T19/U19</f>
        <v>115.95559457495763</v>
      </c>
      <c r="W19" s="30">
        <f>SUM(W15:W18)</f>
        <v>1144903.4900000002</v>
      </c>
      <c r="X19" s="31">
        <f>SUM(X15:X18)</f>
        <v>9152.1999999999989</v>
      </c>
      <c r="Y19" s="32">
        <f>W19/X19</f>
        <v>125.09598675728245</v>
      </c>
    </row>
    <row r="20" spans="2:25" ht="39" customHeight="1" x14ac:dyDescent="0.25">
      <c r="B20" s="68" t="s">
        <v>20</v>
      </c>
      <c r="C20" s="68"/>
      <c r="D20" s="68"/>
      <c r="E20" s="33">
        <f>SUM(E19,E14,E9)</f>
        <v>158575.96</v>
      </c>
      <c r="F20" s="34">
        <f>SUM(F19,F14,F9)</f>
        <v>1157.9000000000001</v>
      </c>
      <c r="G20" s="33">
        <f>E20/F20</f>
        <v>136.95134294844112</v>
      </c>
      <c r="H20" s="33">
        <f>SUM(H19,H14,H9)</f>
        <v>766610.54</v>
      </c>
      <c r="I20" s="34">
        <f>SUM(I19,I14,I9)</f>
        <v>6062.2000000000007</v>
      </c>
      <c r="J20" s="33">
        <f>H20/I20</f>
        <v>126.45748078255419</v>
      </c>
      <c r="K20" s="33">
        <f>SUM(K19,K14,K9)</f>
        <v>1129234.69</v>
      </c>
      <c r="L20" s="34">
        <f>SUM(L19,L14,L9)</f>
        <v>8924.7999999999993</v>
      </c>
      <c r="M20" s="33">
        <f>K20/L20</f>
        <v>126.52773059340265</v>
      </c>
      <c r="N20" s="33">
        <f>SUM(N19,N14,N9)</f>
        <v>338897.42</v>
      </c>
      <c r="O20" s="34">
        <f>SUM(O19,O14,O9)</f>
        <v>2806.5</v>
      </c>
      <c r="P20" s="33">
        <f>N20/O20</f>
        <v>120.75446998040263</v>
      </c>
      <c r="Q20" s="33">
        <f>SUM(Q19,Q14,Q9)</f>
        <v>491297.57999999996</v>
      </c>
      <c r="R20" s="34">
        <f>SUM(R19,R14,R9)</f>
        <v>4682.3</v>
      </c>
      <c r="S20" s="33">
        <f>Q20/R20</f>
        <v>104.92654891826665</v>
      </c>
      <c r="T20" s="33">
        <f>SUM(T19,T14,T9)</f>
        <v>1057252.03</v>
      </c>
      <c r="U20" s="34">
        <f>SUM(U19,U14,U9)</f>
        <v>9834.3000000000011</v>
      </c>
      <c r="V20" s="33">
        <f>T20/U20</f>
        <v>107.50658714905991</v>
      </c>
      <c r="W20" s="33">
        <f>SUM(W19,W14,W9)</f>
        <v>3941868.2199999997</v>
      </c>
      <c r="X20" s="34">
        <f>SUM(X19,X14,X9)</f>
        <v>33468</v>
      </c>
      <c r="Y20" s="33">
        <f>W20/X20</f>
        <v>117.78021453328552</v>
      </c>
    </row>
    <row r="21" spans="2:25" x14ac:dyDescent="0.25">
      <c r="B21" s="67" t="s">
        <v>15</v>
      </c>
      <c r="C21" s="67" t="s">
        <v>10</v>
      </c>
      <c r="D21" s="67" t="s">
        <v>0</v>
      </c>
      <c r="E21" s="58" t="s">
        <v>44</v>
      </c>
      <c r="F21" s="58"/>
      <c r="G21" s="58"/>
      <c r="H21" s="58" t="s">
        <v>40</v>
      </c>
      <c r="I21" s="58"/>
      <c r="J21" s="58"/>
      <c r="K21" s="55" t="s">
        <v>7</v>
      </c>
      <c r="L21" s="56"/>
      <c r="M21" s="57"/>
      <c r="N21" s="58" t="s">
        <v>42</v>
      </c>
      <c r="O21" s="58"/>
      <c r="P21" s="58"/>
      <c r="Q21" s="58" t="s">
        <v>45</v>
      </c>
      <c r="R21" s="58"/>
      <c r="S21" s="58"/>
      <c r="T21" s="58" t="s">
        <v>4</v>
      </c>
      <c r="U21" s="58"/>
      <c r="V21" s="58"/>
      <c r="W21" s="58" t="s">
        <v>9</v>
      </c>
      <c r="X21" s="58"/>
      <c r="Y21" s="58"/>
    </row>
    <row r="22" spans="2:25" x14ac:dyDescent="0.25">
      <c r="B22" s="67"/>
      <c r="C22" s="67"/>
      <c r="D22" s="67"/>
      <c r="E22" s="1" t="s">
        <v>1</v>
      </c>
      <c r="F22" s="3" t="s">
        <v>2</v>
      </c>
      <c r="G22" s="1" t="s">
        <v>3</v>
      </c>
      <c r="H22" s="1" t="s">
        <v>1</v>
      </c>
      <c r="I22" s="3" t="s">
        <v>2</v>
      </c>
      <c r="J22" s="1" t="s">
        <v>3</v>
      </c>
      <c r="K22" s="1" t="s">
        <v>1</v>
      </c>
      <c r="L22" s="3" t="s">
        <v>2</v>
      </c>
      <c r="M22" s="1" t="s">
        <v>3</v>
      </c>
      <c r="N22" s="1" t="s">
        <v>1</v>
      </c>
      <c r="O22" s="3" t="s">
        <v>2</v>
      </c>
      <c r="P22" s="1" t="s">
        <v>3</v>
      </c>
      <c r="Q22" s="1" t="s">
        <v>1</v>
      </c>
      <c r="R22" s="3" t="s">
        <v>2</v>
      </c>
      <c r="S22" s="1" t="s">
        <v>3</v>
      </c>
      <c r="T22" s="1" t="s">
        <v>1</v>
      </c>
      <c r="U22" s="3" t="s">
        <v>2</v>
      </c>
      <c r="V22" s="1" t="s">
        <v>3</v>
      </c>
      <c r="W22" s="1" t="s">
        <v>1</v>
      </c>
      <c r="X22" s="3" t="s">
        <v>2</v>
      </c>
      <c r="Y22" s="1" t="s">
        <v>3</v>
      </c>
    </row>
    <row r="23" spans="2:25" ht="23.25" customHeight="1" x14ac:dyDescent="0.25">
      <c r="B23" s="59" t="s">
        <v>19</v>
      </c>
      <c r="C23" s="62" t="s">
        <v>14</v>
      </c>
      <c r="D23" s="11">
        <v>45750</v>
      </c>
      <c r="E23" s="7">
        <v>137392.39000000001</v>
      </c>
      <c r="F23" s="8">
        <v>1177.5</v>
      </c>
      <c r="G23" s="7">
        <f t="shared" ref="G23:G26" si="18">E23/F23</f>
        <v>116.68143524416136</v>
      </c>
      <c r="H23" s="7">
        <v>56168.5</v>
      </c>
      <c r="I23" s="8">
        <v>444.5</v>
      </c>
      <c r="J23" s="7">
        <f t="shared" ref="J23:J36" si="19">H23/I23</f>
        <v>126.36332958380203</v>
      </c>
      <c r="K23" s="7">
        <v>51691.54</v>
      </c>
      <c r="L23" s="8">
        <v>413.8</v>
      </c>
      <c r="M23" s="7">
        <f t="shared" ref="M23:M26" si="20">K23/L23</f>
        <v>124.91913968100532</v>
      </c>
      <c r="N23" s="36"/>
      <c r="O23" s="37"/>
      <c r="P23" s="36"/>
      <c r="Q23" s="7">
        <v>1323</v>
      </c>
      <c r="R23" s="8">
        <v>12</v>
      </c>
      <c r="S23" s="7">
        <f t="shared" ref="S23:S25" si="21">Q23/R23</f>
        <v>110.25</v>
      </c>
      <c r="T23" s="7">
        <v>390</v>
      </c>
      <c r="U23" s="8">
        <v>3</v>
      </c>
      <c r="V23" s="7">
        <f t="shared" ref="V23:V32" si="22">T23/U23</f>
        <v>130</v>
      </c>
      <c r="W23" s="7">
        <f>SUM(E23,H23,K23,N23,Q23,T23)</f>
        <v>246965.43000000002</v>
      </c>
      <c r="X23" s="8">
        <f t="shared" ref="X23:X26" si="23">SUM(F23,I23,L23,O23,R23,U23)</f>
        <v>2050.8000000000002</v>
      </c>
      <c r="Y23" s="7">
        <f t="shared" ref="Y23:Y37" si="24">W23/X23</f>
        <v>120.42394675248683</v>
      </c>
    </row>
    <row r="24" spans="2:25" ht="23.25" customHeight="1" x14ac:dyDescent="0.25">
      <c r="B24" s="60"/>
      <c r="C24" s="62"/>
      <c r="D24" s="11">
        <v>45757</v>
      </c>
      <c r="E24" s="7">
        <v>1100</v>
      </c>
      <c r="F24" s="8">
        <v>9</v>
      </c>
      <c r="G24" s="7">
        <f t="shared" si="18"/>
        <v>122.22222222222223</v>
      </c>
      <c r="H24" s="7">
        <v>49458</v>
      </c>
      <c r="I24" s="8">
        <v>394.5</v>
      </c>
      <c r="J24" s="7">
        <f t="shared" si="19"/>
        <v>125.36882129277566</v>
      </c>
      <c r="K24" s="7">
        <v>144867.60999999999</v>
      </c>
      <c r="L24" s="8">
        <v>1133.3</v>
      </c>
      <c r="M24" s="7">
        <f t="shared" si="20"/>
        <v>127.82812141533574</v>
      </c>
      <c r="N24" s="7">
        <v>26350</v>
      </c>
      <c r="O24" s="8">
        <v>206</v>
      </c>
      <c r="P24" s="7">
        <f t="shared" ref="P24" si="25">N24/O24</f>
        <v>127.91262135922329</v>
      </c>
      <c r="Q24" s="36"/>
      <c r="R24" s="37"/>
      <c r="S24" s="36"/>
      <c r="T24" s="7">
        <v>140163.59</v>
      </c>
      <c r="U24" s="8">
        <v>864.5</v>
      </c>
      <c r="V24" s="7">
        <f t="shared" si="22"/>
        <v>162.13255060728744</v>
      </c>
      <c r="W24" s="7">
        <f t="shared" ref="W24:W26" si="26">SUM(E24,H24,K24,N24,Q24,T24)</f>
        <v>361939.19999999995</v>
      </c>
      <c r="X24" s="8">
        <f t="shared" si="23"/>
        <v>2607.3000000000002</v>
      </c>
      <c r="Y24" s="7">
        <f t="shared" si="24"/>
        <v>138.81762743067537</v>
      </c>
    </row>
    <row r="25" spans="2:25" ht="23.25" customHeight="1" x14ac:dyDescent="0.25">
      <c r="B25" s="60"/>
      <c r="C25" s="62"/>
      <c r="D25" s="11">
        <v>45764</v>
      </c>
      <c r="E25" s="7">
        <v>29846.29</v>
      </c>
      <c r="F25" s="8">
        <v>233.5</v>
      </c>
      <c r="G25" s="7">
        <f t="shared" si="18"/>
        <v>127.82137044967881</v>
      </c>
      <c r="H25" s="7">
        <v>66484.649999999994</v>
      </c>
      <c r="I25" s="8">
        <v>560.79999999999995</v>
      </c>
      <c r="J25" s="7">
        <f t="shared" si="19"/>
        <v>118.553227532097</v>
      </c>
      <c r="K25" s="7">
        <v>175091.88</v>
      </c>
      <c r="L25" s="8">
        <v>1343</v>
      </c>
      <c r="M25" s="7">
        <f t="shared" si="20"/>
        <v>130.37370067014149</v>
      </c>
      <c r="N25" s="36"/>
      <c r="O25" s="37"/>
      <c r="P25" s="36"/>
      <c r="Q25" s="7">
        <v>1157.6300000000001</v>
      </c>
      <c r="R25" s="8">
        <v>10.5</v>
      </c>
      <c r="S25" s="7">
        <f t="shared" si="21"/>
        <v>110.25047619047621</v>
      </c>
      <c r="T25" s="7">
        <v>139644</v>
      </c>
      <c r="U25" s="8">
        <v>1081.5</v>
      </c>
      <c r="V25" s="7">
        <f t="shared" si="22"/>
        <v>129.12066574202495</v>
      </c>
      <c r="W25" s="7">
        <f t="shared" si="26"/>
        <v>412224.45</v>
      </c>
      <c r="X25" s="8">
        <f t="shared" si="23"/>
        <v>3229.3</v>
      </c>
      <c r="Y25" s="7">
        <f t="shared" si="24"/>
        <v>127.65133310624593</v>
      </c>
    </row>
    <row r="26" spans="2:25" ht="23.25" customHeight="1" x14ac:dyDescent="0.25">
      <c r="B26" s="60"/>
      <c r="C26" s="62"/>
      <c r="D26" s="11">
        <v>45771</v>
      </c>
      <c r="E26" s="7">
        <v>61555</v>
      </c>
      <c r="F26" s="8">
        <v>496.3</v>
      </c>
      <c r="G26" s="7">
        <f t="shared" si="18"/>
        <v>124.02780576264355</v>
      </c>
      <c r="H26" s="7">
        <v>23129.41</v>
      </c>
      <c r="I26" s="8">
        <v>185</v>
      </c>
      <c r="J26" s="7">
        <f t="shared" si="19"/>
        <v>125.02383783783783</v>
      </c>
      <c r="K26" s="7">
        <v>34431.5</v>
      </c>
      <c r="L26" s="8">
        <v>279</v>
      </c>
      <c r="M26" s="7">
        <f t="shared" si="20"/>
        <v>123.41039426523298</v>
      </c>
      <c r="N26" s="36"/>
      <c r="O26" s="37"/>
      <c r="P26" s="36"/>
      <c r="Q26" s="36"/>
      <c r="R26" s="37"/>
      <c r="S26" s="36"/>
      <c r="T26" s="36"/>
      <c r="U26" s="37"/>
      <c r="V26" s="36"/>
      <c r="W26" s="7">
        <f t="shared" si="26"/>
        <v>119115.91</v>
      </c>
      <c r="X26" s="8">
        <f t="shared" si="23"/>
        <v>960.3</v>
      </c>
      <c r="Y26" s="7">
        <f t="shared" si="24"/>
        <v>124.04031031969177</v>
      </c>
    </row>
    <row r="27" spans="2:25" ht="23.25" customHeight="1" x14ac:dyDescent="0.25">
      <c r="B27" s="60"/>
      <c r="C27" s="63" t="s">
        <v>36</v>
      </c>
      <c r="D27" s="64"/>
      <c r="E27" s="30">
        <f>SUM(E23:E26)</f>
        <v>229893.68000000002</v>
      </c>
      <c r="F27" s="31">
        <f>SUM(F23:F26)</f>
        <v>1916.3</v>
      </c>
      <c r="G27" s="30">
        <f>E27/F27</f>
        <v>119.96747899598185</v>
      </c>
      <c r="H27" s="30">
        <f>SUM(H23:H26)</f>
        <v>195240.56</v>
      </c>
      <c r="I27" s="31">
        <f>SUM(I23:I26)</f>
        <v>1584.8</v>
      </c>
      <c r="J27" s="30">
        <f>H27/I27</f>
        <v>123.19570923775871</v>
      </c>
      <c r="K27" s="30">
        <f>SUM(K23:K26)</f>
        <v>406082.53</v>
      </c>
      <c r="L27" s="31">
        <f>SUM(L23:L26)</f>
        <v>3169.1</v>
      </c>
      <c r="M27" s="30">
        <f>K27/L27</f>
        <v>128.13812438862769</v>
      </c>
      <c r="N27" s="30">
        <f>SUM(N23:N26)</f>
        <v>26350</v>
      </c>
      <c r="O27" s="31">
        <f>SUM(O23:O26)</f>
        <v>206</v>
      </c>
      <c r="P27" s="30">
        <f>N27/O27</f>
        <v>127.91262135922329</v>
      </c>
      <c r="Q27" s="30">
        <f>SUM(Q23:Q26)</f>
        <v>2480.63</v>
      </c>
      <c r="R27" s="31">
        <f>SUM(R23:R26)</f>
        <v>22.5</v>
      </c>
      <c r="S27" s="30">
        <f>Q27/R27</f>
        <v>110.25022222222222</v>
      </c>
      <c r="T27" s="30">
        <f>SUM(T23:T26)</f>
        <v>280197.58999999997</v>
      </c>
      <c r="U27" s="31">
        <f>SUM(U23:U26)</f>
        <v>1949</v>
      </c>
      <c r="V27" s="30">
        <f>T27/U27</f>
        <v>143.7647973319651</v>
      </c>
      <c r="W27" s="30">
        <f>SUM(W23:W26)</f>
        <v>1140244.99</v>
      </c>
      <c r="X27" s="31">
        <f>SUM(X23:X26)</f>
        <v>8847.7000000000007</v>
      </c>
      <c r="Y27" s="32">
        <f>W27/X27</f>
        <v>128.87473467680866</v>
      </c>
    </row>
    <row r="28" spans="2:25" ht="23.25" customHeight="1" x14ac:dyDescent="0.25">
      <c r="B28" s="60"/>
      <c r="C28" s="59" t="s">
        <v>17</v>
      </c>
      <c r="D28" s="11">
        <v>45778</v>
      </c>
      <c r="E28" s="7">
        <v>30048.5</v>
      </c>
      <c r="F28" s="8">
        <v>270.5</v>
      </c>
      <c r="G28" s="7">
        <f t="shared" ref="G28:G32" si="27">E28/F28</f>
        <v>111.08502772643253</v>
      </c>
      <c r="H28" s="7">
        <v>64351.25</v>
      </c>
      <c r="I28" s="8">
        <v>502.5</v>
      </c>
      <c r="J28" s="7">
        <f t="shared" si="19"/>
        <v>128.06218905472636</v>
      </c>
      <c r="K28" s="7">
        <v>165755.81</v>
      </c>
      <c r="L28" s="8">
        <v>1412</v>
      </c>
      <c r="M28" s="7">
        <f t="shared" ref="M28:M32" si="28">K28/L28</f>
        <v>117.39080028328611</v>
      </c>
      <c r="N28" s="7">
        <v>900</v>
      </c>
      <c r="O28" s="8">
        <v>4</v>
      </c>
      <c r="P28" s="7">
        <f t="shared" ref="P28:P32" si="29">N28/O28</f>
        <v>225</v>
      </c>
      <c r="Q28" s="7">
        <v>1819.13</v>
      </c>
      <c r="R28" s="8">
        <v>16.5</v>
      </c>
      <c r="S28" s="7">
        <f t="shared" ref="S28:S32" si="30">Q28/R28</f>
        <v>110.25030303030303</v>
      </c>
      <c r="T28" s="7">
        <v>71512.33</v>
      </c>
      <c r="U28" s="8">
        <v>554.5</v>
      </c>
      <c r="V28" s="7">
        <f t="shared" si="22"/>
        <v>128.96723174030657</v>
      </c>
      <c r="W28" s="7">
        <f t="shared" ref="W28:W32" si="31">SUM(E28,H28,K28,N28,Q28,T28)</f>
        <v>334387.02</v>
      </c>
      <c r="X28" s="8">
        <f t="shared" ref="X28:X32" si="32">SUM(F28,I28,L28,O28,R28,U28)</f>
        <v>2760</v>
      </c>
      <c r="Y28" s="7">
        <f t="shared" si="24"/>
        <v>121.15471739130436</v>
      </c>
    </row>
    <row r="29" spans="2:25" ht="23.25" customHeight="1" x14ac:dyDescent="0.25">
      <c r="B29" s="60"/>
      <c r="C29" s="60">
        <v>7</v>
      </c>
      <c r="D29" s="11">
        <v>45785</v>
      </c>
      <c r="E29" s="7">
        <v>28423.75</v>
      </c>
      <c r="F29" s="8">
        <v>236.5</v>
      </c>
      <c r="G29" s="7">
        <f t="shared" si="27"/>
        <v>120.18498942917547</v>
      </c>
      <c r="H29" s="7">
        <v>76489.3</v>
      </c>
      <c r="I29" s="8">
        <v>665.3</v>
      </c>
      <c r="J29" s="7">
        <f t="shared" si="19"/>
        <v>114.96963775740269</v>
      </c>
      <c r="K29" s="7">
        <v>101683</v>
      </c>
      <c r="L29" s="8">
        <v>704</v>
      </c>
      <c r="M29" s="7">
        <f t="shared" si="28"/>
        <v>144.43607954545453</v>
      </c>
      <c r="N29" s="7">
        <v>695</v>
      </c>
      <c r="O29" s="8">
        <v>5</v>
      </c>
      <c r="P29" s="7">
        <f t="shared" si="29"/>
        <v>139</v>
      </c>
      <c r="Q29" s="36"/>
      <c r="R29" s="37"/>
      <c r="S29" s="36"/>
      <c r="T29" s="7">
        <v>2395</v>
      </c>
      <c r="U29" s="8">
        <v>19</v>
      </c>
      <c r="V29" s="7">
        <f t="shared" si="22"/>
        <v>126.05263157894737</v>
      </c>
      <c r="W29" s="7">
        <f t="shared" si="31"/>
        <v>209686.05</v>
      </c>
      <c r="X29" s="8">
        <f t="shared" si="32"/>
        <v>1629.8</v>
      </c>
      <c r="Y29" s="7">
        <f t="shared" si="24"/>
        <v>128.65753466683029</v>
      </c>
    </row>
    <row r="30" spans="2:25" ht="23.25" customHeight="1" x14ac:dyDescent="0.25">
      <c r="B30" s="60"/>
      <c r="C30" s="60">
        <v>8</v>
      </c>
      <c r="D30" s="11">
        <v>45792</v>
      </c>
      <c r="E30" s="7">
        <v>36057.25</v>
      </c>
      <c r="F30" s="8">
        <v>338.5</v>
      </c>
      <c r="G30" s="7">
        <f t="shared" si="27"/>
        <v>106.52067946824225</v>
      </c>
      <c r="H30" s="7">
        <v>20980</v>
      </c>
      <c r="I30" s="8">
        <v>159</v>
      </c>
      <c r="J30" s="7">
        <f t="shared" si="19"/>
        <v>131.9496855345912</v>
      </c>
      <c r="K30" s="7">
        <v>206336.61</v>
      </c>
      <c r="L30" s="8">
        <v>1653</v>
      </c>
      <c r="M30" s="7">
        <f t="shared" si="28"/>
        <v>124.82553539019963</v>
      </c>
      <c r="N30" s="36"/>
      <c r="O30" s="37"/>
      <c r="P30" s="36"/>
      <c r="Q30" s="36"/>
      <c r="R30" s="37"/>
      <c r="S30" s="36"/>
      <c r="T30" s="7">
        <v>27437.599999999999</v>
      </c>
      <c r="U30" s="8">
        <v>210.3</v>
      </c>
      <c r="V30" s="7">
        <f t="shared" si="22"/>
        <v>130.46885401806941</v>
      </c>
      <c r="W30" s="7">
        <f t="shared" si="31"/>
        <v>290811.45999999996</v>
      </c>
      <c r="X30" s="8">
        <f t="shared" si="32"/>
        <v>2360.8000000000002</v>
      </c>
      <c r="Y30" s="7">
        <f t="shared" si="24"/>
        <v>123.1834378176889</v>
      </c>
    </row>
    <row r="31" spans="2:25" ht="23.25" customHeight="1" x14ac:dyDescent="0.25">
      <c r="B31" s="60"/>
      <c r="C31" s="60">
        <v>9</v>
      </c>
      <c r="D31" s="11">
        <v>45799</v>
      </c>
      <c r="E31" s="7">
        <v>56000.5</v>
      </c>
      <c r="F31" s="8">
        <v>473.8</v>
      </c>
      <c r="G31" s="7">
        <f t="shared" si="27"/>
        <v>118.19438581680033</v>
      </c>
      <c r="H31" s="36"/>
      <c r="I31" s="37"/>
      <c r="J31" s="36"/>
      <c r="K31" s="7">
        <v>96888.5</v>
      </c>
      <c r="L31" s="8">
        <v>737.5</v>
      </c>
      <c r="M31" s="7">
        <f t="shared" si="28"/>
        <v>131.37423728813559</v>
      </c>
      <c r="N31" s="36"/>
      <c r="O31" s="37"/>
      <c r="P31" s="36"/>
      <c r="Q31" s="7">
        <v>1323</v>
      </c>
      <c r="R31" s="8">
        <v>12</v>
      </c>
      <c r="S31" s="7">
        <f t="shared" si="30"/>
        <v>110.25</v>
      </c>
      <c r="T31" s="7">
        <v>247995.05</v>
      </c>
      <c r="U31" s="8">
        <v>1751.3</v>
      </c>
      <c r="V31" s="7">
        <f t="shared" si="22"/>
        <v>141.60626391823217</v>
      </c>
      <c r="W31" s="7">
        <f t="shared" si="31"/>
        <v>402207.05</v>
      </c>
      <c r="X31" s="8">
        <f t="shared" si="32"/>
        <v>2974.6</v>
      </c>
      <c r="Y31" s="7">
        <f t="shared" si="24"/>
        <v>135.21382706918578</v>
      </c>
    </row>
    <row r="32" spans="2:25" ht="23.25" customHeight="1" x14ac:dyDescent="0.25">
      <c r="B32" s="60"/>
      <c r="C32" s="61"/>
      <c r="D32" s="11">
        <v>45806</v>
      </c>
      <c r="E32" s="7">
        <v>32050</v>
      </c>
      <c r="F32" s="8">
        <v>258</v>
      </c>
      <c r="G32" s="7">
        <f t="shared" si="27"/>
        <v>124.22480620155039</v>
      </c>
      <c r="H32" s="7">
        <v>30182.75</v>
      </c>
      <c r="I32" s="8">
        <v>261</v>
      </c>
      <c r="J32" s="7">
        <f t="shared" si="19"/>
        <v>115.64272030651341</v>
      </c>
      <c r="K32" s="7">
        <v>97669.14</v>
      </c>
      <c r="L32" s="8">
        <v>773.5</v>
      </c>
      <c r="M32" s="7">
        <f t="shared" si="28"/>
        <v>126.26908855850033</v>
      </c>
      <c r="N32" s="7">
        <v>2795</v>
      </c>
      <c r="O32" s="8">
        <v>13</v>
      </c>
      <c r="P32" s="7">
        <f t="shared" si="29"/>
        <v>215</v>
      </c>
      <c r="Q32" s="7">
        <v>130235</v>
      </c>
      <c r="R32" s="8">
        <v>903.3</v>
      </c>
      <c r="S32" s="7">
        <f t="shared" si="30"/>
        <v>144.17690689693347</v>
      </c>
      <c r="T32" s="7"/>
      <c r="U32" s="8"/>
      <c r="V32" s="7" t="e">
        <f t="shared" si="22"/>
        <v>#DIV/0!</v>
      </c>
      <c r="W32" s="7">
        <f t="shared" si="31"/>
        <v>292931.89</v>
      </c>
      <c r="X32" s="8">
        <f t="shared" si="32"/>
        <v>2208.8000000000002</v>
      </c>
      <c r="Y32" s="7">
        <f t="shared" si="24"/>
        <v>132.62037758058673</v>
      </c>
    </row>
    <row r="33" spans="2:25" ht="23.25" customHeight="1" x14ac:dyDescent="0.25">
      <c r="B33" s="60"/>
      <c r="C33" s="63" t="s">
        <v>36</v>
      </c>
      <c r="D33" s="64"/>
      <c r="E33" s="30">
        <f>SUM(E28:E32)</f>
        <v>182580</v>
      </c>
      <c r="F33" s="31">
        <f>SUM(F28:F32)</f>
        <v>1577.3</v>
      </c>
      <c r="G33" s="30">
        <f>E33/F33</f>
        <v>115.75477081087935</v>
      </c>
      <c r="H33" s="30">
        <f t="shared" ref="H33:I33" si="33">SUM(H28:H32)</f>
        <v>192003.3</v>
      </c>
      <c r="I33" s="31">
        <f t="shared" si="33"/>
        <v>1587.8</v>
      </c>
      <c r="J33" s="30">
        <f>H33/I33</f>
        <v>120.92410882982743</v>
      </c>
      <c r="K33" s="30">
        <f t="shared" ref="K33:L33" si="34">SUM(K28:K32)</f>
        <v>668333.05999999994</v>
      </c>
      <c r="L33" s="31">
        <f t="shared" si="34"/>
        <v>5280</v>
      </c>
      <c r="M33" s="30">
        <f>K33/L33</f>
        <v>126.57823106060604</v>
      </c>
      <c r="N33" s="30">
        <f t="shared" ref="N33:O33" si="35">SUM(N28:N32)</f>
        <v>4390</v>
      </c>
      <c r="O33" s="31">
        <f t="shared" si="35"/>
        <v>22</v>
      </c>
      <c r="P33" s="30">
        <f>N33/O33</f>
        <v>199.54545454545453</v>
      </c>
      <c r="Q33" s="30">
        <f t="shared" ref="Q33:R33" si="36">SUM(Q28:Q32)</f>
        <v>133377.13</v>
      </c>
      <c r="R33" s="31">
        <f t="shared" si="36"/>
        <v>931.8</v>
      </c>
      <c r="S33" s="30">
        <f>Q33/R33</f>
        <v>143.13922515561279</v>
      </c>
      <c r="T33" s="30">
        <f t="shared" ref="T33:U33" si="37">SUM(T28:T32)</f>
        <v>349339.98</v>
      </c>
      <c r="U33" s="31">
        <f t="shared" si="37"/>
        <v>2535.1</v>
      </c>
      <c r="V33" s="30">
        <f>T33/U33</f>
        <v>137.80126227762219</v>
      </c>
      <c r="W33" s="30">
        <f t="shared" ref="W33:X33" si="38">SUM(W28:W32)</f>
        <v>1530023.4700000002</v>
      </c>
      <c r="X33" s="31">
        <f t="shared" si="38"/>
        <v>11934</v>
      </c>
      <c r="Y33" s="32">
        <f>W33/X33</f>
        <v>128.20709485503605</v>
      </c>
    </row>
    <row r="34" spans="2:25" ht="23.25" customHeight="1" x14ac:dyDescent="0.25">
      <c r="B34" s="60"/>
      <c r="C34" s="59" t="s">
        <v>18</v>
      </c>
      <c r="D34" s="11">
        <v>45813</v>
      </c>
      <c r="E34" s="7">
        <v>57130</v>
      </c>
      <c r="F34" s="8">
        <v>467.5</v>
      </c>
      <c r="G34" s="7">
        <f t="shared" ref="G34:G37" si="39">E34/F34</f>
        <v>122.20320855614973</v>
      </c>
      <c r="H34" s="7">
        <v>53859.5</v>
      </c>
      <c r="I34" s="8">
        <v>481.8</v>
      </c>
      <c r="J34" s="7">
        <f t="shared" si="19"/>
        <v>111.78808634288086</v>
      </c>
      <c r="K34" s="7">
        <v>86500.25</v>
      </c>
      <c r="L34" s="8">
        <v>796.3</v>
      </c>
      <c r="M34" s="7">
        <f t="shared" ref="M34:M37" si="40">K34/L34</f>
        <v>108.62771568504333</v>
      </c>
      <c r="N34" s="36"/>
      <c r="O34" s="37"/>
      <c r="P34" s="36"/>
      <c r="Q34" s="7">
        <v>4975</v>
      </c>
      <c r="R34" s="8">
        <v>31.5</v>
      </c>
      <c r="S34" s="7">
        <f t="shared" ref="S34:S35" si="41">Q34/R34</f>
        <v>157.93650793650792</v>
      </c>
      <c r="T34" s="7">
        <v>54624.21</v>
      </c>
      <c r="U34" s="8">
        <v>449.5</v>
      </c>
      <c r="V34" s="7">
        <f t="shared" ref="V34:V37" si="42">T34/U34</f>
        <v>121.52215795328142</v>
      </c>
      <c r="W34" s="7">
        <f t="shared" ref="W34:W37" si="43">SUM(E34,H34,K34,N34,Q34,T34)</f>
        <v>257088.96</v>
      </c>
      <c r="X34" s="8">
        <f t="shared" ref="X34:X37" si="44">SUM(F34,I34,L34,O34,R34,U34)</f>
        <v>2226.6</v>
      </c>
      <c r="Y34" s="7">
        <f t="shared" si="24"/>
        <v>115.46257073565077</v>
      </c>
    </row>
    <row r="35" spans="2:25" ht="23.25" customHeight="1" x14ac:dyDescent="0.25">
      <c r="B35" s="60"/>
      <c r="C35" s="60"/>
      <c r="D35" s="11">
        <v>45820</v>
      </c>
      <c r="E35" s="7">
        <v>55495</v>
      </c>
      <c r="F35" s="8">
        <v>447</v>
      </c>
      <c r="G35" s="7">
        <f t="shared" si="39"/>
        <v>124.14988814317674</v>
      </c>
      <c r="H35" s="7">
        <v>14195</v>
      </c>
      <c r="I35" s="8">
        <v>122</v>
      </c>
      <c r="J35" s="7">
        <f t="shared" si="19"/>
        <v>116.35245901639344</v>
      </c>
      <c r="K35" s="7">
        <v>41415</v>
      </c>
      <c r="L35" s="8">
        <v>321.5</v>
      </c>
      <c r="M35" s="7">
        <f t="shared" si="40"/>
        <v>128.81804043545878</v>
      </c>
      <c r="N35" s="36"/>
      <c r="O35" s="37"/>
      <c r="P35" s="36"/>
      <c r="Q35" s="7">
        <v>8562</v>
      </c>
      <c r="R35" s="8">
        <v>67</v>
      </c>
      <c r="S35" s="7">
        <f t="shared" si="41"/>
        <v>127.79104477611941</v>
      </c>
      <c r="T35" s="7">
        <v>144746.32999999999</v>
      </c>
      <c r="U35" s="8">
        <v>1259.8</v>
      </c>
      <c r="V35" s="7">
        <f t="shared" si="42"/>
        <v>114.89627718685504</v>
      </c>
      <c r="W35" s="7">
        <f t="shared" si="43"/>
        <v>264413.32999999996</v>
      </c>
      <c r="X35" s="8">
        <f t="shared" si="44"/>
        <v>2217.3000000000002</v>
      </c>
      <c r="Y35" s="7">
        <f t="shared" si="24"/>
        <v>119.25013755468359</v>
      </c>
    </row>
    <row r="36" spans="2:25" ht="23.25" customHeight="1" x14ac:dyDescent="0.25">
      <c r="B36" s="60"/>
      <c r="C36" s="60"/>
      <c r="D36" s="11">
        <v>45827</v>
      </c>
      <c r="E36" s="7">
        <v>21635</v>
      </c>
      <c r="F36" s="8">
        <v>164.5</v>
      </c>
      <c r="G36" s="7">
        <f t="shared" si="39"/>
        <v>131.51975683890578</v>
      </c>
      <c r="H36" s="7">
        <v>28740</v>
      </c>
      <c r="I36" s="8">
        <v>224.5</v>
      </c>
      <c r="J36" s="7">
        <f t="shared" si="19"/>
        <v>128.01781737193764</v>
      </c>
      <c r="K36" s="7">
        <v>106608.75</v>
      </c>
      <c r="L36" s="8">
        <v>865</v>
      </c>
      <c r="M36" s="7">
        <f t="shared" si="40"/>
        <v>123.24710982658959</v>
      </c>
      <c r="N36" s="36"/>
      <c r="O36" s="37"/>
      <c r="P36" s="36"/>
      <c r="Q36" s="36"/>
      <c r="R36" s="37"/>
      <c r="S36" s="36"/>
      <c r="T36" s="7">
        <v>274050.56</v>
      </c>
      <c r="U36" s="8">
        <v>1571.8</v>
      </c>
      <c r="V36" s="7">
        <f t="shared" si="42"/>
        <v>174.35459982186029</v>
      </c>
      <c r="W36" s="7">
        <f t="shared" si="43"/>
        <v>431034.31</v>
      </c>
      <c r="X36" s="8">
        <f t="shared" si="44"/>
        <v>2825.8</v>
      </c>
      <c r="Y36" s="7">
        <f t="shared" si="24"/>
        <v>152.53532097105244</v>
      </c>
    </row>
    <row r="37" spans="2:25" ht="23.25" customHeight="1" x14ac:dyDescent="0.25">
      <c r="B37" s="60"/>
      <c r="C37" s="60"/>
      <c r="D37" s="11">
        <v>45834</v>
      </c>
      <c r="E37" s="7">
        <v>62385</v>
      </c>
      <c r="F37" s="8">
        <v>546.29999999999995</v>
      </c>
      <c r="G37" s="7">
        <f t="shared" si="39"/>
        <v>114.19549697968151</v>
      </c>
      <c r="H37" s="36"/>
      <c r="I37" s="37"/>
      <c r="J37" s="36"/>
      <c r="K37" s="7">
        <v>23018.05</v>
      </c>
      <c r="L37" s="8">
        <v>183.5</v>
      </c>
      <c r="M37" s="7">
        <f t="shared" si="40"/>
        <v>125.43896457765668</v>
      </c>
      <c r="N37" s="36"/>
      <c r="O37" s="37"/>
      <c r="P37" s="36"/>
      <c r="Q37" s="36"/>
      <c r="R37" s="37"/>
      <c r="S37" s="36"/>
      <c r="T37" s="7">
        <v>89013.5</v>
      </c>
      <c r="U37" s="8">
        <v>865.3</v>
      </c>
      <c r="V37" s="7">
        <f t="shared" si="42"/>
        <v>102.87010285450134</v>
      </c>
      <c r="W37" s="7">
        <f t="shared" si="43"/>
        <v>174416.55</v>
      </c>
      <c r="X37" s="8">
        <f t="shared" si="44"/>
        <v>1595.1</v>
      </c>
      <c r="Y37" s="7">
        <f t="shared" si="24"/>
        <v>109.34521346624037</v>
      </c>
    </row>
    <row r="38" spans="2:25" ht="23.25" customHeight="1" x14ac:dyDescent="0.25">
      <c r="B38" s="61"/>
      <c r="C38" s="63" t="s">
        <v>36</v>
      </c>
      <c r="D38" s="64"/>
      <c r="E38" s="30">
        <f>SUM(E34:E37)</f>
        <v>196645</v>
      </c>
      <c r="F38" s="31">
        <f>SUM(F34:F37)</f>
        <v>1625.3</v>
      </c>
      <c r="G38" s="30">
        <f>E38/F38</f>
        <v>120.98997108226175</v>
      </c>
      <c r="H38" s="30">
        <f>SUM(H34:H37)</f>
        <v>96794.5</v>
      </c>
      <c r="I38" s="31">
        <f>SUM(I34:I37)</f>
        <v>828.3</v>
      </c>
      <c r="J38" s="30">
        <f>H38/I38</f>
        <v>116.85922974767597</v>
      </c>
      <c r="K38" s="30">
        <f>SUM(K34:K37)</f>
        <v>257542.05</v>
      </c>
      <c r="L38" s="31">
        <f>SUM(L34:L37)</f>
        <v>2166.3000000000002</v>
      </c>
      <c r="M38" s="30">
        <f>K38/L38</f>
        <v>118.88568065364906</v>
      </c>
      <c r="N38" s="30">
        <f>SUM(N34:N37)</f>
        <v>0</v>
      </c>
      <c r="O38" s="31">
        <f>SUM(O34:O37)</f>
        <v>0</v>
      </c>
      <c r="P38" s="30" t="e">
        <f>N38/O38</f>
        <v>#DIV/0!</v>
      </c>
      <c r="Q38" s="30">
        <f>SUM(Q34:Q37)</f>
        <v>13537</v>
      </c>
      <c r="R38" s="31">
        <f>SUM(R34:R37)</f>
        <v>98.5</v>
      </c>
      <c r="S38" s="30">
        <f>Q38/R38</f>
        <v>137.43147208121826</v>
      </c>
      <c r="T38" s="30">
        <f>SUM(T34:T37)</f>
        <v>562434.6</v>
      </c>
      <c r="U38" s="31">
        <f>SUM(U34:U37)</f>
        <v>4146.3999999999996</v>
      </c>
      <c r="V38" s="30">
        <f>T38/U38</f>
        <v>135.64407678950414</v>
      </c>
      <c r="W38" s="30">
        <f>SUM(W34:W37)</f>
        <v>1126953.1499999999</v>
      </c>
      <c r="X38" s="31">
        <f>SUM(X34:X37)</f>
        <v>8864.7999999999993</v>
      </c>
      <c r="Y38" s="32">
        <f>W38/X38</f>
        <v>127.1267428481184</v>
      </c>
    </row>
    <row r="39" spans="2:25" ht="39" customHeight="1" x14ac:dyDescent="0.25">
      <c r="B39" s="52" t="s">
        <v>21</v>
      </c>
      <c r="C39" s="52"/>
      <c r="D39" s="52"/>
      <c r="E39" s="33">
        <f>SUM(E38,E33,E27)</f>
        <v>609118.68000000005</v>
      </c>
      <c r="F39" s="34">
        <f>SUM(F38,F33,F27)</f>
        <v>5118.8999999999996</v>
      </c>
      <c r="G39" s="33">
        <f>E39/F39</f>
        <v>118.99405731700172</v>
      </c>
      <c r="H39" s="33">
        <f>SUM(H38,H33,H27)</f>
        <v>484038.36</v>
      </c>
      <c r="I39" s="34">
        <f>SUM(I38,I33,I27)</f>
        <v>4000.8999999999996</v>
      </c>
      <c r="J39" s="33">
        <f>H39/I39</f>
        <v>120.98236896698243</v>
      </c>
      <c r="K39" s="33">
        <f>SUM(K38,K33,K27)</f>
        <v>1331957.6399999999</v>
      </c>
      <c r="L39" s="34">
        <f>SUM(L38,L33,L27)</f>
        <v>10615.4</v>
      </c>
      <c r="M39" s="33">
        <f>K39/L39</f>
        <v>125.4740885882774</v>
      </c>
      <c r="N39" s="33">
        <f>SUM(N38,N33,N27)</f>
        <v>30740</v>
      </c>
      <c r="O39" s="34">
        <f>SUM(O38,O33,O27)</f>
        <v>228</v>
      </c>
      <c r="P39" s="33">
        <f>N39/O39</f>
        <v>134.82456140350877</v>
      </c>
      <c r="Q39" s="33">
        <f>SUM(Q38,Q33,Q27)</f>
        <v>149394.76</v>
      </c>
      <c r="R39" s="34">
        <f>SUM(R38,R33,R27)</f>
        <v>1052.8</v>
      </c>
      <c r="S39" s="33">
        <f>Q39/R39</f>
        <v>141.90231762917935</v>
      </c>
      <c r="T39" s="33">
        <f>SUM(T38,T33,T27)</f>
        <v>1191972.17</v>
      </c>
      <c r="U39" s="34">
        <f>SUM(U38,U33,U27)</f>
        <v>8630.5</v>
      </c>
      <c r="V39" s="33">
        <f>T39/U39</f>
        <v>138.11160071838248</v>
      </c>
      <c r="W39" s="33">
        <f>SUM(W38,W33,W27)</f>
        <v>3797221.6100000003</v>
      </c>
      <c r="X39" s="34">
        <f>SUM(X38,X33,X27)</f>
        <v>29646.5</v>
      </c>
      <c r="Y39" s="33">
        <f>W39/X39</f>
        <v>128.08330190747645</v>
      </c>
    </row>
    <row r="40" spans="2:25" ht="23.25" customHeight="1" x14ac:dyDescent="0.25">
      <c r="B40" s="53" t="s">
        <v>39</v>
      </c>
      <c r="C40" s="54"/>
      <c r="D40" s="54"/>
      <c r="E40" s="9">
        <f>SUM(E39,E20)</f>
        <v>767694.64</v>
      </c>
      <c r="F40" s="10">
        <f>SUM(F39,F20)</f>
        <v>6276.7999999999993</v>
      </c>
      <c r="G40" s="9">
        <f>E40/F40</f>
        <v>122.30669130767272</v>
      </c>
      <c r="H40" s="9">
        <f>SUM(H39,H20)</f>
        <v>1250648.8999999999</v>
      </c>
      <c r="I40" s="10">
        <f>SUM(I39,I20)</f>
        <v>10063.1</v>
      </c>
      <c r="J40" s="9">
        <f>H40/I40</f>
        <v>124.28067891603978</v>
      </c>
      <c r="K40" s="9">
        <f>SUM(K39,K20)</f>
        <v>2461192.33</v>
      </c>
      <c r="L40" s="10">
        <f>SUM(L39,L20)</f>
        <v>19540.199999999997</v>
      </c>
      <c r="M40" s="9">
        <f>K40/L40</f>
        <v>125.95532952579812</v>
      </c>
      <c r="N40" s="9">
        <f>SUM(N39,N20)</f>
        <v>369637.42</v>
      </c>
      <c r="O40" s="10">
        <f>SUM(O39,O20)</f>
        <v>3034.5</v>
      </c>
      <c r="P40" s="9">
        <f>N40/O40</f>
        <v>121.81163947932113</v>
      </c>
      <c r="Q40" s="9">
        <f>SUM(Q39,Q20)</f>
        <v>640692.34</v>
      </c>
      <c r="R40" s="10">
        <f>SUM(R39,R20)</f>
        <v>5735.1</v>
      </c>
      <c r="S40" s="9">
        <f>Q40/R40</f>
        <v>111.71424037941796</v>
      </c>
      <c r="T40" s="9">
        <f>SUM(T39,T20)</f>
        <v>2249224.2000000002</v>
      </c>
      <c r="U40" s="10">
        <f>SUM(U39,U20)</f>
        <v>18464.800000000003</v>
      </c>
      <c r="V40" s="9">
        <f>T40/U40</f>
        <v>121.81145747584593</v>
      </c>
      <c r="W40" s="9">
        <f>SUM(W39,W20)</f>
        <v>7739089.8300000001</v>
      </c>
      <c r="X40" s="10">
        <f>SUM(X39,X20)</f>
        <v>63114.5</v>
      </c>
      <c r="Y40" s="9">
        <f>W40/X40</f>
        <v>122.61983902272853</v>
      </c>
    </row>
    <row r="41" spans="2:25" x14ac:dyDescent="0.25">
      <c r="B41" s="67" t="s">
        <v>15</v>
      </c>
      <c r="C41" s="67" t="s">
        <v>10</v>
      </c>
      <c r="D41" s="67" t="s">
        <v>0</v>
      </c>
      <c r="E41" s="58" t="s">
        <v>44</v>
      </c>
      <c r="F41" s="58"/>
      <c r="G41" s="58"/>
      <c r="H41" s="58" t="s">
        <v>40</v>
      </c>
      <c r="I41" s="58"/>
      <c r="J41" s="58"/>
      <c r="K41" s="55" t="s">
        <v>7</v>
      </c>
      <c r="L41" s="56"/>
      <c r="M41" s="57"/>
      <c r="N41" s="58" t="s">
        <v>42</v>
      </c>
      <c r="O41" s="58"/>
      <c r="P41" s="58"/>
      <c r="Q41" s="58" t="s">
        <v>45</v>
      </c>
      <c r="R41" s="58"/>
      <c r="S41" s="58"/>
      <c r="T41" s="58" t="s">
        <v>4</v>
      </c>
      <c r="U41" s="58"/>
      <c r="V41" s="58"/>
      <c r="W41" s="58" t="s">
        <v>9</v>
      </c>
      <c r="X41" s="58"/>
      <c r="Y41" s="58"/>
    </row>
    <row r="42" spans="2:25" x14ac:dyDescent="0.25">
      <c r="B42" s="67"/>
      <c r="C42" s="67"/>
      <c r="D42" s="67"/>
      <c r="E42" s="1" t="s">
        <v>1</v>
      </c>
      <c r="F42" s="3" t="s">
        <v>2</v>
      </c>
      <c r="G42" s="1" t="s">
        <v>3</v>
      </c>
      <c r="H42" s="1" t="s">
        <v>1</v>
      </c>
      <c r="I42" s="3" t="s">
        <v>2</v>
      </c>
      <c r="J42" s="1" t="s">
        <v>3</v>
      </c>
      <c r="K42" s="1" t="s">
        <v>1</v>
      </c>
      <c r="L42" s="3" t="s">
        <v>2</v>
      </c>
      <c r="M42" s="1" t="s">
        <v>3</v>
      </c>
      <c r="N42" s="1" t="s">
        <v>1</v>
      </c>
      <c r="O42" s="3" t="s">
        <v>2</v>
      </c>
      <c r="P42" s="1" t="s">
        <v>3</v>
      </c>
      <c r="Q42" s="1" t="s">
        <v>1</v>
      </c>
      <c r="R42" s="3" t="s">
        <v>2</v>
      </c>
      <c r="S42" s="1" t="s">
        <v>3</v>
      </c>
      <c r="T42" s="1" t="s">
        <v>1</v>
      </c>
      <c r="U42" s="3" t="s">
        <v>2</v>
      </c>
      <c r="V42" s="1" t="s">
        <v>3</v>
      </c>
      <c r="W42" s="1" t="s">
        <v>1</v>
      </c>
      <c r="X42" s="3" t="s">
        <v>2</v>
      </c>
      <c r="Y42" s="1" t="s">
        <v>3</v>
      </c>
    </row>
    <row r="43" spans="2:25" ht="23.25" customHeight="1" x14ac:dyDescent="0.25">
      <c r="B43" s="59" t="s">
        <v>26</v>
      </c>
      <c r="C43" s="59" t="s">
        <v>23</v>
      </c>
      <c r="D43" s="11">
        <v>44379</v>
      </c>
      <c r="E43" s="13">
        <v>16545</v>
      </c>
      <c r="F43" s="16">
        <v>165.5</v>
      </c>
      <c r="G43" s="13">
        <f t="shared" ref="G43:G57" si="45">E43/F43</f>
        <v>99.969788519637461</v>
      </c>
      <c r="H43" s="13">
        <v>18780.3</v>
      </c>
      <c r="I43" s="16">
        <v>161</v>
      </c>
      <c r="J43" s="13">
        <f t="shared" ref="J43:J57" si="46">H43/I43</f>
        <v>116.64782608695651</v>
      </c>
      <c r="K43" s="13">
        <v>25330</v>
      </c>
      <c r="L43" s="16">
        <v>206</v>
      </c>
      <c r="M43" s="13">
        <f t="shared" ref="M43:M47" si="47">K43/L43</f>
        <v>122.96116504854369</v>
      </c>
      <c r="N43" s="38"/>
      <c r="O43" s="39"/>
      <c r="P43" s="38"/>
      <c r="Q43" s="38"/>
      <c r="R43" s="39"/>
      <c r="S43" s="38"/>
      <c r="T43" s="13">
        <v>182466.25</v>
      </c>
      <c r="U43" s="16">
        <v>1488.8</v>
      </c>
      <c r="V43" s="13">
        <f t="shared" ref="V43:V47" si="48">T43/U43</f>
        <v>122.55927592692102</v>
      </c>
      <c r="W43" s="13">
        <f t="shared" ref="W43:X47" si="49">SUM(E43,H43,K43,N43,Q43,T43)</f>
        <v>243121.55</v>
      </c>
      <c r="X43" s="16">
        <f t="shared" si="49"/>
        <v>2021.3</v>
      </c>
      <c r="Y43" s="13">
        <f t="shared" ref="Y43:Y57" si="50">W43/X43</f>
        <v>120.27979518131895</v>
      </c>
    </row>
    <row r="44" spans="2:25" ht="23.25" customHeight="1" x14ac:dyDescent="0.25">
      <c r="B44" s="60"/>
      <c r="C44" s="60"/>
      <c r="D44" s="11">
        <v>44387</v>
      </c>
      <c r="E44" s="13">
        <v>1690</v>
      </c>
      <c r="F44" s="16">
        <v>11</v>
      </c>
      <c r="G44" s="13">
        <f t="shared" si="45"/>
        <v>153.63636363636363</v>
      </c>
      <c r="H44" s="13">
        <v>20000.25</v>
      </c>
      <c r="I44" s="16">
        <v>158</v>
      </c>
      <c r="J44" s="13">
        <f t="shared" si="46"/>
        <v>126.58386075949367</v>
      </c>
      <c r="K44" s="13">
        <v>18571</v>
      </c>
      <c r="L44" s="16">
        <v>144.5</v>
      </c>
      <c r="M44" s="13">
        <f t="shared" si="47"/>
        <v>128.51903114186851</v>
      </c>
      <c r="N44" s="38"/>
      <c r="O44" s="39"/>
      <c r="P44" s="38"/>
      <c r="Q44" s="38"/>
      <c r="R44" s="39"/>
      <c r="S44" s="38"/>
      <c r="T44" s="13">
        <v>225050.25</v>
      </c>
      <c r="U44" s="16">
        <v>1812.8</v>
      </c>
      <c r="V44" s="13">
        <f t="shared" si="48"/>
        <v>124.14510701676964</v>
      </c>
      <c r="W44" s="13">
        <f t="shared" si="49"/>
        <v>265311.5</v>
      </c>
      <c r="X44" s="16">
        <f t="shared" si="49"/>
        <v>2126.3000000000002</v>
      </c>
      <c r="Y44" s="13">
        <f t="shared" si="50"/>
        <v>124.776136951512</v>
      </c>
    </row>
    <row r="45" spans="2:25" ht="23.25" customHeight="1" x14ac:dyDescent="0.25">
      <c r="B45" s="60"/>
      <c r="C45" s="60"/>
      <c r="D45" s="11">
        <v>44394</v>
      </c>
      <c r="E45" s="13">
        <v>2152</v>
      </c>
      <c r="F45" s="16">
        <v>13</v>
      </c>
      <c r="G45" s="13">
        <f t="shared" si="45"/>
        <v>165.53846153846155</v>
      </c>
      <c r="H45" s="13">
        <v>23400</v>
      </c>
      <c r="I45" s="16">
        <v>181</v>
      </c>
      <c r="J45" s="13">
        <f t="shared" si="46"/>
        <v>129.28176795580112</v>
      </c>
      <c r="K45" s="13">
        <v>50797</v>
      </c>
      <c r="L45" s="16">
        <v>462</v>
      </c>
      <c r="M45" s="13">
        <f t="shared" si="47"/>
        <v>109.95021645021644</v>
      </c>
      <c r="N45" s="38"/>
      <c r="O45" s="39"/>
      <c r="P45" s="38"/>
      <c r="Q45" s="13">
        <v>900</v>
      </c>
      <c r="R45" s="16">
        <v>5</v>
      </c>
      <c r="S45" s="13">
        <f t="shared" ref="S45:S47" si="51">Q45/R45</f>
        <v>180</v>
      </c>
      <c r="T45" s="13">
        <v>111474.96</v>
      </c>
      <c r="U45" s="16">
        <v>943.3</v>
      </c>
      <c r="V45" s="13">
        <f t="shared" si="48"/>
        <v>118.17551150217324</v>
      </c>
      <c r="W45" s="13">
        <f t="shared" si="49"/>
        <v>188723.96000000002</v>
      </c>
      <c r="X45" s="16">
        <f t="shared" si="49"/>
        <v>1604.3</v>
      </c>
      <c r="Y45" s="13">
        <f t="shared" si="50"/>
        <v>117.63632737019262</v>
      </c>
    </row>
    <row r="46" spans="2:25" ht="23.25" customHeight="1" x14ac:dyDescent="0.25">
      <c r="B46" s="60"/>
      <c r="C46" s="60"/>
      <c r="D46" s="11">
        <v>44401</v>
      </c>
      <c r="E46" s="13">
        <v>1950</v>
      </c>
      <c r="F46" s="16">
        <v>15</v>
      </c>
      <c r="G46" s="13">
        <f t="shared" si="45"/>
        <v>130</v>
      </c>
      <c r="H46" s="13">
        <v>12969.75</v>
      </c>
      <c r="I46" s="16">
        <v>105</v>
      </c>
      <c r="J46" s="13">
        <f t="shared" si="46"/>
        <v>123.52142857142857</v>
      </c>
      <c r="K46" s="13">
        <v>54483.4</v>
      </c>
      <c r="L46" s="16">
        <v>425</v>
      </c>
      <c r="M46" s="13">
        <f t="shared" si="47"/>
        <v>128.19623529411766</v>
      </c>
      <c r="N46" s="38"/>
      <c r="O46" s="39"/>
      <c r="P46" s="38"/>
      <c r="Q46" s="13">
        <v>9470.5</v>
      </c>
      <c r="R46" s="16">
        <v>60</v>
      </c>
      <c r="S46" s="13">
        <f t="shared" si="51"/>
        <v>157.84166666666667</v>
      </c>
      <c r="T46" s="13">
        <v>82969.11</v>
      </c>
      <c r="U46" s="16">
        <v>730</v>
      </c>
      <c r="V46" s="13">
        <f t="shared" si="48"/>
        <v>113.65631506849316</v>
      </c>
      <c r="W46" s="13">
        <f t="shared" si="49"/>
        <v>161842.76</v>
      </c>
      <c r="X46" s="16">
        <f t="shared" si="49"/>
        <v>1335</v>
      </c>
      <c r="Y46" s="13">
        <f t="shared" si="50"/>
        <v>121.23053183520599</v>
      </c>
    </row>
    <row r="47" spans="2:25" ht="23.25" customHeight="1" x14ac:dyDescent="0.25">
      <c r="B47" s="60"/>
      <c r="C47" s="61"/>
      <c r="D47" s="11">
        <v>44408</v>
      </c>
      <c r="E47" s="13">
        <v>18665</v>
      </c>
      <c r="F47" s="16">
        <v>138.5</v>
      </c>
      <c r="G47" s="13">
        <f t="shared" si="45"/>
        <v>134.76534296028882</v>
      </c>
      <c r="H47" s="13">
        <v>5570</v>
      </c>
      <c r="I47" s="16">
        <v>46.5</v>
      </c>
      <c r="J47" s="13">
        <f t="shared" si="46"/>
        <v>119.78494623655914</v>
      </c>
      <c r="K47" s="13">
        <v>73108.25</v>
      </c>
      <c r="L47" s="16">
        <v>566</v>
      </c>
      <c r="M47" s="13">
        <f t="shared" si="47"/>
        <v>129.16651943462898</v>
      </c>
      <c r="N47" s="13">
        <v>13200</v>
      </c>
      <c r="O47" s="16">
        <v>105</v>
      </c>
      <c r="P47" s="13">
        <f t="shared" ref="P47" si="52">N47/O47</f>
        <v>125.71428571428571</v>
      </c>
      <c r="Q47" s="13">
        <v>1175</v>
      </c>
      <c r="R47" s="16">
        <v>9</v>
      </c>
      <c r="S47" s="13">
        <f t="shared" si="51"/>
        <v>130.55555555555554</v>
      </c>
      <c r="T47" s="13">
        <v>81473</v>
      </c>
      <c r="U47" s="16">
        <v>657</v>
      </c>
      <c r="V47" s="13">
        <f t="shared" si="48"/>
        <v>124.00761035007611</v>
      </c>
      <c r="W47" s="13">
        <f t="shared" si="49"/>
        <v>193191.25</v>
      </c>
      <c r="X47" s="16">
        <f t="shared" si="49"/>
        <v>1522</v>
      </c>
      <c r="Y47" s="13">
        <f t="shared" si="50"/>
        <v>126.93249014454665</v>
      </c>
    </row>
    <row r="48" spans="2:25" ht="23.25" customHeight="1" x14ac:dyDescent="0.25">
      <c r="B48" s="60"/>
      <c r="C48" s="63" t="s">
        <v>36</v>
      </c>
      <c r="D48" s="64"/>
      <c r="E48" s="30">
        <f>SUM(E43:E47)</f>
        <v>41002</v>
      </c>
      <c r="F48" s="31">
        <f>SUM(F43:F47)</f>
        <v>343</v>
      </c>
      <c r="G48" s="30">
        <f>E48/F48</f>
        <v>119.53935860058309</v>
      </c>
      <c r="H48" s="30">
        <f t="shared" ref="H48:I48" si="53">SUM(H43:H47)</f>
        <v>80720.3</v>
      </c>
      <c r="I48" s="31">
        <f t="shared" si="53"/>
        <v>651.5</v>
      </c>
      <c r="J48" s="30">
        <f>H48/I48</f>
        <v>123.89915579432081</v>
      </c>
      <c r="K48" s="30">
        <f t="shared" ref="K48:L48" si="54">SUM(K43:K47)</f>
        <v>222289.65</v>
      </c>
      <c r="L48" s="31">
        <f t="shared" si="54"/>
        <v>1803.5</v>
      </c>
      <c r="M48" s="30">
        <f>K48/L48</f>
        <v>123.25458830052675</v>
      </c>
      <c r="N48" s="30">
        <f t="shared" ref="N48:O48" si="55">SUM(N43:N47)</f>
        <v>13200</v>
      </c>
      <c r="O48" s="31">
        <f t="shared" si="55"/>
        <v>105</v>
      </c>
      <c r="P48" s="30">
        <f>N48/O48</f>
        <v>125.71428571428571</v>
      </c>
      <c r="Q48" s="30">
        <f t="shared" ref="Q48:R48" si="56">SUM(Q43:Q47)</f>
        <v>11545.5</v>
      </c>
      <c r="R48" s="31">
        <f t="shared" si="56"/>
        <v>74</v>
      </c>
      <c r="S48" s="30">
        <f>Q48/R48</f>
        <v>156.02027027027026</v>
      </c>
      <c r="T48" s="30">
        <f t="shared" ref="T48:U48" si="57">SUM(T43:T47)</f>
        <v>683433.57000000007</v>
      </c>
      <c r="U48" s="31">
        <f t="shared" si="57"/>
        <v>5631.9</v>
      </c>
      <c r="V48" s="30">
        <f>T48/U48</f>
        <v>121.35044478772707</v>
      </c>
      <c r="W48" s="30">
        <f t="shared" ref="W48:X48" si="58">SUM(W43:W47)</f>
        <v>1052191.02</v>
      </c>
      <c r="X48" s="31">
        <f t="shared" si="58"/>
        <v>8608.9000000000015</v>
      </c>
      <c r="Y48" s="32">
        <f>W48/X48</f>
        <v>122.22130818106841</v>
      </c>
    </row>
    <row r="49" spans="2:25" ht="23.25" customHeight="1" x14ac:dyDescent="0.25">
      <c r="B49" s="60"/>
      <c r="C49" s="60" t="s">
        <v>24</v>
      </c>
      <c r="D49" s="11">
        <v>44415</v>
      </c>
      <c r="E49" s="13">
        <v>7490</v>
      </c>
      <c r="F49" s="16">
        <v>60</v>
      </c>
      <c r="G49" s="13">
        <f t="shared" si="45"/>
        <v>124.83333333333333</v>
      </c>
      <c r="H49" s="13">
        <v>6930</v>
      </c>
      <c r="I49" s="16">
        <v>52.3</v>
      </c>
      <c r="J49" s="13">
        <f t="shared" si="46"/>
        <v>132.50478011472276</v>
      </c>
      <c r="K49" s="13">
        <v>90429.17</v>
      </c>
      <c r="L49" s="16">
        <v>758</v>
      </c>
      <c r="M49" s="13">
        <f t="shared" ref="M49:M52" si="59">K49/L49</f>
        <v>119.29969656992084</v>
      </c>
      <c r="N49" s="38"/>
      <c r="O49" s="39"/>
      <c r="P49" s="38"/>
      <c r="Q49" s="13">
        <v>385.88</v>
      </c>
      <c r="R49" s="16">
        <v>3</v>
      </c>
      <c r="S49" s="13">
        <f t="shared" ref="S49:S51" si="60">Q49/R49</f>
        <v>128.62666666666667</v>
      </c>
      <c r="T49" s="13">
        <v>62748.75</v>
      </c>
      <c r="U49" s="16">
        <v>475.5</v>
      </c>
      <c r="V49" s="13">
        <f t="shared" ref="V49:V57" si="61">T49/U49</f>
        <v>131.96372239747635</v>
      </c>
      <c r="W49" s="13">
        <f t="shared" ref="W49:X52" si="62">SUM(E49,H49,K49,N49,Q49,T49)</f>
        <v>167983.8</v>
      </c>
      <c r="X49" s="16">
        <f t="shared" si="62"/>
        <v>1348.8</v>
      </c>
      <c r="Y49" s="13">
        <f t="shared" si="50"/>
        <v>124.54314946619216</v>
      </c>
    </row>
    <row r="50" spans="2:25" ht="23.25" customHeight="1" x14ac:dyDescent="0.25">
      <c r="B50" s="60"/>
      <c r="C50" s="60">
        <v>8</v>
      </c>
      <c r="D50" s="11">
        <v>44423</v>
      </c>
      <c r="E50" s="13">
        <v>13085</v>
      </c>
      <c r="F50" s="16">
        <v>97.5</v>
      </c>
      <c r="G50" s="13">
        <f t="shared" si="45"/>
        <v>134.2051282051282</v>
      </c>
      <c r="H50" s="13">
        <v>3810</v>
      </c>
      <c r="I50" s="16">
        <v>27</v>
      </c>
      <c r="J50" s="13">
        <f t="shared" si="46"/>
        <v>141.11111111111111</v>
      </c>
      <c r="K50" s="13">
        <v>49842.14</v>
      </c>
      <c r="L50" s="16">
        <v>372.5</v>
      </c>
      <c r="M50" s="13">
        <f t="shared" si="59"/>
        <v>133.80440268456377</v>
      </c>
      <c r="N50" s="38"/>
      <c r="O50" s="39"/>
      <c r="P50" s="38"/>
      <c r="Q50" s="13">
        <v>2544</v>
      </c>
      <c r="R50" s="16">
        <v>18</v>
      </c>
      <c r="S50" s="13">
        <f t="shared" si="60"/>
        <v>141.33333333333334</v>
      </c>
      <c r="T50" s="13">
        <v>109838.15</v>
      </c>
      <c r="U50" s="16">
        <v>849.5</v>
      </c>
      <c r="V50" s="13">
        <f t="shared" si="61"/>
        <v>129.2974102413184</v>
      </c>
      <c r="W50" s="13">
        <f t="shared" si="62"/>
        <v>179119.28999999998</v>
      </c>
      <c r="X50" s="16">
        <f t="shared" si="62"/>
        <v>1364.5</v>
      </c>
      <c r="Y50" s="13">
        <f t="shared" si="50"/>
        <v>131.2710076951264</v>
      </c>
    </row>
    <row r="51" spans="2:25" ht="23.25" customHeight="1" x14ac:dyDescent="0.25">
      <c r="B51" s="60"/>
      <c r="C51" s="60">
        <v>9</v>
      </c>
      <c r="D51" s="11">
        <v>44429</v>
      </c>
      <c r="E51" s="38"/>
      <c r="F51" s="39"/>
      <c r="G51" s="38"/>
      <c r="H51" s="13">
        <v>4983</v>
      </c>
      <c r="I51" s="16">
        <v>46.5</v>
      </c>
      <c r="J51" s="13">
        <f t="shared" si="46"/>
        <v>107.16129032258064</v>
      </c>
      <c r="K51" s="13">
        <v>26395.83</v>
      </c>
      <c r="L51" s="16">
        <v>195.5</v>
      </c>
      <c r="M51" s="13">
        <f t="shared" si="59"/>
        <v>135.01703324808184</v>
      </c>
      <c r="N51" s="38"/>
      <c r="O51" s="39"/>
      <c r="P51" s="38"/>
      <c r="Q51" s="13">
        <v>9560.7800000000007</v>
      </c>
      <c r="R51" s="16">
        <v>51.5</v>
      </c>
      <c r="S51" s="13">
        <f t="shared" si="60"/>
        <v>185.64621359223301</v>
      </c>
      <c r="T51" s="13">
        <v>160384.22</v>
      </c>
      <c r="U51" s="16">
        <v>1174.8</v>
      </c>
      <c r="V51" s="13">
        <f t="shared" si="61"/>
        <v>136.52044603336739</v>
      </c>
      <c r="W51" s="13">
        <f t="shared" si="62"/>
        <v>201323.83000000002</v>
      </c>
      <c r="X51" s="16">
        <f t="shared" si="62"/>
        <v>1468.3</v>
      </c>
      <c r="Y51" s="13">
        <f t="shared" si="50"/>
        <v>137.1135530886059</v>
      </c>
    </row>
    <row r="52" spans="2:25" ht="23.25" customHeight="1" x14ac:dyDescent="0.25">
      <c r="B52" s="60"/>
      <c r="C52" s="61"/>
      <c r="D52" s="11">
        <v>45166</v>
      </c>
      <c r="E52" s="13">
        <v>30562.5</v>
      </c>
      <c r="F52" s="16">
        <v>241.5</v>
      </c>
      <c r="G52" s="13">
        <f t="shared" si="45"/>
        <v>126.55279503105589</v>
      </c>
      <c r="H52" s="38"/>
      <c r="I52" s="39"/>
      <c r="J52" s="38"/>
      <c r="K52" s="13">
        <v>74868.59</v>
      </c>
      <c r="L52" s="16">
        <v>578.5</v>
      </c>
      <c r="M52" s="13">
        <f t="shared" si="59"/>
        <v>129.41847882454624</v>
      </c>
      <c r="N52" s="38"/>
      <c r="O52" s="39"/>
      <c r="P52" s="38"/>
      <c r="Q52" s="38"/>
      <c r="R52" s="39"/>
      <c r="S52" s="38"/>
      <c r="T52" s="13">
        <v>57024.43</v>
      </c>
      <c r="U52" s="16">
        <v>442</v>
      </c>
      <c r="V52" s="13">
        <f t="shared" si="61"/>
        <v>129.01454751131223</v>
      </c>
      <c r="W52" s="13">
        <f t="shared" si="62"/>
        <v>162455.51999999999</v>
      </c>
      <c r="X52" s="16">
        <f t="shared" si="62"/>
        <v>1262</v>
      </c>
      <c r="Y52" s="13">
        <f t="shared" si="50"/>
        <v>128.72862123613311</v>
      </c>
    </row>
    <row r="53" spans="2:25" ht="23.25" customHeight="1" x14ac:dyDescent="0.25">
      <c r="B53" s="60"/>
      <c r="C53" s="63" t="s">
        <v>36</v>
      </c>
      <c r="D53" s="64"/>
      <c r="E53" s="30">
        <f>SUM(E49:E52)</f>
        <v>51137.5</v>
      </c>
      <c r="F53" s="31">
        <f>SUM(F49:F52)</f>
        <v>399</v>
      </c>
      <c r="G53" s="30">
        <f>E53/F53</f>
        <v>128.1641604010025</v>
      </c>
      <c r="H53" s="30">
        <f>SUM(H49:H52)</f>
        <v>15723</v>
      </c>
      <c r="I53" s="31">
        <f>SUM(I49:I52)</f>
        <v>125.8</v>
      </c>
      <c r="J53" s="30">
        <f>H53/I53</f>
        <v>124.98410174880763</v>
      </c>
      <c r="K53" s="30">
        <f>SUM(K49:K52)</f>
        <v>241535.73</v>
      </c>
      <c r="L53" s="31">
        <f>SUM(L49:L52)</f>
        <v>1904.5</v>
      </c>
      <c r="M53" s="30">
        <f>K53/L53</f>
        <v>126.82369650826989</v>
      </c>
      <c r="N53" s="30">
        <f>SUM(N49:N52)</f>
        <v>0</v>
      </c>
      <c r="O53" s="31">
        <f>SUM(O49:O52)</f>
        <v>0</v>
      </c>
      <c r="P53" s="30" t="e">
        <f>N53/O53</f>
        <v>#DIV/0!</v>
      </c>
      <c r="Q53" s="30">
        <f>SUM(Q49:Q52)</f>
        <v>12490.66</v>
      </c>
      <c r="R53" s="31">
        <f>SUM(R49:R52)</f>
        <v>72.5</v>
      </c>
      <c r="S53" s="30">
        <f>Q53/R53</f>
        <v>172.28496551724137</v>
      </c>
      <c r="T53" s="30">
        <f>SUM(T49:T52)</f>
        <v>389995.55</v>
      </c>
      <c r="U53" s="31">
        <f>SUM(U49:U52)</f>
        <v>2941.8</v>
      </c>
      <c r="V53" s="30">
        <f>T53/U53</f>
        <v>132.57038207899924</v>
      </c>
      <c r="W53" s="30">
        <f>SUM(W49:W52)</f>
        <v>710882.44</v>
      </c>
      <c r="X53" s="31">
        <f>SUM(X49:X52)</f>
        <v>5443.6</v>
      </c>
      <c r="Y53" s="32">
        <f>W53/X53</f>
        <v>130.5904989345286</v>
      </c>
    </row>
    <row r="54" spans="2:25" ht="23.25" customHeight="1" x14ac:dyDescent="0.25">
      <c r="B54" s="60"/>
      <c r="C54" s="59" t="s">
        <v>25</v>
      </c>
      <c r="D54" s="11">
        <v>45539</v>
      </c>
      <c r="E54" s="13">
        <v>29833.89</v>
      </c>
      <c r="F54" s="16">
        <v>226.5</v>
      </c>
      <c r="G54" s="13">
        <f t="shared" si="45"/>
        <v>131.71695364238411</v>
      </c>
      <c r="H54" s="38"/>
      <c r="I54" s="39"/>
      <c r="J54" s="38"/>
      <c r="K54" s="13">
        <v>105140.26</v>
      </c>
      <c r="L54" s="16">
        <v>854.1</v>
      </c>
      <c r="M54" s="13">
        <f t="shared" ref="M54" si="63">K54/L54</f>
        <v>123.10064395269873</v>
      </c>
      <c r="N54" s="38"/>
      <c r="O54" s="39"/>
      <c r="P54" s="38"/>
      <c r="Q54" s="38"/>
      <c r="R54" s="39"/>
      <c r="S54" s="38"/>
      <c r="T54" s="13">
        <v>91227.89</v>
      </c>
      <c r="U54" s="16">
        <v>639.5</v>
      </c>
      <c r="V54" s="13">
        <f t="shared" si="61"/>
        <v>142.655027365129</v>
      </c>
      <c r="W54" s="13">
        <f t="shared" ref="W54:X57" si="64">SUM(E54,H54,K54,N54,Q54,T54)</f>
        <v>226202.03999999998</v>
      </c>
      <c r="X54" s="16">
        <f t="shared" si="64"/>
        <v>1720.1</v>
      </c>
      <c r="Y54" s="13">
        <f t="shared" si="50"/>
        <v>131.50516830416836</v>
      </c>
    </row>
    <row r="55" spans="2:25" ht="23.25" customHeight="1" x14ac:dyDescent="0.25">
      <c r="B55" s="60"/>
      <c r="C55" s="60"/>
      <c r="D55" s="11">
        <v>45546</v>
      </c>
      <c r="E55" s="13">
        <v>12783.89</v>
      </c>
      <c r="F55" s="16">
        <v>90</v>
      </c>
      <c r="G55" s="13">
        <f t="shared" si="45"/>
        <v>142.04322222222223</v>
      </c>
      <c r="H55" s="38"/>
      <c r="I55" s="39"/>
      <c r="J55" s="38"/>
      <c r="K55" s="13">
        <v>10211</v>
      </c>
      <c r="L55" s="16">
        <v>74</v>
      </c>
      <c r="M55" s="13">
        <f t="shared" ref="M55:M57" si="65">K55/L55</f>
        <v>137.98648648648648</v>
      </c>
      <c r="N55" s="38"/>
      <c r="O55" s="39"/>
      <c r="P55" s="38"/>
      <c r="Q55" s="38"/>
      <c r="R55" s="39"/>
      <c r="S55" s="38"/>
      <c r="T55" s="13">
        <v>4875</v>
      </c>
      <c r="U55" s="16">
        <v>31</v>
      </c>
      <c r="V55" s="13">
        <f t="shared" si="61"/>
        <v>157.25806451612902</v>
      </c>
      <c r="W55" s="13">
        <f t="shared" si="64"/>
        <v>27869.89</v>
      </c>
      <c r="X55" s="16">
        <f t="shared" si="64"/>
        <v>195</v>
      </c>
      <c r="Y55" s="13">
        <f t="shared" si="50"/>
        <v>142.92251282051282</v>
      </c>
    </row>
    <row r="56" spans="2:25" ht="23.25" customHeight="1" x14ac:dyDescent="0.25">
      <c r="B56" s="60"/>
      <c r="C56" s="60"/>
      <c r="D56" s="11">
        <v>45553</v>
      </c>
      <c r="E56" s="13">
        <v>10605</v>
      </c>
      <c r="F56" s="16">
        <v>95</v>
      </c>
      <c r="G56" s="13">
        <f t="shared" si="45"/>
        <v>111.63157894736842</v>
      </c>
      <c r="H56" s="38"/>
      <c r="I56" s="39"/>
      <c r="J56" s="38"/>
      <c r="K56" s="13">
        <v>36691.25</v>
      </c>
      <c r="L56" s="16">
        <v>311.5</v>
      </c>
      <c r="M56" s="13">
        <f t="shared" si="65"/>
        <v>117.78892455858748</v>
      </c>
      <c r="N56" s="38"/>
      <c r="O56" s="39"/>
      <c r="P56" s="38"/>
      <c r="Q56" s="13">
        <v>14399.77</v>
      </c>
      <c r="R56" s="16">
        <v>96</v>
      </c>
      <c r="S56" s="13">
        <f t="shared" ref="S56" si="66">Q56/R56</f>
        <v>149.99760416666666</v>
      </c>
      <c r="T56" s="13">
        <v>274979.56</v>
      </c>
      <c r="U56" s="16">
        <v>2220.4</v>
      </c>
      <c r="V56" s="13">
        <f t="shared" si="61"/>
        <v>123.84235272923797</v>
      </c>
      <c r="W56" s="13">
        <f t="shared" si="64"/>
        <v>336675.58</v>
      </c>
      <c r="X56" s="16">
        <f t="shared" si="64"/>
        <v>2722.9</v>
      </c>
      <c r="Y56" s="13">
        <f t="shared" si="50"/>
        <v>123.64595835322635</v>
      </c>
    </row>
    <row r="57" spans="2:25" ht="23.25" customHeight="1" x14ac:dyDescent="0.25">
      <c r="B57" s="60"/>
      <c r="C57" s="60"/>
      <c r="D57" s="11">
        <v>45561</v>
      </c>
      <c r="E57" s="13">
        <v>23499</v>
      </c>
      <c r="F57" s="16">
        <v>181.7</v>
      </c>
      <c r="G57" s="13">
        <f t="shared" si="45"/>
        <v>129.32856356631811</v>
      </c>
      <c r="H57" s="13">
        <v>4880</v>
      </c>
      <c r="I57" s="16">
        <v>40</v>
      </c>
      <c r="J57" s="13">
        <f t="shared" si="46"/>
        <v>122</v>
      </c>
      <c r="K57" s="13">
        <v>55537.58</v>
      </c>
      <c r="L57" s="16">
        <v>436.6</v>
      </c>
      <c r="M57" s="13">
        <f t="shared" si="65"/>
        <v>127.20471827759962</v>
      </c>
      <c r="N57" s="38"/>
      <c r="O57" s="39"/>
      <c r="P57" s="38"/>
      <c r="Q57" s="13">
        <v>3120</v>
      </c>
      <c r="R57" s="16">
        <v>26.5</v>
      </c>
      <c r="S57" s="13">
        <f t="shared" ref="S57" si="67">Q57/R57</f>
        <v>117.73584905660377</v>
      </c>
      <c r="T57" s="13">
        <v>175615.75</v>
      </c>
      <c r="U57" s="16">
        <v>1297.4000000000001</v>
      </c>
      <c r="V57" s="13">
        <f t="shared" si="61"/>
        <v>135.35975797749344</v>
      </c>
      <c r="W57" s="13">
        <f t="shared" si="64"/>
        <v>262652.33</v>
      </c>
      <c r="X57" s="16">
        <f t="shared" si="64"/>
        <v>1982.2</v>
      </c>
      <c r="Y57" s="13">
        <f t="shared" si="50"/>
        <v>132.50546362627384</v>
      </c>
    </row>
    <row r="58" spans="2:25" ht="23.25" customHeight="1" x14ac:dyDescent="0.25">
      <c r="B58" s="61"/>
      <c r="C58" s="63" t="s">
        <v>36</v>
      </c>
      <c r="D58" s="64"/>
      <c r="E58" s="30">
        <f>SUM(E54:E57)</f>
        <v>76721.78</v>
      </c>
      <c r="F58" s="31">
        <f>SUM(F54:F57)</f>
        <v>593.20000000000005</v>
      </c>
      <c r="G58" s="30">
        <f>E58/F58</f>
        <v>129.33543492919756</v>
      </c>
      <c r="H58" s="30">
        <f>SUM(H54:H57)</f>
        <v>4880</v>
      </c>
      <c r="I58" s="31">
        <f>SUM(I54:I57)</f>
        <v>40</v>
      </c>
      <c r="J58" s="30">
        <f>H58/I58</f>
        <v>122</v>
      </c>
      <c r="K58" s="30">
        <f>SUM(K54:K57)</f>
        <v>207580.09000000003</v>
      </c>
      <c r="L58" s="31">
        <f>SUM(L54:L57)</f>
        <v>1676.1999999999998</v>
      </c>
      <c r="M58" s="30">
        <f>K58/L58</f>
        <v>123.83969096766498</v>
      </c>
      <c r="N58" s="30">
        <f>SUM(N54:N57)</f>
        <v>0</v>
      </c>
      <c r="O58" s="31">
        <f>SUM(O54:O57)</f>
        <v>0</v>
      </c>
      <c r="P58" s="30" t="e">
        <f>N58/O58</f>
        <v>#DIV/0!</v>
      </c>
      <c r="Q58" s="30">
        <f>SUM(Q54:Q57)</f>
        <v>17519.77</v>
      </c>
      <c r="R58" s="31">
        <f>SUM(R54:R57)</f>
        <v>122.5</v>
      </c>
      <c r="S58" s="30">
        <f>Q58/R58</f>
        <v>143.01853061224489</v>
      </c>
      <c r="T58" s="30">
        <f>SUM(T54:T57)</f>
        <v>546698.19999999995</v>
      </c>
      <c r="U58" s="31">
        <f>SUM(U54:U57)</f>
        <v>4188.3</v>
      </c>
      <c r="V58" s="30">
        <f>T58/U58</f>
        <v>130.52985698254659</v>
      </c>
      <c r="W58" s="30">
        <f>SUM(W54:W57)</f>
        <v>853399.84000000008</v>
      </c>
      <c r="X58" s="31">
        <f>SUM(X54:X57)</f>
        <v>6620.2</v>
      </c>
      <c r="Y58" s="32">
        <f>W58/X58</f>
        <v>128.90846802211416</v>
      </c>
    </row>
    <row r="59" spans="2:25" ht="39" customHeight="1" x14ac:dyDescent="0.25">
      <c r="B59" s="52" t="s">
        <v>30</v>
      </c>
      <c r="C59" s="52"/>
      <c r="D59" s="52"/>
      <c r="E59" s="33">
        <f>SUM(E58,E53,E48)</f>
        <v>168861.28</v>
      </c>
      <c r="F59" s="34">
        <f>SUM(F58,F53,F48)</f>
        <v>1335.2</v>
      </c>
      <c r="G59" s="33">
        <f>E59/F59</f>
        <v>126.46890353505093</v>
      </c>
      <c r="H59" s="33">
        <f>SUM(H58,H53,H48)</f>
        <v>101323.3</v>
      </c>
      <c r="I59" s="34">
        <f>SUM(I58,I53,I48)</f>
        <v>817.3</v>
      </c>
      <c r="J59" s="33">
        <f>H59/I59</f>
        <v>123.97320445368899</v>
      </c>
      <c r="K59" s="33">
        <f>SUM(K58,K53,K48)</f>
        <v>671405.47000000009</v>
      </c>
      <c r="L59" s="34">
        <f>SUM(L58,L53,L48)</f>
        <v>5384.2</v>
      </c>
      <c r="M59" s="33">
        <f>K59/L59</f>
        <v>124.69920693882102</v>
      </c>
      <c r="N59" s="33">
        <f>SUM(N58,N53,N48)</f>
        <v>13200</v>
      </c>
      <c r="O59" s="34">
        <f>SUM(O58,O53,O48)</f>
        <v>105</v>
      </c>
      <c r="P59" s="33">
        <f>N59/O59</f>
        <v>125.71428571428571</v>
      </c>
      <c r="Q59" s="33">
        <f>SUM(Q58,Q53,Q48)</f>
        <v>41555.93</v>
      </c>
      <c r="R59" s="34">
        <f>SUM(R58,R53,R48)</f>
        <v>269</v>
      </c>
      <c r="S59" s="33">
        <f>Q59/R59</f>
        <v>154.48301115241637</v>
      </c>
      <c r="T59" s="33">
        <f>SUM(T58,T53,T48)</f>
        <v>1620127.32</v>
      </c>
      <c r="U59" s="34">
        <f>SUM(U58,U53,U48)</f>
        <v>12762</v>
      </c>
      <c r="V59" s="33">
        <f>T59/U59</f>
        <v>126.9493276915844</v>
      </c>
      <c r="W59" s="33">
        <f>SUM(W58,W53,W48)</f>
        <v>2616473.2999999998</v>
      </c>
      <c r="X59" s="34">
        <f>SUM(X58,X53,X48)</f>
        <v>20672.7</v>
      </c>
      <c r="Y59" s="33">
        <f>W59/X59</f>
        <v>126.56659749331243</v>
      </c>
    </row>
    <row r="60" spans="2:25" x14ac:dyDescent="0.25">
      <c r="B60" s="67" t="s">
        <v>15</v>
      </c>
      <c r="C60" s="67" t="s">
        <v>10</v>
      </c>
      <c r="D60" s="67" t="s">
        <v>0</v>
      </c>
      <c r="E60" s="58" t="s">
        <v>44</v>
      </c>
      <c r="F60" s="58"/>
      <c r="G60" s="58"/>
      <c r="H60" s="58" t="s">
        <v>40</v>
      </c>
      <c r="I60" s="58"/>
      <c r="J60" s="58"/>
      <c r="K60" s="55" t="s">
        <v>7</v>
      </c>
      <c r="L60" s="56"/>
      <c r="M60" s="57"/>
      <c r="N60" s="58" t="s">
        <v>42</v>
      </c>
      <c r="O60" s="58"/>
      <c r="P60" s="58"/>
      <c r="Q60" s="58" t="s">
        <v>45</v>
      </c>
      <c r="R60" s="58"/>
      <c r="S60" s="58"/>
      <c r="T60" s="58" t="s">
        <v>4</v>
      </c>
      <c r="U60" s="58"/>
      <c r="V60" s="58"/>
      <c r="W60" s="58" t="s">
        <v>9</v>
      </c>
      <c r="X60" s="58"/>
      <c r="Y60" s="58"/>
    </row>
    <row r="61" spans="2:25" x14ac:dyDescent="0.25">
      <c r="B61" s="67"/>
      <c r="C61" s="67"/>
      <c r="D61" s="67"/>
      <c r="E61" s="1" t="s">
        <v>1</v>
      </c>
      <c r="F61" s="3" t="s">
        <v>2</v>
      </c>
      <c r="G61" s="1" t="s">
        <v>3</v>
      </c>
      <c r="H61" s="1" t="s">
        <v>1</v>
      </c>
      <c r="I61" s="3" t="s">
        <v>2</v>
      </c>
      <c r="J61" s="1" t="s">
        <v>3</v>
      </c>
      <c r="K61" s="1" t="s">
        <v>1</v>
      </c>
      <c r="L61" s="3" t="s">
        <v>2</v>
      </c>
      <c r="M61" s="1" t="s">
        <v>3</v>
      </c>
      <c r="N61" s="1" t="s">
        <v>1</v>
      </c>
      <c r="O61" s="3" t="s">
        <v>2</v>
      </c>
      <c r="P61" s="1" t="s">
        <v>3</v>
      </c>
      <c r="Q61" s="1" t="s">
        <v>1</v>
      </c>
      <c r="R61" s="3" t="s">
        <v>2</v>
      </c>
      <c r="S61" s="1" t="s">
        <v>3</v>
      </c>
      <c r="T61" s="1" t="s">
        <v>1</v>
      </c>
      <c r="U61" s="3" t="s">
        <v>2</v>
      </c>
      <c r="V61" s="1" t="s">
        <v>3</v>
      </c>
      <c r="W61" s="1" t="s">
        <v>1</v>
      </c>
      <c r="X61" s="3" t="s">
        <v>2</v>
      </c>
      <c r="Y61" s="1" t="s">
        <v>3</v>
      </c>
    </row>
    <row r="62" spans="2:25" ht="23.25" customHeight="1" x14ac:dyDescent="0.25">
      <c r="B62" s="59" t="s">
        <v>28</v>
      </c>
      <c r="C62" s="62" t="s">
        <v>31</v>
      </c>
      <c r="D62" s="11">
        <v>45567</v>
      </c>
      <c r="E62" s="7">
        <v>5904.75</v>
      </c>
      <c r="F62" s="8">
        <v>38.9</v>
      </c>
      <c r="G62" s="7">
        <f t="shared" ref="G62:G76" si="68">E62/F62</f>
        <v>151.79305912596402</v>
      </c>
      <c r="H62" s="36"/>
      <c r="I62" s="37"/>
      <c r="J62" s="36"/>
      <c r="K62" s="7">
        <v>16995</v>
      </c>
      <c r="L62" s="8">
        <v>126.1</v>
      </c>
      <c r="M62" s="7">
        <f t="shared" ref="M62:M66" si="69">K62/L62</f>
        <v>134.77398889770024</v>
      </c>
      <c r="N62" s="36"/>
      <c r="O62" s="37"/>
      <c r="P62" s="36"/>
      <c r="Q62" s="7">
        <v>5953.5</v>
      </c>
      <c r="R62" s="8">
        <v>44.5</v>
      </c>
      <c r="S62" s="7">
        <f t="shared" ref="S62:S65" si="70">Q62/R62</f>
        <v>133.7865168539326</v>
      </c>
      <c r="T62" s="7">
        <v>139795.38</v>
      </c>
      <c r="U62" s="8">
        <v>1070.8</v>
      </c>
      <c r="V62" s="7">
        <f t="shared" ref="V62:V76" si="71">T62/U62</f>
        <v>130.55227867015316</v>
      </c>
      <c r="W62" s="7">
        <f t="shared" ref="W62:X76" si="72">SUM(E62,H62,K62,N62,Q62,T62)</f>
        <v>168648.63</v>
      </c>
      <c r="X62" s="8">
        <f t="shared" si="72"/>
        <v>1280.3</v>
      </c>
      <c r="Y62" s="7">
        <f t="shared" ref="Y62:Y76" si="73">W62/X62</f>
        <v>131.72586893696791</v>
      </c>
    </row>
    <row r="63" spans="2:25" ht="23.25" customHeight="1" x14ac:dyDescent="0.25">
      <c r="B63" s="60"/>
      <c r="C63" s="62"/>
      <c r="D63" s="11">
        <v>45574</v>
      </c>
      <c r="E63" s="36"/>
      <c r="F63" s="37"/>
      <c r="G63" s="36"/>
      <c r="H63" s="36"/>
      <c r="I63" s="37"/>
      <c r="J63" s="36"/>
      <c r="K63" s="7">
        <v>36890</v>
      </c>
      <c r="L63" s="8">
        <v>313.5</v>
      </c>
      <c r="M63" s="42">
        <f t="shared" si="69"/>
        <v>117.67145135566189</v>
      </c>
      <c r="N63" s="36"/>
      <c r="O63" s="37"/>
      <c r="P63" s="36"/>
      <c r="Q63" s="7">
        <v>6070</v>
      </c>
      <c r="R63" s="8">
        <v>89.3</v>
      </c>
      <c r="S63" s="7">
        <f t="shared" si="70"/>
        <v>67.973124300111991</v>
      </c>
      <c r="T63" s="7">
        <v>96319.46</v>
      </c>
      <c r="U63" s="8">
        <v>736.3</v>
      </c>
      <c r="V63" s="7">
        <f t="shared" si="71"/>
        <v>130.81550998234417</v>
      </c>
      <c r="W63" s="7">
        <f t="shared" si="72"/>
        <v>139279.46000000002</v>
      </c>
      <c r="X63" s="8">
        <f t="shared" si="72"/>
        <v>1139.0999999999999</v>
      </c>
      <c r="Y63" s="7">
        <f t="shared" si="73"/>
        <v>122.27149503994384</v>
      </c>
    </row>
    <row r="64" spans="2:25" ht="23.25" customHeight="1" x14ac:dyDescent="0.25">
      <c r="B64" s="60"/>
      <c r="C64" s="62"/>
      <c r="D64" s="11">
        <v>45581</v>
      </c>
      <c r="E64" s="36"/>
      <c r="F64" s="37"/>
      <c r="G64" s="36"/>
      <c r="H64" s="7">
        <v>3660</v>
      </c>
      <c r="I64" s="8">
        <v>33.299999999999997</v>
      </c>
      <c r="J64" s="7">
        <f t="shared" ref="J64:J76" si="74">H64/I64</f>
        <v>109.90990990990991</v>
      </c>
      <c r="K64" s="7">
        <v>29364.799999999999</v>
      </c>
      <c r="L64" s="8">
        <v>198.9</v>
      </c>
      <c r="M64" s="7">
        <f t="shared" si="69"/>
        <v>147.63599798893915</v>
      </c>
      <c r="N64" s="36"/>
      <c r="O64" s="37"/>
      <c r="P64" s="36"/>
      <c r="Q64" s="7">
        <v>900</v>
      </c>
      <c r="R64" s="8">
        <v>2</v>
      </c>
      <c r="S64" s="7">
        <f t="shared" si="70"/>
        <v>450</v>
      </c>
      <c r="T64" s="7">
        <v>219170.28</v>
      </c>
      <c r="U64" s="8">
        <v>1508.1</v>
      </c>
      <c r="V64" s="7">
        <f t="shared" si="71"/>
        <v>145.32874477819774</v>
      </c>
      <c r="W64" s="7">
        <f t="shared" si="72"/>
        <v>253095.08000000002</v>
      </c>
      <c r="X64" s="8">
        <f t="shared" si="72"/>
        <v>1742.3</v>
      </c>
      <c r="Y64" s="7">
        <f t="shared" si="73"/>
        <v>145.26492567296106</v>
      </c>
    </row>
    <row r="65" spans="2:25" ht="23.25" customHeight="1" x14ac:dyDescent="0.25">
      <c r="B65" s="60"/>
      <c r="C65" s="62"/>
      <c r="D65" s="11">
        <v>45587</v>
      </c>
      <c r="E65" s="7">
        <v>13939.2</v>
      </c>
      <c r="F65" s="8">
        <v>105.9</v>
      </c>
      <c r="G65" s="7">
        <f t="shared" si="68"/>
        <v>131.62606232294618</v>
      </c>
      <c r="H65" s="7">
        <v>11985.75</v>
      </c>
      <c r="I65" s="8">
        <v>97.5</v>
      </c>
      <c r="J65" s="7">
        <f t="shared" si="74"/>
        <v>122.93076923076923</v>
      </c>
      <c r="K65" s="7">
        <v>33088.75</v>
      </c>
      <c r="L65" s="8">
        <v>265.39999999999998</v>
      </c>
      <c r="M65" s="7">
        <f t="shared" si="69"/>
        <v>124.67501883948758</v>
      </c>
      <c r="N65" s="7"/>
      <c r="O65" s="8"/>
      <c r="P65" s="7" t="e">
        <f t="shared" ref="P65" si="75">N65/O65</f>
        <v>#DIV/0!</v>
      </c>
      <c r="Q65" s="7">
        <v>10100</v>
      </c>
      <c r="R65" s="8">
        <v>79.3</v>
      </c>
      <c r="S65" s="7">
        <f t="shared" si="70"/>
        <v>127.36443883984867</v>
      </c>
      <c r="T65" s="7">
        <v>70089.5</v>
      </c>
      <c r="U65" s="8">
        <v>1347.2</v>
      </c>
      <c r="V65" s="7">
        <f t="shared" si="71"/>
        <v>52.026054038004752</v>
      </c>
      <c r="W65" s="7">
        <f t="shared" si="72"/>
        <v>139203.20000000001</v>
      </c>
      <c r="X65" s="8">
        <f t="shared" si="72"/>
        <v>1895.3</v>
      </c>
      <c r="Y65" s="7">
        <f t="shared" si="73"/>
        <v>73.446525615997473</v>
      </c>
    </row>
    <row r="66" spans="2:25" ht="23.25" customHeight="1" x14ac:dyDescent="0.25">
      <c r="B66" s="60"/>
      <c r="C66" s="62"/>
      <c r="D66" s="11">
        <v>45595</v>
      </c>
      <c r="E66" s="7">
        <v>21255</v>
      </c>
      <c r="F66" s="8">
        <v>163</v>
      </c>
      <c r="G66" s="7">
        <f t="shared" si="68"/>
        <v>130.39877300613497</v>
      </c>
      <c r="H66" s="36"/>
      <c r="I66" s="37"/>
      <c r="J66" s="36"/>
      <c r="K66" s="7">
        <v>52799</v>
      </c>
      <c r="L66" s="8">
        <v>418.4</v>
      </c>
      <c r="M66" s="7">
        <f t="shared" si="69"/>
        <v>126.19263862332697</v>
      </c>
      <c r="N66" s="36"/>
      <c r="O66" s="37"/>
      <c r="P66" s="36"/>
      <c r="Q66" s="36"/>
      <c r="R66" s="37"/>
      <c r="S66" s="36"/>
      <c r="T66" s="7">
        <v>147568.63</v>
      </c>
      <c r="U66" s="8">
        <v>1225.9000000000001</v>
      </c>
      <c r="V66" s="7">
        <f t="shared" si="71"/>
        <v>120.37574842972509</v>
      </c>
      <c r="W66" s="7">
        <f t="shared" si="72"/>
        <v>221622.63</v>
      </c>
      <c r="X66" s="8">
        <f t="shared" si="72"/>
        <v>1807.3000000000002</v>
      </c>
      <c r="Y66" s="7">
        <f t="shared" si="73"/>
        <v>122.62636529629833</v>
      </c>
    </row>
    <row r="67" spans="2:25" ht="23.25" customHeight="1" x14ac:dyDescent="0.25">
      <c r="B67" s="60"/>
      <c r="C67" s="63" t="s">
        <v>36</v>
      </c>
      <c r="D67" s="64"/>
      <c r="E67" s="30">
        <f>SUM(E62:E66)</f>
        <v>41098.949999999997</v>
      </c>
      <c r="F67" s="31">
        <f>SUM(F62:F66)</f>
        <v>307.8</v>
      </c>
      <c r="G67" s="30">
        <f>E67/F67</f>
        <v>133.52485380116957</v>
      </c>
      <c r="H67" s="30">
        <f>SUM(H62:H66)</f>
        <v>15645.75</v>
      </c>
      <c r="I67" s="31">
        <f>SUM(I62:I66)</f>
        <v>130.80000000000001</v>
      </c>
      <c r="J67" s="30">
        <f>H67/I67</f>
        <v>119.61582568807339</v>
      </c>
      <c r="K67" s="30">
        <f>SUM(K62:K66)</f>
        <v>169137.55</v>
      </c>
      <c r="L67" s="31">
        <f>SUM(L62:L66)</f>
        <v>1322.3</v>
      </c>
      <c r="M67" s="30">
        <f>K67/L67</f>
        <v>127.91163124858201</v>
      </c>
      <c r="N67" s="30">
        <f>SUM(N62:N66)</f>
        <v>0</v>
      </c>
      <c r="O67" s="31">
        <f>SUM(O62:O66)</f>
        <v>0</v>
      </c>
      <c r="P67" s="30" t="e">
        <f>N67/O67</f>
        <v>#DIV/0!</v>
      </c>
      <c r="Q67" s="30">
        <f>SUM(Q62:Q66)</f>
        <v>23023.5</v>
      </c>
      <c r="R67" s="31">
        <f>SUM(R62:R66)</f>
        <v>215.10000000000002</v>
      </c>
      <c r="S67" s="30">
        <f>Q67/R67</f>
        <v>107.03626220362621</v>
      </c>
      <c r="T67" s="30">
        <f>SUM(T62:T66)</f>
        <v>672943.25</v>
      </c>
      <c r="U67" s="31">
        <f>SUM(U62:U66)</f>
        <v>5888.2999999999993</v>
      </c>
      <c r="V67" s="30">
        <f>T67/U67</f>
        <v>114.28481055652736</v>
      </c>
      <c r="W67" s="30">
        <f>SUM(W62:W66)</f>
        <v>921849.00000000012</v>
      </c>
      <c r="X67" s="31">
        <f>SUM(X62:X66)</f>
        <v>7864.3</v>
      </c>
      <c r="Y67" s="32">
        <f>W67/X67</f>
        <v>117.21946009180729</v>
      </c>
    </row>
    <row r="68" spans="2:25" ht="23.25" customHeight="1" x14ac:dyDescent="0.25">
      <c r="B68" s="60"/>
      <c r="C68" s="65" t="s">
        <v>32</v>
      </c>
      <c r="D68" s="11">
        <v>44507</v>
      </c>
      <c r="E68" s="7">
        <v>13560</v>
      </c>
      <c r="F68" s="8">
        <v>130.1</v>
      </c>
      <c r="G68" s="7">
        <f t="shared" si="68"/>
        <v>104.22751729438893</v>
      </c>
      <c r="H68" s="36"/>
      <c r="I68" s="37"/>
      <c r="J68" s="36"/>
      <c r="K68" s="7">
        <v>104701.94</v>
      </c>
      <c r="L68" s="8">
        <v>802</v>
      </c>
      <c r="M68" s="7">
        <f t="shared" ref="M68:M71" si="76">K68/L68</f>
        <v>130.55104738154614</v>
      </c>
      <c r="N68" s="36"/>
      <c r="O68" s="37"/>
      <c r="P68" s="36"/>
      <c r="Q68" s="36"/>
      <c r="R68" s="37"/>
      <c r="S68" s="36"/>
      <c r="T68" s="7">
        <v>104329.5</v>
      </c>
      <c r="U68" s="8">
        <v>859.2</v>
      </c>
      <c r="V68" s="7">
        <f t="shared" si="71"/>
        <v>121.42632681564245</v>
      </c>
      <c r="W68" s="7">
        <f t="shared" si="72"/>
        <v>222591.44</v>
      </c>
      <c r="X68" s="8">
        <f t="shared" si="72"/>
        <v>1791.3000000000002</v>
      </c>
      <c r="Y68" s="7">
        <f t="shared" si="73"/>
        <v>124.26251325852732</v>
      </c>
    </row>
    <row r="69" spans="2:25" ht="23.25" customHeight="1" x14ac:dyDescent="0.25">
      <c r="B69" s="60"/>
      <c r="C69" s="65">
        <v>8</v>
      </c>
      <c r="D69" s="11">
        <v>44513</v>
      </c>
      <c r="E69" s="7">
        <v>23267.75</v>
      </c>
      <c r="F69" s="8">
        <v>179.6</v>
      </c>
      <c r="G69" s="7">
        <f t="shared" si="68"/>
        <v>129.55317371937639</v>
      </c>
      <c r="H69" s="36"/>
      <c r="I69" s="37"/>
      <c r="J69" s="36"/>
      <c r="K69" s="7">
        <v>47113.75</v>
      </c>
      <c r="L69" s="8">
        <v>390.9</v>
      </c>
      <c r="M69" s="7">
        <f t="shared" si="76"/>
        <v>120.52634944998722</v>
      </c>
      <c r="N69" s="36"/>
      <c r="O69" s="37"/>
      <c r="P69" s="36"/>
      <c r="Q69" s="36"/>
      <c r="R69" s="37"/>
      <c r="S69" s="36"/>
      <c r="T69" s="7">
        <v>190482.59</v>
      </c>
      <c r="U69" s="8">
        <v>1942.7</v>
      </c>
      <c r="V69" s="7">
        <f t="shared" si="71"/>
        <v>98.05044010912647</v>
      </c>
      <c r="W69" s="7">
        <f t="shared" si="72"/>
        <v>260864.09</v>
      </c>
      <c r="X69" s="8">
        <f t="shared" si="72"/>
        <v>2513.1999999999998</v>
      </c>
      <c r="Y69" s="7">
        <f t="shared" si="73"/>
        <v>103.79758475250676</v>
      </c>
    </row>
    <row r="70" spans="2:25" ht="23.25" customHeight="1" x14ac:dyDescent="0.25">
      <c r="B70" s="60"/>
      <c r="C70" s="65">
        <v>9</v>
      </c>
      <c r="D70" s="11">
        <v>44520</v>
      </c>
      <c r="E70" s="7">
        <v>82037.16</v>
      </c>
      <c r="F70" s="8">
        <v>618.9</v>
      </c>
      <c r="G70" s="7">
        <f t="shared" si="68"/>
        <v>132.55317498788173</v>
      </c>
      <c r="H70" s="36"/>
      <c r="I70" s="37"/>
      <c r="J70" s="36"/>
      <c r="K70" s="7">
        <v>38810</v>
      </c>
      <c r="L70" s="8">
        <v>311.10000000000002</v>
      </c>
      <c r="M70" s="7">
        <f t="shared" si="76"/>
        <v>124.75088396014142</v>
      </c>
      <c r="N70" s="36"/>
      <c r="O70" s="37"/>
      <c r="P70" s="36"/>
      <c r="Q70" s="36"/>
      <c r="R70" s="37"/>
      <c r="S70" s="36"/>
      <c r="T70" s="7">
        <v>47400</v>
      </c>
      <c r="U70" s="8">
        <v>397.5</v>
      </c>
      <c r="V70" s="7">
        <f t="shared" si="71"/>
        <v>119.24528301886792</v>
      </c>
      <c r="W70" s="7">
        <f t="shared" si="72"/>
        <v>168247.16</v>
      </c>
      <c r="X70" s="8">
        <f t="shared" si="72"/>
        <v>1327.5</v>
      </c>
      <c r="Y70" s="7">
        <f t="shared" si="73"/>
        <v>126.73985687382297</v>
      </c>
    </row>
    <row r="71" spans="2:25" ht="23.25" customHeight="1" x14ac:dyDescent="0.25">
      <c r="B71" s="60"/>
      <c r="C71" s="66"/>
      <c r="D71" s="11">
        <v>44527</v>
      </c>
      <c r="E71" s="7">
        <v>29833.89</v>
      </c>
      <c r="F71" s="8">
        <v>226.5</v>
      </c>
      <c r="G71" s="7">
        <f t="shared" si="68"/>
        <v>131.71695364238411</v>
      </c>
      <c r="H71" s="36"/>
      <c r="I71" s="37"/>
      <c r="J71" s="36"/>
      <c r="K71" s="7">
        <v>106608.75</v>
      </c>
      <c r="L71" s="8">
        <v>865</v>
      </c>
      <c r="M71" s="7">
        <f t="shared" si="76"/>
        <v>123.24710982658959</v>
      </c>
      <c r="N71" s="36"/>
      <c r="O71" s="37"/>
      <c r="P71" s="36"/>
      <c r="Q71" s="36"/>
      <c r="R71" s="37"/>
      <c r="S71" s="36"/>
      <c r="T71" s="7">
        <v>104783.05</v>
      </c>
      <c r="U71" s="8">
        <v>800.3</v>
      </c>
      <c r="V71" s="7">
        <f t="shared" si="71"/>
        <v>130.92971385730351</v>
      </c>
      <c r="W71" s="7">
        <f t="shared" si="72"/>
        <v>241225.69</v>
      </c>
      <c r="X71" s="8">
        <f t="shared" si="72"/>
        <v>1891.8</v>
      </c>
      <c r="Y71" s="7">
        <f t="shared" si="73"/>
        <v>127.51120097261868</v>
      </c>
    </row>
    <row r="72" spans="2:25" ht="23.25" customHeight="1" x14ac:dyDescent="0.25">
      <c r="B72" s="60"/>
      <c r="C72" s="63" t="s">
        <v>36</v>
      </c>
      <c r="D72" s="64"/>
      <c r="E72" s="30">
        <f>SUM(E68:E71)</f>
        <v>148698.79999999999</v>
      </c>
      <c r="F72" s="31">
        <f>SUM(F68:F71)</f>
        <v>1155.0999999999999</v>
      </c>
      <c r="G72" s="30">
        <f>E72/F72</f>
        <v>128.73240412085534</v>
      </c>
      <c r="H72" s="30">
        <f>SUM(H68:H71)</f>
        <v>0</v>
      </c>
      <c r="I72" s="31">
        <f>SUM(I68:I71)</f>
        <v>0</v>
      </c>
      <c r="J72" s="30" t="e">
        <f>H72/I72</f>
        <v>#DIV/0!</v>
      </c>
      <c r="K72" s="30">
        <f>SUM(K68:K71)</f>
        <v>297234.44</v>
      </c>
      <c r="L72" s="31">
        <f>SUM(L68:L71)</f>
        <v>2369</v>
      </c>
      <c r="M72" s="30">
        <f>K72/L72</f>
        <v>125.4683157450401</v>
      </c>
      <c r="N72" s="30">
        <f>SUM(N68:N71)</f>
        <v>0</v>
      </c>
      <c r="O72" s="31">
        <f>SUM(O68:O71)</f>
        <v>0</v>
      </c>
      <c r="P72" s="30" t="e">
        <f>N72/O72</f>
        <v>#DIV/0!</v>
      </c>
      <c r="Q72" s="30">
        <f>SUM(Q68:Q71)</f>
        <v>0</v>
      </c>
      <c r="R72" s="31">
        <f>SUM(R68:R71)</f>
        <v>0</v>
      </c>
      <c r="S72" s="30" t="e">
        <f>Q72/R72</f>
        <v>#DIV/0!</v>
      </c>
      <c r="T72" s="30">
        <f>SUM(T68:T71)</f>
        <v>446995.13999999996</v>
      </c>
      <c r="U72" s="31">
        <f>SUM(U68:U71)</f>
        <v>3999.7</v>
      </c>
      <c r="V72" s="30">
        <f>T72/U72</f>
        <v>111.75716678750906</v>
      </c>
      <c r="W72" s="30">
        <f>SUM(W68:W71)</f>
        <v>892928.38000000012</v>
      </c>
      <c r="X72" s="31">
        <f>SUM(X68:X71)</f>
        <v>7523.8</v>
      </c>
      <c r="Y72" s="32">
        <f>W72/X72</f>
        <v>118.68050453228423</v>
      </c>
    </row>
    <row r="73" spans="2:25" ht="23.25" customHeight="1" x14ac:dyDescent="0.25">
      <c r="B73" s="60"/>
      <c r="C73" s="62" t="s">
        <v>33</v>
      </c>
      <c r="D73" s="11">
        <v>44534</v>
      </c>
      <c r="E73" s="7">
        <v>54153.5</v>
      </c>
      <c r="F73" s="8">
        <v>414.2</v>
      </c>
      <c r="G73" s="7">
        <f t="shared" si="68"/>
        <v>130.74239497827136</v>
      </c>
      <c r="H73" s="7">
        <v>21200</v>
      </c>
      <c r="I73" s="8">
        <v>119.6</v>
      </c>
      <c r="J73" s="7">
        <f t="shared" si="74"/>
        <v>177.25752508361205</v>
      </c>
      <c r="K73" s="7">
        <v>70501.25</v>
      </c>
      <c r="L73" s="8">
        <v>528.29999999999995</v>
      </c>
      <c r="M73" s="13">
        <f t="shared" ref="M73" si="77">K73/L73</f>
        <v>133.44927124739732</v>
      </c>
      <c r="N73" s="36"/>
      <c r="O73" s="37"/>
      <c r="P73" s="36"/>
      <c r="Q73" s="7">
        <v>4670</v>
      </c>
      <c r="R73" s="8">
        <v>34.1</v>
      </c>
      <c r="S73" s="7">
        <f t="shared" ref="S73" si="78">Q73/R73</f>
        <v>136.95014662756597</v>
      </c>
      <c r="T73" s="7">
        <v>153807.5</v>
      </c>
      <c r="U73" s="8">
        <v>1114.9000000000001</v>
      </c>
      <c r="V73" s="7">
        <f t="shared" si="71"/>
        <v>137.95631895237238</v>
      </c>
      <c r="W73" s="7">
        <f t="shared" si="72"/>
        <v>304332.25</v>
      </c>
      <c r="X73" s="8">
        <f t="shared" si="72"/>
        <v>2211.1</v>
      </c>
      <c r="Y73" s="7">
        <f t="shared" si="73"/>
        <v>137.63839265523947</v>
      </c>
    </row>
    <row r="74" spans="2:25" ht="23.25" customHeight="1" x14ac:dyDescent="0.25">
      <c r="B74" s="60"/>
      <c r="C74" s="62">
        <v>11</v>
      </c>
      <c r="D74" s="11">
        <v>44541</v>
      </c>
      <c r="E74" s="7">
        <v>12650</v>
      </c>
      <c r="F74" s="8">
        <v>97.7</v>
      </c>
      <c r="G74" s="7">
        <f t="shared" si="68"/>
        <v>129.47799385875126</v>
      </c>
      <c r="H74" s="36"/>
      <c r="I74" s="37"/>
      <c r="J74" s="36"/>
      <c r="K74" s="7">
        <v>77702.5</v>
      </c>
      <c r="L74" s="8">
        <v>520.5</v>
      </c>
      <c r="M74" s="7">
        <f t="shared" ref="M74:M76" si="79">K74/L74</f>
        <v>149.28434197886648</v>
      </c>
      <c r="N74" s="36"/>
      <c r="O74" s="37"/>
      <c r="P74" s="36"/>
      <c r="Q74" s="36"/>
      <c r="R74" s="37"/>
      <c r="S74" s="38"/>
      <c r="T74" s="7">
        <v>125477.02</v>
      </c>
      <c r="U74" s="8">
        <v>1116.0999999999999</v>
      </c>
      <c r="V74" s="7">
        <f t="shared" si="71"/>
        <v>112.4245318519846</v>
      </c>
      <c r="W74" s="7">
        <f t="shared" si="72"/>
        <v>215829.52000000002</v>
      </c>
      <c r="X74" s="8">
        <f t="shared" si="72"/>
        <v>1734.3</v>
      </c>
      <c r="Y74" s="7">
        <f t="shared" si="73"/>
        <v>124.44762728478349</v>
      </c>
    </row>
    <row r="75" spans="2:25" ht="23.25" customHeight="1" x14ac:dyDescent="0.25">
      <c r="B75" s="60"/>
      <c r="C75" s="62">
        <v>12</v>
      </c>
      <c r="D75" s="11">
        <v>44913</v>
      </c>
      <c r="E75" s="7">
        <v>56310.06</v>
      </c>
      <c r="F75" s="8">
        <v>464.1</v>
      </c>
      <c r="G75" s="7">
        <f t="shared" si="68"/>
        <v>121.3317388493859</v>
      </c>
      <c r="H75" s="36"/>
      <c r="I75" s="37"/>
      <c r="J75" s="36"/>
      <c r="K75" s="7">
        <v>87267.06</v>
      </c>
      <c r="L75" s="8">
        <v>656.1</v>
      </c>
      <c r="M75" s="7">
        <f t="shared" si="79"/>
        <v>133.00877914951988</v>
      </c>
      <c r="N75" s="36"/>
      <c r="O75" s="37"/>
      <c r="P75" s="36"/>
      <c r="Q75" s="36"/>
      <c r="R75" s="37"/>
      <c r="S75" s="36"/>
      <c r="T75" s="7">
        <v>211669.55</v>
      </c>
      <c r="U75" s="8">
        <v>1719.5</v>
      </c>
      <c r="V75" s="7">
        <f t="shared" si="71"/>
        <v>123.09947659203256</v>
      </c>
      <c r="W75" s="7">
        <f t="shared" si="72"/>
        <v>355246.67</v>
      </c>
      <c r="X75" s="8">
        <f t="shared" si="72"/>
        <v>2839.7</v>
      </c>
      <c r="Y75" s="7">
        <f t="shared" si="73"/>
        <v>125.10007042997501</v>
      </c>
    </row>
    <row r="76" spans="2:25" ht="23.25" customHeight="1" x14ac:dyDescent="0.25">
      <c r="B76" s="60"/>
      <c r="C76" s="62">
        <v>13</v>
      </c>
      <c r="D76" s="11">
        <v>44920</v>
      </c>
      <c r="E76" s="7">
        <v>53650</v>
      </c>
      <c r="F76" s="8">
        <v>333.05</v>
      </c>
      <c r="G76" s="7">
        <f t="shared" si="68"/>
        <v>161.0869238853025</v>
      </c>
      <c r="H76" s="7">
        <v>7405</v>
      </c>
      <c r="I76" s="8">
        <v>52.86</v>
      </c>
      <c r="J76" s="7">
        <f t="shared" si="74"/>
        <v>140.08702232311768</v>
      </c>
      <c r="K76" s="7">
        <v>26500</v>
      </c>
      <c r="L76" s="8">
        <v>191.25000000000003</v>
      </c>
      <c r="M76" s="7">
        <f t="shared" si="79"/>
        <v>138.56209150326796</v>
      </c>
      <c r="N76" s="36"/>
      <c r="O76" s="37"/>
      <c r="P76" s="36"/>
      <c r="Q76" s="7">
        <v>27825</v>
      </c>
      <c r="R76" s="8">
        <v>313.5</v>
      </c>
      <c r="S76" s="7">
        <f t="shared" ref="S76" si="80">Q76/R76</f>
        <v>88.755980861244012</v>
      </c>
      <c r="T76" s="7">
        <v>148179.5</v>
      </c>
      <c r="U76" s="8">
        <v>1158.0900000000001</v>
      </c>
      <c r="V76" s="7">
        <f t="shared" si="71"/>
        <v>127.95162724831401</v>
      </c>
      <c r="W76" s="7">
        <f t="shared" si="72"/>
        <v>263559.5</v>
      </c>
      <c r="X76" s="8">
        <f t="shared" si="72"/>
        <v>2048.75</v>
      </c>
      <c r="Y76" s="7">
        <f t="shared" si="73"/>
        <v>128.64405125076266</v>
      </c>
    </row>
    <row r="77" spans="2:25" ht="23.25" customHeight="1" x14ac:dyDescent="0.25">
      <c r="B77" s="61"/>
      <c r="C77" s="63" t="s">
        <v>36</v>
      </c>
      <c r="D77" s="64"/>
      <c r="E77" s="30">
        <f>SUM(E73:E76)</f>
        <v>176763.56</v>
      </c>
      <c r="F77" s="31">
        <f>SUM(F73:F76)</f>
        <v>1309.05</v>
      </c>
      <c r="G77" s="30">
        <f>E77/F77</f>
        <v>135.0319391925442</v>
      </c>
      <c r="H77" s="30">
        <f>SUM(H73:H76)</f>
        <v>28605</v>
      </c>
      <c r="I77" s="31">
        <f>SUM(I73:I76)</f>
        <v>172.45999999999998</v>
      </c>
      <c r="J77" s="30">
        <f>H77/I77</f>
        <v>165.86454830105535</v>
      </c>
      <c r="K77" s="30">
        <f>SUM(K73:K76)</f>
        <v>261970.81</v>
      </c>
      <c r="L77" s="31">
        <f>SUM(L73:L76)</f>
        <v>1896.15</v>
      </c>
      <c r="M77" s="30">
        <f>K77/L77</f>
        <v>138.1593281122274</v>
      </c>
      <c r="N77" s="30">
        <f>SUM(N73:N76)</f>
        <v>0</v>
      </c>
      <c r="O77" s="31">
        <f>SUM(O73:O76)</f>
        <v>0</v>
      </c>
      <c r="P77" s="30" t="e">
        <f>N77/O77</f>
        <v>#DIV/0!</v>
      </c>
      <c r="Q77" s="30">
        <f>SUM(Q73:Q76)</f>
        <v>32495</v>
      </c>
      <c r="R77" s="31">
        <f>SUM(R73:R76)</f>
        <v>347.6</v>
      </c>
      <c r="S77" s="30">
        <f>Q77/R77</f>
        <v>93.483889528193316</v>
      </c>
      <c r="T77" s="30">
        <f>SUM(T73:T76)</f>
        <v>639133.57000000007</v>
      </c>
      <c r="U77" s="31">
        <f>SUM(U73:U76)</f>
        <v>5108.59</v>
      </c>
      <c r="V77" s="30">
        <f>T77/U77</f>
        <v>125.10958405352554</v>
      </c>
      <c r="W77" s="30">
        <f>SUM(W73:W76)</f>
        <v>1138967.94</v>
      </c>
      <c r="X77" s="31">
        <f>SUM(X73:X76)</f>
        <v>8833.8499999999985</v>
      </c>
      <c r="Y77" s="32">
        <f>W77/X77</f>
        <v>128.93222547360438</v>
      </c>
    </row>
    <row r="78" spans="2:25" ht="39" customHeight="1" x14ac:dyDescent="0.25">
      <c r="B78" s="52" t="s">
        <v>29</v>
      </c>
      <c r="C78" s="52"/>
      <c r="D78" s="52"/>
      <c r="E78" s="33">
        <f>SUM(E77,E72,E67)</f>
        <v>366561.31</v>
      </c>
      <c r="F78" s="34">
        <f>SUM(F77,F72,F67)</f>
        <v>2771.95</v>
      </c>
      <c r="G78" s="33">
        <f>E78/F78</f>
        <v>132.23951009217339</v>
      </c>
      <c r="H78" s="33">
        <f>SUM(H77,H72,H67)</f>
        <v>44250.75</v>
      </c>
      <c r="I78" s="34">
        <f>SUM(I77,I72,I67)</f>
        <v>303.26</v>
      </c>
      <c r="J78" s="33">
        <f>H78/I78</f>
        <v>145.9168700125305</v>
      </c>
      <c r="K78" s="33">
        <f>SUM(K77,K72,K67)</f>
        <v>728342.8</v>
      </c>
      <c r="L78" s="34">
        <f>SUM(L77,L72,L67)</f>
        <v>5587.45</v>
      </c>
      <c r="M78" s="33">
        <f>K78/L78</f>
        <v>130.35334544380711</v>
      </c>
      <c r="N78" s="33">
        <f>SUM(N77,N72,N67)</f>
        <v>0</v>
      </c>
      <c r="O78" s="34">
        <f>SUM(O77,O72,O67)</f>
        <v>0</v>
      </c>
      <c r="P78" s="33" t="e">
        <f>N78/O78</f>
        <v>#DIV/0!</v>
      </c>
      <c r="Q78" s="33">
        <f>SUM(Q77,Q72,Q67)</f>
        <v>55518.5</v>
      </c>
      <c r="R78" s="34">
        <f>SUM(R77,R72,R67)</f>
        <v>562.70000000000005</v>
      </c>
      <c r="S78" s="33">
        <f>Q78/R78</f>
        <v>98.664474853385457</v>
      </c>
      <c r="T78" s="33">
        <f>SUM(T77,T72,T67)</f>
        <v>1759071.96</v>
      </c>
      <c r="U78" s="34">
        <f>SUM(U77,U72,U67)</f>
        <v>14996.59</v>
      </c>
      <c r="V78" s="33">
        <f>T78/U78</f>
        <v>117.29812977483547</v>
      </c>
      <c r="W78" s="33">
        <f>SUM(W77,W72,W67)</f>
        <v>2953745.3200000003</v>
      </c>
      <c r="X78" s="34">
        <f>SUM(X77,X72,X67)</f>
        <v>24221.949999999997</v>
      </c>
      <c r="Y78" s="33">
        <f>W78/X78</f>
        <v>121.94498461106561</v>
      </c>
    </row>
    <row r="79" spans="2:25" ht="23.25" customHeight="1" x14ac:dyDescent="0.25">
      <c r="B79" s="53" t="s">
        <v>38</v>
      </c>
      <c r="C79" s="54"/>
      <c r="D79" s="54"/>
      <c r="E79" s="9">
        <f>SUM(E78,E59,E39,E20)</f>
        <v>1303117.23</v>
      </c>
      <c r="F79" s="10">
        <f>SUM(F78,F59,F39,F20)</f>
        <v>10383.949999999999</v>
      </c>
      <c r="G79" s="9">
        <f>E79/F79</f>
        <v>125.49340376253738</v>
      </c>
      <c r="H79" s="9">
        <f>SUM(H78,H59,H39,H20)</f>
        <v>1396222.95</v>
      </c>
      <c r="I79" s="10">
        <f>SUM(I78,I59,I39,I20)</f>
        <v>11183.66</v>
      </c>
      <c r="J79" s="9">
        <f>H79/I79</f>
        <v>124.84490318911698</v>
      </c>
      <c r="K79" s="9">
        <f>SUM(K78,K59,K39,K20)</f>
        <v>3860940.6</v>
      </c>
      <c r="L79" s="10">
        <f>SUM(L78,L59,L39,L20)</f>
        <v>30511.85</v>
      </c>
      <c r="M79" s="9">
        <f>K79/L79</f>
        <v>126.53905285979054</v>
      </c>
      <c r="N79" s="9">
        <f>SUM(N78,N59,N39,N20)</f>
        <v>382837.42</v>
      </c>
      <c r="O79" s="10">
        <f>SUM(O78,O59,O39,O20)</f>
        <v>3139.5</v>
      </c>
      <c r="P79" s="9">
        <f>N79/O79</f>
        <v>121.94216276477145</v>
      </c>
      <c r="Q79" s="9">
        <f>SUM(Q78,Q59,Q39,Q20)</f>
        <v>737766.77</v>
      </c>
      <c r="R79" s="10">
        <f>SUM(R78,R59,R39,R20)</f>
        <v>6566.8</v>
      </c>
      <c r="S79" s="9">
        <f>Q79/R79</f>
        <v>112.34798836571846</v>
      </c>
      <c r="T79" s="9">
        <f>SUM(T78,T59,T39,T20)</f>
        <v>5628423.4800000004</v>
      </c>
      <c r="U79" s="10">
        <f>SUM(U78,U59,U39,U20)</f>
        <v>46223.39</v>
      </c>
      <c r="V79" s="9">
        <f>T79/U79</f>
        <v>121.76570087135541</v>
      </c>
      <c r="W79" s="9">
        <f>SUM(W78,W59,W39,W20)</f>
        <v>13309308.449999999</v>
      </c>
      <c r="X79" s="10">
        <f>SUM(X78,X59,X39,X20)</f>
        <v>108009.15</v>
      </c>
      <c r="Y79" s="9">
        <f>W79/X79</f>
        <v>123.22389769755618</v>
      </c>
    </row>
    <row r="81" spans="23:23" x14ac:dyDescent="0.25">
      <c r="W81" s="2">
        <f>W79/240</f>
        <v>55455.451874999999</v>
      </c>
    </row>
    <row r="83" spans="23:23" x14ac:dyDescent="0.25">
      <c r="W83" s="2">
        <f>W81*120</f>
        <v>6654654.2249999996</v>
      </c>
    </row>
    <row r="85" spans="23:23" x14ac:dyDescent="0.25">
      <c r="W85" s="2">
        <f>W79+W83</f>
        <v>19963962.674999997</v>
      </c>
    </row>
  </sheetData>
  <mergeCells count="74">
    <mergeCell ref="B78:D78"/>
    <mergeCell ref="B79:D79"/>
    <mergeCell ref="K60:M60"/>
    <mergeCell ref="N60:P60"/>
    <mergeCell ref="T60:V60"/>
    <mergeCell ref="W60:Y60"/>
    <mergeCell ref="B62:B77"/>
    <mergeCell ref="C62:C66"/>
    <mergeCell ref="C67:D67"/>
    <mergeCell ref="C68:C71"/>
    <mergeCell ref="C72:D72"/>
    <mergeCell ref="C73:C76"/>
    <mergeCell ref="H60:J60"/>
    <mergeCell ref="C77:D77"/>
    <mergeCell ref="Q60:S60"/>
    <mergeCell ref="B59:D59"/>
    <mergeCell ref="B60:B61"/>
    <mergeCell ref="C60:C61"/>
    <mergeCell ref="D60:D61"/>
    <mergeCell ref="E60:G60"/>
    <mergeCell ref="B43:B58"/>
    <mergeCell ref="C43:C47"/>
    <mergeCell ref="C48:D48"/>
    <mergeCell ref="C49:C52"/>
    <mergeCell ref="C53:D53"/>
    <mergeCell ref="C54:C57"/>
    <mergeCell ref="C58:D58"/>
    <mergeCell ref="H21:J21"/>
    <mergeCell ref="Q21:S21"/>
    <mergeCell ref="W41:Y41"/>
    <mergeCell ref="C38:D38"/>
    <mergeCell ref="B39:D39"/>
    <mergeCell ref="B40:D40"/>
    <mergeCell ref="B41:B42"/>
    <mergeCell ref="C41:C42"/>
    <mergeCell ref="D41:D42"/>
    <mergeCell ref="E41:G41"/>
    <mergeCell ref="H41:J41"/>
    <mergeCell ref="K41:M41"/>
    <mergeCell ref="N41:P41"/>
    <mergeCell ref="T41:V41"/>
    <mergeCell ref="Q41:S41"/>
    <mergeCell ref="B23:B38"/>
    <mergeCell ref="C23:C26"/>
    <mergeCell ref="C27:D27"/>
    <mergeCell ref="C28:C32"/>
    <mergeCell ref="C33:D33"/>
    <mergeCell ref="C34:C37"/>
    <mergeCell ref="K21:M21"/>
    <mergeCell ref="N21:P21"/>
    <mergeCell ref="N2:P2"/>
    <mergeCell ref="T21:V21"/>
    <mergeCell ref="W21:Y21"/>
    <mergeCell ref="T2:V2"/>
    <mergeCell ref="W2:Y2"/>
    <mergeCell ref="K2:M2"/>
    <mergeCell ref="Q2:S2"/>
    <mergeCell ref="B20:D20"/>
    <mergeCell ref="B21:B22"/>
    <mergeCell ref="C21:C22"/>
    <mergeCell ref="D21:D22"/>
    <mergeCell ref="E21:G21"/>
    <mergeCell ref="B4:B19"/>
    <mergeCell ref="C4:C7"/>
    <mergeCell ref="C9:D9"/>
    <mergeCell ref="C10:C13"/>
    <mergeCell ref="C14:D14"/>
    <mergeCell ref="C15:C18"/>
    <mergeCell ref="C19:D19"/>
    <mergeCell ref="B2:B3"/>
    <mergeCell ref="C2:C3"/>
    <mergeCell ref="D2:D3"/>
    <mergeCell ref="E2:G2"/>
    <mergeCell ref="H2:J2"/>
  </mergeCells>
  <printOptions horizontalCentered="1"/>
  <pageMargins left="0.7" right="0.7" top="1" bottom="0.75" header="0.3" footer="0.3"/>
  <pageSetup paperSize="17" scale="71" orientation="landscape" r:id="rId1"/>
  <headerFooter>
    <oddHeader>&amp;C&amp;"Arial Black,Regular"&amp;16 2025 SALES REPORT
&amp;12SALESMAN PERFORMANCE</oddHeader>
    <oddFooter>&amp;L&amp;Z&amp;F&amp;R&amp;D</oddFooter>
  </headerFooter>
  <rowBreaks count="1" manualBreakCount="1">
    <brk id="40" max="2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3769-C390-464F-B400-0E9C5C37D16F}">
  <dimension ref="B2:V85"/>
  <sheetViews>
    <sheetView tabSelected="1" zoomScale="130" zoomScaleNormal="130" zoomScaleSheetLayoutView="130" workbookViewId="0">
      <pane xSplit="3" ySplit="3" topLeftCell="G38" activePane="bottomRight" state="frozen"/>
      <selection activeCell="T85" sqref="T85"/>
      <selection pane="topRight" activeCell="T85" sqref="T85"/>
      <selection pane="bottomLeft" activeCell="T85" sqref="T85"/>
      <selection pane="bottomRight" activeCell="Q48" sqref="Q48"/>
    </sheetView>
  </sheetViews>
  <sheetFormatPr defaultRowHeight="15" x14ac:dyDescent="0.25"/>
  <cols>
    <col min="1" max="1" width="1.140625" customWidth="1"/>
    <col min="2" max="2" width="6" bestFit="1" customWidth="1"/>
    <col min="3" max="3" width="11.5703125" customWidth="1"/>
    <col min="4" max="4" width="7.42578125" bestFit="1" customWidth="1"/>
    <col min="5" max="5" width="16.140625" style="2" customWidth="1"/>
    <col min="6" max="6" width="10.42578125" style="4" customWidth="1"/>
    <col min="7" max="7" width="8.85546875" style="2" bestFit="1" customWidth="1"/>
    <col min="8" max="8" width="16.140625" style="2" customWidth="1"/>
    <col min="9" max="9" width="10.42578125" style="4" customWidth="1"/>
    <col min="10" max="10" width="9.28515625" style="2" customWidth="1"/>
    <col min="11" max="11" width="16.140625" style="2" customWidth="1"/>
    <col min="12" max="12" width="12.85546875" style="4" customWidth="1"/>
    <col min="13" max="13" width="9.28515625" style="2" customWidth="1"/>
    <col min="14" max="14" width="16.140625" style="2" customWidth="1"/>
    <col min="15" max="15" width="10.42578125" style="4" customWidth="1"/>
    <col min="16" max="16" width="9.28515625" style="2" customWidth="1"/>
    <col min="17" max="17" width="16.140625" style="2" customWidth="1"/>
    <col min="18" max="18" width="10.42578125" style="4" customWidth="1"/>
    <col min="19" max="19" width="9.28515625" style="2" customWidth="1"/>
    <col min="20" max="20" width="16.140625" style="2" customWidth="1"/>
    <col min="21" max="21" width="12" style="4" customWidth="1"/>
    <col min="22" max="22" width="9.28515625" style="2" customWidth="1"/>
    <col min="23" max="23" width="1.140625" customWidth="1"/>
  </cols>
  <sheetData>
    <row r="2" spans="2:22" x14ac:dyDescent="0.25">
      <c r="B2" s="67" t="s">
        <v>15</v>
      </c>
      <c r="C2" s="67" t="s">
        <v>10</v>
      </c>
      <c r="D2" s="67" t="s">
        <v>0</v>
      </c>
      <c r="E2" s="58" t="s">
        <v>44</v>
      </c>
      <c r="F2" s="58"/>
      <c r="G2" s="58"/>
      <c r="H2" s="55" t="s">
        <v>7</v>
      </c>
      <c r="I2" s="56"/>
      <c r="J2" s="57"/>
      <c r="K2" s="58" t="s">
        <v>45</v>
      </c>
      <c r="L2" s="58"/>
      <c r="M2" s="58"/>
      <c r="N2" s="58" t="s">
        <v>46</v>
      </c>
      <c r="O2" s="58"/>
      <c r="P2" s="58"/>
      <c r="Q2" s="58" t="s">
        <v>4</v>
      </c>
      <c r="R2" s="58"/>
      <c r="S2" s="58"/>
      <c r="T2" s="58" t="s">
        <v>9</v>
      </c>
      <c r="U2" s="58"/>
      <c r="V2" s="58"/>
    </row>
    <row r="3" spans="2:22" x14ac:dyDescent="0.25">
      <c r="B3" s="67"/>
      <c r="C3" s="67"/>
      <c r="D3" s="67"/>
      <c r="E3" s="1" t="s">
        <v>1</v>
      </c>
      <c r="F3" s="3" t="s">
        <v>2</v>
      </c>
      <c r="G3" s="1" t="s">
        <v>3</v>
      </c>
      <c r="H3" s="1" t="s">
        <v>1</v>
      </c>
      <c r="I3" s="3" t="s">
        <v>2</v>
      </c>
      <c r="J3" s="1" t="s">
        <v>3</v>
      </c>
      <c r="K3" s="1" t="s">
        <v>1</v>
      </c>
      <c r="L3" s="3" t="s">
        <v>2</v>
      </c>
      <c r="M3" s="1" t="s">
        <v>3</v>
      </c>
      <c r="N3" s="1" t="s">
        <v>1</v>
      </c>
      <c r="O3" s="3" t="s">
        <v>2</v>
      </c>
      <c r="P3" s="1" t="s">
        <v>3</v>
      </c>
      <c r="Q3" s="1" t="s">
        <v>1</v>
      </c>
      <c r="R3" s="3" t="s">
        <v>2</v>
      </c>
      <c r="S3" s="1" t="s">
        <v>3</v>
      </c>
      <c r="T3" s="1" t="s">
        <v>1</v>
      </c>
      <c r="U3" s="3" t="s">
        <v>2</v>
      </c>
      <c r="V3" s="1" t="s">
        <v>3</v>
      </c>
    </row>
    <row r="4" spans="2:22" ht="23.25" customHeight="1" x14ac:dyDescent="0.25">
      <c r="B4" s="59" t="s">
        <v>16</v>
      </c>
      <c r="C4" s="59" t="s">
        <v>11</v>
      </c>
      <c r="D4" s="11">
        <v>46023</v>
      </c>
      <c r="E4" s="13">
        <v>17661.990000000002</v>
      </c>
      <c r="F4" s="16">
        <v>142.34</v>
      </c>
      <c r="G4" s="13">
        <f t="shared" ref="G4:G8" si="0">E4/F4</f>
        <v>124.08311086131798</v>
      </c>
      <c r="H4" s="13">
        <v>19962.39</v>
      </c>
      <c r="I4" s="16">
        <v>151.79</v>
      </c>
      <c r="J4" s="13">
        <f t="shared" ref="J4:J13" si="1">H4/I4</f>
        <v>131.51320903880361</v>
      </c>
      <c r="K4" s="13">
        <v>37535</v>
      </c>
      <c r="L4" s="16">
        <v>343.65</v>
      </c>
      <c r="M4" s="13">
        <f t="shared" ref="M4:M7" si="2">K4/L4</f>
        <v>109.22450167321404</v>
      </c>
      <c r="N4" s="38"/>
      <c r="O4" s="39"/>
      <c r="P4" s="38"/>
      <c r="Q4" s="13">
        <v>107986.5</v>
      </c>
      <c r="R4" s="16">
        <v>842.19999999999982</v>
      </c>
      <c r="S4" s="13">
        <f t="shared" ref="S4:S8" si="3">Q4/R4</f>
        <v>128.21954405129426</v>
      </c>
      <c r="T4" s="13">
        <f>SUM(E4,H4,K4,N4,Q4)</f>
        <v>183145.88</v>
      </c>
      <c r="U4" s="16">
        <f>SUM(F4,I4,L4,O4,R4)</f>
        <v>1479.9799999999998</v>
      </c>
      <c r="V4" s="13">
        <f>T4/U4</f>
        <v>123.74888849849324</v>
      </c>
    </row>
    <row r="5" spans="2:22" ht="23.25" customHeight="1" x14ac:dyDescent="0.25">
      <c r="B5" s="60"/>
      <c r="C5" s="60"/>
      <c r="D5" s="11">
        <v>46030</v>
      </c>
      <c r="E5" s="13">
        <v>66511.990000000005</v>
      </c>
      <c r="F5" s="16">
        <v>425.7</v>
      </c>
      <c r="G5" s="13">
        <f t="shared" si="0"/>
        <v>156.24146112285649</v>
      </c>
      <c r="H5" s="13">
        <v>39995.39</v>
      </c>
      <c r="I5" s="16">
        <v>290.8</v>
      </c>
      <c r="J5" s="13">
        <f t="shared" si="1"/>
        <v>137.53572902338377</v>
      </c>
      <c r="K5" s="13">
        <v>45875</v>
      </c>
      <c r="L5" s="16">
        <v>415.8</v>
      </c>
      <c r="M5" s="13">
        <f t="shared" si="2"/>
        <v>110.32948532948532</v>
      </c>
      <c r="N5" s="38"/>
      <c r="O5" s="39"/>
      <c r="P5" s="38"/>
      <c r="Q5" s="13">
        <v>191837.33</v>
      </c>
      <c r="R5" s="16">
        <v>1559.3</v>
      </c>
      <c r="S5" s="13">
        <f t="shared" si="3"/>
        <v>123.02785224139036</v>
      </c>
      <c r="T5" s="13">
        <f t="shared" ref="T5:T8" si="4">SUM(E5,H5,K5,N5,Q5)</f>
        <v>344219.70999999996</v>
      </c>
      <c r="U5" s="16">
        <f t="shared" ref="U5:U8" si="5">SUM(F5,I5,L5,O5,R5)</f>
        <v>2691.6</v>
      </c>
      <c r="V5" s="13">
        <f t="shared" ref="V5:V8" si="6">T5/U5</f>
        <v>127.88665106256501</v>
      </c>
    </row>
    <row r="6" spans="2:22" ht="23.25" customHeight="1" x14ac:dyDescent="0.25">
      <c r="B6" s="60"/>
      <c r="C6" s="60"/>
      <c r="D6" s="11">
        <v>46037</v>
      </c>
      <c r="E6" s="13">
        <v>31122.959999999999</v>
      </c>
      <c r="F6" s="16">
        <v>211.6</v>
      </c>
      <c r="G6" s="13">
        <f t="shared" si="0"/>
        <v>147.08393194706994</v>
      </c>
      <c r="H6" s="13">
        <v>87125.38</v>
      </c>
      <c r="I6" s="16">
        <v>694.9</v>
      </c>
      <c r="J6" s="13">
        <f t="shared" si="1"/>
        <v>125.3782990358325</v>
      </c>
      <c r="K6" s="13">
        <v>4080</v>
      </c>
      <c r="L6" s="16">
        <v>27.9</v>
      </c>
      <c r="M6" s="13">
        <f t="shared" si="2"/>
        <v>146.23655913978496</v>
      </c>
      <c r="N6" s="13">
        <v>4955</v>
      </c>
      <c r="O6" s="16">
        <v>45.4</v>
      </c>
      <c r="P6" s="13">
        <f t="shared" ref="P6:P8" si="7">N6/O6</f>
        <v>109.1409691629956</v>
      </c>
      <c r="Q6" s="13">
        <v>79331.5</v>
      </c>
      <c r="R6" s="16">
        <v>519.1</v>
      </c>
      <c r="S6" s="13">
        <f t="shared" si="3"/>
        <v>152.82508187247157</v>
      </c>
      <c r="T6" s="13">
        <f t="shared" si="4"/>
        <v>206614.84</v>
      </c>
      <c r="U6" s="16">
        <f t="shared" si="5"/>
        <v>1498.9</v>
      </c>
      <c r="V6" s="13">
        <f t="shared" si="6"/>
        <v>137.84431249583025</v>
      </c>
    </row>
    <row r="7" spans="2:22" ht="23.25" customHeight="1" x14ac:dyDescent="0.25">
      <c r="B7" s="60"/>
      <c r="C7" s="60"/>
      <c r="D7" s="11">
        <v>46044</v>
      </c>
      <c r="E7" s="38"/>
      <c r="F7" s="39"/>
      <c r="G7" s="38"/>
      <c r="H7" s="13">
        <v>26213.75</v>
      </c>
      <c r="I7" s="16">
        <v>201.6</v>
      </c>
      <c r="J7" s="13">
        <f t="shared" si="1"/>
        <v>130.02852182539684</v>
      </c>
      <c r="K7" s="13">
        <v>20485</v>
      </c>
      <c r="L7" s="16">
        <v>164</v>
      </c>
      <c r="M7" s="13">
        <f t="shared" si="2"/>
        <v>124.90853658536585</v>
      </c>
      <c r="N7" s="38"/>
      <c r="O7" s="39"/>
      <c r="P7" s="38"/>
      <c r="Q7" s="13">
        <v>220214.58</v>
      </c>
      <c r="R7" s="16">
        <v>2247.4</v>
      </c>
      <c r="S7" s="13">
        <f t="shared" si="3"/>
        <v>97.986375367090858</v>
      </c>
      <c r="T7" s="13">
        <f t="shared" si="4"/>
        <v>266913.32999999996</v>
      </c>
      <c r="U7" s="16">
        <f t="shared" si="5"/>
        <v>2613</v>
      </c>
      <c r="V7" s="13">
        <f t="shared" si="6"/>
        <v>102.14823191733637</v>
      </c>
    </row>
    <row r="8" spans="2:22" ht="23.25" customHeight="1" x14ac:dyDescent="0.25">
      <c r="B8" s="60"/>
      <c r="C8" s="35"/>
      <c r="D8" s="11">
        <v>45686</v>
      </c>
      <c r="E8" s="13">
        <v>30330</v>
      </c>
      <c r="F8" s="16">
        <v>222.5</v>
      </c>
      <c r="G8" s="13">
        <f t="shared" si="0"/>
        <v>136.31460674157304</v>
      </c>
      <c r="H8" s="13">
        <v>113821.32</v>
      </c>
      <c r="I8" s="16">
        <v>814.2</v>
      </c>
      <c r="J8" s="13">
        <f t="shared" si="1"/>
        <v>139.79528371407517</v>
      </c>
      <c r="K8" s="38"/>
      <c r="L8" s="39"/>
      <c r="M8" s="38"/>
      <c r="N8" s="13">
        <v>10335</v>
      </c>
      <c r="O8" s="16">
        <v>75.900000000000006</v>
      </c>
      <c r="P8" s="13">
        <f t="shared" si="7"/>
        <v>136.16600790513834</v>
      </c>
      <c r="Q8" s="13">
        <v>52296.55</v>
      </c>
      <c r="R8" s="16">
        <v>462.2</v>
      </c>
      <c r="S8" s="13">
        <f t="shared" si="3"/>
        <v>113.14701427953268</v>
      </c>
      <c r="T8" s="13">
        <f t="shared" si="4"/>
        <v>206782.87</v>
      </c>
      <c r="U8" s="16">
        <f t="shared" si="5"/>
        <v>1574.8000000000002</v>
      </c>
      <c r="V8" s="13">
        <f t="shared" si="6"/>
        <v>131.3073850647701</v>
      </c>
    </row>
    <row r="9" spans="2:22" ht="23.25" customHeight="1" x14ac:dyDescent="0.25">
      <c r="B9" s="60"/>
      <c r="C9" s="63" t="s">
        <v>36</v>
      </c>
      <c r="D9" s="64"/>
      <c r="E9" s="30">
        <f>SUM(E4:E8)</f>
        <v>145626.94</v>
      </c>
      <c r="F9" s="31">
        <f>SUM(F4:F8)</f>
        <v>1002.14</v>
      </c>
      <c r="G9" s="30">
        <f>E9/F9</f>
        <v>145.31596383738798</v>
      </c>
      <c r="H9" s="30">
        <f>SUM(H4:H8)</f>
        <v>287118.23</v>
      </c>
      <c r="I9" s="31">
        <f>SUM(I4:I8)</f>
        <v>2153.29</v>
      </c>
      <c r="J9" s="30">
        <f>H9/I9</f>
        <v>133.3393226179474</v>
      </c>
      <c r="K9" s="30">
        <f>SUM(K4:K8)</f>
        <v>107975</v>
      </c>
      <c r="L9" s="31">
        <f>SUM(L4:L8)</f>
        <v>951.35</v>
      </c>
      <c r="M9" s="30">
        <f>K9/L9</f>
        <v>113.49661008041204</v>
      </c>
      <c r="N9" s="30">
        <f>SUM(N4:N8)</f>
        <v>15290</v>
      </c>
      <c r="O9" s="31">
        <f>SUM(O4:O8)</f>
        <v>121.30000000000001</v>
      </c>
      <c r="P9" s="30">
        <f>N9/O9</f>
        <v>126.05111294311622</v>
      </c>
      <c r="Q9" s="30">
        <f>SUM(Q4:Q8)</f>
        <v>651666.46</v>
      </c>
      <c r="R9" s="31">
        <f>SUM(R4:R8)</f>
        <v>5630.2</v>
      </c>
      <c r="S9" s="30">
        <f>Q9/R9</f>
        <v>115.74481545948633</v>
      </c>
      <c r="T9" s="30">
        <f>SUM(T4:T8)</f>
        <v>1207676.6299999999</v>
      </c>
      <c r="U9" s="31">
        <f>SUM(U4:U8)</f>
        <v>9858.2799999999988</v>
      </c>
      <c r="V9" s="32">
        <f>T9/U9</f>
        <v>122.50378666461087</v>
      </c>
    </row>
    <row r="10" spans="2:22" ht="23.25" customHeight="1" x14ac:dyDescent="0.25">
      <c r="B10" s="60"/>
      <c r="C10" s="59" t="s">
        <v>12</v>
      </c>
      <c r="D10" s="11">
        <v>45693</v>
      </c>
      <c r="E10" s="13">
        <v>83059.56</v>
      </c>
      <c r="F10" s="16">
        <v>675.6</v>
      </c>
      <c r="G10" s="13">
        <f t="shared" ref="G10:G18" si="8">E10/F10</f>
        <v>122.94191829484902</v>
      </c>
      <c r="H10" s="13">
        <v>143368.5</v>
      </c>
      <c r="I10" s="16">
        <v>982.8</v>
      </c>
      <c r="J10" s="13">
        <f t="shared" si="1"/>
        <v>145.87759462759465</v>
      </c>
      <c r="K10" s="38"/>
      <c r="L10" s="39"/>
      <c r="M10" s="38"/>
      <c r="N10" s="13">
        <v>98775.38</v>
      </c>
      <c r="O10" s="16">
        <v>1127.0999999999999</v>
      </c>
      <c r="P10" s="13">
        <f t="shared" ref="P10:P13" si="9">N10/O10</f>
        <v>87.636749179309746</v>
      </c>
      <c r="Q10" s="13">
        <v>37970</v>
      </c>
      <c r="R10" s="16">
        <v>288.60000000000002</v>
      </c>
      <c r="S10" s="13">
        <f t="shared" ref="S10:S13" si="10">Q10/R10</f>
        <v>131.56618156618157</v>
      </c>
      <c r="T10" s="13">
        <f>SUM(E10,H10,K10,N10,Q10)</f>
        <v>363173.44</v>
      </c>
      <c r="U10" s="16">
        <f>SUM(F10,I10,L10,O10,R10)</f>
        <v>3074.1</v>
      </c>
      <c r="V10" s="13">
        <f t="shared" ref="V10:V13" si="11">T10/U10</f>
        <v>118.13976123092938</v>
      </c>
    </row>
    <row r="11" spans="2:22" ht="23.25" customHeight="1" x14ac:dyDescent="0.25">
      <c r="B11" s="60"/>
      <c r="C11" s="60"/>
      <c r="D11" s="11">
        <v>45700</v>
      </c>
      <c r="E11" s="13">
        <v>36635</v>
      </c>
      <c r="F11" s="16">
        <v>279.89999999999998</v>
      </c>
      <c r="G11" s="13">
        <f t="shared" si="8"/>
        <v>130.88603072525902</v>
      </c>
      <c r="H11" s="13">
        <v>110910.25</v>
      </c>
      <c r="I11" s="16">
        <v>774.9</v>
      </c>
      <c r="J11" s="13">
        <f t="shared" si="1"/>
        <v>143.12846818944379</v>
      </c>
      <c r="K11" s="38"/>
      <c r="L11" s="39"/>
      <c r="M11" s="38"/>
      <c r="N11" s="13">
        <v>12456.45</v>
      </c>
      <c r="O11" s="16">
        <v>140.80000000000001</v>
      </c>
      <c r="P11" s="13">
        <f t="shared" si="9"/>
        <v>88.46910511363636</v>
      </c>
      <c r="Q11" s="13">
        <v>26035</v>
      </c>
      <c r="R11" s="16">
        <v>235.6</v>
      </c>
      <c r="S11" s="13">
        <f t="shared" si="10"/>
        <v>110.50509337860781</v>
      </c>
      <c r="T11" s="13">
        <f t="shared" ref="T11:T13" si="12">SUM(E11,H11,K11,N11,Q11)</f>
        <v>186036.7</v>
      </c>
      <c r="U11" s="16">
        <f t="shared" ref="U11:U13" si="13">SUM(F11,I11,L11,O11,R11)</f>
        <v>1431.1999999999998</v>
      </c>
      <c r="V11" s="13">
        <f t="shared" si="11"/>
        <v>129.98651481274459</v>
      </c>
    </row>
    <row r="12" spans="2:22" ht="23.25" customHeight="1" x14ac:dyDescent="0.25">
      <c r="B12" s="60"/>
      <c r="C12" s="60"/>
      <c r="D12" s="11">
        <v>46072</v>
      </c>
      <c r="E12" s="13">
        <v>11086.5</v>
      </c>
      <c r="F12" s="16">
        <v>117.6</v>
      </c>
      <c r="G12" s="13">
        <f t="shared" si="8"/>
        <v>94.272959183673478</v>
      </c>
      <c r="H12" s="13">
        <v>212647.5</v>
      </c>
      <c r="I12" s="16">
        <v>1456.1</v>
      </c>
      <c r="J12" s="13">
        <f t="shared" si="1"/>
        <v>146.03907698647072</v>
      </c>
      <c r="K12" s="13">
        <v>199950.5</v>
      </c>
      <c r="L12" s="16">
        <v>606.1</v>
      </c>
      <c r="M12" s="13">
        <f t="shared" ref="M12" si="14">K12/L12</f>
        <v>329.89688170268931</v>
      </c>
      <c r="N12" s="13">
        <v>59889.56</v>
      </c>
      <c r="O12" s="16">
        <v>500.1</v>
      </c>
      <c r="P12" s="13">
        <f t="shared" si="9"/>
        <v>119.75516896620675</v>
      </c>
      <c r="Q12" s="13">
        <v>42355</v>
      </c>
      <c r="R12" s="16">
        <v>657.9</v>
      </c>
      <c r="S12" s="13">
        <f t="shared" si="10"/>
        <v>64.379084967320267</v>
      </c>
      <c r="T12" s="13">
        <f t="shared" si="12"/>
        <v>525929.06000000006</v>
      </c>
      <c r="U12" s="16">
        <f t="shared" si="13"/>
        <v>3337.7999999999997</v>
      </c>
      <c r="V12" s="13">
        <f t="shared" si="11"/>
        <v>157.56757744622209</v>
      </c>
    </row>
    <row r="13" spans="2:22" ht="23.25" customHeight="1" x14ac:dyDescent="0.25">
      <c r="B13" s="60"/>
      <c r="C13" s="60"/>
      <c r="D13" s="11">
        <v>45714</v>
      </c>
      <c r="E13" s="13">
        <v>69219.59</v>
      </c>
      <c r="F13" s="16">
        <v>533.20000000000005</v>
      </c>
      <c r="G13" s="13">
        <f t="shared" si="8"/>
        <v>129.81918604651162</v>
      </c>
      <c r="H13" s="13">
        <v>4095</v>
      </c>
      <c r="I13" s="16">
        <v>15.4</v>
      </c>
      <c r="J13" s="13">
        <f t="shared" si="1"/>
        <v>265.90909090909088</v>
      </c>
      <c r="K13" s="38"/>
      <c r="L13" s="39"/>
      <c r="M13" s="38"/>
      <c r="N13" s="13">
        <v>33602.75</v>
      </c>
      <c r="O13" s="16">
        <v>269.39999999999998</v>
      </c>
      <c r="P13" s="13">
        <f t="shared" si="9"/>
        <v>124.73181143281367</v>
      </c>
      <c r="Q13" s="13">
        <v>72631</v>
      </c>
      <c r="R13" s="16">
        <v>502.6</v>
      </c>
      <c r="S13" s="13">
        <f t="shared" si="10"/>
        <v>144.51054516514125</v>
      </c>
      <c r="T13" s="13">
        <f t="shared" si="12"/>
        <v>179548.34</v>
      </c>
      <c r="U13" s="16">
        <f t="shared" si="13"/>
        <v>1320.6</v>
      </c>
      <c r="V13" s="13">
        <f t="shared" si="11"/>
        <v>135.95966984703924</v>
      </c>
    </row>
    <row r="14" spans="2:22" ht="23.25" customHeight="1" x14ac:dyDescent="0.25">
      <c r="B14" s="60"/>
      <c r="C14" s="63" t="s">
        <v>36</v>
      </c>
      <c r="D14" s="64"/>
      <c r="E14" s="30">
        <f>SUM(E10:E13)</f>
        <v>200000.65</v>
      </c>
      <c r="F14" s="31">
        <f>SUM(F10:F13)</f>
        <v>1606.3</v>
      </c>
      <c r="G14" s="30">
        <f>E14/F14</f>
        <v>124.51014754404532</v>
      </c>
      <c r="H14" s="30">
        <f>SUM(H10:H13)</f>
        <v>471021.25</v>
      </c>
      <c r="I14" s="31">
        <f>SUM(I10:I13)</f>
        <v>3229.2</v>
      </c>
      <c r="J14" s="30">
        <f>H14/I14</f>
        <v>145.86313947726993</v>
      </c>
      <c r="K14" s="30">
        <f>SUM(K10:K13)</f>
        <v>199950.5</v>
      </c>
      <c r="L14" s="31">
        <f>SUM(L10:L13)</f>
        <v>606.1</v>
      </c>
      <c r="M14" s="30">
        <f>K14/L14</f>
        <v>329.89688170268931</v>
      </c>
      <c r="N14" s="30">
        <f>SUM(N10:N13)</f>
        <v>204724.14</v>
      </c>
      <c r="O14" s="31">
        <f>SUM(O10:O13)</f>
        <v>2037.4</v>
      </c>
      <c r="P14" s="30">
        <f>N14/O14</f>
        <v>100.48303720427997</v>
      </c>
      <c r="Q14" s="30">
        <f>SUM(Q10:Q13)</f>
        <v>178991</v>
      </c>
      <c r="R14" s="31">
        <f>SUM(R10:R13)</f>
        <v>1684.6999999999998</v>
      </c>
      <c r="S14" s="30">
        <f>Q14/R14</f>
        <v>106.24502878850835</v>
      </c>
      <c r="T14" s="30">
        <f>SUM(T10:T13)</f>
        <v>1254687.5400000003</v>
      </c>
      <c r="U14" s="31">
        <f>SUM(U10:U13)</f>
        <v>9163.6999999999989</v>
      </c>
      <c r="V14" s="32">
        <f>T14/U14</f>
        <v>136.91931643331847</v>
      </c>
    </row>
    <row r="15" spans="2:22" ht="23.25" customHeight="1" x14ac:dyDescent="0.25">
      <c r="B15" s="60"/>
      <c r="C15" s="59" t="s">
        <v>13</v>
      </c>
      <c r="D15" s="11">
        <v>46086</v>
      </c>
      <c r="E15" s="13">
        <v>27608.11</v>
      </c>
      <c r="F15" s="16">
        <v>210</v>
      </c>
      <c r="G15" s="13">
        <f t="shared" si="8"/>
        <v>131.46719047619047</v>
      </c>
      <c r="H15" s="13">
        <v>66777.649999999994</v>
      </c>
      <c r="I15" s="16">
        <v>428.5</v>
      </c>
      <c r="J15" s="13">
        <f t="shared" ref="J15:J18" si="15">H15/I15</f>
        <v>155.84049008168026</v>
      </c>
      <c r="K15" s="38"/>
      <c r="L15" s="39"/>
      <c r="M15" s="38"/>
      <c r="N15" s="13">
        <v>77994.8</v>
      </c>
      <c r="O15" s="16">
        <v>657.4</v>
      </c>
      <c r="P15" s="13">
        <f t="shared" ref="P15:P18" si="16">N15/O15</f>
        <v>118.64131426832979</v>
      </c>
      <c r="Q15" s="13">
        <v>109400.25</v>
      </c>
      <c r="R15" s="16">
        <v>777.7</v>
      </c>
      <c r="S15" s="13">
        <f t="shared" ref="S15:S18" si="17">Q15/R15</f>
        <v>140.67153143885815</v>
      </c>
      <c r="T15" s="13">
        <f>SUM(E15,H15,K15,N15,Q15)</f>
        <v>281780.81</v>
      </c>
      <c r="U15" s="16">
        <f>SUM(F15,I15,L15,O15,R15)</f>
        <v>2073.6000000000004</v>
      </c>
      <c r="V15" s="13">
        <f t="shared" ref="V15:V18" si="18">T15/U15</f>
        <v>135.88966531635799</v>
      </c>
    </row>
    <row r="16" spans="2:22" ht="23.25" customHeight="1" x14ac:dyDescent="0.25">
      <c r="B16" s="60"/>
      <c r="C16" s="60"/>
      <c r="D16" s="11">
        <v>45728</v>
      </c>
      <c r="E16" s="13">
        <v>28432.22</v>
      </c>
      <c r="F16" s="16">
        <v>220.7</v>
      </c>
      <c r="G16" s="13">
        <f t="shared" si="8"/>
        <v>128.82745808790213</v>
      </c>
      <c r="H16" s="13">
        <v>40778</v>
      </c>
      <c r="I16" s="16">
        <v>253.7</v>
      </c>
      <c r="J16" s="13">
        <f t="shared" si="15"/>
        <v>160.73314938904218</v>
      </c>
      <c r="K16" s="38"/>
      <c r="L16" s="39"/>
      <c r="M16" s="38"/>
      <c r="N16" s="13">
        <v>56132.7</v>
      </c>
      <c r="O16" s="16">
        <v>457.8</v>
      </c>
      <c r="P16" s="13">
        <f t="shared" si="16"/>
        <v>122.6140235910878</v>
      </c>
      <c r="Q16" s="13">
        <v>96137.3</v>
      </c>
      <c r="R16" s="16">
        <v>673</v>
      </c>
      <c r="S16" s="13">
        <f t="shared" si="17"/>
        <v>142.84888558692421</v>
      </c>
      <c r="T16" s="13">
        <f t="shared" ref="T16:T18" si="19">SUM(E16,H16,K16,N16,Q16)</f>
        <v>221480.22</v>
      </c>
      <c r="U16" s="16">
        <f t="shared" ref="U16:U18" si="20">SUM(F16,I16,L16,O16,R16)</f>
        <v>1605.2</v>
      </c>
      <c r="V16" s="13">
        <f t="shared" si="18"/>
        <v>137.97671318215799</v>
      </c>
    </row>
    <row r="17" spans="2:22" ht="23.25" customHeight="1" x14ac:dyDescent="0.25">
      <c r="B17" s="60"/>
      <c r="C17" s="60"/>
      <c r="D17" s="11">
        <v>45735</v>
      </c>
      <c r="E17" s="13">
        <v>56009.599999999999</v>
      </c>
      <c r="F17" s="16">
        <v>403.5</v>
      </c>
      <c r="G17" s="13">
        <f t="shared" si="8"/>
        <v>138.80941759603471</v>
      </c>
      <c r="H17" s="13">
        <v>43713.8</v>
      </c>
      <c r="I17" s="16">
        <v>361</v>
      </c>
      <c r="J17" s="13">
        <f t="shared" si="15"/>
        <v>121.09085872576178</v>
      </c>
      <c r="K17" s="38"/>
      <c r="L17" s="39"/>
      <c r="M17" s="38"/>
      <c r="N17" s="13">
        <v>190024.25</v>
      </c>
      <c r="O17" s="16">
        <v>1520.7</v>
      </c>
      <c r="P17" s="13">
        <f t="shared" si="16"/>
        <v>124.95840731242191</v>
      </c>
      <c r="Q17" s="13">
        <v>34326.699999999997</v>
      </c>
      <c r="R17" s="16">
        <v>313.10000000000002</v>
      </c>
      <c r="S17" s="13">
        <f t="shared" si="17"/>
        <v>109.63494091344617</v>
      </c>
      <c r="T17" s="13">
        <f t="shared" si="19"/>
        <v>324074.35000000003</v>
      </c>
      <c r="U17" s="16">
        <f t="shared" si="20"/>
        <v>2598.2999999999997</v>
      </c>
      <c r="V17" s="13">
        <f t="shared" si="18"/>
        <v>124.72553207866684</v>
      </c>
    </row>
    <row r="18" spans="2:22" ht="23.25" customHeight="1" x14ac:dyDescent="0.25">
      <c r="B18" s="60"/>
      <c r="C18" s="60"/>
      <c r="D18" s="11">
        <v>46107</v>
      </c>
      <c r="E18" s="13">
        <v>22694.5</v>
      </c>
      <c r="F18" s="16">
        <v>172.4</v>
      </c>
      <c r="G18" s="13">
        <f t="shared" si="8"/>
        <v>131.63863109048722</v>
      </c>
      <c r="H18" s="13">
        <v>84831.85</v>
      </c>
      <c r="I18" s="16">
        <v>614.9</v>
      </c>
      <c r="J18" s="13">
        <f t="shared" si="15"/>
        <v>137.96040006505123</v>
      </c>
      <c r="K18" s="50"/>
      <c r="L18" s="51"/>
      <c r="M18" s="50" t="e">
        <f t="shared" ref="M18" si="21">K18/L18</f>
        <v>#DIV/0!</v>
      </c>
      <c r="N18" s="13">
        <v>45742.7</v>
      </c>
      <c r="O18" s="16">
        <v>342.8</v>
      </c>
      <c r="P18" s="13">
        <f t="shared" si="16"/>
        <v>133.43844807467909</v>
      </c>
      <c r="Q18" s="13">
        <v>40845.25</v>
      </c>
      <c r="R18" s="16">
        <v>317.3</v>
      </c>
      <c r="S18" s="13">
        <f t="shared" si="17"/>
        <v>128.72754491017963</v>
      </c>
      <c r="T18" s="13">
        <f t="shared" si="19"/>
        <v>194114.3</v>
      </c>
      <c r="U18" s="16">
        <f t="shared" si="20"/>
        <v>1447.3999999999999</v>
      </c>
      <c r="V18" s="13">
        <f t="shared" si="18"/>
        <v>134.11240845654277</v>
      </c>
    </row>
    <row r="19" spans="2:22" ht="23.25" customHeight="1" x14ac:dyDescent="0.25">
      <c r="B19" s="61"/>
      <c r="C19" s="63" t="s">
        <v>36</v>
      </c>
      <c r="D19" s="64"/>
      <c r="E19" s="30">
        <f>SUM(E15:E18)</f>
        <v>134744.43</v>
      </c>
      <c r="F19" s="31">
        <f>SUM(F15:F18)</f>
        <v>1006.6</v>
      </c>
      <c r="G19" s="30">
        <f>E19/F19</f>
        <v>133.86094774488376</v>
      </c>
      <c r="H19" s="30">
        <f>SUM(H15:H18)</f>
        <v>236101.30000000002</v>
      </c>
      <c r="I19" s="31">
        <f>SUM(I15:I18)</f>
        <v>1658.1</v>
      </c>
      <c r="J19" s="30">
        <f>H19/I19</f>
        <v>142.3926783668054</v>
      </c>
      <c r="K19" s="30">
        <f>SUM(K15:K18)</f>
        <v>0</v>
      </c>
      <c r="L19" s="31">
        <f>SUM(L15:L18)</f>
        <v>0</v>
      </c>
      <c r="M19" s="30" t="e">
        <f>K19/L19</f>
        <v>#DIV/0!</v>
      </c>
      <c r="N19" s="30">
        <f>SUM(N15:N18)</f>
        <v>369894.45</v>
      </c>
      <c r="O19" s="31">
        <f>SUM(O15:O18)</f>
        <v>2978.7000000000003</v>
      </c>
      <c r="P19" s="30">
        <f>N19/O19</f>
        <v>124.17982677006748</v>
      </c>
      <c r="Q19" s="30">
        <f>SUM(Q15:Q18)</f>
        <v>280709.5</v>
      </c>
      <c r="R19" s="31">
        <f>SUM(R15:R18)</f>
        <v>2081.1000000000004</v>
      </c>
      <c r="S19" s="30">
        <f>Q19/R19</f>
        <v>134.8851568881841</v>
      </c>
      <c r="T19" s="30">
        <f>SUM(T15:T18)</f>
        <v>1021449.6800000002</v>
      </c>
      <c r="U19" s="31">
        <f>SUM(U15:U18)</f>
        <v>7724.5</v>
      </c>
      <c r="V19" s="32">
        <f>T19/U19</f>
        <v>132.23505469609685</v>
      </c>
    </row>
    <row r="20" spans="2:22" ht="39" customHeight="1" x14ac:dyDescent="0.25">
      <c r="B20" s="68" t="s">
        <v>20</v>
      </c>
      <c r="C20" s="68"/>
      <c r="D20" s="68"/>
      <c r="E20" s="33">
        <f>SUM(E19,E14,E9)</f>
        <v>480372.01999999996</v>
      </c>
      <c r="F20" s="34">
        <f>SUM(F19,F14,F9)</f>
        <v>3615.04</v>
      </c>
      <c r="G20" s="33">
        <f>E20/F20</f>
        <v>132.88152274940248</v>
      </c>
      <c r="H20" s="33">
        <f>SUM(H19,H14,H9)</f>
        <v>994240.78</v>
      </c>
      <c r="I20" s="34">
        <f>SUM(I19,I14,I9)</f>
        <v>7040.5899999999992</v>
      </c>
      <c r="J20" s="33">
        <f>H20/I20</f>
        <v>141.2155486969132</v>
      </c>
      <c r="K20" s="33">
        <f>SUM(K19,K14,K9)</f>
        <v>307925.5</v>
      </c>
      <c r="L20" s="34">
        <f>SUM(L19,L14,L9)</f>
        <v>1557.45</v>
      </c>
      <c r="M20" s="33">
        <f>K20/L20</f>
        <v>197.71132299592281</v>
      </c>
      <c r="N20" s="33">
        <f>SUM(N19,N14,N9)</f>
        <v>589908.59000000008</v>
      </c>
      <c r="O20" s="34">
        <f>SUM(O19,O14,O9)</f>
        <v>5137.4000000000005</v>
      </c>
      <c r="P20" s="33">
        <f>N20/O20</f>
        <v>114.82629150932378</v>
      </c>
      <c r="Q20" s="33">
        <f>SUM(Q19,Q14,Q9)</f>
        <v>1111366.96</v>
      </c>
      <c r="R20" s="34">
        <f>SUM(R19,R14,R9)</f>
        <v>9396</v>
      </c>
      <c r="S20" s="33">
        <f>Q20/R20</f>
        <v>118.28085994040016</v>
      </c>
      <c r="T20" s="33">
        <f>SUM(T19,T14,T9)</f>
        <v>3483813.8500000006</v>
      </c>
      <c r="U20" s="34">
        <f>SUM(U19,U14,U9)</f>
        <v>26746.479999999996</v>
      </c>
      <c r="V20" s="33">
        <f>T20/U20</f>
        <v>130.25317163230454</v>
      </c>
    </row>
    <row r="21" spans="2:22" x14ac:dyDescent="0.25">
      <c r="B21" s="67" t="s">
        <v>15</v>
      </c>
      <c r="C21" s="67" t="s">
        <v>10</v>
      </c>
      <c r="D21" s="67" t="s">
        <v>0</v>
      </c>
      <c r="E21" s="58" t="s">
        <v>44</v>
      </c>
      <c r="F21" s="58"/>
      <c r="G21" s="58"/>
      <c r="H21" s="55" t="s">
        <v>7</v>
      </c>
      <c r="I21" s="56"/>
      <c r="J21" s="57"/>
      <c r="K21" s="58" t="s">
        <v>45</v>
      </c>
      <c r="L21" s="58"/>
      <c r="M21" s="58"/>
      <c r="N21" s="58" t="s">
        <v>46</v>
      </c>
      <c r="O21" s="58"/>
      <c r="P21" s="58"/>
      <c r="Q21" s="58" t="s">
        <v>4</v>
      </c>
      <c r="R21" s="58"/>
      <c r="S21" s="58"/>
      <c r="T21" s="58" t="s">
        <v>9</v>
      </c>
      <c r="U21" s="58"/>
      <c r="V21" s="58"/>
    </row>
    <row r="22" spans="2:22" x14ac:dyDescent="0.25">
      <c r="B22" s="67"/>
      <c r="C22" s="67"/>
      <c r="D22" s="67"/>
      <c r="E22" s="1" t="s">
        <v>1</v>
      </c>
      <c r="F22" s="3" t="s">
        <v>2</v>
      </c>
      <c r="G22" s="1" t="s">
        <v>3</v>
      </c>
      <c r="H22" s="1" t="s">
        <v>1</v>
      </c>
      <c r="I22" s="3" t="s">
        <v>2</v>
      </c>
      <c r="J22" s="1" t="s">
        <v>3</v>
      </c>
      <c r="K22" s="1" t="s">
        <v>1</v>
      </c>
      <c r="L22" s="3" t="s">
        <v>2</v>
      </c>
      <c r="M22" s="1" t="s">
        <v>3</v>
      </c>
      <c r="N22" s="1" t="s">
        <v>1</v>
      </c>
      <c r="O22" s="3" t="s">
        <v>2</v>
      </c>
      <c r="P22" s="1" t="s">
        <v>3</v>
      </c>
      <c r="Q22" s="1" t="s">
        <v>1</v>
      </c>
      <c r="R22" s="3" t="s">
        <v>2</v>
      </c>
      <c r="S22" s="1" t="s">
        <v>3</v>
      </c>
      <c r="T22" s="1" t="s">
        <v>1</v>
      </c>
      <c r="U22" s="3" t="s">
        <v>2</v>
      </c>
      <c r="V22" s="1" t="s">
        <v>3</v>
      </c>
    </row>
    <row r="23" spans="2:22" ht="23.25" customHeight="1" x14ac:dyDescent="0.25">
      <c r="B23" s="59" t="s">
        <v>19</v>
      </c>
      <c r="C23" s="62" t="s">
        <v>14</v>
      </c>
      <c r="D23" s="11">
        <v>45749</v>
      </c>
      <c r="E23" s="7">
        <v>76505</v>
      </c>
      <c r="F23" s="8">
        <v>550.79999999999995</v>
      </c>
      <c r="G23" s="7">
        <f t="shared" ref="G23:G27" si="22">E23/F23</f>
        <v>138.89796659404504</v>
      </c>
      <c r="H23" s="7">
        <v>117126</v>
      </c>
      <c r="I23" s="8">
        <v>753</v>
      </c>
      <c r="J23" s="7">
        <f t="shared" ref="J23:J27" si="23">H23/I23</f>
        <v>155.54581673306774</v>
      </c>
      <c r="K23" s="7">
        <v>900</v>
      </c>
      <c r="L23" s="8">
        <v>2.1</v>
      </c>
      <c r="M23" s="7">
        <f t="shared" ref="M23:M26" si="24">K23/L23</f>
        <v>428.57142857142856</v>
      </c>
      <c r="N23" s="7">
        <v>65540.95</v>
      </c>
      <c r="O23" s="8">
        <v>634.70000000000005</v>
      </c>
      <c r="P23" s="7">
        <f t="shared" ref="P23:P27" si="25">N23/O23</f>
        <v>103.26288010083503</v>
      </c>
      <c r="Q23" s="36"/>
      <c r="R23" s="37"/>
      <c r="S23" s="36"/>
      <c r="T23" s="7">
        <f>SUM(E23,H23,K23,N23,Q23)</f>
        <v>260071.95</v>
      </c>
      <c r="U23" s="8">
        <f>SUM(F23,I23,L23,O23,R23)</f>
        <v>1940.6</v>
      </c>
      <c r="V23" s="7">
        <f t="shared" ref="V23:V26" si="26">T23/U23</f>
        <v>134.01625785839431</v>
      </c>
    </row>
    <row r="24" spans="2:22" ht="23.25" customHeight="1" x14ac:dyDescent="0.25">
      <c r="B24" s="60"/>
      <c r="C24" s="62"/>
      <c r="D24" s="11">
        <v>45757</v>
      </c>
      <c r="E24" s="7">
        <v>10441.5</v>
      </c>
      <c r="F24" s="8">
        <v>69</v>
      </c>
      <c r="G24" s="7">
        <f t="shared" si="22"/>
        <v>151.32608695652175</v>
      </c>
      <c r="H24" s="7">
        <v>100307.55</v>
      </c>
      <c r="I24" s="8">
        <v>671.1</v>
      </c>
      <c r="J24" s="7">
        <f t="shared" si="23"/>
        <v>149.46736700938757</v>
      </c>
      <c r="K24" s="43"/>
      <c r="L24" s="44"/>
      <c r="M24" s="43" t="e">
        <f t="shared" si="24"/>
        <v>#DIV/0!</v>
      </c>
      <c r="N24" s="7">
        <v>54862.54</v>
      </c>
      <c r="O24" s="8">
        <v>408.6</v>
      </c>
      <c r="P24" s="7">
        <f t="shared" si="25"/>
        <v>134.26955457660304</v>
      </c>
      <c r="Q24" s="7">
        <v>66410.8</v>
      </c>
      <c r="R24" s="8">
        <v>476.2</v>
      </c>
      <c r="S24" s="7">
        <f t="shared" ref="S24:S27" si="27">Q24/R24</f>
        <v>139.45989080218396</v>
      </c>
      <c r="T24" s="7">
        <f t="shared" ref="T24:T26" si="28">SUM(E24,H24,K24,N24,Q24)</f>
        <v>232022.39</v>
      </c>
      <c r="U24" s="8">
        <f t="shared" ref="U24:U26" si="29">SUM(F24,I24,L24,O24,R24)</f>
        <v>1624.9</v>
      </c>
      <c r="V24" s="7">
        <f t="shared" si="26"/>
        <v>142.79179641824112</v>
      </c>
    </row>
    <row r="25" spans="2:22" ht="23.25" customHeight="1" x14ac:dyDescent="0.25">
      <c r="B25" s="60"/>
      <c r="C25" s="62"/>
      <c r="D25" s="11">
        <v>45764</v>
      </c>
      <c r="E25" s="7">
        <v>42058.239999999998</v>
      </c>
      <c r="F25" s="8">
        <v>317.10000000000002</v>
      </c>
      <c r="G25" s="7">
        <f t="shared" si="22"/>
        <v>132.63399558498895</v>
      </c>
      <c r="H25" s="7">
        <v>171096.09</v>
      </c>
      <c r="I25" s="8">
        <v>1211.5</v>
      </c>
      <c r="J25" s="7">
        <f t="shared" si="23"/>
        <v>141.22665290961618</v>
      </c>
      <c r="K25" s="43"/>
      <c r="L25" s="44"/>
      <c r="M25" s="43" t="e">
        <f t="shared" si="24"/>
        <v>#DIV/0!</v>
      </c>
      <c r="N25" s="7">
        <v>39009.199999999997</v>
      </c>
      <c r="O25" s="8">
        <v>342.1</v>
      </c>
      <c r="P25" s="7">
        <f t="shared" si="25"/>
        <v>114.02864659456297</v>
      </c>
      <c r="Q25" s="7">
        <v>11490</v>
      </c>
      <c r="R25" s="8">
        <v>86</v>
      </c>
      <c r="S25" s="7">
        <f t="shared" si="27"/>
        <v>133.6046511627907</v>
      </c>
      <c r="T25" s="7">
        <f t="shared" si="28"/>
        <v>263653.52999999997</v>
      </c>
      <c r="U25" s="8">
        <f t="shared" si="29"/>
        <v>1956.6999999999998</v>
      </c>
      <c r="V25" s="7">
        <f t="shared" si="26"/>
        <v>134.7439719936628</v>
      </c>
    </row>
    <row r="26" spans="2:22" ht="23.25" customHeight="1" x14ac:dyDescent="0.25">
      <c r="B26" s="60"/>
      <c r="C26" s="62"/>
      <c r="D26" s="11">
        <v>45770</v>
      </c>
      <c r="E26" s="7">
        <v>13060.25</v>
      </c>
      <c r="F26" s="8">
        <v>133</v>
      </c>
      <c r="G26" s="7">
        <f t="shared" si="22"/>
        <v>98.19736842105263</v>
      </c>
      <c r="H26" s="7">
        <v>124983.96</v>
      </c>
      <c r="I26" s="8">
        <v>897</v>
      </c>
      <c r="J26" s="7">
        <f t="shared" si="23"/>
        <v>139.33551839464883</v>
      </c>
      <c r="K26" s="43"/>
      <c r="L26" s="44"/>
      <c r="M26" s="43" t="e">
        <f t="shared" si="24"/>
        <v>#DIV/0!</v>
      </c>
      <c r="N26" s="7">
        <v>179500.45</v>
      </c>
      <c r="O26" s="8">
        <v>1961.3</v>
      </c>
      <c r="P26" s="7">
        <f t="shared" si="25"/>
        <v>91.521159435068583</v>
      </c>
      <c r="Q26" s="7">
        <v>69980</v>
      </c>
      <c r="R26" s="8">
        <v>406.8</v>
      </c>
      <c r="S26" s="7">
        <f t="shared" si="27"/>
        <v>172.02556538839724</v>
      </c>
      <c r="T26" s="7">
        <f t="shared" si="28"/>
        <v>387524.66000000003</v>
      </c>
      <c r="U26" s="8">
        <f t="shared" si="29"/>
        <v>3398.1000000000004</v>
      </c>
      <c r="V26" s="7">
        <f t="shared" si="26"/>
        <v>114.04157028927931</v>
      </c>
    </row>
    <row r="27" spans="2:22" ht="23.25" customHeight="1" x14ac:dyDescent="0.25">
      <c r="B27" s="60"/>
      <c r="C27" s="45"/>
      <c r="D27" s="11">
        <v>46142</v>
      </c>
      <c r="E27" s="46">
        <v>6924.55</v>
      </c>
      <c r="F27">
        <v>43.2</v>
      </c>
      <c r="G27" s="7">
        <f t="shared" si="22"/>
        <v>160.29050925925927</v>
      </c>
      <c r="H27" s="46">
        <v>116046.34</v>
      </c>
      <c r="I27">
        <v>858.9</v>
      </c>
      <c r="J27" s="7">
        <f t="shared" si="23"/>
        <v>135.11042030504134</v>
      </c>
      <c r="K27" s="43"/>
      <c r="L27" s="44"/>
      <c r="M27" s="43" t="e">
        <f t="shared" ref="M27" si="30">K27/L27</f>
        <v>#DIV/0!</v>
      </c>
      <c r="N27" s="46">
        <v>79560.06</v>
      </c>
      <c r="O27">
        <v>703.6</v>
      </c>
      <c r="P27" s="7">
        <f t="shared" si="25"/>
        <v>113.07569641841955</v>
      </c>
      <c r="Q27" s="7">
        <v>5642.25</v>
      </c>
      <c r="R27" s="8">
        <v>43.3</v>
      </c>
      <c r="S27" s="7">
        <f t="shared" si="27"/>
        <v>130.30600461893766</v>
      </c>
      <c r="T27" s="7">
        <f t="shared" ref="T27" si="31">SUM(E27,H27,K27,N27,Q27)</f>
        <v>208173.2</v>
      </c>
      <c r="U27" s="8">
        <f t="shared" ref="U27" si="32">SUM(F27,I27,L27,O27,R27)</f>
        <v>1649</v>
      </c>
      <c r="V27" s="7">
        <f t="shared" ref="V27" si="33">T27/U27</f>
        <v>126.24208611279565</v>
      </c>
    </row>
    <row r="28" spans="2:22" ht="23.25" customHeight="1" x14ac:dyDescent="0.25">
      <c r="B28" s="60"/>
      <c r="C28" s="63" t="s">
        <v>36</v>
      </c>
      <c r="D28" s="64"/>
      <c r="E28" s="30">
        <f>SUM(E23:E27)</f>
        <v>148989.53999999998</v>
      </c>
      <c r="F28" s="30">
        <f t="shared" ref="F28:U28" si="34">SUM(F23:F27)</f>
        <v>1113.1000000000001</v>
      </c>
      <c r="G28" s="30">
        <f>AVERAGE(G23:G27)</f>
        <v>136.26918536317353</v>
      </c>
      <c r="H28" s="30">
        <f>SUM(H23:H27)</f>
        <v>629559.94000000006</v>
      </c>
      <c r="I28" s="30">
        <f t="shared" si="34"/>
        <v>4391.5</v>
      </c>
      <c r="J28" s="30">
        <f>AVERAGE(J23:J27)</f>
        <v>144.13715507035232</v>
      </c>
      <c r="K28" s="30">
        <f t="shared" si="34"/>
        <v>900</v>
      </c>
      <c r="L28" s="30">
        <f t="shared" si="34"/>
        <v>2.1</v>
      </c>
      <c r="M28" s="30" t="e">
        <f t="shared" si="34"/>
        <v>#DIV/0!</v>
      </c>
      <c r="N28" s="30">
        <f t="shared" si="34"/>
        <v>418473.2</v>
      </c>
      <c r="O28" s="30">
        <f t="shared" si="34"/>
        <v>4050.2999999999997</v>
      </c>
      <c r="P28" s="30">
        <f>AVERAGE(P23:P27)</f>
        <v>111.23158742509784</v>
      </c>
      <c r="Q28" s="30">
        <f t="shared" si="34"/>
        <v>153523.04999999999</v>
      </c>
      <c r="R28" s="30">
        <f t="shared" si="34"/>
        <v>1012.3</v>
      </c>
      <c r="S28" s="30">
        <f>AVERAGE(S23:S27)</f>
        <v>143.84902799307739</v>
      </c>
      <c r="T28" s="30">
        <f t="shared" si="34"/>
        <v>1351445.73</v>
      </c>
      <c r="U28" s="30">
        <f t="shared" si="34"/>
        <v>10569.3</v>
      </c>
      <c r="V28" s="30">
        <f>AVERAGE(V23:V27)</f>
        <v>130.36713653447461</v>
      </c>
    </row>
    <row r="29" spans="2:22" ht="23.25" customHeight="1" x14ac:dyDescent="0.25">
      <c r="B29" s="60"/>
      <c r="C29" s="59" t="s">
        <v>17</v>
      </c>
      <c r="D29" s="11">
        <v>46148</v>
      </c>
      <c r="E29" s="7">
        <v>157233.88</v>
      </c>
      <c r="F29" s="8">
        <v>1123.8</v>
      </c>
      <c r="G29" s="7">
        <f t="shared" ref="G29:G32" si="35">E29/F29</f>
        <v>139.91268909058553</v>
      </c>
      <c r="H29" s="7">
        <v>86938.52</v>
      </c>
      <c r="I29" s="8">
        <v>583.9</v>
      </c>
      <c r="J29" s="7">
        <f t="shared" ref="J29:J32" si="36">H29/I29</f>
        <v>148.89282411371812</v>
      </c>
      <c r="K29" s="7">
        <v>900</v>
      </c>
      <c r="L29" s="8">
        <v>2.6</v>
      </c>
      <c r="M29" s="7">
        <f t="shared" ref="M29:M32" si="37">K29/L29</f>
        <v>346.15384615384613</v>
      </c>
      <c r="N29" s="7">
        <v>48606.59</v>
      </c>
      <c r="O29" s="8">
        <v>341.6</v>
      </c>
      <c r="P29" s="7">
        <f t="shared" ref="P29:P32" si="38">N29/O29</f>
        <v>142.29095433255267</v>
      </c>
      <c r="Q29" s="7">
        <v>71370</v>
      </c>
      <c r="R29" s="8">
        <v>836</v>
      </c>
      <c r="S29" s="7">
        <f t="shared" ref="S29:S37" si="39">Q29/R29</f>
        <v>85.370813397129183</v>
      </c>
      <c r="T29" s="7">
        <f>SUM(E29,H29,K29,N29,Q29)</f>
        <v>365048.99</v>
      </c>
      <c r="U29" s="8">
        <f>SUM(F29,I29,L29,O29,R29)</f>
        <v>2887.8999999999996</v>
      </c>
      <c r="V29" s="7">
        <f>T29/U29</f>
        <v>126.40638179992384</v>
      </c>
    </row>
    <row r="30" spans="2:22" ht="23.25" customHeight="1" x14ac:dyDescent="0.25">
      <c r="B30" s="60"/>
      <c r="C30" s="60">
        <v>7</v>
      </c>
      <c r="D30" s="11">
        <v>46155</v>
      </c>
      <c r="E30" s="7">
        <v>25802.85</v>
      </c>
      <c r="F30" s="8">
        <v>228.6</v>
      </c>
      <c r="G30" s="7">
        <f t="shared" si="35"/>
        <v>112.87335958005249</v>
      </c>
      <c r="H30" s="7">
        <v>99314.34</v>
      </c>
      <c r="I30" s="8">
        <v>729.8</v>
      </c>
      <c r="J30" s="7">
        <f t="shared" si="36"/>
        <v>136.08432447245821</v>
      </c>
      <c r="K30" s="7">
        <v>13112.99</v>
      </c>
      <c r="L30" s="8">
        <v>82.7</v>
      </c>
      <c r="M30" s="7">
        <f t="shared" si="37"/>
        <v>158.56094316807739</v>
      </c>
      <c r="N30" s="7">
        <v>59772.65</v>
      </c>
      <c r="O30" s="8">
        <v>414.9</v>
      </c>
      <c r="P30" s="7">
        <f t="shared" si="38"/>
        <v>144.06519643287541</v>
      </c>
      <c r="Q30" s="7">
        <v>10306</v>
      </c>
      <c r="R30" s="8">
        <v>88</v>
      </c>
      <c r="S30" s="7">
        <f t="shared" si="39"/>
        <v>117.11363636363636</v>
      </c>
      <c r="T30" s="7">
        <f t="shared" ref="T30:T32" si="40">SUM(E30,H30,K30,N30,Q30)</f>
        <v>208308.83</v>
      </c>
      <c r="U30" s="8">
        <f t="shared" ref="U30:U32" si="41">SUM(F30,I30,L30,O30,R30)</f>
        <v>1544</v>
      </c>
      <c r="V30" s="7">
        <f t="shared" ref="V30:V32" si="42">T30/U30</f>
        <v>134.91504533678756</v>
      </c>
    </row>
    <row r="31" spans="2:22" ht="23.25" customHeight="1" x14ac:dyDescent="0.25">
      <c r="B31" s="60"/>
      <c r="C31" s="60">
        <v>8</v>
      </c>
      <c r="D31" s="11">
        <v>46162</v>
      </c>
      <c r="E31" s="7">
        <v>16385</v>
      </c>
      <c r="F31" s="8">
        <v>138.5</v>
      </c>
      <c r="G31" s="7">
        <f t="shared" si="35"/>
        <v>118.30324909747293</v>
      </c>
      <c r="H31" s="7">
        <v>23382.81</v>
      </c>
      <c r="I31" s="8">
        <v>191.1</v>
      </c>
      <c r="J31" s="7">
        <f t="shared" si="36"/>
        <v>122.35902668759813</v>
      </c>
      <c r="K31" s="43"/>
      <c r="L31" s="44"/>
      <c r="M31" s="43" t="e">
        <f t="shared" si="37"/>
        <v>#DIV/0!</v>
      </c>
      <c r="N31" s="7">
        <v>61879.56</v>
      </c>
      <c r="O31" s="8">
        <v>503.1</v>
      </c>
      <c r="P31" s="7">
        <f t="shared" si="38"/>
        <v>122.99654144305306</v>
      </c>
      <c r="Q31" s="7">
        <v>100027.5</v>
      </c>
      <c r="R31" s="8">
        <v>840.6</v>
      </c>
      <c r="S31" s="7">
        <f t="shared" si="39"/>
        <v>118.99536045681656</v>
      </c>
      <c r="T31" s="7">
        <f t="shared" si="40"/>
        <v>201674.87</v>
      </c>
      <c r="U31" s="8">
        <f t="shared" si="41"/>
        <v>1673.3000000000002</v>
      </c>
      <c r="V31" s="7">
        <f t="shared" si="42"/>
        <v>120.52523157831828</v>
      </c>
    </row>
    <row r="32" spans="2:22" ht="23.25" customHeight="1" x14ac:dyDescent="0.25">
      <c r="B32" s="60"/>
      <c r="C32" s="60">
        <v>9</v>
      </c>
      <c r="D32" s="11">
        <v>46169</v>
      </c>
      <c r="E32" s="7">
        <v>34535</v>
      </c>
      <c r="F32" s="8">
        <v>301.3</v>
      </c>
      <c r="G32" s="7">
        <f t="shared" si="35"/>
        <v>114.61998008629273</v>
      </c>
      <c r="H32" s="7">
        <v>37721.81</v>
      </c>
      <c r="I32" s="8">
        <v>283.5</v>
      </c>
      <c r="J32" s="7">
        <f t="shared" si="36"/>
        <v>133.05753086419753</v>
      </c>
      <c r="K32" s="43"/>
      <c r="L32" s="44"/>
      <c r="M32" s="43" t="e">
        <f t="shared" si="37"/>
        <v>#DIV/0!</v>
      </c>
      <c r="N32" s="7">
        <v>54312.95</v>
      </c>
      <c r="O32" s="8">
        <v>432.2</v>
      </c>
      <c r="P32" s="7">
        <f t="shared" si="38"/>
        <v>125.66624248033318</v>
      </c>
      <c r="Q32" s="7">
        <v>72578.100000000006</v>
      </c>
      <c r="R32" s="8">
        <v>795.1</v>
      </c>
      <c r="S32" s="7">
        <f t="shared" si="39"/>
        <v>91.281725569110804</v>
      </c>
      <c r="T32" s="7">
        <f t="shared" si="40"/>
        <v>199147.86</v>
      </c>
      <c r="U32" s="8">
        <f t="shared" si="41"/>
        <v>1812.1</v>
      </c>
      <c r="V32" s="7">
        <f t="shared" si="42"/>
        <v>109.89893493736548</v>
      </c>
    </row>
    <row r="33" spans="2:22" ht="23.25" customHeight="1" x14ac:dyDescent="0.25">
      <c r="B33" s="60"/>
      <c r="C33" s="63" t="s">
        <v>36</v>
      </c>
      <c r="D33" s="64"/>
      <c r="E33" s="30">
        <f>SUM(E29:E32)</f>
        <v>233956.73</v>
      </c>
      <c r="F33" s="31">
        <f>SUM(F29:F32)</f>
        <v>1792.1999999999998</v>
      </c>
      <c r="G33" s="30">
        <f>E33/F33</f>
        <v>130.54164155786185</v>
      </c>
      <c r="H33" s="30">
        <f>SUM(H29:H32)</f>
        <v>247357.47999999998</v>
      </c>
      <c r="I33" s="31">
        <f>SUM(I29:I32)</f>
        <v>1788.2999999999997</v>
      </c>
      <c r="J33" s="30">
        <f>H33/I33</f>
        <v>138.31990158250855</v>
      </c>
      <c r="K33" s="30">
        <f>SUM(K29:K32)</f>
        <v>14012.99</v>
      </c>
      <c r="L33" s="31">
        <f>SUM(L29:L32)</f>
        <v>85.3</v>
      </c>
      <c r="M33" s="30">
        <f>K33/L33</f>
        <v>164.278898007034</v>
      </c>
      <c r="N33" s="30">
        <f>SUM(N29:N32)</f>
        <v>224571.75</v>
      </c>
      <c r="O33" s="31">
        <f>SUM(O29:O32)</f>
        <v>1691.8</v>
      </c>
      <c r="P33" s="30">
        <f>N33/O33</f>
        <v>132.74131102967254</v>
      </c>
      <c r="Q33" s="30">
        <f>SUM(Q29:Q32)</f>
        <v>254281.60000000001</v>
      </c>
      <c r="R33" s="31">
        <f>SUM(R29:R32)</f>
        <v>2559.6999999999998</v>
      </c>
      <c r="S33" s="30">
        <f>Q33/R33</f>
        <v>99.340391452123299</v>
      </c>
      <c r="T33" s="30">
        <f>SUM(T29:T32)</f>
        <v>974180.54999999993</v>
      </c>
      <c r="U33" s="31">
        <f>SUM(U29:U32)</f>
        <v>7917.2999999999993</v>
      </c>
      <c r="V33" s="32">
        <f>T33/U33</f>
        <v>123.04454169982191</v>
      </c>
    </row>
    <row r="34" spans="2:22" ht="23.25" customHeight="1" x14ac:dyDescent="0.25">
      <c r="B34" s="60"/>
      <c r="C34" s="59" t="s">
        <v>18</v>
      </c>
      <c r="D34" s="11">
        <v>45811</v>
      </c>
      <c r="E34" s="7">
        <v>63282</v>
      </c>
      <c r="F34" s="8">
        <v>482.2</v>
      </c>
      <c r="G34" s="7">
        <f t="shared" ref="G34:G37" si="43">E34/F34</f>
        <v>131.23600165906262</v>
      </c>
      <c r="H34" s="7">
        <v>72364.490000000005</v>
      </c>
      <c r="I34" s="8">
        <v>583</v>
      </c>
      <c r="J34" s="7">
        <f t="shared" ref="J34:J37" si="44">H34/I34</f>
        <v>124.12433962264151</v>
      </c>
      <c r="K34" s="43"/>
      <c r="L34" s="44"/>
      <c r="M34" s="43" t="e">
        <f t="shared" ref="M34:M37" si="45">K34/L34</f>
        <v>#DIV/0!</v>
      </c>
      <c r="N34" s="43"/>
      <c r="O34" s="44"/>
      <c r="P34" s="43" t="e">
        <f t="shared" ref="P34:P37" si="46">N34/O34</f>
        <v>#DIV/0!</v>
      </c>
      <c r="Q34" s="7">
        <v>153110.5</v>
      </c>
      <c r="R34" s="8">
        <v>1404.8</v>
      </c>
      <c r="S34" s="7">
        <f t="shared" si="39"/>
        <v>108.99095956719817</v>
      </c>
      <c r="T34" s="7">
        <f>SUM(E34,H34,K34,N34,Q34)</f>
        <v>288756.99</v>
      </c>
      <c r="U34" s="8">
        <f>SUM(F34,I34,L34,O34,R34)</f>
        <v>2470</v>
      </c>
      <c r="V34" s="7">
        <f t="shared" ref="V34:V37" si="47">T34/U34</f>
        <v>116.90566396761133</v>
      </c>
    </row>
    <row r="35" spans="2:22" ht="23.25" customHeight="1" x14ac:dyDescent="0.25">
      <c r="B35" s="60"/>
      <c r="C35" s="60"/>
      <c r="D35" s="11">
        <v>45818</v>
      </c>
      <c r="E35" s="7">
        <v>72845.41</v>
      </c>
      <c r="F35" s="8">
        <v>519.4</v>
      </c>
      <c r="G35" s="7">
        <f t="shared" si="43"/>
        <v>140.24915286869467</v>
      </c>
      <c r="H35" s="7">
        <v>158340.75</v>
      </c>
      <c r="I35" s="8">
        <v>1179.4000000000001</v>
      </c>
      <c r="J35" s="7">
        <f t="shared" si="44"/>
        <v>134.25534169916907</v>
      </c>
      <c r="K35" s="43"/>
      <c r="L35" s="44"/>
      <c r="M35" s="7" t="e">
        <f t="shared" si="45"/>
        <v>#DIV/0!</v>
      </c>
      <c r="N35" s="7">
        <v>72879.56</v>
      </c>
      <c r="O35" s="8">
        <v>650.5</v>
      </c>
      <c r="P35" s="7">
        <f t="shared" si="46"/>
        <v>112.03621829362029</v>
      </c>
      <c r="Q35" s="7">
        <v>46829.3</v>
      </c>
      <c r="R35" s="8">
        <v>361.1</v>
      </c>
      <c r="S35" s="7">
        <f t="shared" si="39"/>
        <v>129.68512877319301</v>
      </c>
      <c r="T35" s="7">
        <f t="shared" ref="T35:T37" si="48">SUM(E35,H35,K35,N35,Q35)</f>
        <v>350895.01999999996</v>
      </c>
      <c r="U35" s="8">
        <f t="shared" ref="U35:U37" si="49">SUM(F35,I35,L35,O35,R35)</f>
        <v>2710.4</v>
      </c>
      <c r="V35" s="7">
        <f t="shared" si="47"/>
        <v>129.46244834710743</v>
      </c>
    </row>
    <row r="36" spans="2:22" ht="23.25" customHeight="1" x14ac:dyDescent="0.25">
      <c r="B36" s="60"/>
      <c r="C36" s="60"/>
      <c r="D36" s="11">
        <v>45825</v>
      </c>
      <c r="E36" s="7">
        <v>17292.5</v>
      </c>
      <c r="F36" s="8">
        <v>154.1</v>
      </c>
      <c r="G36" s="7">
        <f t="shared" si="43"/>
        <v>112.21609344581441</v>
      </c>
      <c r="H36" s="7">
        <v>126201.65</v>
      </c>
      <c r="I36" s="8">
        <v>945.1</v>
      </c>
      <c r="J36" s="7">
        <f t="shared" si="44"/>
        <v>133.53258914400593</v>
      </c>
      <c r="K36" s="43"/>
      <c r="L36" s="44"/>
      <c r="M36" s="7" t="e">
        <f t="shared" si="45"/>
        <v>#DIV/0!</v>
      </c>
      <c r="N36" s="7">
        <v>34718.5</v>
      </c>
      <c r="O36" s="8">
        <v>291.2</v>
      </c>
      <c r="P36" s="7">
        <f t="shared" si="46"/>
        <v>119.22561813186813</v>
      </c>
      <c r="Q36" s="7">
        <v>57990</v>
      </c>
      <c r="R36" s="8">
        <v>479.9</v>
      </c>
      <c r="S36" s="7">
        <f t="shared" si="39"/>
        <v>120.83767451552407</v>
      </c>
      <c r="T36" s="7">
        <f t="shared" si="48"/>
        <v>236202.65</v>
      </c>
      <c r="U36" s="8">
        <f t="shared" si="49"/>
        <v>1870.3000000000002</v>
      </c>
      <c r="V36" s="7">
        <f t="shared" si="47"/>
        <v>126.29131690103191</v>
      </c>
    </row>
    <row r="37" spans="2:22" ht="23.25" customHeight="1" x14ac:dyDescent="0.25">
      <c r="B37" s="60"/>
      <c r="C37" s="60"/>
      <c r="D37" s="11">
        <v>45832</v>
      </c>
      <c r="E37" s="7">
        <v>97229</v>
      </c>
      <c r="F37" s="8">
        <v>584.79999999999995</v>
      </c>
      <c r="G37" s="7">
        <f t="shared" si="43"/>
        <v>166.26025991792068</v>
      </c>
      <c r="H37" s="7">
        <v>94316.53</v>
      </c>
      <c r="I37" s="8">
        <v>727.3</v>
      </c>
      <c r="J37" s="7">
        <f t="shared" si="44"/>
        <v>129.6803657362849</v>
      </c>
      <c r="K37" s="7">
        <v>900</v>
      </c>
      <c r="L37" s="8">
        <v>2.1</v>
      </c>
      <c r="M37" s="7">
        <f t="shared" si="45"/>
        <v>428.57142857142856</v>
      </c>
      <c r="N37" s="7">
        <v>66487.5</v>
      </c>
      <c r="O37" s="8">
        <v>511.4</v>
      </c>
      <c r="P37" s="7">
        <f t="shared" si="46"/>
        <v>130.01075479077045</v>
      </c>
      <c r="Q37" s="7">
        <v>39447.1</v>
      </c>
      <c r="R37" s="8">
        <v>279.89999999999998</v>
      </c>
      <c r="S37" s="7">
        <f t="shared" si="39"/>
        <v>140.9328331546981</v>
      </c>
      <c r="T37" s="7">
        <f t="shared" si="48"/>
        <v>298380.13</v>
      </c>
      <c r="U37" s="8">
        <f t="shared" si="49"/>
        <v>2105.5</v>
      </c>
      <c r="V37" s="7">
        <f t="shared" si="47"/>
        <v>141.71461885537877</v>
      </c>
    </row>
    <row r="38" spans="2:22" ht="23.25" customHeight="1" x14ac:dyDescent="0.25">
      <c r="B38" s="61"/>
      <c r="C38" s="63" t="s">
        <v>36</v>
      </c>
      <c r="D38" s="64"/>
      <c r="E38" s="30">
        <f>SUM(E34:E37)</f>
        <v>250648.91</v>
      </c>
      <c r="F38" s="31">
        <f>SUM(F34:F37)</f>
        <v>1740.4999999999998</v>
      </c>
      <c r="G38" s="30">
        <f>E38/F38</f>
        <v>144.00971559896584</v>
      </c>
      <c r="H38" s="30">
        <f>SUM(H34:H37)</f>
        <v>451223.42000000004</v>
      </c>
      <c r="I38" s="31">
        <f>SUM(I34:I37)</f>
        <v>3434.8</v>
      </c>
      <c r="J38" s="30">
        <f>H38/I38</f>
        <v>131.36817864213347</v>
      </c>
      <c r="K38" s="30">
        <f>SUM(K34:K37)</f>
        <v>900</v>
      </c>
      <c r="L38" s="31">
        <f>SUM(L34:L37)</f>
        <v>2.1</v>
      </c>
      <c r="M38" s="30">
        <f>K38/L38</f>
        <v>428.57142857142856</v>
      </c>
      <c r="N38" s="30">
        <f>SUM(N34:N37)</f>
        <v>174085.56</v>
      </c>
      <c r="O38" s="31">
        <f>SUM(O34:O37)</f>
        <v>1453.1</v>
      </c>
      <c r="P38" s="30">
        <f>N38/O38</f>
        <v>119.80287660862983</v>
      </c>
      <c r="Q38" s="30">
        <f>SUM(Q34:Q37)</f>
        <v>297376.89999999997</v>
      </c>
      <c r="R38" s="31">
        <f>SUM(R34:R37)</f>
        <v>2525.7000000000003</v>
      </c>
      <c r="S38" s="30">
        <f>Q38/R38</f>
        <v>117.74038880310407</v>
      </c>
      <c r="T38" s="30">
        <f>SUM(T34:T37)</f>
        <v>1174234.79</v>
      </c>
      <c r="U38" s="31">
        <f>SUM(U34:U37)</f>
        <v>9156.2000000000007</v>
      </c>
      <c r="V38" s="32">
        <f>T38/U38</f>
        <v>128.24477294073961</v>
      </c>
    </row>
    <row r="39" spans="2:22" ht="39" customHeight="1" x14ac:dyDescent="0.25">
      <c r="B39" s="52" t="s">
        <v>21</v>
      </c>
      <c r="C39" s="52"/>
      <c r="D39" s="52"/>
      <c r="E39" s="33">
        <f>SUM(E38,E33,E28)</f>
        <v>633595.17999999993</v>
      </c>
      <c r="F39" s="34">
        <f>SUM(F38,F33,F28)</f>
        <v>4645.8</v>
      </c>
      <c r="G39" s="33">
        <f>E39/F39</f>
        <v>136.38021008222478</v>
      </c>
      <c r="H39" s="33">
        <f>SUM(H38,H33,H28)</f>
        <v>1328140.8400000001</v>
      </c>
      <c r="I39" s="34">
        <f>SUM(I38,I33,I28)</f>
        <v>9614.6</v>
      </c>
      <c r="J39" s="33">
        <f>H39/I39</f>
        <v>138.1379194142242</v>
      </c>
      <c r="K39" s="33">
        <f>SUM(K38,K33,K28)</f>
        <v>15812.99</v>
      </c>
      <c r="L39" s="34">
        <f>SUM(L38,L33,L28)</f>
        <v>89.499999999999986</v>
      </c>
      <c r="M39" s="33">
        <f>K39/L39</f>
        <v>176.68145251396652</v>
      </c>
      <c r="N39" s="33">
        <f>SUM(N38,N33,N28)</f>
        <v>817130.51</v>
      </c>
      <c r="O39" s="34">
        <f>SUM(O38,O33,O28)</f>
        <v>7195.1999999999989</v>
      </c>
      <c r="P39" s="33">
        <f>N39/O39</f>
        <v>113.56605931732268</v>
      </c>
      <c r="Q39" s="33">
        <f>SUM(Q38,Q33,Q28)</f>
        <v>705181.55</v>
      </c>
      <c r="R39" s="34">
        <f>SUM(R38,R33,R28)</f>
        <v>6097.7</v>
      </c>
      <c r="S39" s="33">
        <f>Q39/R39</f>
        <v>115.64713744526625</v>
      </c>
      <c r="T39" s="33">
        <f>SUM(T38,T33,T28)</f>
        <v>3499861.07</v>
      </c>
      <c r="U39" s="34">
        <f>SUM(U38,U33,U28)</f>
        <v>27642.799999999999</v>
      </c>
      <c r="V39" s="33">
        <f>T39/U39</f>
        <v>126.61022291518948</v>
      </c>
    </row>
    <row r="40" spans="2:22" ht="23.25" customHeight="1" x14ac:dyDescent="0.25">
      <c r="B40" s="53" t="s">
        <v>39</v>
      </c>
      <c r="C40" s="54"/>
      <c r="D40" s="54"/>
      <c r="E40" s="9">
        <f>SUM(E39,E20)</f>
        <v>1113967.2</v>
      </c>
      <c r="F40" s="10">
        <f>SUM(F39,F20)</f>
        <v>8260.84</v>
      </c>
      <c r="G40" s="9">
        <f>E40/F40</f>
        <v>134.84914367061944</v>
      </c>
      <c r="H40" s="9">
        <f>SUM(H39,H20)</f>
        <v>2322381.62</v>
      </c>
      <c r="I40" s="10">
        <f>SUM(I39,I20)</f>
        <v>16655.189999999999</v>
      </c>
      <c r="J40" s="9">
        <f>H40/I40</f>
        <v>139.4389148367566</v>
      </c>
      <c r="K40" s="9">
        <f>SUM(K39,K20)</f>
        <v>323738.49</v>
      </c>
      <c r="L40" s="10">
        <f>SUM(L39,L20)</f>
        <v>1646.95</v>
      </c>
      <c r="M40" s="9">
        <f>K40/L40</f>
        <v>196.5684993472783</v>
      </c>
      <c r="N40" s="9">
        <f>SUM(N39,N20)</f>
        <v>1407039.1</v>
      </c>
      <c r="O40" s="10">
        <f>SUM(O39,O20)</f>
        <v>12332.599999999999</v>
      </c>
      <c r="P40" s="9">
        <f>N40/O40</f>
        <v>114.09103514263012</v>
      </c>
      <c r="Q40" s="9">
        <f>SUM(Q39,Q20)</f>
        <v>1816548.51</v>
      </c>
      <c r="R40" s="10">
        <f>SUM(R39,R20)</f>
        <v>15493.7</v>
      </c>
      <c r="S40" s="9">
        <f>Q40/R40</f>
        <v>117.24433221244763</v>
      </c>
      <c r="T40" s="9">
        <f>SUM(T39,T20)</f>
        <v>6983674.9199999999</v>
      </c>
      <c r="U40" s="10">
        <f>SUM(U39,U20)</f>
        <v>54389.279999999999</v>
      </c>
      <c r="V40" s="9">
        <f>T40/U40</f>
        <v>128.40167988986065</v>
      </c>
    </row>
    <row r="41" spans="2:22" x14ac:dyDescent="0.25">
      <c r="B41" s="67" t="s">
        <v>15</v>
      </c>
      <c r="C41" s="67" t="s">
        <v>10</v>
      </c>
      <c r="D41" s="67" t="s">
        <v>0</v>
      </c>
      <c r="E41" s="58" t="s">
        <v>44</v>
      </c>
      <c r="F41" s="58"/>
      <c r="G41" s="58"/>
      <c r="H41" s="55" t="s">
        <v>7</v>
      </c>
      <c r="I41" s="56"/>
      <c r="J41" s="57"/>
      <c r="K41" s="58" t="s">
        <v>45</v>
      </c>
      <c r="L41" s="58"/>
      <c r="M41" s="58"/>
      <c r="N41" s="58" t="s">
        <v>46</v>
      </c>
      <c r="O41" s="58"/>
      <c r="P41" s="58"/>
      <c r="Q41" s="58" t="s">
        <v>4</v>
      </c>
      <c r="R41" s="58"/>
      <c r="S41" s="58"/>
      <c r="T41" s="58" t="s">
        <v>9</v>
      </c>
      <c r="U41" s="58"/>
      <c r="V41" s="58"/>
    </row>
    <row r="42" spans="2:22" x14ac:dyDescent="0.25">
      <c r="B42" s="67"/>
      <c r="C42" s="67"/>
      <c r="D42" s="67"/>
      <c r="E42" s="1" t="s">
        <v>1</v>
      </c>
      <c r="F42" s="3" t="s">
        <v>2</v>
      </c>
      <c r="G42" s="1" t="s">
        <v>3</v>
      </c>
      <c r="H42" s="1" t="s">
        <v>1</v>
      </c>
      <c r="I42" s="3" t="s">
        <v>2</v>
      </c>
      <c r="J42" s="1" t="s">
        <v>3</v>
      </c>
      <c r="K42" s="1" t="s">
        <v>1</v>
      </c>
      <c r="L42" s="3" t="s">
        <v>2</v>
      </c>
      <c r="M42" s="1" t="s">
        <v>3</v>
      </c>
      <c r="N42" s="1" t="s">
        <v>1</v>
      </c>
      <c r="O42" s="3" t="s">
        <v>2</v>
      </c>
      <c r="P42" s="1" t="s">
        <v>3</v>
      </c>
      <c r="Q42" s="1" t="s">
        <v>1</v>
      </c>
      <c r="R42" s="3" t="s">
        <v>2</v>
      </c>
      <c r="S42" s="1" t="s">
        <v>3</v>
      </c>
      <c r="T42" s="1" t="s">
        <v>1</v>
      </c>
      <c r="U42" s="3" t="s">
        <v>2</v>
      </c>
      <c r="V42" s="1" t="s">
        <v>3</v>
      </c>
    </row>
    <row r="43" spans="2:22" ht="23.25" customHeight="1" x14ac:dyDescent="0.25">
      <c r="B43" s="59" t="s">
        <v>26</v>
      </c>
      <c r="C43" s="59" t="s">
        <v>23</v>
      </c>
      <c r="D43" s="11">
        <v>44380</v>
      </c>
      <c r="E43" s="7">
        <v>63946</v>
      </c>
      <c r="F43" s="8">
        <v>544.29999999999995</v>
      </c>
      <c r="G43" s="48">
        <f>E43/F43</f>
        <v>117.48300569538858</v>
      </c>
      <c r="H43" s="7">
        <v>167970.67</v>
      </c>
      <c r="I43" s="8">
        <v>1246.0999999999999</v>
      </c>
      <c r="J43" s="48">
        <f>H43/I43</f>
        <v>134.79710296123909</v>
      </c>
      <c r="K43" s="43"/>
      <c r="L43" s="44"/>
      <c r="M43" s="49" t="e">
        <f>K43/L43</f>
        <v>#DIV/0!</v>
      </c>
      <c r="N43" s="7">
        <v>63059.5</v>
      </c>
      <c r="O43" s="8">
        <v>628</v>
      </c>
      <c r="P43" s="48">
        <f>N43/O43</f>
        <v>100.41321656050955</v>
      </c>
      <c r="Q43" s="7">
        <v>45515.25</v>
      </c>
      <c r="R43" s="8">
        <v>337.6</v>
      </c>
      <c r="S43" s="48">
        <f>Q43/R43</f>
        <v>134.82005331753552</v>
      </c>
      <c r="T43" s="7">
        <f>SUM(E43+H43+K43+N43+Q43)</f>
        <v>340491.42000000004</v>
      </c>
      <c r="U43" s="8">
        <f>SUM(F43+I43+L43+O43+R43)</f>
        <v>2755.9999999999995</v>
      </c>
      <c r="V43" s="48">
        <f>T43/U43</f>
        <v>123.54550798258349</v>
      </c>
    </row>
    <row r="44" spans="2:22" ht="23.25" customHeight="1" x14ac:dyDescent="0.25">
      <c r="B44" s="60"/>
      <c r="C44" s="60"/>
      <c r="D44" s="11">
        <v>44387</v>
      </c>
      <c r="E44" s="7">
        <v>35490</v>
      </c>
      <c r="F44" s="8">
        <v>268.8</v>
      </c>
      <c r="G44" s="48">
        <f t="shared" ref="G44:G46" si="50">E44/F44</f>
        <v>132.03125</v>
      </c>
      <c r="H44" s="7">
        <v>95409.48</v>
      </c>
      <c r="I44" s="8">
        <v>669.5</v>
      </c>
      <c r="J44" s="48">
        <f t="shared" ref="J44:J47" si="51">H44/I44</f>
        <v>142.50855862584018</v>
      </c>
      <c r="K44" s="43"/>
      <c r="L44" s="44"/>
      <c r="M44" s="49" t="e">
        <f t="shared" ref="M44:M47" si="52">K44/L44</f>
        <v>#DIV/0!</v>
      </c>
      <c r="N44" s="7">
        <v>41369.800000000003</v>
      </c>
      <c r="O44" s="8">
        <v>349</v>
      </c>
      <c r="P44" s="48">
        <f t="shared" ref="P44:P47" si="53">N44/O44</f>
        <v>118.5381088825215</v>
      </c>
      <c r="Q44" s="7">
        <v>34759.050000000003</v>
      </c>
      <c r="R44" s="8">
        <v>360.1</v>
      </c>
      <c r="S44" s="48">
        <f t="shared" ref="S44:S47" si="54">Q44/R44</f>
        <v>96.526103860038873</v>
      </c>
      <c r="T44" s="7">
        <f t="shared" ref="T44:T46" si="55">SUM(E44+H44+K44+N44+Q44)</f>
        <v>207028.33000000002</v>
      </c>
      <c r="U44" s="8">
        <f t="shared" ref="U44:U47" si="56">SUM(F44+I44+L44+O44+R44)</f>
        <v>1647.4</v>
      </c>
      <c r="V44" s="48">
        <f t="shared" ref="V44:V47" si="57">T44/U44</f>
        <v>125.66974019667354</v>
      </c>
    </row>
    <row r="45" spans="2:22" ht="23.25" customHeight="1" x14ac:dyDescent="0.25">
      <c r="B45" s="60"/>
      <c r="C45" s="60"/>
      <c r="D45" s="11">
        <v>44394</v>
      </c>
      <c r="E45" s="7">
        <v>82997.149999999994</v>
      </c>
      <c r="F45" s="8">
        <v>714.2</v>
      </c>
      <c r="G45" s="48">
        <f t="shared" si="50"/>
        <v>116.20995519462333</v>
      </c>
      <c r="H45" s="7">
        <v>224758.78</v>
      </c>
      <c r="I45" s="8">
        <v>1666.4</v>
      </c>
      <c r="J45" s="48">
        <f t="shared" si="51"/>
        <v>134.87684829572731</v>
      </c>
      <c r="K45" s="7">
        <v>900</v>
      </c>
      <c r="L45" s="8">
        <v>2.6</v>
      </c>
      <c r="M45" s="47">
        <f t="shared" si="52"/>
        <v>346.15384615384613</v>
      </c>
      <c r="N45" s="7">
        <v>33450</v>
      </c>
      <c r="O45" s="8">
        <v>248.8</v>
      </c>
      <c r="P45" s="48">
        <f t="shared" si="53"/>
        <v>134.44533762057878</v>
      </c>
      <c r="Q45" s="7">
        <v>234552</v>
      </c>
      <c r="R45" s="8">
        <v>1845.2</v>
      </c>
      <c r="S45" s="48">
        <f t="shared" si="54"/>
        <v>127.11467591588988</v>
      </c>
      <c r="T45" s="7">
        <f t="shared" si="55"/>
        <v>576657.92999999993</v>
      </c>
      <c r="U45" s="8">
        <f t="shared" si="56"/>
        <v>4477.2000000000007</v>
      </c>
      <c r="V45" s="48">
        <f t="shared" si="57"/>
        <v>128.7987871884213</v>
      </c>
    </row>
    <row r="46" spans="2:22" ht="23.25" customHeight="1" x14ac:dyDescent="0.25">
      <c r="B46" s="60"/>
      <c r="C46" s="60"/>
      <c r="D46" s="11">
        <v>44401</v>
      </c>
      <c r="E46" s="7">
        <v>2962</v>
      </c>
      <c r="F46" s="8">
        <v>20.8</v>
      </c>
      <c r="G46" s="48">
        <f t="shared" si="50"/>
        <v>142.40384615384616</v>
      </c>
      <c r="H46" s="7">
        <v>62565.1</v>
      </c>
      <c r="I46" s="8">
        <v>474.2</v>
      </c>
      <c r="J46" s="48">
        <f t="shared" si="51"/>
        <v>131.93821172501055</v>
      </c>
      <c r="K46" s="43"/>
      <c r="L46" s="44"/>
      <c r="M46" s="49" t="e">
        <f t="shared" si="52"/>
        <v>#DIV/0!</v>
      </c>
      <c r="N46" s="7">
        <v>67097.94</v>
      </c>
      <c r="O46" s="8">
        <v>499.5</v>
      </c>
      <c r="P46" s="48">
        <f t="shared" si="53"/>
        <v>134.33021021021023</v>
      </c>
      <c r="Q46" s="7">
        <v>32701.05</v>
      </c>
      <c r="R46" s="8">
        <v>242.3</v>
      </c>
      <c r="S46" s="48">
        <f t="shared" si="54"/>
        <v>134.96099876186545</v>
      </c>
      <c r="T46" s="7">
        <f t="shared" si="55"/>
        <v>165326.09</v>
      </c>
      <c r="U46" s="8">
        <f t="shared" si="56"/>
        <v>1236.8</v>
      </c>
      <c r="V46" s="48">
        <f t="shared" si="57"/>
        <v>133.67245310478654</v>
      </c>
    </row>
    <row r="47" spans="2:22" ht="23.25" customHeight="1" x14ac:dyDescent="0.25">
      <c r="B47" s="60"/>
      <c r="C47" s="61"/>
      <c r="D47" s="11">
        <v>44408</v>
      </c>
      <c r="E47" s="7">
        <v>13660.25</v>
      </c>
      <c r="F47" s="8">
        <v>100.4</v>
      </c>
      <c r="G47" s="48">
        <f>E47/F47</f>
        <v>136.0582669322709</v>
      </c>
      <c r="H47" s="7">
        <v>69178.25</v>
      </c>
      <c r="I47" s="8">
        <v>504.1</v>
      </c>
      <c r="J47" s="48">
        <f t="shared" si="51"/>
        <v>137.23120412616544</v>
      </c>
      <c r="K47" s="7">
        <v>42392.85</v>
      </c>
      <c r="L47" s="8">
        <v>296.60000000000002</v>
      </c>
      <c r="M47" s="47">
        <f t="shared" si="52"/>
        <v>142.92936614969653</v>
      </c>
      <c r="N47" s="7">
        <v>160521.16</v>
      </c>
      <c r="O47" s="8">
        <v>1282.5</v>
      </c>
      <c r="P47" s="48">
        <f t="shared" si="53"/>
        <v>125.16269785575049</v>
      </c>
      <c r="Q47" s="7">
        <v>75484.05</v>
      </c>
      <c r="R47" s="8">
        <v>574.5</v>
      </c>
      <c r="S47" s="48">
        <f t="shared" si="54"/>
        <v>131.39086161879897</v>
      </c>
      <c r="T47" s="7">
        <f>SUM(E47+H47+K47+N47+Q47)</f>
        <v>361236.56</v>
      </c>
      <c r="U47" s="8">
        <f t="shared" si="56"/>
        <v>2758.1</v>
      </c>
      <c r="V47" s="48">
        <f t="shared" si="57"/>
        <v>130.97297414887061</v>
      </c>
    </row>
    <row r="48" spans="2:22" ht="23.25" customHeight="1" x14ac:dyDescent="0.25">
      <c r="B48" s="60"/>
      <c r="C48" s="63" t="s">
        <v>36</v>
      </c>
      <c r="D48" s="64"/>
      <c r="E48" s="30">
        <f>SUM(E43:E47)</f>
        <v>199055.4</v>
      </c>
      <c r="F48" s="31">
        <f>SUM(F43:F47)</f>
        <v>1648.5</v>
      </c>
      <c r="G48" s="30">
        <f>E48/F48</f>
        <v>120.74940855323021</v>
      </c>
      <c r="H48" s="30">
        <f t="shared" ref="H48:I48" si="58">SUM(H43:H47)</f>
        <v>619882.28</v>
      </c>
      <c r="I48" s="31">
        <f t="shared" si="58"/>
        <v>4560.3</v>
      </c>
      <c r="J48" s="30">
        <f>H48/I48</f>
        <v>135.93015371795715</v>
      </c>
      <c r="K48" s="30">
        <f t="shared" ref="K48:L48" si="59">SUM(K43:K47)</f>
        <v>43292.85</v>
      </c>
      <c r="L48" s="31">
        <f t="shared" si="59"/>
        <v>299.20000000000005</v>
      </c>
      <c r="M48" s="30">
        <f>K48/L48</f>
        <v>144.69535427807483</v>
      </c>
      <c r="N48" s="30">
        <f t="shared" ref="N48:O48" si="60">SUM(N43:N47)</f>
        <v>365498.4</v>
      </c>
      <c r="O48" s="31">
        <f t="shared" si="60"/>
        <v>3007.8</v>
      </c>
      <c r="P48" s="30">
        <f>N48/O48</f>
        <v>121.51685617394773</v>
      </c>
      <c r="Q48" s="30">
        <f t="shared" ref="Q48:R48" si="61">SUM(Q43:Q47)</f>
        <v>423011.39999999997</v>
      </c>
      <c r="R48" s="31">
        <f t="shared" si="61"/>
        <v>3359.7000000000003</v>
      </c>
      <c r="S48" s="30">
        <f>Q48/R48</f>
        <v>125.90749174033394</v>
      </c>
      <c r="T48" s="30">
        <f t="shared" ref="T48:U48" si="62">SUM(T43:T47)</f>
        <v>1650740.33</v>
      </c>
      <c r="U48" s="31">
        <f t="shared" si="62"/>
        <v>12875.5</v>
      </c>
      <c r="V48" s="32">
        <f>T48/U48</f>
        <v>128.20786221894295</v>
      </c>
    </row>
    <row r="49" spans="2:22" ht="23.25" customHeight="1" x14ac:dyDescent="0.25">
      <c r="B49" s="60"/>
      <c r="C49" s="60" t="s">
        <v>24</v>
      </c>
      <c r="D49" s="11">
        <v>44415</v>
      </c>
      <c r="E49" s="13"/>
      <c r="F49" s="16"/>
      <c r="G49" s="13"/>
      <c r="H49" s="13"/>
      <c r="I49" s="16"/>
      <c r="J49" s="13"/>
      <c r="K49" s="13"/>
      <c r="L49" s="16"/>
      <c r="M49" s="13"/>
      <c r="N49" s="13"/>
      <c r="O49" s="16"/>
      <c r="P49" s="13"/>
      <c r="Q49" s="13"/>
      <c r="R49" s="16"/>
      <c r="S49" s="13"/>
      <c r="T49" s="13"/>
      <c r="U49" s="16"/>
      <c r="V49" s="13"/>
    </row>
    <row r="50" spans="2:22" ht="23.25" customHeight="1" x14ac:dyDescent="0.25">
      <c r="B50" s="60"/>
      <c r="C50" s="60">
        <v>8</v>
      </c>
      <c r="D50" s="11">
        <v>44423</v>
      </c>
      <c r="E50" s="13"/>
      <c r="F50" s="16"/>
      <c r="G50" s="13"/>
      <c r="H50" s="13"/>
      <c r="I50" s="16"/>
      <c r="J50" s="13"/>
      <c r="K50" s="13"/>
      <c r="L50" s="16"/>
      <c r="M50" s="13"/>
      <c r="N50" s="13"/>
      <c r="O50" s="16"/>
      <c r="P50" s="13"/>
      <c r="Q50" s="13"/>
      <c r="R50" s="16"/>
      <c r="S50" s="13"/>
      <c r="T50" s="13"/>
      <c r="U50" s="16"/>
      <c r="V50" s="13"/>
    </row>
    <row r="51" spans="2:22" ht="23.25" customHeight="1" x14ac:dyDescent="0.25">
      <c r="B51" s="60"/>
      <c r="C51" s="60">
        <v>9</v>
      </c>
      <c r="D51" s="11">
        <v>44429</v>
      </c>
      <c r="E51" s="13"/>
      <c r="F51" s="16"/>
      <c r="G51" s="13"/>
      <c r="H51" s="13"/>
      <c r="I51" s="16"/>
      <c r="J51" s="13"/>
      <c r="K51" s="13"/>
      <c r="L51" s="16"/>
      <c r="M51" s="13"/>
      <c r="N51" s="13"/>
      <c r="O51" s="16"/>
      <c r="P51" s="13"/>
      <c r="Q51" s="13"/>
      <c r="R51" s="16"/>
      <c r="S51" s="13"/>
      <c r="T51" s="13"/>
      <c r="U51" s="16"/>
      <c r="V51" s="13"/>
    </row>
    <row r="52" spans="2:22" ht="23.25" customHeight="1" x14ac:dyDescent="0.25">
      <c r="B52" s="60"/>
      <c r="C52" s="61"/>
      <c r="D52" s="11">
        <v>45166</v>
      </c>
      <c r="E52" s="13"/>
      <c r="F52" s="16"/>
      <c r="G52" s="13"/>
      <c r="H52" s="13"/>
      <c r="I52" s="16"/>
      <c r="J52" s="13"/>
      <c r="K52" s="13"/>
      <c r="L52" s="16"/>
      <c r="M52" s="13"/>
      <c r="N52" s="13"/>
      <c r="O52" s="16"/>
      <c r="P52" s="13"/>
      <c r="Q52" s="13"/>
      <c r="R52" s="16"/>
      <c r="S52" s="13"/>
      <c r="T52" s="13"/>
      <c r="U52" s="16"/>
      <c r="V52" s="13"/>
    </row>
    <row r="53" spans="2:22" ht="23.25" customHeight="1" x14ac:dyDescent="0.25">
      <c r="B53" s="60"/>
      <c r="C53" s="63" t="s">
        <v>36</v>
      </c>
      <c r="D53" s="64"/>
      <c r="E53" s="30">
        <f>SUM(E49:E52)</f>
        <v>0</v>
      </c>
      <c r="F53" s="31">
        <f>SUM(F49:F52)</f>
        <v>0</v>
      </c>
      <c r="G53" s="30" t="e">
        <f>E53/F53</f>
        <v>#DIV/0!</v>
      </c>
      <c r="H53" s="30">
        <f>SUM(H49:H52)</f>
        <v>0</v>
      </c>
      <c r="I53" s="31">
        <f>SUM(I49:I52)</f>
        <v>0</v>
      </c>
      <c r="J53" s="30" t="e">
        <f>H53/I53</f>
        <v>#DIV/0!</v>
      </c>
      <c r="K53" s="30">
        <f>SUM(K49:K52)</f>
        <v>0</v>
      </c>
      <c r="L53" s="31">
        <f>SUM(L49:L52)</f>
        <v>0</v>
      </c>
      <c r="M53" s="30" t="e">
        <f>K53/L53</f>
        <v>#DIV/0!</v>
      </c>
      <c r="N53" s="30">
        <f>SUM(N49:N52)</f>
        <v>0</v>
      </c>
      <c r="O53" s="31">
        <f>SUM(O49:O52)</f>
        <v>0</v>
      </c>
      <c r="P53" s="30" t="e">
        <f>N53/O53</f>
        <v>#DIV/0!</v>
      </c>
      <c r="Q53" s="30">
        <f>SUM(Q49:Q52)</f>
        <v>0</v>
      </c>
      <c r="R53" s="31">
        <f>SUM(R49:R52)</f>
        <v>0</v>
      </c>
      <c r="S53" s="30" t="e">
        <f>Q53/R53</f>
        <v>#DIV/0!</v>
      </c>
      <c r="T53" s="30">
        <f>SUM(T49:T52)</f>
        <v>0</v>
      </c>
      <c r="U53" s="31">
        <f>SUM(U49:U52)</f>
        <v>0</v>
      </c>
      <c r="V53" s="32" t="e">
        <f>T53/U53</f>
        <v>#DIV/0!</v>
      </c>
    </row>
    <row r="54" spans="2:22" ht="23.25" customHeight="1" x14ac:dyDescent="0.25">
      <c r="B54" s="60"/>
      <c r="C54" s="59" t="s">
        <v>25</v>
      </c>
      <c r="D54" s="11">
        <v>45539</v>
      </c>
      <c r="E54" s="13"/>
      <c r="F54" s="16"/>
      <c r="G54" s="13"/>
      <c r="H54" s="13"/>
      <c r="I54" s="16"/>
      <c r="J54" s="13"/>
      <c r="K54" s="13"/>
      <c r="L54" s="16"/>
      <c r="M54" s="13"/>
      <c r="N54" s="13"/>
      <c r="O54" s="16"/>
      <c r="P54" s="13"/>
      <c r="Q54" s="13"/>
      <c r="R54" s="16"/>
      <c r="S54" s="13"/>
      <c r="T54" s="13"/>
      <c r="U54" s="16"/>
      <c r="V54" s="13"/>
    </row>
    <row r="55" spans="2:22" ht="23.25" customHeight="1" x14ac:dyDescent="0.25">
      <c r="B55" s="60"/>
      <c r="C55" s="60"/>
      <c r="D55" s="11">
        <v>45546</v>
      </c>
      <c r="E55" s="13"/>
      <c r="F55" s="16"/>
      <c r="G55" s="13"/>
      <c r="H55" s="13"/>
      <c r="I55" s="16"/>
      <c r="J55" s="13"/>
      <c r="K55" s="13"/>
      <c r="L55" s="16"/>
      <c r="M55" s="13"/>
      <c r="N55" s="13"/>
      <c r="O55" s="16"/>
      <c r="P55" s="13"/>
      <c r="Q55" s="13"/>
      <c r="R55" s="16"/>
      <c r="S55" s="13"/>
      <c r="T55" s="13"/>
      <c r="U55" s="16"/>
      <c r="V55" s="13"/>
    </row>
    <row r="56" spans="2:22" ht="23.25" customHeight="1" x14ac:dyDescent="0.25">
      <c r="B56" s="60"/>
      <c r="C56" s="60"/>
      <c r="D56" s="11">
        <v>45553</v>
      </c>
      <c r="E56" s="13"/>
      <c r="F56" s="16"/>
      <c r="G56" s="13"/>
      <c r="H56" s="13"/>
      <c r="I56" s="16"/>
      <c r="J56" s="13"/>
      <c r="K56" s="13"/>
      <c r="L56" s="16"/>
      <c r="M56" s="13"/>
      <c r="N56" s="13"/>
      <c r="O56" s="16"/>
      <c r="P56" s="13"/>
      <c r="Q56" s="13"/>
      <c r="R56" s="16"/>
      <c r="S56" s="13"/>
      <c r="T56" s="13"/>
      <c r="U56" s="16"/>
      <c r="V56" s="13"/>
    </row>
    <row r="57" spans="2:22" ht="23.25" customHeight="1" x14ac:dyDescent="0.25">
      <c r="B57" s="60"/>
      <c r="C57" s="60"/>
      <c r="D57" s="11">
        <v>45561</v>
      </c>
      <c r="E57" s="13"/>
      <c r="F57" s="16"/>
      <c r="G57" s="13"/>
      <c r="H57" s="13"/>
      <c r="I57" s="16"/>
      <c r="J57" s="13"/>
      <c r="K57" s="13"/>
      <c r="L57" s="16"/>
      <c r="M57" s="13"/>
      <c r="N57" s="13"/>
      <c r="O57" s="16"/>
      <c r="P57" s="13"/>
      <c r="Q57" s="13"/>
      <c r="R57" s="16"/>
      <c r="S57" s="13"/>
      <c r="T57" s="13"/>
      <c r="U57" s="16"/>
      <c r="V57" s="13"/>
    </row>
    <row r="58" spans="2:22" ht="23.25" customHeight="1" x14ac:dyDescent="0.25">
      <c r="B58" s="61"/>
      <c r="C58" s="63" t="s">
        <v>36</v>
      </c>
      <c r="D58" s="64"/>
      <c r="E58" s="30">
        <f>SUM(E54:E57)</f>
        <v>0</v>
      </c>
      <c r="F58" s="31">
        <f>SUM(F54:F57)</f>
        <v>0</v>
      </c>
      <c r="G58" s="30" t="e">
        <f>E58/F58</f>
        <v>#DIV/0!</v>
      </c>
      <c r="H58" s="30">
        <f>SUM(H54:H57)</f>
        <v>0</v>
      </c>
      <c r="I58" s="31">
        <f>SUM(I54:I57)</f>
        <v>0</v>
      </c>
      <c r="J58" s="30" t="e">
        <f>H58/I58</f>
        <v>#DIV/0!</v>
      </c>
      <c r="K58" s="30">
        <f>SUM(K54:K57)</f>
        <v>0</v>
      </c>
      <c r="L58" s="31">
        <f>SUM(L54:L57)</f>
        <v>0</v>
      </c>
      <c r="M58" s="30" t="e">
        <f>K58/L58</f>
        <v>#DIV/0!</v>
      </c>
      <c r="N58" s="30">
        <f>SUM(N54:N57)</f>
        <v>0</v>
      </c>
      <c r="O58" s="31">
        <f>SUM(O54:O57)</f>
        <v>0</v>
      </c>
      <c r="P58" s="30" t="e">
        <f>N58/O58</f>
        <v>#DIV/0!</v>
      </c>
      <c r="Q58" s="30">
        <f>SUM(Q54:Q57)</f>
        <v>0</v>
      </c>
      <c r="R58" s="31">
        <f>SUM(R54:R57)</f>
        <v>0</v>
      </c>
      <c r="S58" s="30" t="e">
        <f>Q58/R58</f>
        <v>#DIV/0!</v>
      </c>
      <c r="T58" s="30">
        <f>SUM(T54:T57)</f>
        <v>0</v>
      </c>
      <c r="U58" s="31">
        <f>SUM(U54:U57)</f>
        <v>0</v>
      </c>
      <c r="V58" s="32" t="e">
        <f>T58/U58</f>
        <v>#DIV/0!</v>
      </c>
    </row>
    <row r="59" spans="2:22" ht="39" customHeight="1" x14ac:dyDescent="0.25">
      <c r="B59" s="52" t="s">
        <v>30</v>
      </c>
      <c r="C59" s="52"/>
      <c r="D59" s="52"/>
      <c r="E59" s="33">
        <f>SUM(E58,E53,E48)</f>
        <v>199055.4</v>
      </c>
      <c r="F59" s="34">
        <f>SUM(F58,F53,F48)</f>
        <v>1648.5</v>
      </c>
      <c r="G59" s="33">
        <f>E59/F59</f>
        <v>120.74940855323021</v>
      </c>
      <c r="H59" s="33">
        <f>SUM(H58,H53,H48)</f>
        <v>619882.28</v>
      </c>
      <c r="I59" s="34">
        <f>SUM(I58,I53,I48)</f>
        <v>4560.3</v>
      </c>
      <c r="J59" s="33">
        <f>H59/I59</f>
        <v>135.93015371795715</v>
      </c>
      <c r="K59" s="33">
        <f>SUM(K58,K53,K48)</f>
        <v>43292.85</v>
      </c>
      <c r="L59" s="34">
        <f>SUM(L58,L53,L48)</f>
        <v>299.20000000000005</v>
      </c>
      <c r="M59" s="33">
        <f>K59/L59</f>
        <v>144.69535427807483</v>
      </c>
      <c r="N59" s="33">
        <f>SUM(N58,N53,N48)</f>
        <v>365498.4</v>
      </c>
      <c r="O59" s="34">
        <f>SUM(O58,O53,O48)</f>
        <v>3007.8</v>
      </c>
      <c r="P59" s="33">
        <f>N59/O59</f>
        <v>121.51685617394773</v>
      </c>
      <c r="Q59" s="33">
        <f>SUM(Q58,Q53,Q48)</f>
        <v>423011.39999999997</v>
      </c>
      <c r="R59" s="34">
        <f>SUM(R58,R53,R48)</f>
        <v>3359.7000000000003</v>
      </c>
      <c r="S59" s="33">
        <f>Q59/R59</f>
        <v>125.90749174033394</v>
      </c>
      <c r="T59" s="33">
        <f>SUM(T58,T53,T48)</f>
        <v>1650740.33</v>
      </c>
      <c r="U59" s="34">
        <f>SUM(U58,U53,U48)</f>
        <v>12875.5</v>
      </c>
      <c r="V59" s="33">
        <f>T59/U59</f>
        <v>128.20786221894295</v>
      </c>
    </row>
    <row r="60" spans="2:22" x14ac:dyDescent="0.25">
      <c r="B60" s="67" t="s">
        <v>15</v>
      </c>
      <c r="C60" s="67" t="s">
        <v>10</v>
      </c>
      <c r="D60" s="67" t="s">
        <v>0</v>
      </c>
      <c r="E60" s="58" t="s">
        <v>44</v>
      </c>
      <c r="F60" s="58"/>
      <c r="G60" s="58"/>
      <c r="H60" s="55" t="s">
        <v>7</v>
      </c>
      <c r="I60" s="56"/>
      <c r="J60" s="57"/>
      <c r="K60" s="58" t="s">
        <v>42</v>
      </c>
      <c r="L60" s="58"/>
      <c r="M60" s="58"/>
      <c r="N60" s="58" t="s">
        <v>45</v>
      </c>
      <c r="O60" s="58"/>
      <c r="P60" s="58"/>
      <c r="Q60" s="58" t="s">
        <v>4</v>
      </c>
      <c r="R60" s="58"/>
      <c r="S60" s="58"/>
      <c r="T60" s="58" t="s">
        <v>9</v>
      </c>
      <c r="U60" s="58"/>
      <c r="V60" s="58"/>
    </row>
    <row r="61" spans="2:22" x14ac:dyDescent="0.25">
      <c r="B61" s="67"/>
      <c r="C61" s="67"/>
      <c r="D61" s="67"/>
      <c r="E61" s="1" t="s">
        <v>1</v>
      </c>
      <c r="F61" s="3" t="s">
        <v>2</v>
      </c>
      <c r="G61" s="1" t="s">
        <v>3</v>
      </c>
      <c r="H61" s="1" t="s">
        <v>1</v>
      </c>
      <c r="I61" s="3" t="s">
        <v>2</v>
      </c>
      <c r="J61" s="1" t="s">
        <v>3</v>
      </c>
      <c r="K61" s="1" t="s">
        <v>1</v>
      </c>
      <c r="L61" s="3" t="s">
        <v>2</v>
      </c>
      <c r="M61" s="1" t="s">
        <v>3</v>
      </c>
      <c r="N61" s="1" t="s">
        <v>1</v>
      </c>
      <c r="O61" s="3" t="s">
        <v>2</v>
      </c>
      <c r="P61" s="1" t="s">
        <v>3</v>
      </c>
      <c r="Q61" s="1" t="s">
        <v>1</v>
      </c>
      <c r="R61" s="3" t="s">
        <v>2</v>
      </c>
      <c r="S61" s="1" t="s">
        <v>3</v>
      </c>
      <c r="T61" s="1" t="s">
        <v>1</v>
      </c>
      <c r="U61" s="3" t="s">
        <v>2</v>
      </c>
      <c r="V61" s="1" t="s">
        <v>3</v>
      </c>
    </row>
    <row r="62" spans="2:22" ht="23.25" customHeight="1" x14ac:dyDescent="0.25">
      <c r="B62" s="59" t="s">
        <v>28</v>
      </c>
      <c r="C62" s="62" t="s">
        <v>31</v>
      </c>
      <c r="D62" s="11">
        <v>45567</v>
      </c>
      <c r="E62" s="7"/>
      <c r="F62" s="8"/>
      <c r="G62" s="7"/>
      <c r="H62" s="7"/>
      <c r="I62" s="8"/>
      <c r="J62" s="7"/>
      <c r="K62" s="7"/>
      <c r="L62" s="8"/>
      <c r="M62" s="7"/>
      <c r="N62" s="7"/>
      <c r="O62" s="8"/>
      <c r="P62" s="7"/>
      <c r="Q62" s="7"/>
      <c r="R62" s="8"/>
      <c r="S62" s="7"/>
      <c r="T62" s="7"/>
      <c r="U62" s="8"/>
      <c r="V62" s="7"/>
    </row>
    <row r="63" spans="2:22" ht="23.25" customHeight="1" x14ac:dyDescent="0.25">
      <c r="B63" s="60"/>
      <c r="C63" s="62"/>
      <c r="D63" s="11">
        <v>45574</v>
      </c>
      <c r="E63" s="7"/>
      <c r="F63" s="8"/>
      <c r="G63" s="7"/>
      <c r="H63" s="7"/>
      <c r="I63" s="8"/>
      <c r="J63" s="42"/>
      <c r="K63" s="7"/>
      <c r="L63" s="8"/>
      <c r="M63" s="7"/>
      <c r="N63" s="7"/>
      <c r="O63" s="8"/>
      <c r="P63" s="7"/>
      <c r="Q63" s="7"/>
      <c r="R63" s="8"/>
      <c r="S63" s="7"/>
      <c r="T63" s="7"/>
      <c r="U63" s="8"/>
      <c r="V63" s="7"/>
    </row>
    <row r="64" spans="2:22" ht="23.25" customHeight="1" x14ac:dyDescent="0.25">
      <c r="B64" s="60"/>
      <c r="C64" s="62"/>
      <c r="D64" s="11">
        <v>45581</v>
      </c>
      <c r="E64" s="7"/>
      <c r="F64" s="8"/>
      <c r="G64" s="7"/>
      <c r="H64" s="7"/>
      <c r="I64" s="8"/>
      <c r="J64" s="7"/>
      <c r="K64" s="7"/>
      <c r="L64" s="8"/>
      <c r="M64" s="7"/>
      <c r="N64" s="7"/>
      <c r="O64" s="8"/>
      <c r="P64" s="7"/>
      <c r="Q64" s="7"/>
      <c r="R64" s="8"/>
      <c r="S64" s="7"/>
      <c r="T64" s="7"/>
      <c r="U64" s="8"/>
      <c r="V64" s="7"/>
    </row>
    <row r="65" spans="2:22" ht="23.25" customHeight="1" x14ac:dyDescent="0.25">
      <c r="B65" s="60"/>
      <c r="C65" s="62"/>
      <c r="D65" s="11">
        <v>45587</v>
      </c>
      <c r="E65" s="7"/>
      <c r="F65" s="8"/>
      <c r="G65" s="7"/>
      <c r="H65" s="7"/>
      <c r="I65" s="8"/>
      <c r="J65" s="7"/>
      <c r="K65" s="7"/>
      <c r="L65" s="8"/>
      <c r="M65" s="7"/>
      <c r="N65" s="7"/>
      <c r="O65" s="8"/>
      <c r="P65" s="7"/>
      <c r="Q65" s="7"/>
      <c r="R65" s="8"/>
      <c r="S65" s="7"/>
      <c r="T65" s="7"/>
      <c r="U65" s="8"/>
      <c r="V65" s="7"/>
    </row>
    <row r="66" spans="2:22" ht="23.25" customHeight="1" x14ac:dyDescent="0.25">
      <c r="B66" s="60"/>
      <c r="C66" s="62"/>
      <c r="D66" s="11">
        <v>45595</v>
      </c>
      <c r="E66" s="7"/>
      <c r="F66" s="8"/>
      <c r="G66" s="7"/>
      <c r="H66" s="7"/>
      <c r="I66" s="8"/>
      <c r="J66" s="7"/>
      <c r="K66" s="7"/>
      <c r="L66" s="8"/>
      <c r="M66" s="7"/>
      <c r="N66" s="7"/>
      <c r="O66" s="8"/>
      <c r="P66" s="7"/>
      <c r="Q66" s="7"/>
      <c r="R66" s="8"/>
      <c r="S66" s="7"/>
      <c r="T66" s="7"/>
      <c r="U66" s="8"/>
      <c r="V66" s="7"/>
    </row>
    <row r="67" spans="2:22" ht="23.25" customHeight="1" x14ac:dyDescent="0.25">
      <c r="B67" s="60"/>
      <c r="C67" s="63" t="s">
        <v>36</v>
      </c>
      <c r="D67" s="64"/>
      <c r="E67" s="30">
        <f>SUM(E62:E66)</f>
        <v>0</v>
      </c>
      <c r="F67" s="31">
        <f>SUM(F62:F66)</f>
        <v>0</v>
      </c>
      <c r="G67" s="30" t="e">
        <f>E67/F67</f>
        <v>#DIV/0!</v>
      </c>
      <c r="H67" s="30">
        <f>SUM(H62:H66)</f>
        <v>0</v>
      </c>
      <c r="I67" s="31">
        <f>SUM(I62:I66)</f>
        <v>0</v>
      </c>
      <c r="J67" s="30" t="e">
        <f>H67/I67</f>
        <v>#DIV/0!</v>
      </c>
      <c r="K67" s="30">
        <f>SUM(K62:K66)</f>
        <v>0</v>
      </c>
      <c r="L67" s="31">
        <f>SUM(L62:L66)</f>
        <v>0</v>
      </c>
      <c r="M67" s="30" t="e">
        <f>K67/L67</f>
        <v>#DIV/0!</v>
      </c>
      <c r="N67" s="30">
        <f>SUM(N62:N66)</f>
        <v>0</v>
      </c>
      <c r="O67" s="31">
        <f>SUM(O62:O66)</f>
        <v>0</v>
      </c>
      <c r="P67" s="30" t="e">
        <f>N67/O67</f>
        <v>#DIV/0!</v>
      </c>
      <c r="Q67" s="30">
        <f>SUM(Q62:Q66)</f>
        <v>0</v>
      </c>
      <c r="R67" s="31">
        <f>SUM(R62:R66)</f>
        <v>0</v>
      </c>
      <c r="S67" s="30" t="e">
        <f>Q67/R67</f>
        <v>#DIV/0!</v>
      </c>
      <c r="T67" s="30">
        <f>SUM(T62:T66)</f>
        <v>0</v>
      </c>
      <c r="U67" s="31">
        <f>SUM(U62:U66)</f>
        <v>0</v>
      </c>
      <c r="V67" s="32" t="e">
        <f>T67/U67</f>
        <v>#DIV/0!</v>
      </c>
    </row>
    <row r="68" spans="2:22" ht="23.25" customHeight="1" x14ac:dyDescent="0.25">
      <c r="B68" s="60"/>
      <c r="C68" s="65" t="s">
        <v>32</v>
      </c>
      <c r="D68" s="11">
        <v>44507</v>
      </c>
      <c r="E68" s="7"/>
      <c r="F68" s="8"/>
      <c r="G68" s="7"/>
      <c r="H68" s="7"/>
      <c r="I68" s="8"/>
      <c r="J68" s="7"/>
      <c r="K68" s="7"/>
      <c r="L68" s="8"/>
      <c r="M68" s="7"/>
      <c r="N68" s="7"/>
      <c r="O68" s="8"/>
      <c r="P68" s="7"/>
      <c r="Q68" s="7"/>
      <c r="R68" s="8"/>
      <c r="S68" s="7"/>
      <c r="T68" s="7"/>
      <c r="U68" s="8"/>
      <c r="V68" s="7"/>
    </row>
    <row r="69" spans="2:22" ht="23.25" customHeight="1" x14ac:dyDescent="0.25">
      <c r="B69" s="60"/>
      <c r="C69" s="65">
        <v>8</v>
      </c>
      <c r="D69" s="11">
        <v>44513</v>
      </c>
      <c r="E69" s="7"/>
      <c r="F69" s="8"/>
      <c r="G69" s="7"/>
      <c r="H69" s="7"/>
      <c r="I69" s="8"/>
      <c r="J69" s="7"/>
      <c r="K69" s="7"/>
      <c r="L69" s="8"/>
      <c r="M69" s="7"/>
      <c r="N69" s="7"/>
      <c r="O69" s="8"/>
      <c r="P69" s="7"/>
      <c r="Q69" s="7"/>
      <c r="R69" s="8"/>
      <c r="S69" s="7"/>
      <c r="T69" s="7"/>
      <c r="U69" s="8"/>
      <c r="V69" s="7"/>
    </row>
    <row r="70" spans="2:22" ht="23.25" customHeight="1" x14ac:dyDescent="0.25">
      <c r="B70" s="60"/>
      <c r="C70" s="65">
        <v>9</v>
      </c>
      <c r="D70" s="11">
        <v>44520</v>
      </c>
      <c r="E70" s="7"/>
      <c r="F70" s="8"/>
      <c r="G70" s="7"/>
      <c r="H70" s="7"/>
      <c r="I70" s="8"/>
      <c r="J70" s="7"/>
      <c r="K70" s="7"/>
      <c r="L70" s="8"/>
      <c r="M70" s="7"/>
      <c r="N70" s="7"/>
      <c r="O70" s="8"/>
      <c r="P70" s="7"/>
      <c r="Q70" s="7"/>
      <c r="R70" s="8"/>
      <c r="S70" s="7"/>
      <c r="T70" s="7"/>
      <c r="U70" s="8"/>
      <c r="V70" s="7"/>
    </row>
    <row r="71" spans="2:22" ht="23.25" customHeight="1" x14ac:dyDescent="0.25">
      <c r="B71" s="60"/>
      <c r="C71" s="66"/>
      <c r="D71" s="11">
        <v>44527</v>
      </c>
      <c r="E71" s="7"/>
      <c r="F71" s="8"/>
      <c r="G71" s="7"/>
      <c r="H71" s="7"/>
      <c r="I71" s="8"/>
      <c r="J71" s="7"/>
      <c r="K71" s="7"/>
      <c r="L71" s="8"/>
      <c r="M71" s="7"/>
      <c r="N71" s="7"/>
      <c r="O71" s="8"/>
      <c r="P71" s="7"/>
      <c r="Q71" s="7"/>
      <c r="R71" s="8"/>
      <c r="S71" s="7"/>
      <c r="T71" s="7"/>
      <c r="U71" s="8"/>
      <c r="V71" s="7"/>
    </row>
    <row r="72" spans="2:22" ht="23.25" customHeight="1" x14ac:dyDescent="0.25">
      <c r="B72" s="60"/>
      <c r="C72" s="63" t="s">
        <v>36</v>
      </c>
      <c r="D72" s="64"/>
      <c r="E72" s="30">
        <f>SUM(E68:E71)</f>
        <v>0</v>
      </c>
      <c r="F72" s="31">
        <f>SUM(F68:F71)</f>
        <v>0</v>
      </c>
      <c r="G72" s="30" t="e">
        <f>E72/F72</f>
        <v>#DIV/0!</v>
      </c>
      <c r="H72" s="30">
        <f>SUM(H68:H71)</f>
        <v>0</v>
      </c>
      <c r="I72" s="31">
        <f>SUM(I68:I71)</f>
        <v>0</v>
      </c>
      <c r="J72" s="30" t="e">
        <f>H72/I72</f>
        <v>#DIV/0!</v>
      </c>
      <c r="K72" s="30">
        <f>SUM(K68:K71)</f>
        <v>0</v>
      </c>
      <c r="L72" s="31">
        <f>SUM(L68:L71)</f>
        <v>0</v>
      </c>
      <c r="M72" s="30" t="e">
        <f>K72/L72</f>
        <v>#DIV/0!</v>
      </c>
      <c r="N72" s="30">
        <f>SUM(N68:N71)</f>
        <v>0</v>
      </c>
      <c r="O72" s="31">
        <f>SUM(O68:O71)</f>
        <v>0</v>
      </c>
      <c r="P72" s="30" t="e">
        <f>N72/O72</f>
        <v>#DIV/0!</v>
      </c>
      <c r="Q72" s="30">
        <f>SUM(Q68:Q71)</f>
        <v>0</v>
      </c>
      <c r="R72" s="31">
        <f>SUM(R68:R71)</f>
        <v>0</v>
      </c>
      <c r="S72" s="30" t="e">
        <f>Q72/R72</f>
        <v>#DIV/0!</v>
      </c>
      <c r="T72" s="30">
        <f>SUM(T68:T71)</f>
        <v>0</v>
      </c>
      <c r="U72" s="31">
        <f>SUM(U68:U71)</f>
        <v>0</v>
      </c>
      <c r="V72" s="32" t="e">
        <f>T72/U72</f>
        <v>#DIV/0!</v>
      </c>
    </row>
    <row r="73" spans="2:22" ht="23.25" customHeight="1" x14ac:dyDescent="0.25">
      <c r="B73" s="60"/>
      <c r="C73" s="62" t="s">
        <v>33</v>
      </c>
      <c r="D73" s="11">
        <v>44534</v>
      </c>
      <c r="E73" s="7"/>
      <c r="F73" s="8"/>
      <c r="G73" s="7"/>
      <c r="H73" s="7"/>
      <c r="I73" s="8"/>
      <c r="J73" s="13"/>
      <c r="K73" s="7"/>
      <c r="L73" s="8"/>
      <c r="M73" s="7"/>
      <c r="N73" s="7"/>
      <c r="O73" s="8"/>
      <c r="P73" s="7"/>
      <c r="Q73" s="7"/>
      <c r="R73" s="8"/>
      <c r="S73" s="7"/>
      <c r="T73" s="7"/>
      <c r="U73" s="8"/>
      <c r="V73" s="7"/>
    </row>
    <row r="74" spans="2:22" ht="23.25" customHeight="1" x14ac:dyDescent="0.25">
      <c r="B74" s="60"/>
      <c r="C74" s="62">
        <v>11</v>
      </c>
      <c r="D74" s="11">
        <v>44541</v>
      </c>
      <c r="E74" s="7"/>
      <c r="F74" s="8"/>
      <c r="G74" s="7"/>
      <c r="H74" s="7"/>
      <c r="I74" s="8"/>
      <c r="J74" s="7"/>
      <c r="K74" s="7"/>
      <c r="L74" s="8"/>
      <c r="M74" s="7"/>
      <c r="N74" s="7"/>
      <c r="O74" s="8"/>
      <c r="P74" s="13"/>
      <c r="Q74" s="7"/>
      <c r="R74" s="8"/>
      <c r="S74" s="7"/>
      <c r="T74" s="7"/>
      <c r="U74" s="8"/>
      <c r="V74" s="7"/>
    </row>
    <row r="75" spans="2:22" ht="23.25" customHeight="1" x14ac:dyDescent="0.25">
      <c r="B75" s="60"/>
      <c r="C75" s="62">
        <v>12</v>
      </c>
      <c r="D75" s="11">
        <v>44913</v>
      </c>
      <c r="E75" s="7"/>
      <c r="F75" s="8"/>
      <c r="G75" s="7"/>
      <c r="H75" s="7"/>
      <c r="I75" s="8"/>
      <c r="J75" s="7"/>
      <c r="K75" s="7"/>
      <c r="L75" s="8"/>
      <c r="M75" s="7"/>
      <c r="N75" s="7"/>
      <c r="O75" s="8"/>
      <c r="P75" s="7"/>
      <c r="Q75" s="7"/>
      <c r="R75" s="8"/>
      <c r="S75" s="7"/>
      <c r="T75" s="7"/>
      <c r="U75" s="8"/>
      <c r="V75" s="7"/>
    </row>
    <row r="76" spans="2:22" ht="23.25" customHeight="1" x14ac:dyDescent="0.25">
      <c r="B76" s="60"/>
      <c r="C76" s="62">
        <v>13</v>
      </c>
      <c r="D76" s="11">
        <v>44920</v>
      </c>
      <c r="E76" s="7"/>
      <c r="F76" s="8"/>
      <c r="G76" s="7"/>
      <c r="H76" s="7"/>
      <c r="I76" s="8"/>
      <c r="J76" s="7"/>
      <c r="K76" s="7"/>
      <c r="L76" s="8"/>
      <c r="M76" s="7"/>
      <c r="N76" s="7"/>
      <c r="O76" s="8"/>
      <c r="P76" s="7"/>
      <c r="Q76" s="7"/>
      <c r="R76" s="8"/>
      <c r="S76" s="7"/>
      <c r="T76" s="7"/>
      <c r="U76" s="8"/>
      <c r="V76" s="7"/>
    </row>
    <row r="77" spans="2:22" ht="23.25" customHeight="1" x14ac:dyDescent="0.25">
      <c r="B77" s="61"/>
      <c r="C77" s="63" t="s">
        <v>36</v>
      </c>
      <c r="D77" s="64"/>
      <c r="E77" s="30">
        <f>SUM(E73:E76)</f>
        <v>0</v>
      </c>
      <c r="F77" s="31">
        <f>SUM(F73:F76)</f>
        <v>0</v>
      </c>
      <c r="G77" s="30" t="e">
        <f>E77/F77</f>
        <v>#DIV/0!</v>
      </c>
      <c r="H77" s="30">
        <f>SUM(H73:H76)</f>
        <v>0</v>
      </c>
      <c r="I77" s="31">
        <f>SUM(I73:I76)</f>
        <v>0</v>
      </c>
      <c r="J77" s="30" t="e">
        <f>H77/I77</f>
        <v>#DIV/0!</v>
      </c>
      <c r="K77" s="30">
        <f>SUM(K73:K76)</f>
        <v>0</v>
      </c>
      <c r="L77" s="31">
        <f>SUM(L73:L76)</f>
        <v>0</v>
      </c>
      <c r="M77" s="30" t="e">
        <f>K77/L77</f>
        <v>#DIV/0!</v>
      </c>
      <c r="N77" s="30">
        <f>SUM(N73:N76)</f>
        <v>0</v>
      </c>
      <c r="O77" s="31">
        <f>SUM(O73:O76)</f>
        <v>0</v>
      </c>
      <c r="P77" s="30" t="e">
        <f>N77/O77</f>
        <v>#DIV/0!</v>
      </c>
      <c r="Q77" s="30">
        <f>SUM(Q73:Q76)</f>
        <v>0</v>
      </c>
      <c r="R77" s="31">
        <f>SUM(R73:R76)</f>
        <v>0</v>
      </c>
      <c r="S77" s="30" t="e">
        <f>Q77/R77</f>
        <v>#DIV/0!</v>
      </c>
      <c r="T77" s="30">
        <f>SUM(T73:T76)</f>
        <v>0</v>
      </c>
      <c r="U77" s="31">
        <f>SUM(U73:U76)</f>
        <v>0</v>
      </c>
      <c r="V77" s="32" t="e">
        <f>T77/U77</f>
        <v>#DIV/0!</v>
      </c>
    </row>
    <row r="78" spans="2:22" ht="39" customHeight="1" x14ac:dyDescent="0.25">
      <c r="B78" s="52" t="s">
        <v>29</v>
      </c>
      <c r="C78" s="52"/>
      <c r="D78" s="52"/>
      <c r="E78" s="33">
        <f>SUM(E77,E72,E67)</f>
        <v>0</v>
      </c>
      <c r="F78" s="34">
        <f>SUM(F77,F72,F67)</f>
        <v>0</v>
      </c>
      <c r="G78" s="33" t="e">
        <f>E78/F78</f>
        <v>#DIV/0!</v>
      </c>
      <c r="H78" s="33">
        <f>SUM(H77,H72,H67)</f>
        <v>0</v>
      </c>
      <c r="I78" s="34">
        <f>SUM(I77,I72,I67)</f>
        <v>0</v>
      </c>
      <c r="J78" s="33" t="e">
        <f>H78/I78</f>
        <v>#DIV/0!</v>
      </c>
      <c r="K78" s="33">
        <f>SUM(K77,K72,K67)</f>
        <v>0</v>
      </c>
      <c r="L78" s="34">
        <f>SUM(L77,L72,L67)</f>
        <v>0</v>
      </c>
      <c r="M78" s="33" t="e">
        <f>K78/L78</f>
        <v>#DIV/0!</v>
      </c>
      <c r="N78" s="33">
        <f>SUM(N77,N72,N67)</f>
        <v>0</v>
      </c>
      <c r="O78" s="34">
        <f>SUM(O77,O72,O67)</f>
        <v>0</v>
      </c>
      <c r="P78" s="33" t="e">
        <f>N78/O78</f>
        <v>#DIV/0!</v>
      </c>
      <c r="Q78" s="33">
        <f>SUM(Q77,Q72,Q67)</f>
        <v>0</v>
      </c>
      <c r="R78" s="34">
        <f>SUM(R77,R72,R67)</f>
        <v>0</v>
      </c>
      <c r="S78" s="33" t="e">
        <f>Q78/R78</f>
        <v>#DIV/0!</v>
      </c>
      <c r="T78" s="33">
        <f>SUM(T77,T72,T67)</f>
        <v>0</v>
      </c>
      <c r="U78" s="34">
        <f>SUM(U77,U72,U67)</f>
        <v>0</v>
      </c>
      <c r="V78" s="33" t="e">
        <f>T78/U78</f>
        <v>#DIV/0!</v>
      </c>
    </row>
    <row r="79" spans="2:22" ht="23.25" customHeight="1" x14ac:dyDescent="0.25">
      <c r="B79" s="53" t="s">
        <v>38</v>
      </c>
      <c r="C79" s="54"/>
      <c r="D79" s="54"/>
      <c r="E79" s="9">
        <f>SUM(E78,E59,E39,E20)</f>
        <v>1313022.5999999999</v>
      </c>
      <c r="F79" s="10">
        <f>SUM(F78,F59,F39,F20)</f>
        <v>9909.34</v>
      </c>
      <c r="G79" s="9">
        <f>E79/F79</f>
        <v>132.50353706704985</v>
      </c>
      <c r="H79" s="9">
        <f>SUM(H78,H59,H39,H20)</f>
        <v>2942263.9000000004</v>
      </c>
      <c r="I79" s="10">
        <f>SUM(I78,I59,I39,I20)</f>
        <v>21215.49</v>
      </c>
      <c r="J79" s="9">
        <f>H79/I79</f>
        <v>138.68470160246122</v>
      </c>
      <c r="K79" s="9">
        <f>SUM(K78,K59,K39,K20)</f>
        <v>367031.33999999997</v>
      </c>
      <c r="L79" s="10">
        <f>SUM(L78,L59,L39,L20)</f>
        <v>1946.15</v>
      </c>
      <c r="M79" s="9">
        <f>K79/L79</f>
        <v>188.59355137065486</v>
      </c>
      <c r="N79" s="9">
        <f>SUM(N78,N59,N39,N20)</f>
        <v>1772537.5000000002</v>
      </c>
      <c r="O79" s="10">
        <f>SUM(O78,O59,O39,O20)</f>
        <v>15340.400000000001</v>
      </c>
      <c r="P79" s="9">
        <f>N79/O79</f>
        <v>115.54701963442936</v>
      </c>
      <c r="Q79" s="9">
        <f>SUM(Q78,Q59,Q39,Q20)</f>
        <v>2239559.91</v>
      </c>
      <c r="R79" s="10">
        <f>SUM(R78,R59,R39,R20)</f>
        <v>18853.400000000001</v>
      </c>
      <c r="S79" s="9">
        <f>Q79/R79</f>
        <v>118.78811832348542</v>
      </c>
      <c r="T79" s="9">
        <f>SUM(T78,T59,T39,T20)</f>
        <v>8634415.25</v>
      </c>
      <c r="U79" s="10">
        <f>SUM(U78,U59,U39,U20)</f>
        <v>67264.78</v>
      </c>
      <c r="V79" s="9">
        <f>T79/U79</f>
        <v>128.36458024541224</v>
      </c>
    </row>
    <row r="81" spans="20:20" x14ac:dyDescent="0.25">
      <c r="T81" s="2">
        <f>T79/240</f>
        <v>35976.730208333334</v>
      </c>
    </row>
    <row r="83" spans="20:20" x14ac:dyDescent="0.25">
      <c r="T83" s="2">
        <f>T81*120</f>
        <v>4317207.625</v>
      </c>
    </row>
    <row r="85" spans="20:20" x14ac:dyDescent="0.25">
      <c r="T85" s="2">
        <f>T79+T83</f>
        <v>12951622.875</v>
      </c>
    </row>
  </sheetData>
  <mergeCells count="70">
    <mergeCell ref="B2:B3"/>
    <mergeCell ref="C2:C3"/>
    <mergeCell ref="D2:D3"/>
    <mergeCell ref="E2:G2"/>
    <mergeCell ref="H2:J2"/>
    <mergeCell ref="E21:G21"/>
    <mergeCell ref="K2:M2"/>
    <mergeCell ref="N2:P2"/>
    <mergeCell ref="Q2:S2"/>
    <mergeCell ref="T2:V2"/>
    <mergeCell ref="H21:J21"/>
    <mergeCell ref="K21:M21"/>
    <mergeCell ref="N21:P21"/>
    <mergeCell ref="Q21:S21"/>
    <mergeCell ref="T21:V21"/>
    <mergeCell ref="C19:D19"/>
    <mergeCell ref="B20:D20"/>
    <mergeCell ref="B21:B22"/>
    <mergeCell ref="C21:C22"/>
    <mergeCell ref="D21:D22"/>
    <mergeCell ref="B4:B19"/>
    <mergeCell ref="C4:C7"/>
    <mergeCell ref="C9:D9"/>
    <mergeCell ref="C10:C13"/>
    <mergeCell ref="C14:D14"/>
    <mergeCell ref="C15:C18"/>
    <mergeCell ref="E41:G41"/>
    <mergeCell ref="B23:B38"/>
    <mergeCell ref="C23:C26"/>
    <mergeCell ref="C28:D28"/>
    <mergeCell ref="C29:C32"/>
    <mergeCell ref="C33:D33"/>
    <mergeCell ref="C34:C37"/>
    <mergeCell ref="C38:D38"/>
    <mergeCell ref="B39:D39"/>
    <mergeCell ref="B40:D40"/>
    <mergeCell ref="B41:B42"/>
    <mergeCell ref="C41:C42"/>
    <mergeCell ref="D41:D42"/>
    <mergeCell ref="H41:J41"/>
    <mergeCell ref="K41:M41"/>
    <mergeCell ref="N41:P41"/>
    <mergeCell ref="Q41:S41"/>
    <mergeCell ref="T41:V41"/>
    <mergeCell ref="B43:B58"/>
    <mergeCell ref="C43:C47"/>
    <mergeCell ref="C48:D48"/>
    <mergeCell ref="C49:C52"/>
    <mergeCell ref="C53:D53"/>
    <mergeCell ref="C54:C57"/>
    <mergeCell ref="C58:D58"/>
    <mergeCell ref="B59:D59"/>
    <mergeCell ref="B60:B61"/>
    <mergeCell ref="C60:C61"/>
    <mergeCell ref="D60:D61"/>
    <mergeCell ref="E60:G60"/>
    <mergeCell ref="Q60:S60"/>
    <mergeCell ref="T60:V60"/>
    <mergeCell ref="B62:B77"/>
    <mergeCell ref="C62:C66"/>
    <mergeCell ref="C67:D67"/>
    <mergeCell ref="C68:C71"/>
    <mergeCell ref="C72:D72"/>
    <mergeCell ref="C73:C76"/>
    <mergeCell ref="C77:D77"/>
    <mergeCell ref="B78:D78"/>
    <mergeCell ref="B79:D79"/>
    <mergeCell ref="H60:J60"/>
    <mergeCell ref="K60:M60"/>
    <mergeCell ref="N60:P60"/>
  </mergeCells>
  <printOptions horizontalCentered="1"/>
  <pageMargins left="0.7" right="0.7" top="1" bottom="0.75" header="0.3" footer="0.3"/>
  <pageSetup paperSize="17" scale="71" orientation="landscape" r:id="rId1"/>
  <headerFooter>
    <oddHeader>&amp;C&amp;"Arial Black,Regular"&amp;16 2026 SALES REPORT
&amp;12SALESMAN PERFORMANCE</oddHeader>
    <oddFooter>&amp;L&amp;Z&amp;F&amp;R&amp;D</oddFooter>
  </headerFooter>
  <rowBreaks count="1" manualBreakCount="1">
    <brk id="40" max="2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9AC53-B0A9-4BA0-B87B-000E0267EE86}">
  <sheetPr codeName="Sheet8"/>
  <dimension ref="A1:O16"/>
  <sheetViews>
    <sheetView workbookViewId="0">
      <selection activeCell="M16" sqref="M16:N16"/>
    </sheetView>
  </sheetViews>
  <sheetFormatPr defaultRowHeight="15" x14ac:dyDescent="0.25"/>
  <cols>
    <col min="1" max="1" width="11" style="40" customWidth="1"/>
    <col min="2" max="2" width="11" style="41" customWidth="1"/>
    <col min="3" max="3" width="11" style="40" customWidth="1"/>
    <col min="5" max="5" width="11" style="40" customWidth="1"/>
    <col min="6" max="6" width="11" style="41" customWidth="1"/>
    <col min="7" max="7" width="11" style="40" customWidth="1"/>
    <col min="9" max="9" width="11" style="40" customWidth="1"/>
    <col min="10" max="10" width="11" style="41" customWidth="1"/>
    <col min="11" max="11" width="11" style="40" customWidth="1"/>
    <col min="13" max="13" width="11" style="40" customWidth="1"/>
    <col min="14" max="14" width="11" style="41" customWidth="1"/>
    <col min="15" max="15" width="11" style="40" customWidth="1"/>
  </cols>
  <sheetData>
    <row r="1" spans="1:15" x14ac:dyDescent="0.25">
      <c r="A1" s="73" t="s">
        <v>40</v>
      </c>
      <c r="B1" s="74"/>
      <c r="C1" s="74"/>
      <c r="E1" s="73" t="s">
        <v>7</v>
      </c>
      <c r="F1" s="74"/>
      <c r="G1" s="74"/>
      <c r="I1" s="73" t="s">
        <v>41</v>
      </c>
      <c r="J1" s="74"/>
      <c r="K1" s="74"/>
      <c r="M1" s="73" t="s">
        <v>4</v>
      </c>
      <c r="N1" s="74"/>
      <c r="O1" s="74"/>
    </row>
    <row r="2" spans="1:15" x14ac:dyDescent="0.25">
      <c r="A2" s="40" t="s">
        <v>9</v>
      </c>
      <c r="B2" s="41" t="s">
        <v>2</v>
      </c>
      <c r="C2" s="40" t="s">
        <v>3</v>
      </c>
      <c r="E2" s="40" t="s">
        <v>9</v>
      </c>
      <c r="F2" s="41" t="s">
        <v>2</v>
      </c>
      <c r="G2" s="40" t="s">
        <v>3</v>
      </c>
      <c r="I2" s="40" t="s">
        <v>9</v>
      </c>
      <c r="J2" s="41" t="s">
        <v>2</v>
      </c>
      <c r="K2" s="40" t="s">
        <v>3</v>
      </c>
      <c r="M2" s="40" t="s">
        <v>9</v>
      </c>
      <c r="N2" s="41" t="s">
        <v>2</v>
      </c>
      <c r="O2" s="40" t="s">
        <v>3</v>
      </c>
    </row>
    <row r="3" spans="1:15" x14ac:dyDescent="0.25">
      <c r="A3" s="40">
        <v>6970</v>
      </c>
      <c r="B3" s="41">
        <v>90</v>
      </c>
      <c r="C3" s="40">
        <f>A3/B3</f>
        <v>77.444444444444443</v>
      </c>
      <c r="E3" s="40">
        <v>7280</v>
      </c>
      <c r="F3" s="41">
        <v>74</v>
      </c>
      <c r="G3" s="40">
        <f>E3/F3</f>
        <v>98.378378378378372</v>
      </c>
      <c r="I3" s="40">
        <v>24220</v>
      </c>
      <c r="J3" s="41">
        <v>216.5</v>
      </c>
      <c r="K3" s="40" t="e">
        <v>#DIV/0!</v>
      </c>
      <c r="M3" s="40">
        <v>3750</v>
      </c>
      <c r="N3" s="41">
        <v>36</v>
      </c>
      <c r="O3" s="40">
        <f>M3/N3</f>
        <v>104.16666666666667</v>
      </c>
    </row>
    <row r="4" spans="1:15" x14ac:dyDescent="0.25">
      <c r="A4" s="40">
        <v>205</v>
      </c>
      <c r="B4" s="41">
        <v>2</v>
      </c>
      <c r="C4" s="40">
        <f t="shared" ref="C4:C16" si="0">A4/B4</f>
        <v>102.5</v>
      </c>
      <c r="E4" s="40">
        <v>22457.279999999999</v>
      </c>
      <c r="F4" s="41">
        <v>218</v>
      </c>
      <c r="G4" s="40">
        <f t="shared" ref="G4:G16" si="1">E4/F4</f>
        <v>103.01504587155962</v>
      </c>
      <c r="K4" s="40" t="e">
        <f t="shared" ref="K4:K16" si="2">I4/J4</f>
        <v>#DIV/0!</v>
      </c>
      <c r="M4" s="40">
        <v>110</v>
      </c>
      <c r="N4" s="41">
        <v>1</v>
      </c>
      <c r="O4" s="40">
        <f t="shared" ref="O4:O16" si="3">M4/N4</f>
        <v>110</v>
      </c>
    </row>
    <row r="5" spans="1:15" x14ac:dyDescent="0.25">
      <c r="A5" s="40">
        <v>4615</v>
      </c>
      <c r="B5" s="41">
        <v>43</v>
      </c>
      <c r="C5" s="40">
        <f t="shared" si="0"/>
        <v>107.32558139534883</v>
      </c>
      <c r="E5" s="40">
        <v>795</v>
      </c>
      <c r="F5" s="41">
        <v>7.5</v>
      </c>
      <c r="G5" s="40">
        <f t="shared" si="1"/>
        <v>106</v>
      </c>
      <c r="K5" s="40" t="e">
        <f t="shared" si="2"/>
        <v>#DIV/0!</v>
      </c>
      <c r="M5" s="40">
        <v>4000</v>
      </c>
      <c r="N5" s="41">
        <v>4</v>
      </c>
      <c r="O5" s="40">
        <f t="shared" si="3"/>
        <v>1000</v>
      </c>
    </row>
    <row r="6" spans="1:15" x14ac:dyDescent="0.25">
      <c r="A6" s="40">
        <v>4440</v>
      </c>
      <c r="B6" s="41">
        <v>42</v>
      </c>
      <c r="C6" s="40">
        <f t="shared" si="0"/>
        <v>105.71428571428571</v>
      </c>
      <c r="E6" s="40">
        <v>49797.75</v>
      </c>
      <c r="F6" s="41">
        <v>448</v>
      </c>
      <c r="G6" s="40">
        <f t="shared" si="1"/>
        <v>111.15569196428571</v>
      </c>
      <c r="K6" s="40" t="e">
        <f t="shared" si="2"/>
        <v>#DIV/0!</v>
      </c>
      <c r="M6" s="40">
        <v>3780</v>
      </c>
      <c r="N6" s="41">
        <v>37</v>
      </c>
      <c r="O6" s="40">
        <f t="shared" si="3"/>
        <v>102.16216216216216</v>
      </c>
    </row>
    <row r="7" spans="1:15" x14ac:dyDescent="0.25">
      <c r="A7" s="40">
        <v>8565</v>
      </c>
      <c r="B7" s="41">
        <v>72</v>
      </c>
      <c r="C7" s="40">
        <f t="shared" si="0"/>
        <v>118.95833333333333</v>
      </c>
      <c r="G7" s="40" t="e">
        <f t="shared" si="1"/>
        <v>#DIV/0!</v>
      </c>
      <c r="K7" s="40" t="e">
        <f t="shared" si="2"/>
        <v>#DIV/0!</v>
      </c>
      <c r="O7" s="40">
        <f>I3/J3</f>
        <v>111.87066974595842</v>
      </c>
    </row>
    <row r="8" spans="1:15" x14ac:dyDescent="0.25">
      <c r="A8" s="40">
        <v>5585</v>
      </c>
      <c r="B8" s="41">
        <v>45</v>
      </c>
      <c r="C8" s="40">
        <f t="shared" si="0"/>
        <v>124.11111111111111</v>
      </c>
      <c r="G8" s="40" t="e">
        <f t="shared" si="1"/>
        <v>#DIV/0!</v>
      </c>
      <c r="K8" s="40" t="e">
        <f t="shared" si="2"/>
        <v>#DIV/0!</v>
      </c>
      <c r="O8" s="40" t="e">
        <f t="shared" si="3"/>
        <v>#DIV/0!</v>
      </c>
    </row>
    <row r="9" spans="1:15" x14ac:dyDescent="0.25">
      <c r="C9" s="40" t="e">
        <f t="shared" si="0"/>
        <v>#DIV/0!</v>
      </c>
      <c r="G9" s="40" t="e">
        <f t="shared" si="1"/>
        <v>#DIV/0!</v>
      </c>
      <c r="K9" s="40" t="e">
        <f t="shared" si="2"/>
        <v>#DIV/0!</v>
      </c>
      <c r="O9" s="40" t="e">
        <f t="shared" si="3"/>
        <v>#DIV/0!</v>
      </c>
    </row>
    <row r="10" spans="1:15" x14ac:dyDescent="0.25">
      <c r="C10" s="40" t="e">
        <f t="shared" si="0"/>
        <v>#DIV/0!</v>
      </c>
      <c r="G10" s="40" t="e">
        <f t="shared" si="1"/>
        <v>#DIV/0!</v>
      </c>
      <c r="K10" s="40" t="e">
        <f t="shared" si="2"/>
        <v>#DIV/0!</v>
      </c>
      <c r="O10" s="40" t="e">
        <f t="shared" si="3"/>
        <v>#DIV/0!</v>
      </c>
    </row>
    <row r="11" spans="1:15" x14ac:dyDescent="0.25">
      <c r="C11" s="40" t="e">
        <f t="shared" si="0"/>
        <v>#DIV/0!</v>
      </c>
      <c r="G11" s="40" t="e">
        <f t="shared" si="1"/>
        <v>#DIV/0!</v>
      </c>
      <c r="K11" s="40" t="e">
        <f t="shared" si="2"/>
        <v>#DIV/0!</v>
      </c>
      <c r="O11" s="40" t="e">
        <f t="shared" si="3"/>
        <v>#DIV/0!</v>
      </c>
    </row>
    <row r="12" spans="1:15" x14ac:dyDescent="0.25">
      <c r="C12" s="40" t="e">
        <f t="shared" si="0"/>
        <v>#DIV/0!</v>
      </c>
      <c r="G12" s="40" t="e">
        <f t="shared" si="1"/>
        <v>#DIV/0!</v>
      </c>
      <c r="K12" s="40" t="e">
        <f t="shared" si="2"/>
        <v>#DIV/0!</v>
      </c>
      <c r="O12" s="40" t="e">
        <f t="shared" si="3"/>
        <v>#DIV/0!</v>
      </c>
    </row>
    <row r="13" spans="1:15" x14ac:dyDescent="0.25">
      <c r="C13" s="40" t="e">
        <f t="shared" si="0"/>
        <v>#DIV/0!</v>
      </c>
      <c r="G13" s="40" t="e">
        <f t="shared" si="1"/>
        <v>#DIV/0!</v>
      </c>
      <c r="K13" s="40" t="e">
        <f t="shared" si="2"/>
        <v>#DIV/0!</v>
      </c>
      <c r="O13" s="40" t="e">
        <f t="shared" si="3"/>
        <v>#DIV/0!</v>
      </c>
    </row>
    <row r="14" spans="1:15" x14ac:dyDescent="0.25">
      <c r="C14" s="40" t="e">
        <f t="shared" si="0"/>
        <v>#DIV/0!</v>
      </c>
      <c r="G14" s="40" t="e">
        <f t="shared" si="1"/>
        <v>#DIV/0!</v>
      </c>
      <c r="K14" s="40" t="e">
        <f t="shared" si="2"/>
        <v>#DIV/0!</v>
      </c>
      <c r="O14" s="40" t="e">
        <f t="shared" si="3"/>
        <v>#DIV/0!</v>
      </c>
    </row>
    <row r="15" spans="1:15" x14ac:dyDescent="0.25">
      <c r="C15" s="40" t="e">
        <f t="shared" si="0"/>
        <v>#DIV/0!</v>
      </c>
      <c r="G15" s="40" t="e">
        <f t="shared" si="1"/>
        <v>#DIV/0!</v>
      </c>
      <c r="K15" s="40" t="e">
        <f t="shared" si="2"/>
        <v>#DIV/0!</v>
      </c>
      <c r="O15" s="40" t="e">
        <f t="shared" si="3"/>
        <v>#DIV/0!</v>
      </c>
    </row>
    <row r="16" spans="1:15" x14ac:dyDescent="0.25">
      <c r="A16" s="40">
        <f>SUM(A3:A15)</f>
        <v>30380</v>
      </c>
      <c r="B16" s="41">
        <f>SUM(B3:B15)</f>
        <v>294</v>
      </c>
      <c r="C16" s="40">
        <f t="shared" si="0"/>
        <v>103.33333333333333</v>
      </c>
      <c r="E16" s="40">
        <f>SUM(E3:E15)</f>
        <v>80330.03</v>
      </c>
      <c r="F16" s="41">
        <f>SUM(F3:F15)</f>
        <v>747.5</v>
      </c>
      <c r="G16" s="40">
        <f t="shared" si="1"/>
        <v>107.46492307692307</v>
      </c>
      <c r="I16" s="40">
        <f>SUM(I3:I15)</f>
        <v>24220</v>
      </c>
      <c r="J16" s="41">
        <f>SUM(J3:J15)</f>
        <v>216.5</v>
      </c>
      <c r="K16" s="40">
        <f t="shared" si="2"/>
        <v>111.87066974595842</v>
      </c>
      <c r="M16" s="40">
        <f>SUM(M3:M15)</f>
        <v>11640</v>
      </c>
      <c r="N16" s="41">
        <f>SUM(N3:N15)</f>
        <v>78</v>
      </c>
      <c r="O16" s="40">
        <f t="shared" si="3"/>
        <v>149.23076923076923</v>
      </c>
    </row>
  </sheetData>
  <mergeCells count="4">
    <mergeCell ref="E1:G1"/>
    <mergeCell ref="M1:O1"/>
    <mergeCell ref="A1:C1"/>
    <mergeCell ref="I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15</vt:i4>
      </vt:variant>
    </vt:vector>
  </HeadingPairs>
  <TitlesOfParts>
    <vt:vector size="24" baseType="lpstr">
      <vt:lpstr>2019</vt:lpstr>
      <vt:lpstr>2020</vt:lpstr>
      <vt:lpstr>2021</vt:lpstr>
      <vt:lpstr>2022</vt:lpstr>
      <vt:lpstr>2023</vt:lpstr>
      <vt:lpstr>2024</vt:lpstr>
      <vt:lpstr>2025</vt:lpstr>
      <vt:lpstr>2026</vt:lpstr>
      <vt:lpstr>Manual Calcs</vt:lpstr>
      <vt:lpstr>'2020'!Print_Area</vt:lpstr>
      <vt:lpstr>'2021'!Print_Area</vt:lpstr>
      <vt:lpstr>'2022'!Print_Area</vt:lpstr>
      <vt:lpstr>'2023'!Print_Area</vt:lpstr>
      <vt:lpstr>'2024'!Print_Area</vt:lpstr>
      <vt:lpstr>'2025'!Print_Area</vt:lpstr>
      <vt:lpstr>'2026'!Print_Area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'2025'!Print_Titles</vt:lpstr>
      <vt:lpstr>'2026'!Print_Titles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BBeller</dc:creator>
  <cp:lastModifiedBy>Nathaniel Perkins</cp:lastModifiedBy>
  <cp:lastPrinted>2026-07-29T23:11:38Z</cp:lastPrinted>
  <dcterms:created xsi:type="dcterms:W3CDTF">2019-04-10T23:06:02Z</dcterms:created>
  <dcterms:modified xsi:type="dcterms:W3CDTF">2026-07-29T23:11:40Z</dcterms:modified>
</cp:coreProperties>
</file>