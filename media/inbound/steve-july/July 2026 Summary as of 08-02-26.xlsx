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dows\Temp\"/>
    </mc:Choice>
  </mc:AlternateContent>
  <xr:revisionPtr revIDLastSave="0" documentId="8_{2F283812-60E3-4992-AA3E-98FA1197788D}" xr6:coauthVersionLast="47" xr6:coauthVersionMax="47" xr10:uidLastSave="{00000000-0000-0000-0000-000000000000}"/>
  <bookViews>
    <workbookView xWindow="-96" yWindow="-96" windowWidth="19392" windowHeight="11472" xr2:uid="{5EC54940-448D-4E49-94FF-73DA5038AB20}"/>
  </bookViews>
  <sheets>
    <sheet name="Summary" sheetId="2" r:id="rId1"/>
    <sheet name="invoices July 2026 08-02-26" sheetId="1" r:id="rId2"/>
    <sheet name="Accrual July 2026 08-02-26" sheetId="4" r:id="rId3"/>
    <sheet name="Sheet4" sheetId="5" r:id="rId4"/>
  </sheets>
  <calcPr calcId="0"/>
</workbook>
</file>

<file path=xl/calcChain.xml><?xml version="1.0" encoding="utf-8"?>
<calcChain xmlns="http://schemas.openxmlformats.org/spreadsheetml/2006/main">
  <c r="B5" i="2" l="1"/>
  <c r="B4" i="2"/>
  <c r="Q14" i="4"/>
  <c r="Q40" i="4"/>
  <c r="Q42" i="4"/>
  <c r="B3" i="2"/>
  <c r="B7" i="2" s="1"/>
  <c r="B10" i="2" s="1"/>
  <c r="I224" i="1"/>
</calcChain>
</file>

<file path=xl/sharedStrings.xml><?xml version="1.0" encoding="utf-8"?>
<sst xmlns="http://schemas.openxmlformats.org/spreadsheetml/2006/main" count="1182" uniqueCount="276">
  <si>
    <t>Invoice Number</t>
  </si>
  <si>
    <t>Invoice Date</t>
  </si>
  <si>
    <t>Company Name</t>
  </si>
  <si>
    <t>Company Address</t>
  </si>
  <si>
    <t>Location Name</t>
  </si>
  <si>
    <t>Project Name</t>
  </si>
  <si>
    <t>Project Type</t>
  </si>
  <si>
    <t>Work Order Number</t>
  </si>
  <si>
    <t>Invoice Amount</t>
  </si>
  <si>
    <t>Invoice Hours</t>
  </si>
  <si>
    <t>TPH</t>
  </si>
  <si>
    <t>Direct Costs</t>
  </si>
  <si>
    <t>City of San Clemente</t>
  </si>
  <si>
    <t>100 Avendia PresidioSan Clemente, CA 92672</t>
  </si>
  <si>
    <t>Municipal â€“ Cities</t>
  </si>
  <si>
    <t xml:space="preserve">FirstService Residential </t>
  </si>
  <si>
    <t xml:space="preserve">15241 Laguna Canyon RoadIrvine, CA </t>
  </si>
  <si>
    <t>Baker Ranch HOA</t>
  </si>
  <si>
    <t>HOA</t>
  </si>
  <si>
    <t>Irvine Unified School District</t>
  </si>
  <si>
    <t>5050 Barrance ParkwayIrvine, CA 92618</t>
  </si>
  <si>
    <t>==Irvine Unified School District Portfolio==</t>
  </si>
  <si>
    <t>Municipal â€“ Other</t>
  </si>
  <si>
    <t xml:space="preserve">Powerstone Property Management </t>
  </si>
  <si>
    <t xml:space="preserve">9060 Irvine Center Drive Irvine, CA </t>
  </si>
  <si>
    <t>Executive Guild El Toro</t>
  </si>
  <si>
    <t>Commercial</t>
  </si>
  <si>
    <t>Warmington Properties, Inc.</t>
  </si>
  <si>
    <t xml:space="preserve">3090 Pullman StreetCosta Mesa, CA </t>
  </si>
  <si>
    <t>Bayport Jeronimo Assoc., LP (52) (GPS)</t>
  </si>
  <si>
    <t>Alhambra Unified School District</t>
  </si>
  <si>
    <t xml:space="preserve">1515 West Mission RoadAlhambra, CA </t>
  </si>
  <si>
    <t xml:space="preserve">Park Elementary </t>
  </si>
  <si>
    <t>City of Cypress</t>
  </si>
  <si>
    <t xml:space="preserve"> P.O. Box 609Cypress, CA </t>
  </si>
  <si>
    <t>City of Cypress (Inventory)</t>
  </si>
  <si>
    <t>City of Irvine</t>
  </si>
  <si>
    <t>1 Civic Center PlazaIrvine, CA 92623</t>
  </si>
  <si>
    <t>City of Irvine (2024 Import)</t>
  </si>
  <si>
    <t>Keystone Pacific Property Management, LLC</t>
  </si>
  <si>
    <t>240 Commerce Suite 200Irvine, CA 92606</t>
  </si>
  <si>
    <t>St. Augustine I</t>
  </si>
  <si>
    <t>Optimum Professional Property Management, Inc.</t>
  </si>
  <si>
    <t xml:space="preserve">230 Commerce, Suite 250Irvine, CA </t>
  </si>
  <si>
    <t>Huntington Bay (AKA Huntington Continental 3)</t>
  </si>
  <si>
    <t>City of Newport Beach</t>
  </si>
  <si>
    <t>Newport BlvdNewport Beach, CA 92663</t>
  </si>
  <si>
    <t>City of Newport Beach (Inventory)</t>
  </si>
  <si>
    <t xml:space="preserve">Mufflers West </t>
  </si>
  <si>
    <t xml:space="preserve">43119 Via Dos PicosTemecula, CA </t>
  </si>
  <si>
    <t>Mufflers West</t>
  </si>
  <si>
    <t>Seabreeze Management Company</t>
  </si>
  <si>
    <t xml:space="preserve">26840 Aliso Viejo Parkway Suite 100 Aliso Viejo, CA </t>
  </si>
  <si>
    <t>Laguna Audubon 1</t>
  </si>
  <si>
    <t>Buena Park School District</t>
  </si>
  <si>
    <t xml:space="preserve">6885 Orangethorpe Ave.Buena Park, CA </t>
  </si>
  <si>
    <t>Emery Elementary School</t>
  </si>
  <si>
    <t xml:space="preserve">Corey Elementary School </t>
  </si>
  <si>
    <t>Crummack Huseby, Inc.</t>
  </si>
  <si>
    <t xml:space="preserve">25531 Commercentre Dr., Suite 100Lake Forest, CA </t>
  </si>
  <si>
    <t>Northpark Maintenance HOA (Street Trees)</t>
  </si>
  <si>
    <t>Cushman &amp; Wakefield - All Properties</t>
  </si>
  <si>
    <t xml:space="preserve">901 N Via Piemonte Ste 200Ontario, CA </t>
  </si>
  <si>
    <t>The Cascades (20-30 Enterprise)</t>
  </si>
  <si>
    <t>Pacific West Asset Management</t>
  </si>
  <si>
    <t xml:space="preserve">3191 D Airport Loop Costa Mesa, CA </t>
  </si>
  <si>
    <t>Koll Irvine Community Association</t>
  </si>
  <si>
    <t xml:space="preserve">The Muller Company </t>
  </si>
  <si>
    <t xml:space="preserve">1100 W Town And Country Road Suite 1320Orange, CA </t>
  </si>
  <si>
    <t>Alondra Corporate Center</t>
  </si>
  <si>
    <t>Cardinal Property Management</t>
  </si>
  <si>
    <t xml:space="preserve">240 Commerce, Suite 200Irvine, CA </t>
  </si>
  <si>
    <t>Casitas Californias Townhouses Assoc.</t>
  </si>
  <si>
    <t>City of Long Beach</t>
  </si>
  <si>
    <t>333 W. Ocean BlvdLong Beach, CA 90802</t>
  </si>
  <si>
    <t>City of Long Beach: Parks and Rec</t>
  </si>
  <si>
    <t>Gothic Landscape Maintenance</t>
  </si>
  <si>
    <t xml:space="preserve">7050-7150 Village DrBuena Park, CA </t>
  </si>
  <si>
    <t xml:space="preserve">CZ Master - Coto De Caza </t>
  </si>
  <si>
    <t>Pacific Ranch</t>
  </si>
  <si>
    <t>Pacific Ranch HOA</t>
  </si>
  <si>
    <t>Tritz Professional Management Service, Inc.</t>
  </si>
  <si>
    <t xml:space="preserve">1525 E. 17th St. Ste ASanta Ana, CA </t>
  </si>
  <si>
    <t>Cabo del Mar (PRO3-18077)</t>
  </si>
  <si>
    <t>Elite Property Services</t>
  </si>
  <si>
    <t xml:space="preserve">PO Box 28139Santa Ana, CA </t>
  </si>
  <si>
    <t>Lake Forest (Neighborhoods)</t>
  </si>
  <si>
    <t>Casitas Capistrano 2</t>
  </si>
  <si>
    <t>Serrano Woods HOA</t>
  </si>
  <si>
    <t xml:space="preserve">Whitaker Elementary School </t>
  </si>
  <si>
    <t>Mariner's Church</t>
  </si>
  <si>
    <t xml:space="preserve">5001 Newport Coast Dr.Irvine, CA </t>
  </si>
  <si>
    <t>Mariners Church</t>
  </si>
  <si>
    <t>Mariners Church (Irvine)</t>
  </si>
  <si>
    <t xml:space="preserve">Palo Vista HOA </t>
  </si>
  <si>
    <t xml:space="preserve">Tustin Ranch Community Association II </t>
  </si>
  <si>
    <t xml:space="preserve">Valencia Maintenance Association </t>
  </si>
  <si>
    <t>Action Property Management</t>
  </si>
  <si>
    <t xml:space="preserve">320 Commerce, Suite 200Irvine, CA </t>
  </si>
  <si>
    <t xml:space="preserve">Casitas de Alipaz </t>
  </si>
  <si>
    <t>City of Fountain Valley</t>
  </si>
  <si>
    <t>10200 Slater Ave.Fountain Valley, CA 92708</t>
  </si>
  <si>
    <t>Pacific Hills HOA (PACH)</t>
  </si>
  <si>
    <t>The Oaks at Lake Forest HOA</t>
  </si>
  <si>
    <t xml:space="preserve">Laguna Sands </t>
  </si>
  <si>
    <t>Del Prado HOA (Tract 8965)</t>
  </si>
  <si>
    <t>San Juan Mobile Estates</t>
  </si>
  <si>
    <t xml:space="preserve">32302 Alipaz StreetSan Juan Capistrano, CA </t>
  </si>
  <si>
    <t>The Groves Senior Community</t>
  </si>
  <si>
    <t>5200 Irvine BlvdIrvine, CA 92620</t>
  </si>
  <si>
    <t>The Groves Mobilehome Park</t>
  </si>
  <si>
    <t>The Groves Homeowners Inc.</t>
  </si>
  <si>
    <t>BHE Management</t>
  </si>
  <si>
    <t xml:space="preserve"> P.O. Box 7736Laguna Niguel, CA </t>
  </si>
  <si>
    <t>Montara Neighborhood Association</t>
  </si>
  <si>
    <t>City of Irvine (CI Palm Contract)</t>
  </si>
  <si>
    <t xml:space="preserve">1 Civic Center PlazaIrvine, CA </t>
  </si>
  <si>
    <t xml:space="preserve">Whispering Hills Community Association </t>
  </si>
  <si>
    <t>Mission Sunrise Ridge</t>
  </si>
  <si>
    <t>Regent Association Services</t>
  </si>
  <si>
    <t xml:space="preserve">180 S. Prospect AvenueTustin, CA </t>
  </si>
  <si>
    <t>Suburbia HOA</t>
  </si>
  <si>
    <t>Vestar</t>
  </si>
  <si>
    <t xml:space="preserve">8020 E. Santa Ana Canyon RoadAnaheim, CA </t>
  </si>
  <si>
    <t xml:space="preserve">Torrance Crossroads </t>
  </si>
  <si>
    <t>Vintage Group</t>
  </si>
  <si>
    <t xml:space="preserve">100 Pacifica Suite 340 Irvine, CA </t>
  </si>
  <si>
    <t>Dana Bluffs HOA</t>
  </si>
  <si>
    <t>City of Industry</t>
  </si>
  <si>
    <t>15651 E. Stafford St.La Puente, CA 91744</t>
  </si>
  <si>
    <t xml:space="preserve">Huntington Gallery (Court) </t>
  </si>
  <si>
    <t>Pacific Ridge HOA</t>
  </si>
  <si>
    <t xml:space="preserve">Sunrise Property Group </t>
  </si>
  <si>
    <t xml:space="preserve">10370 Commerce Center Dr, Suite B140Rancho Cucamonga, CA </t>
  </si>
  <si>
    <t>Tijeras Creek Villas Maintenance Corporation</t>
  </si>
  <si>
    <t>The Irvine Company - Retail Properties (2023-2026)</t>
  </si>
  <si>
    <t xml:space="preserve">P.O. Box 2550Newport Beach, CA </t>
  </si>
  <si>
    <t>Cypress Village Shopping Center (Foothill)</t>
  </si>
  <si>
    <t xml:space="preserve">St. Laurent at Newport Ridge </t>
  </si>
  <si>
    <t xml:space="preserve">Compass Property Management </t>
  </si>
  <si>
    <t xml:space="preserve">1031 Calle Recodo, Suite BSan Clemente, CA </t>
  </si>
  <si>
    <t>Chandon HOA</t>
  </si>
  <si>
    <t>Ravello Maintenance Corporation</t>
  </si>
  <si>
    <t>Northrup Elementary School</t>
  </si>
  <si>
    <t xml:space="preserve">Tuscany at Foothill Ranch </t>
  </si>
  <si>
    <t>La Mancha Townhome Association, Inc.</t>
  </si>
  <si>
    <t>Newport Crest - Optimum</t>
  </si>
  <si>
    <t>Newport Crest HOA</t>
  </si>
  <si>
    <t>Sheridan Maintenance Association</t>
  </si>
  <si>
    <t xml:space="preserve">Cypress North Community Association </t>
  </si>
  <si>
    <t>SCLM Company, Inc.</t>
  </si>
  <si>
    <t xml:space="preserve">1655 Puddingstone Dr.La Verne, CA </t>
  </si>
  <si>
    <t>Easley Estates (1115) Dan's Residence</t>
  </si>
  <si>
    <t xml:space="preserve">Talega Gallery Community Association </t>
  </si>
  <si>
    <t>Vista Pointe Ridge</t>
  </si>
  <si>
    <t xml:space="preserve">North Bluff Bayview HOA </t>
  </si>
  <si>
    <t>The Management Trust</t>
  </si>
  <si>
    <t xml:space="preserve">15661 Red Hill Ave Suite 201Tustin, CA </t>
  </si>
  <si>
    <t>San Remo Villa</t>
  </si>
  <si>
    <t xml:space="preserve">San Remo Villa Homeowners Association </t>
  </si>
  <si>
    <t>Harborwalk at Dana Point HOA</t>
  </si>
  <si>
    <t>City of Anaheim</t>
  </si>
  <si>
    <t>200 S. Anaheim Blvd., Ste. 620, Purchasing Division, Anaheim, CA 92805</t>
  </si>
  <si>
    <t>City of Anaheim (ARMD - East)</t>
  </si>
  <si>
    <t>City of Long Beach: Beach, Marinas, and Bay Areas</t>
  </si>
  <si>
    <t xml:space="preserve">The Orchards </t>
  </si>
  <si>
    <t xml:space="preserve">La Cuesta Cove HOA </t>
  </si>
  <si>
    <t>Easley Estates</t>
  </si>
  <si>
    <t>Easley Estates (1125) Art's Residence</t>
  </si>
  <si>
    <t>Alicia Business Center (97) (GPS)</t>
  </si>
  <si>
    <t>The Villas Community Association (RSJ)</t>
  </si>
  <si>
    <t>Autumn Glen Community Association</t>
  </si>
  <si>
    <t>Tarantino Landscape</t>
  </si>
  <si>
    <t xml:space="preserve">P.O.Box 27964Santa Ana, CA </t>
  </si>
  <si>
    <t>Westcliff Plaza (Tarantino)</t>
  </si>
  <si>
    <t>Walters Management</t>
  </si>
  <si>
    <t xml:space="preserve">17300 Redhill Avenue, Suite 210Irvine, CA </t>
  </si>
  <si>
    <t>The Highlands Maintenance Corporation</t>
  </si>
  <si>
    <t>Associa (AKA PCM)</t>
  </si>
  <si>
    <t xml:space="preserve">27051 Towne Centre Drive, Suite 200Foothill Ranch, CA </t>
  </si>
  <si>
    <t>University Community Association - (UCA)</t>
  </si>
  <si>
    <t>Shorecliffs Beach Club HOA</t>
  </si>
  <si>
    <t xml:space="preserve">San Joaquin Hills </t>
  </si>
  <si>
    <t>Mount Saint Marys College</t>
  </si>
  <si>
    <t xml:space="preserve">Facilities ManagementLos Angeles, CA </t>
  </si>
  <si>
    <t>Mount Saint Mary's College-Dohney Campus</t>
  </si>
  <si>
    <t>Mount Saint Mary's College (Doheny Campus)</t>
  </si>
  <si>
    <t>Rancho Dominguez Townhome Association</t>
  </si>
  <si>
    <t>Sendero Community Association (Portola Springs)</t>
  </si>
  <si>
    <t>Active</t>
  </si>
  <si>
    <t>Hold Billing 2026 - Whitaker Elementary School -(Additional Trees)</t>
  </si>
  <si>
    <t>Non-Municipal</t>
  </si>
  <si>
    <t>Accrual Report</t>
  </si>
  <si>
    <t>2026 - The Oaks at Lake Forest HOA -(Removal ID 38)</t>
  </si>
  <si>
    <t>South</t>
  </si>
  <si>
    <t xml:space="preserve">2026 - The Oaks at Lake Forest HOA - (Removal IDs 49-51) </t>
  </si>
  <si>
    <t>2026 - (OCT/DEC) The Groves Homeowners Inc. - (Area 19, Pine trimming) CO 24921</t>
  </si>
  <si>
    <t>2026 - Skyview Ridge - (2026 Removals) Revised</t>
  </si>
  <si>
    <t>Skyview Ridge</t>
  </si>
  <si>
    <t xml:space="preserve">2026 - Silverstone HOA - (Removal ID 43 &amp; 63) </t>
  </si>
  <si>
    <t>Silverstone HOA</t>
  </si>
  <si>
    <t>(N) 2026 (Aug/Sep) Seawind Community Association - (Revised 3 Year Plan) (CO 24662)</t>
  </si>
  <si>
    <t>North</t>
  </si>
  <si>
    <t>Seawind Community Association (PRO202-18077)</t>
  </si>
  <si>
    <t>NEED CO (N) 2026 - (AUG/SEP) Sage Maintenance Association - (3 Year Plan) (CO 24767)</t>
  </si>
  <si>
    <t>Sage Maintenance Association</t>
  </si>
  <si>
    <t>2026 (Jul/Sep) Palm Gardens Community Association-(4 Year Plan) (CO 24680)</t>
  </si>
  <si>
    <t xml:space="preserve">Palm Gardens Community Association </t>
  </si>
  <si>
    <t>POST 2026 - (JUL/SEP) Pacific Shores HOA - (Revised 3 Year Plan) CO 24507</t>
  </si>
  <si>
    <t>Pacific Shores HOA</t>
  </si>
  <si>
    <t>2026 - (July) Marbella Maintenance Corp. (MAR) - (SLR ID 22)</t>
  </si>
  <si>
    <t>Marbella Maintenance Corp. (MAR)</t>
  </si>
  <si>
    <t>2026 - Marbella Maintenance Corp. (MAR) - (WO 1349069)</t>
  </si>
  <si>
    <t>2026 - Laguna Woods HOA - (Revised 2026 Removals Recs)</t>
  </si>
  <si>
    <t>Laguna Woods Homeowners Association</t>
  </si>
  <si>
    <t xml:space="preserve">2026 - (JULY) Irvine Spectrum Center - (Palm Trimming) </t>
  </si>
  <si>
    <t>Irvine Spectrum Center</t>
  </si>
  <si>
    <t>2026 - (AugSep) Casitas Californias Townhouses Association - (3 Year Plan) (CO 24963)</t>
  </si>
  <si>
    <t>2026 - (Aug/Sep) Canyon View Maintenance-(3 Year Trimming Plan) CO 24936</t>
  </si>
  <si>
    <t xml:space="preserve">Canyon View Maintenance </t>
  </si>
  <si>
    <t>2026 (Apr/Jun) - California Palms Industrial - (2026 Recommendations)</t>
  </si>
  <si>
    <t xml:space="preserve">California Palms Industrial </t>
  </si>
  <si>
    <t>2026 - PAD(APR/JUN) Bella Terra Pad (3 Year Plan)</t>
  </si>
  <si>
    <t xml:space="preserve">Bella Terra </t>
  </si>
  <si>
    <t xml:space="preserve">2026 - MALL(APR/JUN) Bella Terra Mall - (Sounding Bid) Revised </t>
  </si>
  <si>
    <t>2026 - MALL(APR/JUN) Bella Terra Mall - (Pineappling Bid) Revised</t>
  </si>
  <si>
    <t>2026 - MALL(APR/JUN) Bella Terra Mall (3 Year Plan)</t>
  </si>
  <si>
    <t xml:space="preserve">2026 - (Aug/Sep) Armstrong Ranch (ARA) - (Revised 26/27 Recommendations) </t>
  </si>
  <si>
    <t>Armstrong Ranch (ARA)</t>
  </si>
  <si>
    <t xml:space="preserve">2026 - (Removals) Armstrong Ranch (ARA) - (Revised 26/27 Recommendations) </t>
  </si>
  <si>
    <t>2026 - Bonita Canyon Elementary (Trimming)</t>
  </si>
  <si>
    <t>'==Irvine Unified School District Portfolio==</t>
  </si>
  <si>
    <t>2026 - Alderwood Elementary (Trimming)</t>
  </si>
  <si>
    <t>2026 -  Lake Forest (Woods) - (SLR Recs)</t>
  </si>
  <si>
    <t xml:space="preserve"> Lake Forest (Woods) </t>
  </si>
  <si>
    <t>Note</t>
  </si>
  <si>
    <t>Accrual</t>
  </si>
  <si>
    <t>Called-In Hrs</t>
  </si>
  <si>
    <t>Period Hrs</t>
  </si>
  <si>
    <t>Total Hrs</t>
  </si>
  <si>
    <t>Invoice #</t>
  </si>
  <si>
    <t>Billed</t>
  </si>
  <si>
    <t>WO Value</t>
  </si>
  <si>
    <t>Status</t>
  </si>
  <si>
    <t>WO End</t>
  </si>
  <si>
    <t>WO Desc</t>
  </si>
  <si>
    <t>Yard</t>
  </si>
  <si>
    <t>Type</t>
  </si>
  <si>
    <t>Project</t>
  </si>
  <si>
    <t>Group</t>
  </si>
  <si>
    <t>Table</t>
  </si>
  <si>
    <t>Summary</t>
  </si>
  <si>
    <t>July Invoices</t>
  </si>
  <si>
    <t>July Accrual Commercial HOA</t>
  </si>
  <si>
    <t>July Accrual Muni</t>
  </si>
  <si>
    <t>Total</t>
  </si>
  <si>
    <t>2026 - Trimming Grid 7</t>
  </si>
  <si>
    <t>Westminster</t>
  </si>
  <si>
    <t>Municipal</t>
  </si>
  <si>
    <t>2026 - Trimming at Los Molinos (Palms)</t>
  </si>
  <si>
    <t>San Clemente</t>
  </si>
  <si>
    <t>2026 - Trimming at De Estrella</t>
  </si>
  <si>
    <t>2026 - Trimming at Beach Club &amp; North Beach Lot</t>
  </si>
  <si>
    <t>2026 - NEW Trim Grim B-4 Palms</t>
  </si>
  <si>
    <t>Fountain Valley</t>
  </si>
  <si>
    <t>2026 - Trim D-5 Palms</t>
  </si>
  <si>
    <t>2026 - Trim D-7 Palms</t>
  </si>
  <si>
    <t>2026 - Trim B-7 Palms</t>
  </si>
  <si>
    <t>2026 - Trim C-6 Palms</t>
  </si>
  <si>
    <t>2026 - Trim D-6 Palms</t>
  </si>
  <si>
    <t>2026 - Grid 15 Palms</t>
  </si>
  <si>
    <t>Cypress (Inventory)</t>
  </si>
  <si>
    <t>2026 - Grid 19 Palms</t>
  </si>
  <si>
    <t>2026 - Grid 16 Palms</t>
  </si>
  <si>
    <t>July Total</t>
  </si>
  <si>
    <t>June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</si>
</sst>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B9D4-1512-429E-97F1-2E87B3834A7A}">
  <dimension ref="A2:B10"/>
  <sheetViews>
    <sheetView tabSelected="1" workbookViewId="0">
      <selection activeCell="F9" sqref="F9"/>
    </sheetView>
  </sheetViews>
  <sheetFormatPr defaultRowHeight="14.4" x14ac:dyDescent="0.55000000000000004"/>
  <cols>
    <col min="1" max="1" width="25.1015625" customWidth="1"/>
    <col min="2" max="2" width="14.1015625" style="2" customWidth="1"/>
  </cols>
  <sheetData>
    <row r="2" spans="1:2" x14ac:dyDescent="0.55000000000000004">
      <c r="A2" t="s">
        <v>251</v>
      </c>
    </row>
    <row r="3" spans="1:2" x14ac:dyDescent="0.55000000000000004">
      <c r="A3" t="s">
        <v>252</v>
      </c>
      <c r="B3" s="2">
        <f>'invoices July 2026 08-02-26'!I224</f>
        <v>1738143.2200000007</v>
      </c>
    </row>
    <row r="4" spans="1:2" x14ac:dyDescent="0.55000000000000004">
      <c r="A4" t="s">
        <v>254</v>
      </c>
      <c r="B4" s="2">
        <f>'Accrual July 2026 08-02-26'!Q14</f>
        <v>91372.97</v>
      </c>
    </row>
    <row r="5" spans="1:2" x14ac:dyDescent="0.55000000000000004">
      <c r="A5" t="s">
        <v>253</v>
      </c>
      <c r="B5" s="2">
        <f>'Accrual July 2026 08-02-26'!Q40</f>
        <v>349626.81999999995</v>
      </c>
    </row>
    <row r="7" spans="1:2" x14ac:dyDescent="0.55000000000000004">
      <c r="A7" t="s">
        <v>274</v>
      </c>
      <c r="B7" s="2">
        <f>SUM(B3:B5)</f>
        <v>2179143.0100000007</v>
      </c>
    </row>
    <row r="9" spans="1:2" x14ac:dyDescent="0.55000000000000004">
      <c r="A9" t="s">
        <v>275</v>
      </c>
      <c r="B9" s="2">
        <v>-287141</v>
      </c>
    </row>
    <row r="10" spans="1:2" x14ac:dyDescent="0.55000000000000004">
      <c r="B10" s="2">
        <f>B7+B9</f>
        <v>1892002.0100000007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1E75-57AA-433C-AD48-E084D5653530}">
  <dimension ref="A1:L224"/>
  <sheetViews>
    <sheetView workbookViewId="0">
      <selection activeCell="I224" sqref="I224"/>
    </sheetView>
  </sheetViews>
  <sheetFormatPr defaultRowHeight="14.4" x14ac:dyDescent="0.55000000000000004"/>
  <cols>
    <col min="1" max="1" width="15.68359375" customWidth="1"/>
    <col min="8" max="8" width="18.9453125" customWidth="1"/>
    <col min="9" max="9" width="17.5781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60538</v>
      </c>
      <c r="B2" s="1">
        <v>46233</v>
      </c>
      <c r="C2" t="s">
        <v>12</v>
      </c>
      <c r="D2" t="s">
        <v>13</v>
      </c>
      <c r="E2">
        <v>1094996</v>
      </c>
      <c r="F2" t="s">
        <v>12</v>
      </c>
      <c r="G2" t="s">
        <v>14</v>
      </c>
      <c r="H2">
        <v>168250</v>
      </c>
      <c r="I2">
        <v>1793.98</v>
      </c>
      <c r="J2">
        <v>16</v>
      </c>
      <c r="K2">
        <v>112.12</v>
      </c>
      <c r="L2">
        <v>0</v>
      </c>
    </row>
    <row r="3" spans="1:12" x14ac:dyDescent="0.55000000000000004">
      <c r="A3">
        <v>60536</v>
      </c>
      <c r="B3" s="1">
        <v>46233</v>
      </c>
      <c r="C3" t="s">
        <v>15</v>
      </c>
      <c r="D3" t="s">
        <v>16</v>
      </c>
      <c r="E3">
        <v>1105308</v>
      </c>
      <c r="F3" t="s">
        <v>17</v>
      </c>
      <c r="G3" t="s">
        <v>18</v>
      </c>
      <c r="H3">
        <v>167515</v>
      </c>
      <c r="I3">
        <v>3478.5</v>
      </c>
      <c r="J3">
        <v>23.33</v>
      </c>
      <c r="K3">
        <v>149.04</v>
      </c>
      <c r="L3">
        <v>0</v>
      </c>
    </row>
    <row r="4" spans="1:12" x14ac:dyDescent="0.55000000000000004">
      <c r="A4">
        <v>60537</v>
      </c>
      <c r="B4" s="1">
        <v>46233</v>
      </c>
      <c r="C4" t="s">
        <v>15</v>
      </c>
      <c r="D4" t="s">
        <v>16</v>
      </c>
      <c r="E4">
        <v>1105308</v>
      </c>
      <c r="F4" t="s">
        <v>17</v>
      </c>
      <c r="G4" t="s">
        <v>18</v>
      </c>
      <c r="H4">
        <v>167539</v>
      </c>
      <c r="I4">
        <v>10624.5</v>
      </c>
      <c r="J4">
        <v>81.510000000000005</v>
      </c>
      <c r="K4">
        <v>130.35</v>
      </c>
      <c r="L4">
        <v>0</v>
      </c>
    </row>
    <row r="5" spans="1:12" x14ac:dyDescent="0.55000000000000004">
      <c r="A5">
        <v>60534</v>
      </c>
      <c r="B5" s="1">
        <v>46232</v>
      </c>
      <c r="C5" t="s">
        <v>12</v>
      </c>
      <c r="D5" t="s">
        <v>13</v>
      </c>
      <c r="E5">
        <v>1094996</v>
      </c>
      <c r="F5" t="s">
        <v>12</v>
      </c>
      <c r="G5" t="s">
        <v>14</v>
      </c>
      <c r="H5">
        <v>167924</v>
      </c>
      <c r="I5">
        <v>8393.5400000000009</v>
      </c>
      <c r="J5">
        <v>44.43</v>
      </c>
      <c r="K5">
        <v>188.96</v>
      </c>
      <c r="L5">
        <v>0</v>
      </c>
    </row>
    <row r="6" spans="1:12" x14ac:dyDescent="0.55000000000000004">
      <c r="A6">
        <v>60535</v>
      </c>
      <c r="B6" s="1">
        <v>46232</v>
      </c>
      <c r="C6" t="s">
        <v>12</v>
      </c>
      <c r="D6" t="s">
        <v>13</v>
      </c>
      <c r="E6">
        <v>1094996</v>
      </c>
      <c r="F6" t="s">
        <v>12</v>
      </c>
      <c r="G6" t="s">
        <v>14</v>
      </c>
      <c r="H6">
        <v>167916</v>
      </c>
      <c r="I6">
        <v>944.2</v>
      </c>
      <c r="J6">
        <v>15.77</v>
      </c>
      <c r="K6">
        <v>59.87</v>
      </c>
      <c r="L6">
        <v>0</v>
      </c>
    </row>
    <row r="7" spans="1:12" x14ac:dyDescent="0.55000000000000004">
      <c r="A7">
        <v>60518</v>
      </c>
      <c r="B7" s="1">
        <v>46232</v>
      </c>
      <c r="C7" t="s">
        <v>19</v>
      </c>
      <c r="D7" t="s">
        <v>20</v>
      </c>
      <c r="E7">
        <v>1100341</v>
      </c>
      <c r="F7" t="s">
        <v>21</v>
      </c>
      <c r="G7" t="s">
        <v>22</v>
      </c>
      <c r="H7">
        <v>168184</v>
      </c>
      <c r="I7">
        <v>1760.54</v>
      </c>
      <c r="J7">
        <v>13.5</v>
      </c>
      <c r="K7">
        <v>130.41</v>
      </c>
      <c r="L7">
        <v>0</v>
      </c>
    </row>
    <row r="8" spans="1:12" x14ac:dyDescent="0.55000000000000004">
      <c r="A8">
        <v>60519</v>
      </c>
      <c r="B8" s="1">
        <v>46232</v>
      </c>
      <c r="C8" t="s">
        <v>23</v>
      </c>
      <c r="D8" t="s">
        <v>24</v>
      </c>
      <c r="E8">
        <v>1100668</v>
      </c>
      <c r="F8" t="s">
        <v>25</v>
      </c>
      <c r="G8" t="s">
        <v>26</v>
      </c>
      <c r="H8">
        <v>167928</v>
      </c>
      <c r="I8">
        <v>1445</v>
      </c>
      <c r="J8">
        <v>0</v>
      </c>
      <c r="K8">
        <v>0</v>
      </c>
      <c r="L8">
        <v>1020</v>
      </c>
    </row>
    <row r="9" spans="1:12" x14ac:dyDescent="0.55000000000000004">
      <c r="A9">
        <v>60520</v>
      </c>
      <c r="B9" s="1">
        <v>46232</v>
      </c>
      <c r="C9" t="s">
        <v>27</v>
      </c>
      <c r="D9" t="s">
        <v>28</v>
      </c>
      <c r="E9">
        <v>1105391</v>
      </c>
      <c r="F9" t="s">
        <v>29</v>
      </c>
      <c r="G9" t="s">
        <v>26</v>
      </c>
      <c r="H9">
        <v>167912</v>
      </c>
      <c r="I9">
        <v>1720</v>
      </c>
      <c r="J9">
        <v>0</v>
      </c>
      <c r="K9">
        <v>0</v>
      </c>
      <c r="L9">
        <v>1140</v>
      </c>
    </row>
    <row r="10" spans="1:12" x14ac:dyDescent="0.55000000000000004">
      <c r="A10">
        <v>60516</v>
      </c>
      <c r="B10" s="1">
        <v>46231</v>
      </c>
      <c r="C10" t="s">
        <v>30</v>
      </c>
      <c r="D10" t="s">
        <v>31</v>
      </c>
      <c r="E10">
        <v>1105496</v>
      </c>
      <c r="F10" t="s">
        <v>32</v>
      </c>
      <c r="G10" t="s">
        <v>22</v>
      </c>
      <c r="H10">
        <v>168230</v>
      </c>
      <c r="I10">
        <v>13639.05</v>
      </c>
      <c r="J10">
        <v>101.05</v>
      </c>
      <c r="K10">
        <v>134.97</v>
      </c>
      <c r="L10">
        <v>0</v>
      </c>
    </row>
    <row r="11" spans="1:12" x14ac:dyDescent="0.55000000000000004">
      <c r="A11">
        <v>60510</v>
      </c>
      <c r="B11" s="1">
        <v>46231</v>
      </c>
      <c r="C11" t="s">
        <v>33</v>
      </c>
      <c r="D11" t="s">
        <v>34</v>
      </c>
      <c r="E11">
        <v>1097737</v>
      </c>
      <c r="F11" t="s">
        <v>35</v>
      </c>
      <c r="H11">
        <v>167794</v>
      </c>
      <c r="I11">
        <v>1932</v>
      </c>
      <c r="J11">
        <v>14.97</v>
      </c>
      <c r="K11">
        <v>129.06</v>
      </c>
      <c r="L11">
        <v>0</v>
      </c>
    </row>
    <row r="12" spans="1:12" x14ac:dyDescent="0.55000000000000004">
      <c r="A12">
        <v>60511</v>
      </c>
      <c r="B12" s="1">
        <v>46231</v>
      </c>
      <c r="C12" t="s">
        <v>33</v>
      </c>
      <c r="D12" t="s">
        <v>34</v>
      </c>
      <c r="E12">
        <v>1097737</v>
      </c>
      <c r="F12" t="s">
        <v>35</v>
      </c>
      <c r="H12">
        <v>168219</v>
      </c>
      <c r="I12">
        <v>230</v>
      </c>
      <c r="J12">
        <v>0.92</v>
      </c>
      <c r="K12">
        <v>250</v>
      </c>
      <c r="L12">
        <v>0</v>
      </c>
    </row>
    <row r="13" spans="1:12" x14ac:dyDescent="0.55000000000000004">
      <c r="A13">
        <v>60522</v>
      </c>
      <c r="B13" s="1">
        <v>46231</v>
      </c>
      <c r="C13" t="s">
        <v>36</v>
      </c>
      <c r="D13" t="s">
        <v>37</v>
      </c>
      <c r="E13">
        <v>1105030</v>
      </c>
      <c r="F13" t="s">
        <v>38</v>
      </c>
      <c r="G13" t="s">
        <v>14</v>
      </c>
      <c r="H13">
        <v>168009</v>
      </c>
      <c r="I13">
        <v>10988</v>
      </c>
      <c r="J13">
        <v>96.76</v>
      </c>
      <c r="K13">
        <v>113.56</v>
      </c>
      <c r="L13">
        <v>0</v>
      </c>
    </row>
    <row r="14" spans="1:12" x14ac:dyDescent="0.55000000000000004">
      <c r="A14">
        <v>60514</v>
      </c>
      <c r="B14" s="1">
        <v>46231</v>
      </c>
      <c r="C14" t="s">
        <v>19</v>
      </c>
      <c r="D14" t="s">
        <v>20</v>
      </c>
      <c r="E14">
        <v>1100341</v>
      </c>
      <c r="F14" t="s">
        <v>21</v>
      </c>
      <c r="G14" t="s">
        <v>22</v>
      </c>
      <c r="H14">
        <v>168127</v>
      </c>
      <c r="I14">
        <v>4030.71</v>
      </c>
      <c r="J14">
        <v>27.11</v>
      </c>
      <c r="K14">
        <v>148.72999999999999</v>
      </c>
      <c r="L14">
        <v>0</v>
      </c>
    </row>
    <row r="15" spans="1:12" x14ac:dyDescent="0.55000000000000004">
      <c r="A15">
        <v>60515</v>
      </c>
      <c r="B15" s="1">
        <v>46231</v>
      </c>
      <c r="C15" t="s">
        <v>19</v>
      </c>
      <c r="D15" t="s">
        <v>20</v>
      </c>
      <c r="E15">
        <v>1100341</v>
      </c>
      <c r="F15" t="s">
        <v>21</v>
      </c>
      <c r="G15" t="s">
        <v>22</v>
      </c>
      <c r="H15">
        <v>168126</v>
      </c>
      <c r="I15">
        <v>4123.37</v>
      </c>
      <c r="J15">
        <v>27.05</v>
      </c>
      <c r="K15">
        <v>152.44</v>
      </c>
      <c r="L15">
        <v>0</v>
      </c>
    </row>
    <row r="16" spans="1:12" x14ac:dyDescent="0.55000000000000004">
      <c r="A16">
        <v>60512</v>
      </c>
      <c r="B16" s="1">
        <v>46231</v>
      </c>
      <c r="C16" t="s">
        <v>39</v>
      </c>
      <c r="D16" t="s">
        <v>40</v>
      </c>
      <c r="E16">
        <v>1098482</v>
      </c>
      <c r="F16" t="s">
        <v>41</v>
      </c>
      <c r="G16" t="s">
        <v>18</v>
      </c>
      <c r="H16">
        <v>168016</v>
      </c>
      <c r="I16">
        <v>9340</v>
      </c>
      <c r="J16">
        <v>67.25</v>
      </c>
      <c r="K16">
        <v>138.88</v>
      </c>
      <c r="L16">
        <v>0</v>
      </c>
    </row>
    <row r="17" spans="1:12" x14ac:dyDescent="0.55000000000000004">
      <c r="A17">
        <v>60513</v>
      </c>
      <c r="B17" s="1">
        <v>46231</v>
      </c>
      <c r="C17" t="s">
        <v>42</v>
      </c>
      <c r="D17" t="s">
        <v>43</v>
      </c>
      <c r="E17">
        <v>1101150</v>
      </c>
      <c r="F17" t="s">
        <v>44</v>
      </c>
      <c r="G17" t="s">
        <v>18</v>
      </c>
      <c r="H17">
        <v>166825</v>
      </c>
      <c r="I17">
        <v>5096.45</v>
      </c>
      <c r="J17">
        <v>54.98</v>
      </c>
      <c r="K17">
        <v>92.68</v>
      </c>
      <c r="L17">
        <v>0</v>
      </c>
    </row>
    <row r="18" spans="1:12" x14ac:dyDescent="0.55000000000000004">
      <c r="A18">
        <v>60507</v>
      </c>
      <c r="B18" s="1">
        <v>46230</v>
      </c>
      <c r="C18" t="s">
        <v>33</v>
      </c>
      <c r="D18" t="s">
        <v>34</v>
      </c>
      <c r="E18">
        <v>1097737</v>
      </c>
      <c r="F18" t="s">
        <v>35</v>
      </c>
      <c r="H18">
        <v>167788</v>
      </c>
      <c r="I18">
        <v>8799.75</v>
      </c>
      <c r="J18">
        <v>69.900000000000006</v>
      </c>
      <c r="K18">
        <v>125.87</v>
      </c>
      <c r="L18">
        <v>0</v>
      </c>
    </row>
    <row r="19" spans="1:12" x14ac:dyDescent="0.55000000000000004">
      <c r="A19">
        <v>60509</v>
      </c>
      <c r="B19" s="1">
        <v>46230</v>
      </c>
      <c r="C19" t="s">
        <v>33</v>
      </c>
      <c r="D19" t="s">
        <v>34</v>
      </c>
      <c r="E19">
        <v>1097737</v>
      </c>
      <c r="F19" t="s">
        <v>35</v>
      </c>
      <c r="H19">
        <v>167792</v>
      </c>
      <c r="I19">
        <v>3657</v>
      </c>
      <c r="J19">
        <v>29.27</v>
      </c>
      <c r="K19">
        <v>124.94</v>
      </c>
      <c r="L19">
        <v>0</v>
      </c>
    </row>
    <row r="20" spans="1:12" x14ac:dyDescent="0.55000000000000004">
      <c r="A20">
        <v>60525</v>
      </c>
      <c r="B20" s="1">
        <v>46230</v>
      </c>
      <c r="C20" t="s">
        <v>45</v>
      </c>
      <c r="D20" t="s">
        <v>46</v>
      </c>
      <c r="E20">
        <v>1097860</v>
      </c>
      <c r="F20" t="s">
        <v>47</v>
      </c>
      <c r="G20" t="s">
        <v>14</v>
      </c>
      <c r="H20">
        <v>168037</v>
      </c>
      <c r="I20">
        <v>2123.7600000000002</v>
      </c>
      <c r="J20">
        <v>27.17</v>
      </c>
      <c r="K20">
        <v>78.17</v>
      </c>
      <c r="L20">
        <v>0</v>
      </c>
    </row>
    <row r="21" spans="1:12" x14ac:dyDescent="0.55000000000000004">
      <c r="A21">
        <v>60528</v>
      </c>
      <c r="B21" s="1">
        <v>46230</v>
      </c>
      <c r="C21" t="s">
        <v>45</v>
      </c>
      <c r="D21" t="s">
        <v>46</v>
      </c>
      <c r="E21">
        <v>1097860</v>
      </c>
      <c r="F21" t="s">
        <v>47</v>
      </c>
      <c r="G21" t="s">
        <v>14</v>
      </c>
      <c r="H21">
        <v>168140</v>
      </c>
      <c r="I21">
        <v>1982.4</v>
      </c>
      <c r="J21">
        <v>16.16</v>
      </c>
      <c r="K21">
        <v>122.67</v>
      </c>
      <c r="L21">
        <v>0</v>
      </c>
    </row>
    <row r="22" spans="1:12" x14ac:dyDescent="0.55000000000000004">
      <c r="A22">
        <v>60529</v>
      </c>
      <c r="B22" s="1">
        <v>46230</v>
      </c>
      <c r="C22" t="s">
        <v>45</v>
      </c>
      <c r="D22" t="s">
        <v>46</v>
      </c>
      <c r="E22">
        <v>1097860</v>
      </c>
      <c r="F22" t="s">
        <v>47</v>
      </c>
      <c r="G22" t="s">
        <v>14</v>
      </c>
      <c r="H22">
        <v>168198</v>
      </c>
      <c r="I22">
        <v>176.98</v>
      </c>
      <c r="J22">
        <v>2</v>
      </c>
      <c r="K22">
        <v>88.49</v>
      </c>
      <c r="L22">
        <v>0</v>
      </c>
    </row>
    <row r="23" spans="1:12" x14ac:dyDescent="0.55000000000000004">
      <c r="A23">
        <v>60530</v>
      </c>
      <c r="B23" s="1">
        <v>46230</v>
      </c>
      <c r="C23" t="s">
        <v>45</v>
      </c>
      <c r="D23" t="s">
        <v>46</v>
      </c>
      <c r="E23">
        <v>1097860</v>
      </c>
      <c r="F23" t="s">
        <v>47</v>
      </c>
      <c r="G23" t="s">
        <v>14</v>
      </c>
      <c r="H23">
        <v>168207</v>
      </c>
      <c r="I23">
        <v>353.96</v>
      </c>
      <c r="J23">
        <v>4</v>
      </c>
      <c r="K23">
        <v>88.49</v>
      </c>
      <c r="L23">
        <v>0</v>
      </c>
    </row>
    <row r="24" spans="1:12" x14ac:dyDescent="0.55000000000000004">
      <c r="A24">
        <v>60533</v>
      </c>
      <c r="B24" s="1">
        <v>46230</v>
      </c>
      <c r="C24" t="s">
        <v>12</v>
      </c>
      <c r="D24" t="s">
        <v>13</v>
      </c>
      <c r="E24">
        <v>1094996</v>
      </c>
      <c r="F24" t="s">
        <v>12</v>
      </c>
      <c r="G24" t="s">
        <v>14</v>
      </c>
      <c r="H24">
        <v>167899</v>
      </c>
      <c r="I24">
        <v>16769.7</v>
      </c>
      <c r="J24">
        <v>63.09</v>
      </c>
      <c r="K24">
        <v>265.81</v>
      </c>
      <c r="L24">
        <v>0</v>
      </c>
    </row>
    <row r="25" spans="1:12" x14ac:dyDescent="0.55000000000000004">
      <c r="A25">
        <v>60492</v>
      </c>
      <c r="B25" s="1">
        <v>46230</v>
      </c>
      <c r="C25" t="s">
        <v>15</v>
      </c>
      <c r="D25" t="s">
        <v>16</v>
      </c>
      <c r="E25">
        <v>1105308</v>
      </c>
      <c r="F25" t="s">
        <v>17</v>
      </c>
      <c r="G25" t="s">
        <v>18</v>
      </c>
      <c r="H25">
        <v>167544</v>
      </c>
      <c r="I25">
        <v>9355.5</v>
      </c>
      <c r="J25">
        <v>54.98</v>
      </c>
      <c r="K25">
        <v>170.16</v>
      </c>
      <c r="L25">
        <v>0</v>
      </c>
    </row>
    <row r="26" spans="1:12" x14ac:dyDescent="0.55000000000000004">
      <c r="A26">
        <v>60493</v>
      </c>
      <c r="B26" s="1">
        <v>46230</v>
      </c>
      <c r="C26" t="s">
        <v>48</v>
      </c>
      <c r="D26" t="s">
        <v>49</v>
      </c>
      <c r="E26">
        <v>1105357</v>
      </c>
      <c r="F26" t="s">
        <v>50</v>
      </c>
      <c r="G26" t="s">
        <v>26</v>
      </c>
      <c r="H26">
        <v>168071</v>
      </c>
      <c r="I26">
        <v>690</v>
      </c>
      <c r="J26">
        <v>5</v>
      </c>
      <c r="K26">
        <v>138</v>
      </c>
      <c r="L26">
        <v>0</v>
      </c>
    </row>
    <row r="27" spans="1:12" x14ac:dyDescent="0.55000000000000004">
      <c r="A27">
        <v>60504</v>
      </c>
      <c r="B27" s="1">
        <v>46230</v>
      </c>
      <c r="C27" t="s">
        <v>51</v>
      </c>
      <c r="D27" t="s">
        <v>52</v>
      </c>
      <c r="E27">
        <v>1097032</v>
      </c>
      <c r="F27" t="s">
        <v>53</v>
      </c>
      <c r="G27" t="s">
        <v>18</v>
      </c>
      <c r="H27">
        <v>167812</v>
      </c>
      <c r="I27">
        <v>285</v>
      </c>
      <c r="J27">
        <v>0</v>
      </c>
      <c r="K27">
        <v>0</v>
      </c>
      <c r="L27">
        <v>200</v>
      </c>
    </row>
    <row r="28" spans="1:12" x14ac:dyDescent="0.55000000000000004">
      <c r="A28">
        <v>60494</v>
      </c>
      <c r="B28" s="1">
        <v>46228</v>
      </c>
      <c r="C28" t="s">
        <v>54</v>
      </c>
      <c r="D28" t="s">
        <v>55</v>
      </c>
      <c r="E28">
        <v>1096128</v>
      </c>
      <c r="F28" t="s">
        <v>56</v>
      </c>
      <c r="G28" t="s">
        <v>22</v>
      </c>
      <c r="H28">
        <v>168101</v>
      </c>
      <c r="I28">
        <v>3620</v>
      </c>
      <c r="J28">
        <v>27.07</v>
      </c>
      <c r="K28">
        <v>133.72999999999999</v>
      </c>
      <c r="L28">
        <v>0</v>
      </c>
    </row>
    <row r="29" spans="1:12" x14ac:dyDescent="0.55000000000000004">
      <c r="A29">
        <v>60517</v>
      </c>
      <c r="B29" s="1">
        <v>46228</v>
      </c>
      <c r="C29" t="s">
        <v>54</v>
      </c>
      <c r="D29" t="s">
        <v>55</v>
      </c>
      <c r="E29">
        <v>1096126</v>
      </c>
      <c r="F29" t="s">
        <v>57</v>
      </c>
      <c r="G29" t="s">
        <v>22</v>
      </c>
      <c r="H29">
        <v>168232</v>
      </c>
      <c r="I29">
        <v>3410</v>
      </c>
      <c r="J29">
        <v>26.72</v>
      </c>
      <c r="K29">
        <v>127.62</v>
      </c>
      <c r="L29">
        <v>0</v>
      </c>
    </row>
    <row r="30" spans="1:12" x14ac:dyDescent="0.55000000000000004">
      <c r="A30">
        <v>60521</v>
      </c>
      <c r="B30" s="1">
        <v>46228</v>
      </c>
      <c r="C30" t="s">
        <v>36</v>
      </c>
      <c r="D30" t="s">
        <v>37</v>
      </c>
      <c r="E30">
        <v>1105030</v>
      </c>
      <c r="F30" t="s">
        <v>38</v>
      </c>
      <c r="G30" t="s">
        <v>14</v>
      </c>
      <c r="H30">
        <v>168080</v>
      </c>
      <c r="I30">
        <v>14043.6</v>
      </c>
      <c r="J30">
        <v>93.68</v>
      </c>
      <c r="K30">
        <v>149.91</v>
      </c>
      <c r="L30">
        <v>0</v>
      </c>
    </row>
    <row r="31" spans="1:12" x14ac:dyDescent="0.55000000000000004">
      <c r="A31">
        <v>60527</v>
      </c>
      <c r="B31" s="1">
        <v>46228</v>
      </c>
      <c r="C31" t="s">
        <v>45</v>
      </c>
      <c r="D31" t="s">
        <v>46</v>
      </c>
      <c r="E31">
        <v>1097860</v>
      </c>
      <c r="F31" t="s">
        <v>47</v>
      </c>
      <c r="G31" t="s">
        <v>14</v>
      </c>
      <c r="H31">
        <v>168192</v>
      </c>
      <c r="I31">
        <v>642.15</v>
      </c>
      <c r="J31">
        <v>6.22</v>
      </c>
      <c r="K31">
        <v>103.24</v>
      </c>
      <c r="L31">
        <v>0</v>
      </c>
    </row>
    <row r="32" spans="1:12" x14ac:dyDescent="0.55000000000000004">
      <c r="A32">
        <v>60486</v>
      </c>
      <c r="B32" s="1">
        <v>46228</v>
      </c>
      <c r="C32" t="s">
        <v>58</v>
      </c>
      <c r="D32" t="s">
        <v>59</v>
      </c>
      <c r="E32">
        <v>1098794</v>
      </c>
      <c r="F32" t="s">
        <v>60</v>
      </c>
      <c r="G32" t="s">
        <v>18</v>
      </c>
      <c r="H32">
        <v>168111</v>
      </c>
      <c r="I32">
        <v>2595</v>
      </c>
      <c r="J32">
        <v>17.3</v>
      </c>
      <c r="K32">
        <v>150</v>
      </c>
      <c r="L32">
        <v>0</v>
      </c>
    </row>
    <row r="33" spans="1:12" x14ac:dyDescent="0.55000000000000004">
      <c r="A33">
        <v>60487</v>
      </c>
      <c r="B33" s="1">
        <v>46228</v>
      </c>
      <c r="C33" t="s">
        <v>61</v>
      </c>
      <c r="D33" t="s">
        <v>62</v>
      </c>
      <c r="E33">
        <v>1100962</v>
      </c>
      <c r="F33" t="s">
        <v>63</v>
      </c>
      <c r="G33" t="s">
        <v>26</v>
      </c>
      <c r="H33">
        <v>167577</v>
      </c>
      <c r="I33">
        <v>13879.25</v>
      </c>
      <c r="J33">
        <v>121.11</v>
      </c>
      <c r="K33">
        <v>114.61</v>
      </c>
      <c r="L33">
        <v>0</v>
      </c>
    </row>
    <row r="34" spans="1:12" x14ac:dyDescent="0.55000000000000004">
      <c r="A34">
        <v>60489</v>
      </c>
      <c r="B34" s="1">
        <v>46228</v>
      </c>
      <c r="C34" t="s">
        <v>19</v>
      </c>
      <c r="D34" t="s">
        <v>20</v>
      </c>
      <c r="E34">
        <v>1100341</v>
      </c>
      <c r="F34" t="s">
        <v>21</v>
      </c>
      <c r="G34" t="s">
        <v>22</v>
      </c>
      <c r="H34">
        <v>167873</v>
      </c>
      <c r="I34">
        <v>11872.5</v>
      </c>
      <c r="J34">
        <v>77.25</v>
      </c>
      <c r="K34">
        <v>153.69</v>
      </c>
      <c r="L34">
        <v>0</v>
      </c>
    </row>
    <row r="35" spans="1:12" x14ac:dyDescent="0.55000000000000004">
      <c r="A35">
        <v>60497</v>
      </c>
      <c r="B35" s="1">
        <v>46228</v>
      </c>
      <c r="C35" t="s">
        <v>64</v>
      </c>
      <c r="D35" t="s">
        <v>65</v>
      </c>
      <c r="E35">
        <v>1100233</v>
      </c>
      <c r="F35" t="s">
        <v>66</v>
      </c>
      <c r="G35" t="s">
        <v>26</v>
      </c>
      <c r="H35">
        <v>166828</v>
      </c>
      <c r="I35">
        <v>3412.8</v>
      </c>
      <c r="J35">
        <v>29.07</v>
      </c>
      <c r="K35">
        <v>117.4</v>
      </c>
      <c r="L35">
        <v>0</v>
      </c>
    </row>
    <row r="36" spans="1:12" x14ac:dyDescent="0.55000000000000004">
      <c r="A36">
        <v>60498</v>
      </c>
      <c r="B36" s="1">
        <v>46228</v>
      </c>
      <c r="C36" t="s">
        <v>64</v>
      </c>
      <c r="D36" t="s">
        <v>65</v>
      </c>
      <c r="E36">
        <v>1100233</v>
      </c>
      <c r="F36" t="s">
        <v>66</v>
      </c>
      <c r="G36" t="s">
        <v>26</v>
      </c>
      <c r="H36">
        <v>167752</v>
      </c>
      <c r="I36">
        <v>664.2</v>
      </c>
      <c r="J36">
        <v>5</v>
      </c>
      <c r="K36">
        <v>132.84</v>
      </c>
      <c r="L36">
        <v>0</v>
      </c>
    </row>
    <row r="37" spans="1:12" x14ac:dyDescent="0.55000000000000004">
      <c r="A37">
        <v>60499</v>
      </c>
      <c r="B37" s="1">
        <v>46228</v>
      </c>
      <c r="C37" t="s">
        <v>64</v>
      </c>
      <c r="D37" t="s">
        <v>65</v>
      </c>
      <c r="E37">
        <v>1100233</v>
      </c>
      <c r="F37" t="s">
        <v>66</v>
      </c>
      <c r="G37" t="s">
        <v>26</v>
      </c>
      <c r="H37">
        <v>167144</v>
      </c>
      <c r="I37">
        <v>70.2</v>
      </c>
      <c r="J37">
        <v>0.48</v>
      </c>
      <c r="K37">
        <v>146.25</v>
      </c>
      <c r="L37">
        <v>0</v>
      </c>
    </row>
    <row r="38" spans="1:12" x14ac:dyDescent="0.55000000000000004">
      <c r="A38">
        <v>60500</v>
      </c>
      <c r="B38" s="1">
        <v>46228</v>
      </c>
      <c r="C38" t="s">
        <v>67</v>
      </c>
      <c r="D38" t="s">
        <v>68</v>
      </c>
      <c r="E38" t="s">
        <v>69</v>
      </c>
      <c r="F38" t="s">
        <v>69</v>
      </c>
      <c r="G38" t="s">
        <v>26</v>
      </c>
      <c r="H38">
        <v>166526</v>
      </c>
      <c r="I38">
        <v>11105</v>
      </c>
      <c r="J38">
        <v>82.63</v>
      </c>
      <c r="K38">
        <v>134.38</v>
      </c>
      <c r="L38">
        <v>0</v>
      </c>
    </row>
    <row r="39" spans="1:12" x14ac:dyDescent="0.55000000000000004">
      <c r="A39">
        <v>60496</v>
      </c>
      <c r="B39" s="1">
        <v>46227</v>
      </c>
      <c r="C39" t="s">
        <v>70</v>
      </c>
      <c r="D39" t="s">
        <v>71</v>
      </c>
      <c r="E39">
        <v>1103655</v>
      </c>
      <c r="F39" t="s">
        <v>72</v>
      </c>
      <c r="G39" t="s">
        <v>18</v>
      </c>
      <c r="H39">
        <v>167583</v>
      </c>
      <c r="I39">
        <v>2450</v>
      </c>
      <c r="J39">
        <v>17.93</v>
      </c>
      <c r="K39">
        <v>136.63999999999999</v>
      </c>
      <c r="L39">
        <v>0</v>
      </c>
    </row>
    <row r="40" spans="1:12" x14ac:dyDescent="0.55000000000000004">
      <c r="A40">
        <v>60505</v>
      </c>
      <c r="B40" s="1">
        <v>46227</v>
      </c>
      <c r="C40" t="s">
        <v>73</v>
      </c>
      <c r="D40" t="s">
        <v>74</v>
      </c>
      <c r="E40">
        <v>1098339</v>
      </c>
      <c r="F40" t="s">
        <v>75</v>
      </c>
      <c r="G40" t="s">
        <v>14</v>
      </c>
      <c r="H40">
        <v>168175</v>
      </c>
      <c r="I40">
        <v>2874.05</v>
      </c>
      <c r="J40">
        <v>16.149999999999999</v>
      </c>
      <c r="K40">
        <v>177.96</v>
      </c>
      <c r="L40">
        <v>0</v>
      </c>
    </row>
    <row r="41" spans="1:12" x14ac:dyDescent="0.55000000000000004">
      <c r="A41">
        <v>60506</v>
      </c>
      <c r="B41" s="1">
        <v>46227</v>
      </c>
      <c r="C41" t="s">
        <v>73</v>
      </c>
      <c r="D41" t="s">
        <v>74</v>
      </c>
      <c r="E41">
        <v>1098339</v>
      </c>
      <c r="F41" t="s">
        <v>75</v>
      </c>
      <c r="G41" t="s">
        <v>14</v>
      </c>
      <c r="H41">
        <v>168176</v>
      </c>
      <c r="I41">
        <v>4899.24</v>
      </c>
      <c r="J41">
        <v>27.53</v>
      </c>
      <c r="K41">
        <v>177.96</v>
      </c>
      <c r="L41">
        <v>0</v>
      </c>
    </row>
    <row r="42" spans="1:12" x14ac:dyDescent="0.55000000000000004">
      <c r="A42">
        <v>60523</v>
      </c>
      <c r="B42" s="1">
        <v>46227</v>
      </c>
      <c r="C42" t="s">
        <v>45</v>
      </c>
      <c r="D42" t="s">
        <v>46</v>
      </c>
      <c r="E42">
        <v>1097860</v>
      </c>
      <c r="F42" t="s">
        <v>47</v>
      </c>
      <c r="G42" t="s">
        <v>14</v>
      </c>
      <c r="H42">
        <v>168130</v>
      </c>
      <c r="I42">
        <v>1628.4</v>
      </c>
      <c r="J42">
        <v>11.98</v>
      </c>
      <c r="K42">
        <v>135.93</v>
      </c>
      <c r="L42">
        <v>0</v>
      </c>
    </row>
    <row r="43" spans="1:12" x14ac:dyDescent="0.55000000000000004">
      <c r="A43">
        <v>60524</v>
      </c>
      <c r="B43" s="1">
        <v>46227</v>
      </c>
      <c r="C43" t="s">
        <v>45</v>
      </c>
      <c r="D43" t="s">
        <v>46</v>
      </c>
      <c r="E43">
        <v>1097860</v>
      </c>
      <c r="F43" t="s">
        <v>47</v>
      </c>
      <c r="G43" t="s">
        <v>14</v>
      </c>
      <c r="H43">
        <v>168139</v>
      </c>
      <c r="I43">
        <v>1982.4</v>
      </c>
      <c r="J43">
        <v>12.23</v>
      </c>
      <c r="K43">
        <v>162.09</v>
      </c>
      <c r="L43">
        <v>0</v>
      </c>
    </row>
    <row r="44" spans="1:12" x14ac:dyDescent="0.55000000000000004">
      <c r="A44">
        <v>60526</v>
      </c>
      <c r="B44" s="1">
        <v>46227</v>
      </c>
      <c r="C44" t="s">
        <v>45</v>
      </c>
      <c r="D44" t="s">
        <v>46</v>
      </c>
      <c r="E44">
        <v>1097860</v>
      </c>
      <c r="F44" t="s">
        <v>47</v>
      </c>
      <c r="G44" t="s">
        <v>14</v>
      </c>
      <c r="H44">
        <v>168178</v>
      </c>
      <c r="I44">
        <v>316.12</v>
      </c>
      <c r="J44">
        <v>3.03</v>
      </c>
      <c r="K44">
        <v>104.33</v>
      </c>
      <c r="L44">
        <v>0</v>
      </c>
    </row>
    <row r="45" spans="1:12" x14ac:dyDescent="0.55000000000000004">
      <c r="A45">
        <v>60488</v>
      </c>
      <c r="B45" s="1">
        <v>46227</v>
      </c>
      <c r="C45" t="s">
        <v>76</v>
      </c>
      <c r="D45" t="s">
        <v>77</v>
      </c>
      <c r="E45">
        <v>1105309</v>
      </c>
      <c r="F45" t="s">
        <v>78</v>
      </c>
      <c r="G45" t="s">
        <v>18</v>
      </c>
      <c r="H45">
        <v>167687</v>
      </c>
      <c r="I45">
        <v>10580</v>
      </c>
      <c r="J45">
        <v>63.8</v>
      </c>
      <c r="K45">
        <v>165.83</v>
      </c>
      <c r="L45">
        <v>0</v>
      </c>
    </row>
    <row r="46" spans="1:12" x14ac:dyDescent="0.55000000000000004">
      <c r="A46">
        <v>60490</v>
      </c>
      <c r="B46" s="1">
        <v>46227</v>
      </c>
      <c r="C46" t="s">
        <v>19</v>
      </c>
      <c r="D46" t="s">
        <v>20</v>
      </c>
      <c r="E46">
        <v>1100341</v>
      </c>
      <c r="F46" t="s">
        <v>21</v>
      </c>
      <c r="G46" t="s">
        <v>22</v>
      </c>
      <c r="H46">
        <v>168186</v>
      </c>
      <c r="I46">
        <v>555.96</v>
      </c>
      <c r="J46">
        <v>4</v>
      </c>
      <c r="K46">
        <v>138.99</v>
      </c>
      <c r="L46">
        <v>0</v>
      </c>
    </row>
    <row r="47" spans="1:12" x14ac:dyDescent="0.55000000000000004">
      <c r="A47">
        <v>60491</v>
      </c>
      <c r="B47" s="1">
        <v>46227</v>
      </c>
      <c r="C47" t="s">
        <v>19</v>
      </c>
      <c r="D47" t="s">
        <v>20</v>
      </c>
      <c r="E47">
        <v>1100341</v>
      </c>
      <c r="F47" t="s">
        <v>21</v>
      </c>
      <c r="G47" t="s">
        <v>22</v>
      </c>
      <c r="H47">
        <v>168114</v>
      </c>
      <c r="I47">
        <v>9764.35</v>
      </c>
      <c r="J47">
        <v>75.73</v>
      </c>
      <c r="K47">
        <v>128.94999999999999</v>
      </c>
      <c r="L47">
        <v>0</v>
      </c>
    </row>
    <row r="48" spans="1:12" x14ac:dyDescent="0.55000000000000004">
      <c r="A48">
        <v>60502</v>
      </c>
      <c r="B48" s="1">
        <v>46227</v>
      </c>
      <c r="C48" t="s">
        <v>42</v>
      </c>
      <c r="D48" t="s">
        <v>43</v>
      </c>
      <c r="E48" t="s">
        <v>79</v>
      </c>
      <c r="F48" t="s">
        <v>80</v>
      </c>
      <c r="G48" t="s">
        <v>18</v>
      </c>
      <c r="H48">
        <v>168105</v>
      </c>
      <c r="I48">
        <v>4195</v>
      </c>
      <c r="J48">
        <v>33.65</v>
      </c>
      <c r="K48">
        <v>119.47</v>
      </c>
      <c r="L48">
        <v>175</v>
      </c>
    </row>
    <row r="49" spans="1:12" x14ac:dyDescent="0.55000000000000004">
      <c r="A49">
        <v>60501</v>
      </c>
      <c r="B49" s="1">
        <v>46227</v>
      </c>
      <c r="C49" t="s">
        <v>81</v>
      </c>
      <c r="D49" t="s">
        <v>82</v>
      </c>
      <c r="E49">
        <v>1095498</v>
      </c>
      <c r="F49" t="s">
        <v>83</v>
      </c>
      <c r="G49" t="s">
        <v>18</v>
      </c>
      <c r="H49">
        <v>167987</v>
      </c>
      <c r="I49">
        <v>23752.5</v>
      </c>
      <c r="J49">
        <v>189.7</v>
      </c>
      <c r="K49">
        <v>125.2</v>
      </c>
      <c r="L49">
        <v>0</v>
      </c>
    </row>
    <row r="50" spans="1:12" x14ac:dyDescent="0.55000000000000004">
      <c r="A50">
        <v>60508</v>
      </c>
      <c r="B50" s="1">
        <v>46226</v>
      </c>
      <c r="C50" t="s">
        <v>33</v>
      </c>
      <c r="D50" t="s">
        <v>34</v>
      </c>
      <c r="E50">
        <v>1097737</v>
      </c>
      <c r="F50" t="s">
        <v>35</v>
      </c>
      <c r="H50">
        <v>167791</v>
      </c>
      <c r="I50">
        <v>2630.25</v>
      </c>
      <c r="J50">
        <v>19.8</v>
      </c>
      <c r="K50">
        <v>132.84</v>
      </c>
      <c r="L50">
        <v>0</v>
      </c>
    </row>
    <row r="51" spans="1:12" x14ac:dyDescent="0.55000000000000004">
      <c r="A51">
        <v>60484</v>
      </c>
      <c r="B51" s="1">
        <v>46226</v>
      </c>
      <c r="C51" t="s">
        <v>36</v>
      </c>
      <c r="D51" t="s">
        <v>37</v>
      </c>
      <c r="E51">
        <v>1105030</v>
      </c>
      <c r="F51" t="s">
        <v>38</v>
      </c>
      <c r="G51" t="s">
        <v>14</v>
      </c>
      <c r="H51">
        <v>168013</v>
      </c>
      <c r="I51">
        <v>1672</v>
      </c>
      <c r="J51">
        <v>20.58</v>
      </c>
      <c r="K51">
        <v>81.239999999999995</v>
      </c>
      <c r="L51">
        <v>0</v>
      </c>
    </row>
    <row r="52" spans="1:12" x14ac:dyDescent="0.55000000000000004">
      <c r="A52">
        <v>60531</v>
      </c>
      <c r="B52" s="1">
        <v>46226</v>
      </c>
      <c r="C52" t="s">
        <v>12</v>
      </c>
      <c r="D52" t="s">
        <v>13</v>
      </c>
      <c r="E52">
        <v>1094996</v>
      </c>
      <c r="F52" t="s">
        <v>12</v>
      </c>
      <c r="G52" t="s">
        <v>14</v>
      </c>
      <c r="H52">
        <v>167925</v>
      </c>
      <c r="I52">
        <v>3862.2</v>
      </c>
      <c r="J52">
        <v>36.159999999999997</v>
      </c>
      <c r="K52">
        <v>106.84</v>
      </c>
      <c r="L52">
        <v>0</v>
      </c>
    </row>
    <row r="53" spans="1:12" x14ac:dyDescent="0.55000000000000004">
      <c r="A53">
        <v>60532</v>
      </c>
      <c r="B53" s="1">
        <v>46226</v>
      </c>
      <c r="C53" t="s">
        <v>12</v>
      </c>
      <c r="D53" t="s">
        <v>13</v>
      </c>
      <c r="E53">
        <v>1094996</v>
      </c>
      <c r="F53" t="s">
        <v>12</v>
      </c>
      <c r="G53" t="s">
        <v>14</v>
      </c>
      <c r="H53">
        <v>168167</v>
      </c>
      <c r="I53">
        <v>894.88</v>
      </c>
      <c r="J53">
        <v>7.52</v>
      </c>
      <c r="K53">
        <v>119</v>
      </c>
      <c r="L53">
        <v>0</v>
      </c>
    </row>
    <row r="54" spans="1:12" x14ac:dyDescent="0.55000000000000004">
      <c r="A54">
        <v>60476</v>
      </c>
      <c r="B54" s="1">
        <v>46226</v>
      </c>
      <c r="C54" t="s">
        <v>84</v>
      </c>
      <c r="D54" t="s">
        <v>85</v>
      </c>
      <c r="E54">
        <v>1100334</v>
      </c>
      <c r="F54" t="s">
        <v>86</v>
      </c>
      <c r="G54" t="s">
        <v>18</v>
      </c>
      <c r="H54">
        <v>168081</v>
      </c>
      <c r="I54">
        <v>995</v>
      </c>
      <c r="J54">
        <v>7.7</v>
      </c>
      <c r="K54">
        <v>129.22</v>
      </c>
      <c r="L54">
        <v>0</v>
      </c>
    </row>
    <row r="55" spans="1:12" x14ac:dyDescent="0.55000000000000004">
      <c r="A55">
        <v>60477</v>
      </c>
      <c r="B55" s="1">
        <v>46226</v>
      </c>
      <c r="C55" t="s">
        <v>15</v>
      </c>
      <c r="D55" t="s">
        <v>16</v>
      </c>
      <c r="E55">
        <v>1105308</v>
      </c>
      <c r="F55" t="s">
        <v>17</v>
      </c>
      <c r="G55" t="s">
        <v>18</v>
      </c>
      <c r="H55">
        <v>167540</v>
      </c>
      <c r="I55">
        <v>33358.5</v>
      </c>
      <c r="J55">
        <v>239.14</v>
      </c>
      <c r="K55">
        <v>139.49</v>
      </c>
      <c r="L55">
        <v>0</v>
      </c>
    </row>
    <row r="56" spans="1:12" x14ac:dyDescent="0.55000000000000004">
      <c r="A56">
        <v>60478</v>
      </c>
      <c r="B56" s="1">
        <v>46226</v>
      </c>
      <c r="C56" t="s">
        <v>76</v>
      </c>
      <c r="D56" t="s">
        <v>77</v>
      </c>
      <c r="E56">
        <v>1105309</v>
      </c>
      <c r="F56" t="s">
        <v>78</v>
      </c>
      <c r="G56" t="s">
        <v>18</v>
      </c>
      <c r="H56">
        <v>167683</v>
      </c>
      <c r="I56">
        <v>8940</v>
      </c>
      <c r="J56">
        <v>77.34</v>
      </c>
      <c r="K56">
        <v>115.59</v>
      </c>
      <c r="L56">
        <v>0</v>
      </c>
    </row>
    <row r="57" spans="1:12" x14ac:dyDescent="0.55000000000000004">
      <c r="A57">
        <v>60479</v>
      </c>
      <c r="B57" s="1">
        <v>46226</v>
      </c>
      <c r="C57" t="s">
        <v>76</v>
      </c>
      <c r="D57" t="s">
        <v>77</v>
      </c>
      <c r="E57">
        <v>1105309</v>
      </c>
      <c r="F57" t="s">
        <v>78</v>
      </c>
      <c r="G57" t="s">
        <v>18</v>
      </c>
      <c r="H57">
        <v>167820</v>
      </c>
      <c r="I57">
        <v>780</v>
      </c>
      <c r="J57">
        <v>3</v>
      </c>
      <c r="K57">
        <v>260</v>
      </c>
      <c r="L57">
        <v>0</v>
      </c>
    </row>
    <row r="58" spans="1:12" x14ac:dyDescent="0.55000000000000004">
      <c r="A58">
        <v>60481</v>
      </c>
      <c r="B58" s="1">
        <v>46226</v>
      </c>
      <c r="C58" t="s">
        <v>51</v>
      </c>
      <c r="D58" t="s">
        <v>52</v>
      </c>
      <c r="E58">
        <v>1101032</v>
      </c>
      <c r="F58" t="s">
        <v>87</v>
      </c>
      <c r="G58" t="s">
        <v>18</v>
      </c>
      <c r="H58">
        <v>168180</v>
      </c>
      <c r="I58">
        <v>11590</v>
      </c>
      <c r="J58">
        <v>81.16</v>
      </c>
      <c r="K58">
        <v>142.80000000000001</v>
      </c>
      <c r="L58">
        <v>0</v>
      </c>
    </row>
    <row r="59" spans="1:12" x14ac:dyDescent="0.55000000000000004">
      <c r="A59">
        <v>60480</v>
      </c>
      <c r="B59" s="1">
        <v>46226</v>
      </c>
      <c r="C59" t="s">
        <v>81</v>
      </c>
      <c r="D59" t="s">
        <v>82</v>
      </c>
      <c r="E59">
        <v>1099054</v>
      </c>
      <c r="F59" t="s">
        <v>88</v>
      </c>
      <c r="H59">
        <v>167933</v>
      </c>
      <c r="I59">
        <v>3570</v>
      </c>
      <c r="J59">
        <v>0</v>
      </c>
      <c r="K59">
        <v>0</v>
      </c>
      <c r="L59">
        <v>1870</v>
      </c>
    </row>
    <row r="60" spans="1:12" x14ac:dyDescent="0.55000000000000004">
      <c r="A60">
        <v>60495</v>
      </c>
      <c r="B60" s="1">
        <v>46225</v>
      </c>
      <c r="C60" t="s">
        <v>54</v>
      </c>
      <c r="D60" t="s">
        <v>55</v>
      </c>
      <c r="E60">
        <v>1096127</v>
      </c>
      <c r="F60" t="s">
        <v>89</v>
      </c>
      <c r="G60" t="s">
        <v>22</v>
      </c>
      <c r="H60">
        <v>168102</v>
      </c>
      <c r="I60">
        <v>3970</v>
      </c>
      <c r="J60">
        <v>27.24</v>
      </c>
      <c r="K60">
        <v>145.74</v>
      </c>
      <c r="L60">
        <v>0</v>
      </c>
    </row>
    <row r="61" spans="1:12" x14ac:dyDescent="0.55000000000000004">
      <c r="A61">
        <v>60463</v>
      </c>
      <c r="B61" s="1">
        <v>46225</v>
      </c>
      <c r="C61" t="s">
        <v>33</v>
      </c>
      <c r="D61" t="s">
        <v>34</v>
      </c>
      <c r="E61">
        <v>1097737</v>
      </c>
      <c r="F61" t="s">
        <v>35</v>
      </c>
      <c r="H61">
        <v>167787</v>
      </c>
      <c r="I61">
        <v>3122</v>
      </c>
      <c r="J61">
        <v>25.24</v>
      </c>
      <c r="K61">
        <v>123.69</v>
      </c>
      <c r="L61">
        <v>0</v>
      </c>
    </row>
    <row r="62" spans="1:12" x14ac:dyDescent="0.55000000000000004">
      <c r="A62">
        <v>60464</v>
      </c>
      <c r="B62" s="1">
        <v>46225</v>
      </c>
      <c r="C62" t="s">
        <v>33</v>
      </c>
      <c r="D62" t="s">
        <v>34</v>
      </c>
      <c r="E62">
        <v>1097737</v>
      </c>
      <c r="F62" t="s">
        <v>35</v>
      </c>
      <c r="H62">
        <v>167790</v>
      </c>
      <c r="I62">
        <v>1818</v>
      </c>
      <c r="J62">
        <v>12.55</v>
      </c>
      <c r="K62">
        <v>144.86000000000001</v>
      </c>
      <c r="L62">
        <v>0</v>
      </c>
    </row>
    <row r="63" spans="1:12" x14ac:dyDescent="0.55000000000000004">
      <c r="A63">
        <v>60482</v>
      </c>
      <c r="B63" s="1">
        <v>46225</v>
      </c>
      <c r="C63" t="s">
        <v>36</v>
      </c>
      <c r="D63" t="s">
        <v>37</v>
      </c>
      <c r="E63">
        <v>1105030</v>
      </c>
      <c r="F63" t="s">
        <v>38</v>
      </c>
      <c r="G63" t="s">
        <v>14</v>
      </c>
      <c r="H63">
        <v>168014</v>
      </c>
      <c r="I63">
        <v>3648</v>
      </c>
      <c r="J63">
        <v>36.94</v>
      </c>
      <c r="K63">
        <v>98.75</v>
      </c>
      <c r="L63">
        <v>0</v>
      </c>
    </row>
    <row r="64" spans="1:12" x14ac:dyDescent="0.55000000000000004">
      <c r="A64">
        <v>60468</v>
      </c>
      <c r="B64" s="1">
        <v>46225</v>
      </c>
      <c r="C64" t="s">
        <v>12</v>
      </c>
      <c r="D64" t="s">
        <v>13</v>
      </c>
      <c r="E64">
        <v>1094996</v>
      </c>
      <c r="F64" t="s">
        <v>12</v>
      </c>
      <c r="G64" t="s">
        <v>14</v>
      </c>
      <c r="H64">
        <v>168161</v>
      </c>
      <c r="I64">
        <v>1003.17</v>
      </c>
      <c r="J64">
        <v>8.43</v>
      </c>
      <c r="K64">
        <v>119</v>
      </c>
      <c r="L64">
        <v>0</v>
      </c>
    </row>
    <row r="65" spans="1:12" x14ac:dyDescent="0.55000000000000004">
      <c r="A65">
        <v>60436</v>
      </c>
      <c r="B65" s="1">
        <v>46225</v>
      </c>
      <c r="C65" t="s">
        <v>19</v>
      </c>
      <c r="D65" t="s">
        <v>20</v>
      </c>
      <c r="E65">
        <v>1100341</v>
      </c>
      <c r="F65" t="s">
        <v>21</v>
      </c>
      <c r="G65" t="s">
        <v>22</v>
      </c>
      <c r="H65">
        <v>167874</v>
      </c>
      <c r="I65">
        <v>11145.96</v>
      </c>
      <c r="J65">
        <v>82.96</v>
      </c>
      <c r="K65">
        <v>134.37</v>
      </c>
      <c r="L65">
        <v>0</v>
      </c>
    </row>
    <row r="66" spans="1:12" x14ac:dyDescent="0.55000000000000004">
      <c r="A66">
        <v>60438</v>
      </c>
      <c r="B66" s="1">
        <v>46225</v>
      </c>
      <c r="C66" t="s">
        <v>90</v>
      </c>
      <c r="D66" t="s">
        <v>91</v>
      </c>
      <c r="E66" t="s">
        <v>92</v>
      </c>
      <c r="F66" t="s">
        <v>93</v>
      </c>
      <c r="G66" t="s">
        <v>26</v>
      </c>
      <c r="H66">
        <v>167905</v>
      </c>
      <c r="I66">
        <v>59250</v>
      </c>
      <c r="J66">
        <v>456.18</v>
      </c>
      <c r="K66">
        <v>129.88</v>
      </c>
      <c r="L66">
        <v>0</v>
      </c>
    </row>
    <row r="67" spans="1:12" x14ac:dyDescent="0.55000000000000004">
      <c r="A67">
        <v>60440</v>
      </c>
      <c r="B67" s="1">
        <v>46225</v>
      </c>
      <c r="C67" t="s">
        <v>42</v>
      </c>
      <c r="D67" t="s">
        <v>43</v>
      </c>
      <c r="E67">
        <v>1099002</v>
      </c>
      <c r="F67" t="s">
        <v>94</v>
      </c>
      <c r="G67" t="s">
        <v>18</v>
      </c>
      <c r="H67">
        <v>161353</v>
      </c>
      <c r="I67">
        <v>7838.25</v>
      </c>
      <c r="J67">
        <v>57.4</v>
      </c>
      <c r="K67">
        <v>136.55000000000001</v>
      </c>
      <c r="L67">
        <v>0</v>
      </c>
    </row>
    <row r="68" spans="1:12" x14ac:dyDescent="0.55000000000000004">
      <c r="A68">
        <v>60441</v>
      </c>
      <c r="B68" s="1">
        <v>46225</v>
      </c>
      <c r="C68" t="s">
        <v>42</v>
      </c>
      <c r="D68" t="s">
        <v>43</v>
      </c>
      <c r="E68">
        <v>1103522</v>
      </c>
      <c r="F68" t="s">
        <v>95</v>
      </c>
      <c r="G68" t="s">
        <v>18</v>
      </c>
      <c r="H68">
        <v>168073</v>
      </c>
      <c r="I68">
        <v>4282</v>
      </c>
      <c r="J68">
        <v>32.03</v>
      </c>
      <c r="K68">
        <v>133.69</v>
      </c>
      <c r="L68">
        <v>0</v>
      </c>
    </row>
    <row r="69" spans="1:12" x14ac:dyDescent="0.55000000000000004">
      <c r="A69">
        <v>60442</v>
      </c>
      <c r="B69" s="1">
        <v>46225</v>
      </c>
      <c r="C69" t="s">
        <v>42</v>
      </c>
      <c r="D69" t="s">
        <v>43</v>
      </c>
      <c r="E69">
        <v>1098626</v>
      </c>
      <c r="F69" t="s">
        <v>96</v>
      </c>
      <c r="G69" t="s">
        <v>18</v>
      </c>
      <c r="H69">
        <v>167861</v>
      </c>
      <c r="I69">
        <v>850</v>
      </c>
      <c r="J69">
        <v>5.98</v>
      </c>
      <c r="K69">
        <v>142.13999999999999</v>
      </c>
      <c r="L69">
        <v>0</v>
      </c>
    </row>
    <row r="70" spans="1:12" x14ac:dyDescent="0.55000000000000004">
      <c r="A70">
        <v>60475</v>
      </c>
      <c r="B70" s="1">
        <v>46225</v>
      </c>
      <c r="C70" t="s">
        <v>51</v>
      </c>
      <c r="D70" t="s">
        <v>52</v>
      </c>
      <c r="E70">
        <v>1101032</v>
      </c>
      <c r="F70" t="s">
        <v>87</v>
      </c>
      <c r="G70" t="s">
        <v>18</v>
      </c>
      <c r="H70">
        <v>168020</v>
      </c>
      <c r="I70">
        <v>3404</v>
      </c>
      <c r="J70">
        <v>0</v>
      </c>
      <c r="K70">
        <v>0</v>
      </c>
      <c r="L70">
        <v>2860</v>
      </c>
    </row>
    <row r="71" spans="1:12" x14ac:dyDescent="0.55000000000000004">
      <c r="A71">
        <v>60435</v>
      </c>
      <c r="B71" s="1">
        <v>46224</v>
      </c>
      <c r="C71" t="s">
        <v>97</v>
      </c>
      <c r="D71" t="s">
        <v>98</v>
      </c>
      <c r="E71">
        <v>1103860</v>
      </c>
      <c r="F71" t="s">
        <v>99</v>
      </c>
      <c r="G71" t="s">
        <v>18</v>
      </c>
      <c r="H71">
        <v>168138</v>
      </c>
      <c r="I71">
        <v>8370</v>
      </c>
      <c r="J71">
        <v>69.37</v>
      </c>
      <c r="K71">
        <v>120.67</v>
      </c>
      <c r="L71">
        <v>0</v>
      </c>
    </row>
    <row r="72" spans="1:12" x14ac:dyDescent="0.55000000000000004">
      <c r="A72">
        <v>60461</v>
      </c>
      <c r="B72" s="1">
        <v>46224</v>
      </c>
      <c r="C72" t="s">
        <v>33</v>
      </c>
      <c r="D72" t="s">
        <v>34</v>
      </c>
      <c r="E72">
        <v>1097737</v>
      </c>
      <c r="F72" t="s">
        <v>35</v>
      </c>
      <c r="H72">
        <v>167781</v>
      </c>
      <c r="I72">
        <v>8401.5</v>
      </c>
      <c r="J72">
        <v>65.430000000000007</v>
      </c>
      <c r="K72">
        <v>128.38</v>
      </c>
      <c r="L72">
        <v>0</v>
      </c>
    </row>
    <row r="73" spans="1:12" x14ac:dyDescent="0.55000000000000004">
      <c r="A73">
        <v>60467</v>
      </c>
      <c r="B73" s="1">
        <v>46224</v>
      </c>
      <c r="C73" t="s">
        <v>100</v>
      </c>
      <c r="D73" t="s">
        <v>101</v>
      </c>
      <c r="E73">
        <v>1094977</v>
      </c>
      <c r="F73" t="s">
        <v>100</v>
      </c>
      <c r="G73" t="s">
        <v>14</v>
      </c>
      <c r="H73">
        <v>167833</v>
      </c>
      <c r="I73">
        <v>3959.7</v>
      </c>
      <c r="J73">
        <v>31.62</v>
      </c>
      <c r="K73">
        <v>125.23</v>
      </c>
      <c r="L73">
        <v>0</v>
      </c>
    </row>
    <row r="74" spans="1:12" x14ac:dyDescent="0.55000000000000004">
      <c r="A74">
        <v>60447</v>
      </c>
      <c r="B74" s="1">
        <v>46224</v>
      </c>
      <c r="C74" t="s">
        <v>36</v>
      </c>
      <c r="D74" t="s">
        <v>37</v>
      </c>
      <c r="E74">
        <v>1105030</v>
      </c>
      <c r="F74" t="s">
        <v>38</v>
      </c>
      <c r="G74" t="s">
        <v>14</v>
      </c>
      <c r="H74">
        <v>167989</v>
      </c>
      <c r="I74">
        <v>6211</v>
      </c>
      <c r="J74">
        <v>62.58</v>
      </c>
      <c r="K74">
        <v>99.25</v>
      </c>
      <c r="L74">
        <v>0</v>
      </c>
    </row>
    <row r="75" spans="1:12" x14ac:dyDescent="0.55000000000000004">
      <c r="A75">
        <v>60434</v>
      </c>
      <c r="B75" s="1">
        <v>46224</v>
      </c>
      <c r="C75" t="s">
        <v>15</v>
      </c>
      <c r="D75" t="s">
        <v>16</v>
      </c>
      <c r="E75">
        <v>1100899</v>
      </c>
      <c r="F75" t="s">
        <v>102</v>
      </c>
      <c r="G75" t="s">
        <v>18</v>
      </c>
      <c r="H75">
        <v>167860</v>
      </c>
      <c r="I75">
        <v>2990</v>
      </c>
      <c r="J75">
        <v>18.149999999999999</v>
      </c>
      <c r="K75">
        <v>164.74</v>
      </c>
      <c r="L75">
        <v>0</v>
      </c>
    </row>
    <row r="76" spans="1:12" x14ac:dyDescent="0.55000000000000004">
      <c r="A76">
        <v>60437</v>
      </c>
      <c r="B76" s="1">
        <v>46224</v>
      </c>
      <c r="C76" t="s">
        <v>42</v>
      </c>
      <c r="D76" t="s">
        <v>43</v>
      </c>
      <c r="E76">
        <v>1096817</v>
      </c>
      <c r="F76" t="s">
        <v>103</v>
      </c>
      <c r="G76" t="s">
        <v>18</v>
      </c>
      <c r="H76">
        <v>167906</v>
      </c>
      <c r="I76">
        <v>195</v>
      </c>
      <c r="J76">
        <v>0</v>
      </c>
      <c r="K76">
        <v>0</v>
      </c>
      <c r="L76">
        <v>150</v>
      </c>
    </row>
    <row r="77" spans="1:12" x14ac:dyDescent="0.55000000000000004">
      <c r="A77">
        <v>60444</v>
      </c>
      <c r="B77" s="1">
        <v>46224</v>
      </c>
      <c r="C77" t="s">
        <v>81</v>
      </c>
      <c r="D77" t="s">
        <v>82</v>
      </c>
      <c r="E77">
        <v>1095498</v>
      </c>
      <c r="F77" t="s">
        <v>83</v>
      </c>
      <c r="G77" t="s">
        <v>18</v>
      </c>
      <c r="H77">
        <v>167986</v>
      </c>
      <c r="I77">
        <v>6425</v>
      </c>
      <c r="J77">
        <v>44.72</v>
      </c>
      <c r="K77">
        <v>143.63999999999999</v>
      </c>
      <c r="L77">
        <v>0</v>
      </c>
    </row>
    <row r="78" spans="1:12" x14ac:dyDescent="0.55000000000000004">
      <c r="A78">
        <v>60462</v>
      </c>
      <c r="B78" s="1">
        <v>46223</v>
      </c>
      <c r="C78" t="s">
        <v>33</v>
      </c>
      <c r="D78" t="s">
        <v>34</v>
      </c>
      <c r="E78">
        <v>1097737</v>
      </c>
      <c r="F78" t="s">
        <v>35</v>
      </c>
      <c r="H78">
        <v>167786</v>
      </c>
      <c r="I78">
        <v>5823.5</v>
      </c>
      <c r="J78">
        <v>45.37</v>
      </c>
      <c r="K78">
        <v>128.36000000000001</v>
      </c>
      <c r="L78">
        <v>0</v>
      </c>
    </row>
    <row r="79" spans="1:12" x14ac:dyDescent="0.55000000000000004">
      <c r="A79">
        <v>60466</v>
      </c>
      <c r="B79" s="1">
        <v>46223</v>
      </c>
      <c r="C79" t="s">
        <v>100</v>
      </c>
      <c r="D79" t="s">
        <v>101</v>
      </c>
      <c r="E79">
        <v>1094977</v>
      </c>
      <c r="F79" t="s">
        <v>100</v>
      </c>
      <c r="G79" t="s">
        <v>14</v>
      </c>
      <c r="H79">
        <v>168044</v>
      </c>
      <c r="I79">
        <v>1778.9</v>
      </c>
      <c r="J79">
        <v>26.23</v>
      </c>
      <c r="K79">
        <v>67.819999999999993</v>
      </c>
      <c r="L79">
        <v>0</v>
      </c>
    </row>
    <row r="80" spans="1:12" x14ac:dyDescent="0.55000000000000004">
      <c r="A80">
        <v>60455</v>
      </c>
      <c r="B80" s="1">
        <v>46223</v>
      </c>
      <c r="C80" t="s">
        <v>45</v>
      </c>
      <c r="D80" t="s">
        <v>46</v>
      </c>
      <c r="E80">
        <v>1097860</v>
      </c>
      <c r="F80" t="s">
        <v>47</v>
      </c>
      <c r="G80" t="s">
        <v>14</v>
      </c>
      <c r="H80">
        <v>168000</v>
      </c>
      <c r="I80">
        <v>1710.6</v>
      </c>
      <c r="J80">
        <v>13.13</v>
      </c>
      <c r="K80">
        <v>130.28</v>
      </c>
      <c r="L80">
        <v>0</v>
      </c>
    </row>
    <row r="81" spans="1:12" x14ac:dyDescent="0.55000000000000004">
      <c r="A81">
        <v>60469</v>
      </c>
      <c r="B81" s="1">
        <v>46223</v>
      </c>
      <c r="C81" t="s">
        <v>12</v>
      </c>
      <c r="D81" t="s">
        <v>13</v>
      </c>
      <c r="E81">
        <v>1094996</v>
      </c>
      <c r="F81" t="s">
        <v>12</v>
      </c>
      <c r="G81" t="s">
        <v>14</v>
      </c>
      <c r="H81">
        <v>168125</v>
      </c>
      <c r="I81">
        <v>476</v>
      </c>
      <c r="J81">
        <v>3.73</v>
      </c>
      <c r="K81">
        <v>127.61</v>
      </c>
      <c r="L81">
        <v>0</v>
      </c>
    </row>
    <row r="82" spans="1:12" x14ac:dyDescent="0.55000000000000004">
      <c r="A82">
        <v>60503</v>
      </c>
      <c r="B82" s="1">
        <v>46223</v>
      </c>
      <c r="C82" t="s">
        <v>15</v>
      </c>
      <c r="D82" t="s">
        <v>16</v>
      </c>
      <c r="E82">
        <v>1100899</v>
      </c>
      <c r="F82" t="s">
        <v>102</v>
      </c>
      <c r="G82" t="s">
        <v>18</v>
      </c>
      <c r="H82">
        <v>167859</v>
      </c>
      <c r="I82">
        <v>9165</v>
      </c>
      <c r="J82">
        <v>0</v>
      </c>
      <c r="K82">
        <v>0</v>
      </c>
      <c r="L82">
        <v>7050</v>
      </c>
    </row>
    <row r="83" spans="1:12" x14ac:dyDescent="0.55000000000000004">
      <c r="A83">
        <v>60429</v>
      </c>
      <c r="B83" s="1">
        <v>46223</v>
      </c>
      <c r="C83" t="s">
        <v>39</v>
      </c>
      <c r="D83" t="s">
        <v>40</v>
      </c>
      <c r="E83">
        <v>1105184</v>
      </c>
      <c r="F83" t="s">
        <v>104</v>
      </c>
      <c r="G83" t="s">
        <v>18</v>
      </c>
      <c r="H83">
        <v>167849</v>
      </c>
      <c r="I83">
        <v>950</v>
      </c>
      <c r="J83">
        <v>7.06</v>
      </c>
      <c r="K83">
        <v>134.56</v>
      </c>
      <c r="L83">
        <v>0</v>
      </c>
    </row>
    <row r="84" spans="1:12" x14ac:dyDescent="0.55000000000000004">
      <c r="A84">
        <v>60430</v>
      </c>
      <c r="B84" s="1">
        <v>46223</v>
      </c>
      <c r="C84" t="s">
        <v>42</v>
      </c>
      <c r="D84" t="s">
        <v>43</v>
      </c>
      <c r="E84">
        <v>1098401</v>
      </c>
      <c r="F84" t="s">
        <v>105</v>
      </c>
      <c r="G84" t="s">
        <v>18</v>
      </c>
      <c r="H84">
        <v>167886</v>
      </c>
      <c r="I84">
        <v>1790</v>
      </c>
      <c r="J84">
        <v>14.02</v>
      </c>
      <c r="K84">
        <v>127.67</v>
      </c>
      <c r="L84">
        <v>0</v>
      </c>
    </row>
    <row r="85" spans="1:12" x14ac:dyDescent="0.55000000000000004">
      <c r="A85">
        <v>60439</v>
      </c>
      <c r="B85" s="1">
        <v>46223</v>
      </c>
      <c r="C85" t="s">
        <v>42</v>
      </c>
      <c r="D85" t="s">
        <v>43</v>
      </c>
      <c r="E85" t="s">
        <v>79</v>
      </c>
      <c r="F85" t="s">
        <v>80</v>
      </c>
      <c r="G85" t="s">
        <v>18</v>
      </c>
      <c r="H85">
        <v>168159</v>
      </c>
      <c r="I85">
        <v>61415</v>
      </c>
      <c r="J85">
        <v>521.91</v>
      </c>
      <c r="K85">
        <v>117.67</v>
      </c>
      <c r="L85">
        <v>0</v>
      </c>
    </row>
    <row r="86" spans="1:12" x14ac:dyDescent="0.55000000000000004">
      <c r="A86">
        <v>60433</v>
      </c>
      <c r="B86" s="1">
        <v>46223</v>
      </c>
      <c r="C86" t="s">
        <v>106</v>
      </c>
      <c r="D86" t="s">
        <v>107</v>
      </c>
      <c r="E86">
        <v>1103766</v>
      </c>
      <c r="F86" t="s">
        <v>106</v>
      </c>
      <c r="G86" t="s">
        <v>18</v>
      </c>
      <c r="H86">
        <v>168129</v>
      </c>
      <c r="I86">
        <v>2295.15</v>
      </c>
      <c r="J86">
        <v>11.77</v>
      </c>
      <c r="K86">
        <v>195</v>
      </c>
      <c r="L86">
        <v>0</v>
      </c>
    </row>
    <row r="87" spans="1:12" x14ac:dyDescent="0.55000000000000004">
      <c r="A87">
        <v>60431</v>
      </c>
      <c r="B87" s="1">
        <v>46223</v>
      </c>
      <c r="C87" t="s">
        <v>108</v>
      </c>
      <c r="D87" t="s">
        <v>109</v>
      </c>
      <c r="E87" t="s">
        <v>110</v>
      </c>
      <c r="F87" t="s">
        <v>111</v>
      </c>
      <c r="G87" t="s">
        <v>18</v>
      </c>
      <c r="H87">
        <v>167479</v>
      </c>
      <c r="I87">
        <v>2395</v>
      </c>
      <c r="J87">
        <v>16.62</v>
      </c>
      <c r="K87">
        <v>144.1</v>
      </c>
      <c r="L87">
        <v>0</v>
      </c>
    </row>
    <row r="88" spans="1:12" x14ac:dyDescent="0.55000000000000004">
      <c r="A88">
        <v>60443</v>
      </c>
      <c r="B88" s="1">
        <v>46223</v>
      </c>
      <c r="C88" t="s">
        <v>81</v>
      </c>
      <c r="D88" t="s">
        <v>82</v>
      </c>
      <c r="E88">
        <v>1095498</v>
      </c>
      <c r="F88" t="s">
        <v>83</v>
      </c>
      <c r="G88" t="s">
        <v>18</v>
      </c>
      <c r="H88">
        <v>167485</v>
      </c>
      <c r="I88">
        <v>1295</v>
      </c>
      <c r="J88">
        <v>9.93</v>
      </c>
      <c r="K88">
        <v>130.41</v>
      </c>
      <c r="L88">
        <v>0</v>
      </c>
    </row>
    <row r="89" spans="1:12" x14ac:dyDescent="0.55000000000000004">
      <c r="A89">
        <v>60448</v>
      </c>
      <c r="B89" s="1">
        <v>46221</v>
      </c>
      <c r="C89" t="s">
        <v>45</v>
      </c>
      <c r="D89" t="s">
        <v>46</v>
      </c>
      <c r="E89">
        <v>1097860</v>
      </c>
      <c r="F89" t="s">
        <v>47</v>
      </c>
      <c r="G89" t="s">
        <v>14</v>
      </c>
      <c r="H89">
        <v>167445</v>
      </c>
      <c r="I89">
        <v>3453.5</v>
      </c>
      <c r="J89">
        <v>28.83</v>
      </c>
      <c r="K89">
        <v>115.35</v>
      </c>
      <c r="L89">
        <v>0</v>
      </c>
    </row>
    <row r="90" spans="1:12" x14ac:dyDescent="0.55000000000000004">
      <c r="A90">
        <v>60428</v>
      </c>
      <c r="B90" s="1">
        <v>46220</v>
      </c>
      <c r="C90" t="s">
        <v>97</v>
      </c>
      <c r="D90" t="s">
        <v>98</v>
      </c>
      <c r="E90">
        <v>1103860</v>
      </c>
      <c r="F90" t="s">
        <v>99</v>
      </c>
      <c r="G90" t="s">
        <v>18</v>
      </c>
      <c r="H90">
        <v>168112</v>
      </c>
      <c r="I90">
        <v>10021.049999999999</v>
      </c>
      <c r="J90">
        <v>74.319999999999993</v>
      </c>
      <c r="K90">
        <v>134.84</v>
      </c>
      <c r="L90">
        <v>0</v>
      </c>
    </row>
    <row r="91" spans="1:12" x14ac:dyDescent="0.55000000000000004">
      <c r="A91">
        <v>60427</v>
      </c>
      <c r="B91" s="1">
        <v>46220</v>
      </c>
      <c r="C91" t="s">
        <v>112</v>
      </c>
      <c r="D91" t="s">
        <v>113</v>
      </c>
      <c r="E91">
        <v>1103651</v>
      </c>
      <c r="F91" t="s">
        <v>114</v>
      </c>
      <c r="G91" t="s">
        <v>18</v>
      </c>
      <c r="H91">
        <v>168113</v>
      </c>
      <c r="I91">
        <v>567</v>
      </c>
      <c r="J91">
        <v>4.2</v>
      </c>
      <c r="K91">
        <v>135</v>
      </c>
      <c r="L91">
        <v>0</v>
      </c>
    </row>
    <row r="92" spans="1:12" x14ac:dyDescent="0.55000000000000004">
      <c r="A92">
        <v>60460</v>
      </c>
      <c r="B92" s="1">
        <v>46220</v>
      </c>
      <c r="C92" t="s">
        <v>33</v>
      </c>
      <c r="D92" t="s">
        <v>34</v>
      </c>
      <c r="E92">
        <v>1097737</v>
      </c>
      <c r="F92" t="s">
        <v>35</v>
      </c>
      <c r="H92">
        <v>167780</v>
      </c>
      <c r="I92">
        <v>4655.25</v>
      </c>
      <c r="J92">
        <v>34.4</v>
      </c>
      <c r="K92">
        <v>135.37</v>
      </c>
      <c r="L92">
        <v>0</v>
      </c>
    </row>
    <row r="93" spans="1:12" x14ac:dyDescent="0.55000000000000004">
      <c r="A93">
        <v>60465</v>
      </c>
      <c r="B93" s="1">
        <v>46220</v>
      </c>
      <c r="C93" t="s">
        <v>100</v>
      </c>
      <c r="D93" t="s">
        <v>101</v>
      </c>
      <c r="E93">
        <v>1094977</v>
      </c>
      <c r="F93" t="s">
        <v>100</v>
      </c>
      <c r="G93" t="s">
        <v>14</v>
      </c>
      <c r="H93">
        <v>167834</v>
      </c>
      <c r="I93">
        <v>3546</v>
      </c>
      <c r="J93">
        <v>29.23</v>
      </c>
      <c r="K93">
        <v>121.31</v>
      </c>
      <c r="L93">
        <v>0</v>
      </c>
    </row>
    <row r="94" spans="1:12" x14ac:dyDescent="0.55000000000000004">
      <c r="A94">
        <v>60445</v>
      </c>
      <c r="B94" s="1">
        <v>46220</v>
      </c>
      <c r="C94" t="s">
        <v>36</v>
      </c>
      <c r="D94" t="s">
        <v>37</v>
      </c>
      <c r="E94">
        <v>1105030</v>
      </c>
      <c r="F94" t="s">
        <v>38</v>
      </c>
      <c r="G94" t="s">
        <v>14</v>
      </c>
      <c r="H94">
        <v>167985</v>
      </c>
      <c r="I94">
        <v>6583.75</v>
      </c>
      <c r="J94">
        <v>43.24</v>
      </c>
      <c r="K94">
        <v>152.86000000000001</v>
      </c>
      <c r="L94">
        <v>0</v>
      </c>
    </row>
    <row r="95" spans="1:12" x14ac:dyDescent="0.55000000000000004">
      <c r="A95">
        <v>60483</v>
      </c>
      <c r="B95" s="1">
        <v>46220</v>
      </c>
      <c r="C95" t="s">
        <v>36</v>
      </c>
      <c r="D95" t="s">
        <v>37</v>
      </c>
      <c r="E95">
        <v>1105030</v>
      </c>
      <c r="F95" t="s">
        <v>38</v>
      </c>
      <c r="G95" t="s">
        <v>14</v>
      </c>
      <c r="H95">
        <v>167996</v>
      </c>
      <c r="I95">
        <v>5770</v>
      </c>
      <c r="J95">
        <v>96.47</v>
      </c>
      <c r="K95">
        <v>61.58</v>
      </c>
      <c r="L95">
        <v>0</v>
      </c>
    </row>
    <row r="96" spans="1:12" x14ac:dyDescent="0.55000000000000004">
      <c r="A96">
        <v>60485</v>
      </c>
      <c r="B96" s="1">
        <v>46220</v>
      </c>
      <c r="C96" t="s">
        <v>115</v>
      </c>
      <c r="D96" t="s">
        <v>116</v>
      </c>
      <c r="E96">
        <v>1105020</v>
      </c>
      <c r="F96" t="s">
        <v>115</v>
      </c>
      <c r="G96" t="s">
        <v>14</v>
      </c>
      <c r="H96">
        <v>155843</v>
      </c>
      <c r="I96">
        <v>900</v>
      </c>
      <c r="J96">
        <v>2.58</v>
      </c>
      <c r="K96">
        <v>348.84</v>
      </c>
      <c r="L96">
        <v>0</v>
      </c>
    </row>
    <row r="97" spans="1:12" x14ac:dyDescent="0.55000000000000004">
      <c r="A97">
        <v>60454</v>
      </c>
      <c r="B97" s="1">
        <v>46220</v>
      </c>
      <c r="C97" t="s">
        <v>45</v>
      </c>
      <c r="D97" t="s">
        <v>46</v>
      </c>
      <c r="E97">
        <v>1097860</v>
      </c>
      <c r="F97" t="s">
        <v>47</v>
      </c>
      <c r="G97" t="s">
        <v>14</v>
      </c>
      <c r="H97">
        <v>168011</v>
      </c>
      <c r="I97">
        <v>398.2</v>
      </c>
      <c r="J97">
        <v>4.5</v>
      </c>
      <c r="K97">
        <v>88.49</v>
      </c>
      <c r="L97">
        <v>0</v>
      </c>
    </row>
    <row r="98" spans="1:12" x14ac:dyDescent="0.55000000000000004">
      <c r="A98">
        <v>60457</v>
      </c>
      <c r="B98" s="1">
        <v>46220</v>
      </c>
      <c r="C98" t="s">
        <v>45</v>
      </c>
      <c r="D98" t="s">
        <v>46</v>
      </c>
      <c r="E98">
        <v>1097860</v>
      </c>
      <c r="F98" t="s">
        <v>47</v>
      </c>
      <c r="G98" t="s">
        <v>14</v>
      </c>
      <c r="H98">
        <v>168012</v>
      </c>
      <c r="I98">
        <v>269.89</v>
      </c>
      <c r="J98">
        <v>3.05</v>
      </c>
      <c r="K98">
        <v>88.49</v>
      </c>
      <c r="L98">
        <v>0</v>
      </c>
    </row>
    <row r="99" spans="1:12" x14ac:dyDescent="0.55000000000000004">
      <c r="A99">
        <v>60458</v>
      </c>
      <c r="B99" s="1">
        <v>46220</v>
      </c>
      <c r="C99" t="s">
        <v>45</v>
      </c>
      <c r="D99" t="s">
        <v>46</v>
      </c>
      <c r="E99">
        <v>1097860</v>
      </c>
      <c r="F99" t="s">
        <v>47</v>
      </c>
      <c r="G99" t="s">
        <v>14</v>
      </c>
      <c r="H99">
        <v>168039</v>
      </c>
      <c r="I99">
        <v>427.65</v>
      </c>
      <c r="J99">
        <v>9.1999999999999993</v>
      </c>
      <c r="K99">
        <v>46.48</v>
      </c>
      <c r="L99">
        <v>0</v>
      </c>
    </row>
    <row r="100" spans="1:12" x14ac:dyDescent="0.55000000000000004">
      <c r="A100">
        <v>60419</v>
      </c>
      <c r="B100" s="1">
        <v>46220</v>
      </c>
      <c r="C100" t="s">
        <v>23</v>
      </c>
      <c r="D100" t="s">
        <v>24</v>
      </c>
      <c r="E100">
        <v>1095569</v>
      </c>
      <c r="F100" t="s">
        <v>117</v>
      </c>
      <c r="G100" t="s">
        <v>18</v>
      </c>
      <c r="H100">
        <v>166734</v>
      </c>
      <c r="I100">
        <v>16165.17</v>
      </c>
      <c r="J100">
        <v>123.42</v>
      </c>
      <c r="K100">
        <v>130.97</v>
      </c>
      <c r="L100">
        <v>0</v>
      </c>
    </row>
    <row r="101" spans="1:12" x14ac:dyDescent="0.55000000000000004">
      <c r="A101">
        <v>60424</v>
      </c>
      <c r="B101" s="1">
        <v>46220</v>
      </c>
      <c r="C101" t="s">
        <v>23</v>
      </c>
      <c r="D101" t="s">
        <v>24</v>
      </c>
      <c r="E101" t="s">
        <v>118</v>
      </c>
      <c r="F101" t="s">
        <v>118</v>
      </c>
      <c r="G101" t="s">
        <v>18</v>
      </c>
      <c r="H101">
        <v>166564</v>
      </c>
      <c r="I101">
        <v>24146.9</v>
      </c>
      <c r="J101">
        <v>179.93</v>
      </c>
      <c r="K101">
        <v>134.19999999999999</v>
      </c>
      <c r="L101">
        <v>0</v>
      </c>
    </row>
    <row r="102" spans="1:12" x14ac:dyDescent="0.55000000000000004">
      <c r="A102">
        <v>60425</v>
      </c>
      <c r="B102" s="1">
        <v>46220</v>
      </c>
      <c r="C102" t="s">
        <v>23</v>
      </c>
      <c r="D102" t="s">
        <v>24</v>
      </c>
      <c r="E102" t="s">
        <v>118</v>
      </c>
      <c r="F102" t="s">
        <v>118</v>
      </c>
      <c r="G102" t="s">
        <v>18</v>
      </c>
      <c r="H102">
        <v>168089</v>
      </c>
      <c r="I102">
        <v>440</v>
      </c>
      <c r="J102">
        <v>0</v>
      </c>
      <c r="K102">
        <v>0</v>
      </c>
      <c r="L102">
        <v>0</v>
      </c>
    </row>
    <row r="103" spans="1:12" x14ac:dyDescent="0.55000000000000004">
      <c r="A103">
        <v>60416</v>
      </c>
      <c r="B103" s="1">
        <v>46220</v>
      </c>
      <c r="C103" t="s">
        <v>119</v>
      </c>
      <c r="D103" t="s">
        <v>120</v>
      </c>
      <c r="E103" t="s">
        <v>121</v>
      </c>
      <c r="F103" t="s">
        <v>121</v>
      </c>
      <c r="G103" t="s">
        <v>18</v>
      </c>
      <c r="H103">
        <v>166813</v>
      </c>
      <c r="I103">
        <v>10562.94</v>
      </c>
      <c r="J103">
        <v>81.14</v>
      </c>
      <c r="K103">
        <v>130.18</v>
      </c>
      <c r="L103">
        <v>0</v>
      </c>
    </row>
    <row r="104" spans="1:12" x14ac:dyDescent="0.55000000000000004">
      <c r="A104">
        <v>60418</v>
      </c>
      <c r="B104" s="1">
        <v>46220</v>
      </c>
      <c r="C104" t="s">
        <v>51</v>
      </c>
      <c r="D104" t="s">
        <v>52</v>
      </c>
      <c r="E104">
        <v>1101032</v>
      </c>
      <c r="F104" t="s">
        <v>87</v>
      </c>
      <c r="G104" t="s">
        <v>18</v>
      </c>
      <c r="H104">
        <v>168019</v>
      </c>
      <c r="I104">
        <v>4860</v>
      </c>
      <c r="J104">
        <v>40.64</v>
      </c>
      <c r="K104">
        <v>119.59</v>
      </c>
      <c r="L104">
        <v>0</v>
      </c>
    </row>
    <row r="105" spans="1:12" x14ac:dyDescent="0.55000000000000004">
      <c r="A105">
        <v>60417</v>
      </c>
      <c r="B105" s="1">
        <v>46220</v>
      </c>
      <c r="C105" t="s">
        <v>122</v>
      </c>
      <c r="D105" t="s">
        <v>123</v>
      </c>
      <c r="E105">
        <v>1098294</v>
      </c>
      <c r="F105" t="s">
        <v>124</v>
      </c>
      <c r="G105" t="s">
        <v>26</v>
      </c>
      <c r="H105">
        <v>167818</v>
      </c>
      <c r="I105">
        <v>39055</v>
      </c>
      <c r="J105">
        <v>302.52999999999997</v>
      </c>
      <c r="K105">
        <v>129.1</v>
      </c>
      <c r="L105">
        <v>0</v>
      </c>
    </row>
    <row r="106" spans="1:12" x14ac:dyDescent="0.55000000000000004">
      <c r="A106">
        <v>60364</v>
      </c>
      <c r="B106" s="1">
        <v>46219</v>
      </c>
      <c r="C106" t="s">
        <v>33</v>
      </c>
      <c r="D106" t="s">
        <v>34</v>
      </c>
      <c r="E106">
        <v>1097737</v>
      </c>
      <c r="F106" t="s">
        <v>35</v>
      </c>
      <c r="H106">
        <v>168023</v>
      </c>
      <c r="I106">
        <v>2105.65</v>
      </c>
      <c r="J106">
        <v>0</v>
      </c>
      <c r="K106">
        <v>130.62</v>
      </c>
      <c r="L106">
        <v>0</v>
      </c>
    </row>
    <row r="107" spans="1:12" x14ac:dyDescent="0.55000000000000004">
      <c r="A107">
        <v>60459</v>
      </c>
      <c r="B107" s="1">
        <v>46219</v>
      </c>
      <c r="C107" t="s">
        <v>33</v>
      </c>
      <c r="D107" t="s">
        <v>34</v>
      </c>
      <c r="E107">
        <v>1097737</v>
      </c>
      <c r="F107" t="s">
        <v>35</v>
      </c>
      <c r="H107">
        <v>167785</v>
      </c>
      <c r="I107">
        <v>6087.5</v>
      </c>
      <c r="J107">
        <v>44.08</v>
      </c>
      <c r="K107">
        <v>138.1</v>
      </c>
      <c r="L107">
        <v>0</v>
      </c>
    </row>
    <row r="108" spans="1:12" x14ac:dyDescent="0.55000000000000004">
      <c r="A108">
        <v>60446</v>
      </c>
      <c r="B108" s="1">
        <v>46219</v>
      </c>
      <c r="C108" t="s">
        <v>36</v>
      </c>
      <c r="D108" t="s">
        <v>37</v>
      </c>
      <c r="E108">
        <v>1105030</v>
      </c>
      <c r="F108" t="s">
        <v>38</v>
      </c>
      <c r="G108" t="s">
        <v>14</v>
      </c>
      <c r="H108">
        <v>167988</v>
      </c>
      <c r="I108">
        <v>7980</v>
      </c>
      <c r="J108">
        <v>55.58</v>
      </c>
      <c r="K108">
        <v>126.46</v>
      </c>
      <c r="L108">
        <v>0</v>
      </c>
    </row>
    <row r="109" spans="1:12" x14ac:dyDescent="0.55000000000000004">
      <c r="A109">
        <v>60474</v>
      </c>
      <c r="B109" s="1">
        <v>46219</v>
      </c>
      <c r="C109" t="s">
        <v>73</v>
      </c>
      <c r="D109" t="s">
        <v>74</v>
      </c>
      <c r="E109">
        <v>1098339</v>
      </c>
      <c r="F109" t="s">
        <v>75</v>
      </c>
      <c r="G109" t="s">
        <v>14</v>
      </c>
      <c r="H109">
        <v>168015</v>
      </c>
      <c r="I109">
        <v>2466.8000000000002</v>
      </c>
      <c r="J109">
        <v>17.86</v>
      </c>
      <c r="K109">
        <v>138.12</v>
      </c>
      <c r="L109">
        <v>0</v>
      </c>
    </row>
    <row r="110" spans="1:12" x14ac:dyDescent="0.55000000000000004">
      <c r="A110">
        <v>60449</v>
      </c>
      <c r="B110" s="1">
        <v>46219</v>
      </c>
      <c r="C110" t="s">
        <v>45</v>
      </c>
      <c r="D110" t="s">
        <v>46</v>
      </c>
      <c r="E110">
        <v>1097860</v>
      </c>
      <c r="F110" t="s">
        <v>47</v>
      </c>
      <c r="G110" t="s">
        <v>14</v>
      </c>
      <c r="H110">
        <v>167896</v>
      </c>
      <c r="I110">
        <v>259.52</v>
      </c>
      <c r="J110">
        <v>1.87</v>
      </c>
      <c r="K110">
        <v>138.78</v>
      </c>
      <c r="L110">
        <v>0</v>
      </c>
    </row>
    <row r="111" spans="1:12" x14ac:dyDescent="0.55000000000000004">
      <c r="A111">
        <v>60450</v>
      </c>
      <c r="B111" s="1">
        <v>46219</v>
      </c>
      <c r="C111" t="s">
        <v>45</v>
      </c>
      <c r="D111" t="s">
        <v>46</v>
      </c>
      <c r="E111">
        <v>1097860</v>
      </c>
      <c r="F111" t="s">
        <v>47</v>
      </c>
      <c r="G111" t="s">
        <v>14</v>
      </c>
      <c r="H111">
        <v>167903</v>
      </c>
      <c r="I111">
        <v>1881.52</v>
      </c>
      <c r="J111">
        <v>12.08</v>
      </c>
      <c r="K111">
        <v>155.75</v>
      </c>
      <c r="L111">
        <v>0</v>
      </c>
    </row>
    <row r="112" spans="1:12" x14ac:dyDescent="0.55000000000000004">
      <c r="A112">
        <v>60451</v>
      </c>
      <c r="B112" s="1">
        <v>46219</v>
      </c>
      <c r="C112" t="s">
        <v>45</v>
      </c>
      <c r="D112" t="s">
        <v>46</v>
      </c>
      <c r="E112">
        <v>1097860</v>
      </c>
      <c r="F112" t="s">
        <v>47</v>
      </c>
      <c r="G112" t="s">
        <v>14</v>
      </c>
      <c r="H112">
        <v>167904</v>
      </c>
      <c r="I112">
        <v>371.7</v>
      </c>
      <c r="J112">
        <v>3</v>
      </c>
      <c r="K112">
        <v>123.9</v>
      </c>
      <c r="L112">
        <v>0</v>
      </c>
    </row>
    <row r="113" spans="1:12" x14ac:dyDescent="0.55000000000000004">
      <c r="A113">
        <v>60452</v>
      </c>
      <c r="B113" s="1">
        <v>46219</v>
      </c>
      <c r="C113" t="s">
        <v>45</v>
      </c>
      <c r="D113" t="s">
        <v>46</v>
      </c>
      <c r="E113">
        <v>1097860</v>
      </c>
      <c r="F113" t="s">
        <v>47</v>
      </c>
      <c r="G113" t="s">
        <v>14</v>
      </c>
      <c r="H113">
        <v>168007</v>
      </c>
      <c r="I113">
        <v>583.91999999999996</v>
      </c>
      <c r="J113">
        <v>3</v>
      </c>
      <c r="K113">
        <v>194.64</v>
      </c>
      <c r="L113">
        <v>0</v>
      </c>
    </row>
    <row r="114" spans="1:12" x14ac:dyDescent="0.55000000000000004">
      <c r="A114">
        <v>60453</v>
      </c>
      <c r="B114" s="1">
        <v>46219</v>
      </c>
      <c r="C114" t="s">
        <v>45</v>
      </c>
      <c r="D114" t="s">
        <v>46</v>
      </c>
      <c r="E114">
        <v>1097860</v>
      </c>
      <c r="F114" t="s">
        <v>47</v>
      </c>
      <c r="G114" t="s">
        <v>14</v>
      </c>
      <c r="H114">
        <v>168008</v>
      </c>
      <c r="I114">
        <v>495.6</v>
      </c>
      <c r="J114">
        <v>7.48</v>
      </c>
      <c r="K114">
        <v>66.260000000000005</v>
      </c>
      <c r="L114">
        <v>0</v>
      </c>
    </row>
    <row r="115" spans="1:12" x14ac:dyDescent="0.55000000000000004">
      <c r="A115">
        <v>60407</v>
      </c>
      <c r="B115" s="1">
        <v>46219</v>
      </c>
      <c r="C115" t="s">
        <v>76</v>
      </c>
      <c r="D115" t="s">
        <v>77</v>
      </c>
      <c r="E115">
        <v>1105309</v>
      </c>
      <c r="F115" t="s">
        <v>78</v>
      </c>
      <c r="G115" t="s">
        <v>18</v>
      </c>
      <c r="H115">
        <v>167680</v>
      </c>
      <c r="I115">
        <v>5380</v>
      </c>
      <c r="J115">
        <v>36.57</v>
      </c>
      <c r="K115">
        <v>147.12</v>
      </c>
      <c r="L115">
        <v>0</v>
      </c>
    </row>
    <row r="116" spans="1:12" x14ac:dyDescent="0.55000000000000004">
      <c r="A116">
        <v>60408</v>
      </c>
      <c r="B116" s="1">
        <v>46219</v>
      </c>
      <c r="C116" t="s">
        <v>23</v>
      </c>
      <c r="D116" t="s">
        <v>24</v>
      </c>
      <c r="E116">
        <v>1095569</v>
      </c>
      <c r="F116" t="s">
        <v>117</v>
      </c>
      <c r="G116" t="s">
        <v>18</v>
      </c>
      <c r="H116">
        <v>167750</v>
      </c>
      <c r="I116">
        <v>1512.5</v>
      </c>
      <c r="J116">
        <v>11.5</v>
      </c>
      <c r="K116">
        <v>131.52000000000001</v>
      </c>
      <c r="L116">
        <v>0</v>
      </c>
    </row>
    <row r="117" spans="1:12" x14ac:dyDescent="0.55000000000000004">
      <c r="A117">
        <v>60409</v>
      </c>
      <c r="B117" s="1">
        <v>46219</v>
      </c>
      <c r="C117" t="s">
        <v>51</v>
      </c>
      <c r="D117" t="s">
        <v>52</v>
      </c>
      <c r="E117">
        <v>1101032</v>
      </c>
      <c r="F117" t="s">
        <v>87</v>
      </c>
      <c r="G117" t="s">
        <v>18</v>
      </c>
      <c r="H117">
        <v>167936</v>
      </c>
      <c r="I117">
        <v>2550</v>
      </c>
      <c r="J117">
        <v>16.329999999999998</v>
      </c>
      <c r="K117">
        <v>156.15</v>
      </c>
      <c r="L117">
        <v>0</v>
      </c>
    </row>
    <row r="118" spans="1:12" x14ac:dyDescent="0.55000000000000004">
      <c r="A118">
        <v>60410</v>
      </c>
      <c r="B118" s="1">
        <v>46219</v>
      </c>
      <c r="C118" t="s">
        <v>125</v>
      </c>
      <c r="D118" t="s">
        <v>126</v>
      </c>
      <c r="E118">
        <v>1095608</v>
      </c>
      <c r="F118" t="s">
        <v>127</v>
      </c>
      <c r="G118" t="s">
        <v>18</v>
      </c>
      <c r="H118">
        <v>167748</v>
      </c>
      <c r="I118">
        <v>2475</v>
      </c>
      <c r="J118">
        <v>26.52</v>
      </c>
      <c r="K118">
        <v>93.33</v>
      </c>
      <c r="L118">
        <v>0</v>
      </c>
    </row>
    <row r="119" spans="1:12" x14ac:dyDescent="0.55000000000000004">
      <c r="A119">
        <v>60362</v>
      </c>
      <c r="B119" s="1">
        <v>46218</v>
      </c>
      <c r="C119" t="s">
        <v>33</v>
      </c>
      <c r="D119" t="s">
        <v>34</v>
      </c>
      <c r="E119">
        <v>1097737</v>
      </c>
      <c r="F119" t="s">
        <v>35</v>
      </c>
      <c r="H119">
        <v>167779</v>
      </c>
      <c r="I119">
        <v>7697.25</v>
      </c>
      <c r="J119">
        <v>59.14</v>
      </c>
      <c r="K119">
        <v>130.15</v>
      </c>
      <c r="L119">
        <v>0</v>
      </c>
    </row>
    <row r="120" spans="1:12" x14ac:dyDescent="0.55000000000000004">
      <c r="A120">
        <v>60473</v>
      </c>
      <c r="B120" s="1">
        <v>46218</v>
      </c>
      <c r="C120" t="s">
        <v>128</v>
      </c>
      <c r="D120" t="s">
        <v>129</v>
      </c>
      <c r="E120">
        <v>1095104</v>
      </c>
      <c r="F120" t="s">
        <v>128</v>
      </c>
      <c r="G120" t="s">
        <v>14</v>
      </c>
      <c r="H120">
        <v>166670</v>
      </c>
      <c r="I120">
        <v>91467</v>
      </c>
      <c r="J120">
        <v>105.36</v>
      </c>
      <c r="K120">
        <v>293.8</v>
      </c>
      <c r="L120">
        <v>0</v>
      </c>
    </row>
    <row r="121" spans="1:12" x14ac:dyDescent="0.55000000000000004">
      <c r="A121">
        <v>60398</v>
      </c>
      <c r="B121" s="1">
        <v>46218</v>
      </c>
      <c r="C121" t="s">
        <v>36</v>
      </c>
      <c r="D121" t="s">
        <v>37</v>
      </c>
      <c r="E121">
        <v>1105030</v>
      </c>
      <c r="F121" t="s">
        <v>38</v>
      </c>
      <c r="G121" t="s">
        <v>14</v>
      </c>
      <c r="H121">
        <v>167428</v>
      </c>
      <c r="I121">
        <v>5708.05</v>
      </c>
      <c r="J121">
        <v>30.46</v>
      </c>
      <c r="K121">
        <v>179.18</v>
      </c>
      <c r="L121">
        <v>2465</v>
      </c>
    </row>
    <row r="122" spans="1:12" x14ac:dyDescent="0.55000000000000004">
      <c r="A122">
        <v>60402</v>
      </c>
      <c r="B122" s="1">
        <v>46218</v>
      </c>
      <c r="C122" t="s">
        <v>36</v>
      </c>
      <c r="D122" t="s">
        <v>37</v>
      </c>
      <c r="E122">
        <v>1105030</v>
      </c>
      <c r="F122" t="s">
        <v>38</v>
      </c>
      <c r="G122" t="s">
        <v>14</v>
      </c>
      <c r="H122">
        <v>167985</v>
      </c>
      <c r="I122">
        <v>6712.2</v>
      </c>
      <c r="J122">
        <v>43.74</v>
      </c>
      <c r="K122">
        <v>152.86000000000001</v>
      </c>
      <c r="L122">
        <v>0</v>
      </c>
    </row>
    <row r="123" spans="1:12" x14ac:dyDescent="0.55000000000000004">
      <c r="A123">
        <v>60403</v>
      </c>
      <c r="B123" s="1">
        <v>46218</v>
      </c>
      <c r="C123" t="s">
        <v>36</v>
      </c>
      <c r="D123" t="s">
        <v>37</v>
      </c>
      <c r="E123">
        <v>1105030</v>
      </c>
      <c r="F123" t="s">
        <v>38</v>
      </c>
      <c r="G123" t="s">
        <v>14</v>
      </c>
      <c r="H123">
        <v>167988</v>
      </c>
      <c r="I123">
        <v>14538</v>
      </c>
      <c r="J123">
        <v>122.48</v>
      </c>
      <c r="K123">
        <v>126.46</v>
      </c>
      <c r="L123">
        <v>0</v>
      </c>
    </row>
    <row r="124" spans="1:12" x14ac:dyDescent="0.55000000000000004">
      <c r="A124">
        <v>60404</v>
      </c>
      <c r="B124" s="1">
        <v>46218</v>
      </c>
      <c r="C124" t="s">
        <v>36</v>
      </c>
      <c r="D124" t="s">
        <v>37</v>
      </c>
      <c r="E124">
        <v>1105030</v>
      </c>
      <c r="F124" t="s">
        <v>38</v>
      </c>
      <c r="G124" t="s">
        <v>14</v>
      </c>
      <c r="H124">
        <v>168010</v>
      </c>
      <c r="I124">
        <v>1825</v>
      </c>
      <c r="J124">
        <v>12.88</v>
      </c>
      <c r="K124">
        <v>115.23</v>
      </c>
      <c r="L124">
        <v>0</v>
      </c>
    </row>
    <row r="125" spans="1:12" x14ac:dyDescent="0.55000000000000004">
      <c r="A125">
        <v>60405</v>
      </c>
      <c r="B125" s="1">
        <v>46218</v>
      </c>
      <c r="C125" t="s">
        <v>36</v>
      </c>
      <c r="D125" t="s">
        <v>37</v>
      </c>
      <c r="E125">
        <v>1105030</v>
      </c>
      <c r="F125" t="s">
        <v>38</v>
      </c>
      <c r="G125" t="s">
        <v>14</v>
      </c>
      <c r="H125">
        <v>167996</v>
      </c>
      <c r="I125">
        <v>4862</v>
      </c>
      <c r="J125">
        <v>76.180000000000007</v>
      </c>
      <c r="K125">
        <v>61.58</v>
      </c>
      <c r="L125">
        <v>0</v>
      </c>
    </row>
    <row r="126" spans="1:12" x14ac:dyDescent="0.55000000000000004">
      <c r="A126">
        <v>60406</v>
      </c>
      <c r="B126" s="1">
        <v>46218</v>
      </c>
      <c r="C126" t="s">
        <v>36</v>
      </c>
      <c r="D126" t="s">
        <v>37</v>
      </c>
      <c r="E126">
        <v>1105030</v>
      </c>
      <c r="F126" t="s">
        <v>38</v>
      </c>
      <c r="G126" t="s">
        <v>14</v>
      </c>
      <c r="H126">
        <v>167856</v>
      </c>
      <c r="I126">
        <v>2880</v>
      </c>
      <c r="J126">
        <v>33.22</v>
      </c>
      <c r="K126">
        <v>158.36000000000001</v>
      </c>
      <c r="L126">
        <v>0</v>
      </c>
    </row>
    <row r="127" spans="1:12" x14ac:dyDescent="0.55000000000000004">
      <c r="A127">
        <v>60413</v>
      </c>
      <c r="B127" s="1">
        <v>46218</v>
      </c>
      <c r="C127" t="s">
        <v>36</v>
      </c>
      <c r="D127" t="s">
        <v>37</v>
      </c>
      <c r="E127">
        <v>1105030</v>
      </c>
      <c r="F127" t="s">
        <v>38</v>
      </c>
      <c r="G127" t="s">
        <v>14</v>
      </c>
      <c r="H127">
        <v>167995</v>
      </c>
      <c r="I127">
        <v>7680.85</v>
      </c>
      <c r="J127">
        <v>66.8</v>
      </c>
      <c r="K127">
        <v>116.79</v>
      </c>
      <c r="L127">
        <v>0</v>
      </c>
    </row>
    <row r="128" spans="1:12" x14ac:dyDescent="0.55000000000000004">
      <c r="A128">
        <v>60414</v>
      </c>
      <c r="B128" s="1">
        <v>46218</v>
      </c>
      <c r="C128" t="s">
        <v>36</v>
      </c>
      <c r="D128" t="s">
        <v>37</v>
      </c>
      <c r="E128">
        <v>1105030</v>
      </c>
      <c r="F128" t="s">
        <v>38</v>
      </c>
      <c r="G128" t="s">
        <v>14</v>
      </c>
      <c r="H128">
        <v>167857</v>
      </c>
      <c r="I128">
        <v>5440</v>
      </c>
      <c r="J128">
        <v>55.88</v>
      </c>
      <c r="K128">
        <v>21.15</v>
      </c>
      <c r="L128">
        <v>0</v>
      </c>
    </row>
    <row r="129" spans="1:12" x14ac:dyDescent="0.55000000000000004">
      <c r="A129">
        <v>60377</v>
      </c>
      <c r="B129" s="1">
        <v>46218</v>
      </c>
      <c r="C129" t="s">
        <v>45</v>
      </c>
      <c r="D129" t="s">
        <v>46</v>
      </c>
      <c r="E129">
        <v>1097860</v>
      </c>
      <c r="F129" t="s">
        <v>47</v>
      </c>
      <c r="G129" t="s">
        <v>14</v>
      </c>
      <c r="H129">
        <v>168038</v>
      </c>
      <c r="I129">
        <v>85.53</v>
      </c>
      <c r="J129">
        <v>2.92</v>
      </c>
      <c r="K129">
        <v>29.29</v>
      </c>
      <c r="L129">
        <v>0</v>
      </c>
    </row>
    <row r="130" spans="1:12" x14ac:dyDescent="0.55000000000000004">
      <c r="A130">
        <v>60470</v>
      </c>
      <c r="B130" s="1">
        <v>46218</v>
      </c>
      <c r="C130" t="s">
        <v>12</v>
      </c>
      <c r="D130" t="s">
        <v>13</v>
      </c>
      <c r="E130">
        <v>1094996</v>
      </c>
      <c r="F130" t="s">
        <v>12</v>
      </c>
      <c r="G130" t="s">
        <v>14</v>
      </c>
      <c r="H130">
        <v>168070</v>
      </c>
      <c r="I130">
        <v>10198.44</v>
      </c>
      <c r="J130">
        <v>53.95</v>
      </c>
      <c r="K130">
        <v>189.04</v>
      </c>
      <c r="L130">
        <v>0</v>
      </c>
    </row>
    <row r="131" spans="1:12" x14ac:dyDescent="0.55000000000000004">
      <c r="A131">
        <v>60368</v>
      </c>
      <c r="B131" s="1">
        <v>46218</v>
      </c>
      <c r="C131" t="s">
        <v>15</v>
      </c>
      <c r="D131" t="s">
        <v>16</v>
      </c>
      <c r="E131">
        <v>1105308</v>
      </c>
      <c r="F131" t="s">
        <v>17</v>
      </c>
      <c r="G131" t="s">
        <v>18</v>
      </c>
      <c r="H131">
        <v>168072</v>
      </c>
      <c r="I131">
        <v>1222</v>
      </c>
      <c r="J131">
        <v>9.35</v>
      </c>
      <c r="K131">
        <v>130.69999999999999</v>
      </c>
      <c r="L131">
        <v>0</v>
      </c>
    </row>
    <row r="132" spans="1:12" x14ac:dyDescent="0.55000000000000004">
      <c r="A132">
        <v>60356</v>
      </c>
      <c r="B132" s="1">
        <v>46218</v>
      </c>
      <c r="C132" t="s">
        <v>76</v>
      </c>
      <c r="D132" t="s">
        <v>77</v>
      </c>
      <c r="E132">
        <v>1105309</v>
      </c>
      <c r="F132" t="s">
        <v>78</v>
      </c>
      <c r="G132" t="s">
        <v>18</v>
      </c>
      <c r="H132">
        <v>167678</v>
      </c>
      <c r="I132">
        <v>8550</v>
      </c>
      <c r="J132">
        <v>52.03</v>
      </c>
      <c r="K132">
        <v>164.36</v>
      </c>
      <c r="L132">
        <v>0</v>
      </c>
    </row>
    <row r="133" spans="1:12" x14ac:dyDescent="0.55000000000000004">
      <c r="A133">
        <v>60365</v>
      </c>
      <c r="B133" s="1">
        <v>46218</v>
      </c>
      <c r="C133" t="s">
        <v>39</v>
      </c>
      <c r="D133" t="s">
        <v>40</v>
      </c>
      <c r="E133">
        <v>1098432</v>
      </c>
      <c r="F133" t="s">
        <v>130</v>
      </c>
      <c r="G133" t="s">
        <v>18</v>
      </c>
      <c r="H133">
        <v>167894</v>
      </c>
      <c r="I133">
        <v>3550</v>
      </c>
      <c r="J133">
        <v>27.23</v>
      </c>
      <c r="K133">
        <v>130.37</v>
      </c>
      <c r="L133">
        <v>0</v>
      </c>
    </row>
    <row r="134" spans="1:12" x14ac:dyDescent="0.55000000000000004">
      <c r="A134">
        <v>60355</v>
      </c>
      <c r="B134" s="1">
        <v>46218</v>
      </c>
      <c r="C134" t="s">
        <v>125</v>
      </c>
      <c r="D134" t="s">
        <v>126</v>
      </c>
      <c r="E134">
        <v>1095608</v>
      </c>
      <c r="F134" t="s">
        <v>127</v>
      </c>
      <c r="G134" t="s">
        <v>18</v>
      </c>
      <c r="H134">
        <v>167575</v>
      </c>
      <c r="I134">
        <v>895</v>
      </c>
      <c r="J134">
        <v>6.77</v>
      </c>
      <c r="K134">
        <v>132.19999999999999</v>
      </c>
      <c r="L134">
        <v>0</v>
      </c>
    </row>
    <row r="135" spans="1:12" x14ac:dyDescent="0.55000000000000004">
      <c r="A135">
        <v>60363</v>
      </c>
      <c r="B135" s="1">
        <v>46217</v>
      </c>
      <c r="C135" t="s">
        <v>33</v>
      </c>
      <c r="D135" t="s">
        <v>34</v>
      </c>
      <c r="E135">
        <v>1097737</v>
      </c>
      <c r="F135" t="s">
        <v>35</v>
      </c>
      <c r="H135">
        <v>168023</v>
      </c>
      <c r="I135">
        <v>2105.65</v>
      </c>
      <c r="J135">
        <v>16.12</v>
      </c>
      <c r="K135">
        <v>130.62</v>
      </c>
      <c r="L135">
        <v>0</v>
      </c>
    </row>
    <row r="136" spans="1:12" x14ac:dyDescent="0.55000000000000004">
      <c r="A136">
        <v>60388</v>
      </c>
      <c r="B136" s="1">
        <v>46217</v>
      </c>
      <c r="C136" t="s">
        <v>100</v>
      </c>
      <c r="D136" t="s">
        <v>101</v>
      </c>
      <c r="E136">
        <v>1094977</v>
      </c>
      <c r="F136" t="s">
        <v>100</v>
      </c>
      <c r="G136" t="s">
        <v>14</v>
      </c>
      <c r="H136">
        <v>168022</v>
      </c>
      <c r="I136">
        <v>1778.9</v>
      </c>
      <c r="J136">
        <v>18.149999999999999</v>
      </c>
      <c r="K136">
        <v>98.01</v>
      </c>
      <c r="L136">
        <v>0</v>
      </c>
    </row>
    <row r="137" spans="1:12" x14ac:dyDescent="0.55000000000000004">
      <c r="A137">
        <v>60374</v>
      </c>
      <c r="B137" s="1">
        <v>46217</v>
      </c>
      <c r="C137" t="s">
        <v>45</v>
      </c>
      <c r="D137" t="s">
        <v>46</v>
      </c>
      <c r="E137">
        <v>1097860</v>
      </c>
      <c r="F137" t="s">
        <v>47</v>
      </c>
      <c r="G137" t="s">
        <v>14</v>
      </c>
      <c r="H137">
        <v>167880</v>
      </c>
      <c r="I137">
        <v>3185.64</v>
      </c>
      <c r="J137">
        <v>69.349999999999994</v>
      </c>
      <c r="K137">
        <v>45.94</v>
      </c>
      <c r="L137">
        <v>0</v>
      </c>
    </row>
    <row r="138" spans="1:12" x14ac:dyDescent="0.55000000000000004">
      <c r="A138">
        <v>60376</v>
      </c>
      <c r="B138" s="1">
        <v>46217</v>
      </c>
      <c r="C138" t="s">
        <v>45</v>
      </c>
      <c r="D138" t="s">
        <v>46</v>
      </c>
      <c r="E138">
        <v>1097860</v>
      </c>
      <c r="F138" t="s">
        <v>47</v>
      </c>
      <c r="G138" t="s">
        <v>14</v>
      </c>
      <c r="H138">
        <v>167927</v>
      </c>
      <c r="I138">
        <v>554.83000000000004</v>
      </c>
      <c r="J138">
        <v>6.27</v>
      </c>
      <c r="K138">
        <v>88.49</v>
      </c>
      <c r="L138">
        <v>0</v>
      </c>
    </row>
    <row r="139" spans="1:12" x14ac:dyDescent="0.55000000000000004">
      <c r="A139">
        <v>60456</v>
      </c>
      <c r="B139" s="1">
        <v>46217</v>
      </c>
      <c r="C139" t="s">
        <v>45</v>
      </c>
      <c r="D139" t="s">
        <v>46</v>
      </c>
      <c r="E139">
        <v>1097860</v>
      </c>
      <c r="F139" t="s">
        <v>47</v>
      </c>
      <c r="G139" t="s">
        <v>14</v>
      </c>
      <c r="H139">
        <v>168034</v>
      </c>
      <c r="I139">
        <v>317.68</v>
      </c>
      <c r="J139">
        <v>3.58</v>
      </c>
      <c r="K139">
        <v>88.74</v>
      </c>
      <c r="L139">
        <v>0</v>
      </c>
    </row>
    <row r="140" spans="1:12" x14ac:dyDescent="0.55000000000000004">
      <c r="A140">
        <v>60348</v>
      </c>
      <c r="B140" s="1">
        <v>46217</v>
      </c>
      <c r="C140" t="s">
        <v>76</v>
      </c>
      <c r="D140" t="s">
        <v>77</v>
      </c>
      <c r="E140">
        <v>1105309</v>
      </c>
      <c r="F140" t="s">
        <v>78</v>
      </c>
      <c r="G140" t="s">
        <v>18</v>
      </c>
      <c r="H140">
        <v>167685</v>
      </c>
      <c r="I140">
        <v>3755</v>
      </c>
      <c r="J140">
        <v>26.84</v>
      </c>
      <c r="K140">
        <v>139.9</v>
      </c>
      <c r="L140">
        <v>0</v>
      </c>
    </row>
    <row r="141" spans="1:12" x14ac:dyDescent="0.55000000000000004">
      <c r="A141">
        <v>60354</v>
      </c>
      <c r="B141" s="1">
        <v>46217</v>
      </c>
      <c r="C141" t="s">
        <v>39</v>
      </c>
      <c r="D141" t="s">
        <v>40</v>
      </c>
      <c r="E141">
        <v>1098678</v>
      </c>
      <c r="F141" t="s">
        <v>131</v>
      </c>
      <c r="G141" t="s">
        <v>18</v>
      </c>
      <c r="H141">
        <v>167998</v>
      </c>
      <c r="I141">
        <v>76739.59</v>
      </c>
      <c r="J141">
        <v>573.46</v>
      </c>
      <c r="K141">
        <v>133.81</v>
      </c>
      <c r="L141">
        <v>0</v>
      </c>
    </row>
    <row r="142" spans="1:12" x14ac:dyDescent="0.55000000000000004">
      <c r="A142">
        <v>60347</v>
      </c>
      <c r="B142" s="1">
        <v>46217</v>
      </c>
      <c r="C142" t="s">
        <v>42</v>
      </c>
      <c r="D142" t="s">
        <v>43</v>
      </c>
      <c r="E142" t="s">
        <v>79</v>
      </c>
      <c r="F142" t="s">
        <v>80</v>
      </c>
      <c r="G142" t="s">
        <v>18</v>
      </c>
      <c r="H142">
        <v>167864</v>
      </c>
      <c r="I142">
        <v>8380</v>
      </c>
      <c r="J142">
        <v>64.39</v>
      </c>
      <c r="K142">
        <v>130.13999999999999</v>
      </c>
      <c r="L142">
        <v>0</v>
      </c>
    </row>
    <row r="143" spans="1:12" x14ac:dyDescent="0.55000000000000004">
      <c r="A143">
        <v>60346</v>
      </c>
      <c r="B143" s="1">
        <v>46217</v>
      </c>
      <c r="C143" t="s">
        <v>132</v>
      </c>
      <c r="D143" t="s">
        <v>133</v>
      </c>
      <c r="E143">
        <v>1100345</v>
      </c>
      <c r="F143" t="s">
        <v>134</v>
      </c>
      <c r="G143" t="s">
        <v>18</v>
      </c>
      <c r="H143">
        <v>167560</v>
      </c>
      <c r="I143">
        <v>2275</v>
      </c>
      <c r="J143">
        <v>0</v>
      </c>
      <c r="K143">
        <v>0</v>
      </c>
      <c r="L143">
        <v>1568</v>
      </c>
    </row>
    <row r="144" spans="1:12" x14ac:dyDescent="0.55000000000000004">
      <c r="A144">
        <v>60426</v>
      </c>
      <c r="B144" s="1">
        <v>46217</v>
      </c>
      <c r="C144" t="s">
        <v>135</v>
      </c>
      <c r="D144" t="s">
        <v>136</v>
      </c>
      <c r="E144">
        <v>1103505</v>
      </c>
      <c r="F144" t="s">
        <v>137</v>
      </c>
      <c r="G144" t="s">
        <v>26</v>
      </c>
      <c r="H144">
        <v>168090</v>
      </c>
      <c r="I144">
        <v>542.70000000000005</v>
      </c>
      <c r="J144">
        <v>4.0199999999999996</v>
      </c>
      <c r="K144">
        <v>135</v>
      </c>
      <c r="L144">
        <v>0</v>
      </c>
    </row>
    <row r="145" spans="1:12" x14ac:dyDescent="0.55000000000000004">
      <c r="A145">
        <v>60352</v>
      </c>
      <c r="B145" s="1">
        <v>46216</v>
      </c>
      <c r="C145" t="s">
        <v>112</v>
      </c>
      <c r="D145" t="s">
        <v>113</v>
      </c>
      <c r="E145">
        <v>1098165</v>
      </c>
      <c r="F145" t="s">
        <v>138</v>
      </c>
      <c r="G145" t="s">
        <v>18</v>
      </c>
      <c r="H145">
        <v>168047</v>
      </c>
      <c r="I145">
        <v>19837.150000000001</v>
      </c>
      <c r="J145">
        <v>156.31</v>
      </c>
      <c r="K145">
        <v>126.91</v>
      </c>
      <c r="L145">
        <v>0</v>
      </c>
    </row>
    <row r="146" spans="1:12" x14ac:dyDescent="0.55000000000000004">
      <c r="A146">
        <v>60359</v>
      </c>
      <c r="B146" s="1">
        <v>46216</v>
      </c>
      <c r="C146" t="s">
        <v>33</v>
      </c>
      <c r="D146" t="s">
        <v>34</v>
      </c>
      <c r="E146">
        <v>1097737</v>
      </c>
      <c r="F146" t="s">
        <v>35</v>
      </c>
      <c r="H146">
        <v>167783</v>
      </c>
      <c r="I146">
        <v>945.25</v>
      </c>
      <c r="J146">
        <v>9.33</v>
      </c>
      <c r="K146">
        <v>101.31</v>
      </c>
      <c r="L146">
        <v>0</v>
      </c>
    </row>
    <row r="147" spans="1:12" x14ac:dyDescent="0.55000000000000004">
      <c r="A147">
        <v>60387</v>
      </c>
      <c r="B147" s="1">
        <v>46216</v>
      </c>
      <c r="C147" t="s">
        <v>100</v>
      </c>
      <c r="D147" t="s">
        <v>101</v>
      </c>
      <c r="E147">
        <v>1094977</v>
      </c>
      <c r="F147" t="s">
        <v>100</v>
      </c>
      <c r="G147" t="s">
        <v>14</v>
      </c>
      <c r="H147">
        <v>167844</v>
      </c>
      <c r="I147">
        <v>4018.8</v>
      </c>
      <c r="J147">
        <v>32.06</v>
      </c>
      <c r="K147">
        <v>125.35</v>
      </c>
      <c r="L147">
        <v>0</v>
      </c>
    </row>
    <row r="148" spans="1:12" x14ac:dyDescent="0.55000000000000004">
      <c r="A148">
        <v>60343</v>
      </c>
      <c r="B148" s="1">
        <v>46216</v>
      </c>
      <c r="C148" t="s">
        <v>139</v>
      </c>
      <c r="D148" t="s">
        <v>140</v>
      </c>
      <c r="E148">
        <v>1100665</v>
      </c>
      <c r="F148" t="s">
        <v>141</v>
      </c>
      <c r="G148" t="s">
        <v>18</v>
      </c>
      <c r="H148">
        <v>166245</v>
      </c>
      <c r="I148">
        <v>17005</v>
      </c>
      <c r="J148">
        <v>138.52000000000001</v>
      </c>
      <c r="K148">
        <v>122.76</v>
      </c>
      <c r="L148">
        <v>0</v>
      </c>
    </row>
    <row r="149" spans="1:12" x14ac:dyDescent="0.55000000000000004">
      <c r="A149">
        <v>60339</v>
      </c>
      <c r="B149" s="1">
        <v>46216</v>
      </c>
      <c r="C149" t="s">
        <v>58</v>
      </c>
      <c r="D149" t="s">
        <v>59</v>
      </c>
      <c r="E149">
        <v>1097515</v>
      </c>
      <c r="F149" t="s">
        <v>142</v>
      </c>
      <c r="G149" t="s">
        <v>18</v>
      </c>
      <c r="H149">
        <v>167762</v>
      </c>
      <c r="I149">
        <v>1995</v>
      </c>
      <c r="J149">
        <v>16.23</v>
      </c>
      <c r="K149">
        <v>122.92</v>
      </c>
      <c r="L149">
        <v>0</v>
      </c>
    </row>
    <row r="150" spans="1:12" x14ac:dyDescent="0.55000000000000004">
      <c r="A150">
        <v>60344</v>
      </c>
      <c r="B150" s="1">
        <v>46216</v>
      </c>
      <c r="C150" t="s">
        <v>76</v>
      </c>
      <c r="D150" t="s">
        <v>77</v>
      </c>
      <c r="E150">
        <v>1105309</v>
      </c>
      <c r="F150" t="s">
        <v>78</v>
      </c>
      <c r="G150" t="s">
        <v>18</v>
      </c>
      <c r="H150">
        <v>167684</v>
      </c>
      <c r="I150">
        <v>5665</v>
      </c>
      <c r="J150">
        <v>40.6</v>
      </c>
      <c r="K150">
        <v>139.53</v>
      </c>
      <c r="L150">
        <v>0</v>
      </c>
    </row>
    <row r="151" spans="1:12" x14ac:dyDescent="0.55000000000000004">
      <c r="A151">
        <v>60338</v>
      </c>
      <c r="B151" s="1">
        <v>46213</v>
      </c>
      <c r="C151" t="s">
        <v>30</v>
      </c>
      <c r="D151" t="s">
        <v>31</v>
      </c>
      <c r="E151">
        <v>1105448</v>
      </c>
      <c r="F151" t="s">
        <v>143</v>
      </c>
      <c r="G151" t="s">
        <v>22</v>
      </c>
      <c r="H151">
        <v>168018</v>
      </c>
      <c r="I151">
        <v>5400</v>
      </c>
      <c r="J151">
        <v>40.01</v>
      </c>
      <c r="K151">
        <v>134.97</v>
      </c>
      <c r="L151">
        <v>0</v>
      </c>
    </row>
    <row r="152" spans="1:12" x14ac:dyDescent="0.55000000000000004">
      <c r="A152">
        <v>60360</v>
      </c>
      <c r="B152" s="1">
        <v>46213</v>
      </c>
      <c r="C152" t="s">
        <v>33</v>
      </c>
      <c r="D152" t="s">
        <v>34</v>
      </c>
      <c r="E152">
        <v>1097737</v>
      </c>
      <c r="F152" t="s">
        <v>35</v>
      </c>
      <c r="H152">
        <v>167784</v>
      </c>
      <c r="I152">
        <v>6064.75</v>
      </c>
      <c r="J152">
        <v>41.97</v>
      </c>
      <c r="K152">
        <v>144.5</v>
      </c>
      <c r="L152">
        <v>0</v>
      </c>
    </row>
    <row r="153" spans="1:12" x14ac:dyDescent="0.55000000000000004">
      <c r="A153">
        <v>60415</v>
      </c>
      <c r="B153" s="1">
        <v>46213</v>
      </c>
      <c r="C153" t="s">
        <v>36</v>
      </c>
      <c r="D153" t="s">
        <v>37</v>
      </c>
      <c r="E153">
        <v>1105030</v>
      </c>
      <c r="F153" t="s">
        <v>38</v>
      </c>
      <c r="G153" t="s">
        <v>14</v>
      </c>
      <c r="H153">
        <v>167882</v>
      </c>
      <c r="I153">
        <v>8539.6</v>
      </c>
      <c r="J153">
        <v>57.33</v>
      </c>
      <c r="K153">
        <v>148.97999999999999</v>
      </c>
      <c r="L153">
        <v>0</v>
      </c>
    </row>
    <row r="154" spans="1:12" x14ac:dyDescent="0.55000000000000004">
      <c r="A154">
        <v>60323</v>
      </c>
      <c r="B154" s="1">
        <v>46213</v>
      </c>
      <c r="C154" t="s">
        <v>115</v>
      </c>
      <c r="D154" t="s">
        <v>116</v>
      </c>
      <c r="E154">
        <v>1105020</v>
      </c>
      <c r="F154" t="s">
        <v>115</v>
      </c>
      <c r="G154" t="s">
        <v>14</v>
      </c>
      <c r="H154">
        <v>155842</v>
      </c>
      <c r="I154">
        <v>900</v>
      </c>
      <c r="J154">
        <v>2.58</v>
      </c>
      <c r="K154">
        <v>348.84</v>
      </c>
      <c r="L154">
        <v>0</v>
      </c>
    </row>
    <row r="155" spans="1:12" x14ac:dyDescent="0.55000000000000004">
      <c r="A155">
        <v>60375</v>
      </c>
      <c r="B155" s="1">
        <v>46213</v>
      </c>
      <c r="C155" t="s">
        <v>45</v>
      </c>
      <c r="D155" t="s">
        <v>46</v>
      </c>
      <c r="E155">
        <v>1097860</v>
      </c>
      <c r="F155" t="s">
        <v>47</v>
      </c>
      <c r="G155" t="s">
        <v>14</v>
      </c>
      <c r="H155">
        <v>167993</v>
      </c>
      <c r="I155">
        <v>276.97000000000003</v>
      </c>
      <c r="J155">
        <v>3.13</v>
      </c>
      <c r="K155">
        <v>88.49</v>
      </c>
      <c r="L155">
        <v>0</v>
      </c>
    </row>
    <row r="156" spans="1:12" x14ac:dyDescent="0.55000000000000004">
      <c r="A156">
        <v>60324</v>
      </c>
      <c r="B156" s="1">
        <v>46213</v>
      </c>
      <c r="C156" t="s">
        <v>58</v>
      </c>
      <c r="D156" t="s">
        <v>59</v>
      </c>
      <c r="E156">
        <v>1098794</v>
      </c>
      <c r="F156" t="s">
        <v>60</v>
      </c>
      <c r="G156" t="s">
        <v>18</v>
      </c>
      <c r="H156">
        <v>167853</v>
      </c>
      <c r="I156">
        <v>1574.3</v>
      </c>
      <c r="J156">
        <v>12.1</v>
      </c>
      <c r="K156">
        <v>130.11000000000001</v>
      </c>
      <c r="L156">
        <v>0</v>
      </c>
    </row>
    <row r="157" spans="1:12" x14ac:dyDescent="0.55000000000000004">
      <c r="A157">
        <v>60325</v>
      </c>
      <c r="B157" s="1">
        <v>46213</v>
      </c>
      <c r="C157" t="s">
        <v>58</v>
      </c>
      <c r="D157" t="s">
        <v>59</v>
      </c>
      <c r="E157">
        <v>1098794</v>
      </c>
      <c r="F157" t="s">
        <v>60</v>
      </c>
      <c r="G157" t="s">
        <v>18</v>
      </c>
      <c r="H157">
        <v>167851</v>
      </c>
      <c r="I157">
        <v>196342.7</v>
      </c>
      <c r="J157">
        <v>1602.44</v>
      </c>
      <c r="K157">
        <v>122.53</v>
      </c>
      <c r="L157">
        <v>0</v>
      </c>
    </row>
    <row r="158" spans="1:12" x14ac:dyDescent="0.55000000000000004">
      <c r="A158">
        <v>60326</v>
      </c>
      <c r="B158" s="1">
        <v>46213</v>
      </c>
      <c r="C158" t="s">
        <v>15</v>
      </c>
      <c r="D158" t="s">
        <v>16</v>
      </c>
      <c r="E158">
        <v>1105308</v>
      </c>
      <c r="F158" t="s">
        <v>17</v>
      </c>
      <c r="G158" t="s">
        <v>18</v>
      </c>
      <c r="H158">
        <v>167542</v>
      </c>
      <c r="I158">
        <v>27904.5</v>
      </c>
      <c r="J158">
        <v>168.01</v>
      </c>
      <c r="K158">
        <v>166.09</v>
      </c>
      <c r="L158">
        <v>0</v>
      </c>
    </row>
    <row r="159" spans="1:12" x14ac:dyDescent="0.55000000000000004">
      <c r="A159">
        <v>60340</v>
      </c>
      <c r="B159" s="1">
        <v>46213</v>
      </c>
      <c r="C159" t="s">
        <v>39</v>
      </c>
      <c r="D159" t="s">
        <v>40</v>
      </c>
      <c r="E159">
        <v>1102340</v>
      </c>
      <c r="F159" t="s">
        <v>144</v>
      </c>
      <c r="G159" t="s">
        <v>18</v>
      </c>
      <c r="H159">
        <v>168017</v>
      </c>
      <c r="I159">
        <v>1877.85</v>
      </c>
      <c r="J159">
        <v>9.6300000000000008</v>
      </c>
      <c r="K159">
        <v>177.87</v>
      </c>
      <c r="L159">
        <v>165</v>
      </c>
    </row>
    <row r="160" spans="1:12" x14ac:dyDescent="0.55000000000000004">
      <c r="A160">
        <v>60329</v>
      </c>
      <c r="B160" s="1">
        <v>46213</v>
      </c>
      <c r="C160" t="s">
        <v>42</v>
      </c>
      <c r="D160" t="s">
        <v>43</v>
      </c>
      <c r="E160">
        <v>1101312</v>
      </c>
      <c r="F160" t="s">
        <v>145</v>
      </c>
      <c r="G160" t="s">
        <v>18</v>
      </c>
      <c r="H160">
        <v>167878</v>
      </c>
      <c r="I160">
        <v>700</v>
      </c>
      <c r="J160">
        <v>5.36</v>
      </c>
      <c r="K160">
        <v>130.6</v>
      </c>
      <c r="L160">
        <v>0</v>
      </c>
    </row>
    <row r="161" spans="1:12" x14ac:dyDescent="0.55000000000000004">
      <c r="A161">
        <v>60341</v>
      </c>
      <c r="B161" s="1">
        <v>46213</v>
      </c>
      <c r="C161" t="s">
        <v>42</v>
      </c>
      <c r="D161" t="s">
        <v>43</v>
      </c>
      <c r="E161" t="s">
        <v>146</v>
      </c>
      <c r="F161" t="s">
        <v>147</v>
      </c>
      <c r="G161" t="s">
        <v>18</v>
      </c>
      <c r="H161">
        <v>168024</v>
      </c>
      <c r="I161">
        <v>950</v>
      </c>
      <c r="J161">
        <v>6</v>
      </c>
      <c r="K161">
        <v>158.33000000000001</v>
      </c>
      <c r="L161">
        <v>0</v>
      </c>
    </row>
    <row r="162" spans="1:12" x14ac:dyDescent="0.55000000000000004">
      <c r="A162">
        <v>60342</v>
      </c>
      <c r="B162" s="1">
        <v>46213</v>
      </c>
      <c r="C162" t="s">
        <v>42</v>
      </c>
      <c r="D162" t="s">
        <v>43</v>
      </c>
      <c r="E162" t="s">
        <v>146</v>
      </c>
      <c r="F162" t="s">
        <v>147</v>
      </c>
      <c r="G162" t="s">
        <v>18</v>
      </c>
      <c r="H162">
        <v>168025</v>
      </c>
      <c r="I162">
        <v>1350</v>
      </c>
      <c r="J162">
        <v>9.18</v>
      </c>
      <c r="K162">
        <v>147.06</v>
      </c>
      <c r="L162">
        <v>0</v>
      </c>
    </row>
    <row r="163" spans="1:12" x14ac:dyDescent="0.55000000000000004">
      <c r="A163">
        <v>60331</v>
      </c>
      <c r="B163" s="1">
        <v>46213</v>
      </c>
      <c r="C163" t="s">
        <v>23</v>
      </c>
      <c r="D163" t="s">
        <v>24</v>
      </c>
      <c r="E163">
        <v>1098753</v>
      </c>
      <c r="F163" t="s">
        <v>148</v>
      </c>
      <c r="G163" t="s">
        <v>18</v>
      </c>
      <c r="H163">
        <v>167810</v>
      </c>
      <c r="I163">
        <v>3750</v>
      </c>
      <c r="J163">
        <v>26.96</v>
      </c>
      <c r="K163">
        <v>139.09</v>
      </c>
      <c r="L163">
        <v>0</v>
      </c>
    </row>
    <row r="164" spans="1:12" x14ac:dyDescent="0.55000000000000004">
      <c r="A164">
        <v>60332</v>
      </c>
      <c r="B164" s="1">
        <v>46213</v>
      </c>
      <c r="C164" t="s">
        <v>23</v>
      </c>
      <c r="D164" t="s">
        <v>24</v>
      </c>
      <c r="E164">
        <v>1096818</v>
      </c>
      <c r="F164" t="s">
        <v>149</v>
      </c>
      <c r="G164" t="s">
        <v>18</v>
      </c>
      <c r="H164">
        <v>167625</v>
      </c>
      <c r="I164">
        <v>5518.09</v>
      </c>
      <c r="J164">
        <v>40.35</v>
      </c>
      <c r="K164">
        <v>136.76</v>
      </c>
      <c r="L164">
        <v>0</v>
      </c>
    </row>
    <row r="165" spans="1:12" x14ac:dyDescent="0.55000000000000004">
      <c r="A165">
        <v>60366</v>
      </c>
      <c r="B165" s="1">
        <v>46213</v>
      </c>
      <c r="C165" t="s">
        <v>150</v>
      </c>
      <c r="D165" t="s">
        <v>151</v>
      </c>
      <c r="E165">
        <v>1097822</v>
      </c>
      <c r="F165" t="s">
        <v>152</v>
      </c>
      <c r="G165" t="s">
        <v>18</v>
      </c>
      <c r="H165">
        <v>168057</v>
      </c>
      <c r="I165">
        <v>12957.3</v>
      </c>
      <c r="J165">
        <v>96</v>
      </c>
      <c r="K165">
        <v>134.97</v>
      </c>
      <c r="L165">
        <v>0</v>
      </c>
    </row>
    <row r="166" spans="1:12" x14ac:dyDescent="0.55000000000000004">
      <c r="A166">
        <v>60330</v>
      </c>
      <c r="B166" s="1">
        <v>46213</v>
      </c>
      <c r="C166" t="s">
        <v>51</v>
      </c>
      <c r="D166" t="s">
        <v>52</v>
      </c>
      <c r="E166">
        <v>1101248</v>
      </c>
      <c r="F166" t="s">
        <v>153</v>
      </c>
      <c r="G166" t="s">
        <v>18</v>
      </c>
      <c r="H166">
        <v>166397</v>
      </c>
      <c r="I166">
        <v>31470</v>
      </c>
      <c r="J166">
        <v>241.46</v>
      </c>
      <c r="K166">
        <v>130.33000000000001</v>
      </c>
      <c r="L166">
        <v>0</v>
      </c>
    </row>
    <row r="167" spans="1:12" x14ac:dyDescent="0.55000000000000004">
      <c r="A167">
        <v>60334</v>
      </c>
      <c r="B167" s="1">
        <v>46213</v>
      </c>
      <c r="C167" t="s">
        <v>51</v>
      </c>
      <c r="D167" t="s">
        <v>52</v>
      </c>
      <c r="E167" t="s">
        <v>154</v>
      </c>
      <c r="F167" t="s">
        <v>154</v>
      </c>
      <c r="G167" t="s">
        <v>18</v>
      </c>
      <c r="H167">
        <v>167691</v>
      </c>
      <c r="I167">
        <v>33373.75</v>
      </c>
      <c r="J167">
        <v>240.64</v>
      </c>
      <c r="K167">
        <v>138.69</v>
      </c>
      <c r="L167">
        <v>0</v>
      </c>
    </row>
    <row r="168" spans="1:12" x14ac:dyDescent="0.55000000000000004">
      <c r="A168">
        <v>60335</v>
      </c>
      <c r="B168" s="1">
        <v>46213</v>
      </c>
      <c r="C168" t="s">
        <v>51</v>
      </c>
      <c r="D168" t="s">
        <v>52</v>
      </c>
      <c r="E168">
        <v>1094463</v>
      </c>
      <c r="F168" t="s">
        <v>155</v>
      </c>
      <c r="G168" t="s">
        <v>18</v>
      </c>
      <c r="H168">
        <v>167694</v>
      </c>
      <c r="I168">
        <v>60860</v>
      </c>
      <c r="J168">
        <v>542.75</v>
      </c>
      <c r="K168">
        <v>112.13</v>
      </c>
      <c r="L168">
        <v>0</v>
      </c>
    </row>
    <row r="169" spans="1:12" x14ac:dyDescent="0.55000000000000004">
      <c r="A169">
        <v>60333</v>
      </c>
      <c r="B169" s="1">
        <v>46213</v>
      </c>
      <c r="C169" t="s">
        <v>156</v>
      </c>
      <c r="D169" t="s">
        <v>157</v>
      </c>
      <c r="E169" t="s">
        <v>158</v>
      </c>
      <c r="F169" t="s">
        <v>159</v>
      </c>
      <c r="G169" t="s">
        <v>18</v>
      </c>
      <c r="H169">
        <v>167855</v>
      </c>
      <c r="I169">
        <v>2610</v>
      </c>
      <c r="J169">
        <v>19.36</v>
      </c>
      <c r="K169">
        <v>134.81</v>
      </c>
      <c r="L169">
        <v>0</v>
      </c>
    </row>
    <row r="170" spans="1:12" x14ac:dyDescent="0.55000000000000004">
      <c r="A170">
        <v>60316</v>
      </c>
      <c r="B170" s="1">
        <v>46212</v>
      </c>
      <c r="C170" t="s">
        <v>97</v>
      </c>
      <c r="D170" t="s">
        <v>98</v>
      </c>
      <c r="E170">
        <v>1098033</v>
      </c>
      <c r="F170" t="s">
        <v>160</v>
      </c>
      <c r="G170" t="s">
        <v>18</v>
      </c>
      <c r="H170">
        <v>167848</v>
      </c>
      <c r="I170">
        <v>795</v>
      </c>
      <c r="J170">
        <v>5.74</v>
      </c>
      <c r="K170">
        <v>138.5</v>
      </c>
      <c r="L170">
        <v>0</v>
      </c>
    </row>
    <row r="171" spans="1:12" x14ac:dyDescent="0.55000000000000004">
      <c r="A171">
        <v>60317</v>
      </c>
      <c r="B171" s="1">
        <v>46212</v>
      </c>
      <c r="C171" t="s">
        <v>97</v>
      </c>
      <c r="D171" t="s">
        <v>98</v>
      </c>
      <c r="E171">
        <v>1098033</v>
      </c>
      <c r="F171" t="s">
        <v>160</v>
      </c>
      <c r="G171" t="s">
        <v>18</v>
      </c>
      <c r="H171">
        <v>167869</v>
      </c>
      <c r="I171">
        <v>175</v>
      </c>
      <c r="J171">
        <v>1</v>
      </c>
      <c r="K171">
        <v>175</v>
      </c>
      <c r="L171">
        <v>0</v>
      </c>
    </row>
    <row r="172" spans="1:12" x14ac:dyDescent="0.55000000000000004">
      <c r="A172">
        <v>60411</v>
      </c>
      <c r="B172" s="1">
        <v>46212</v>
      </c>
      <c r="C172" t="s">
        <v>161</v>
      </c>
      <c r="D172" t="s">
        <v>162</v>
      </c>
      <c r="E172">
        <v>1105070</v>
      </c>
      <c r="F172" t="s">
        <v>163</v>
      </c>
      <c r="G172" t="s">
        <v>14</v>
      </c>
      <c r="H172">
        <v>167881</v>
      </c>
      <c r="I172">
        <v>7020</v>
      </c>
      <c r="J172">
        <v>53.47</v>
      </c>
      <c r="K172">
        <v>131.26</v>
      </c>
      <c r="L172">
        <v>0</v>
      </c>
    </row>
    <row r="173" spans="1:12" x14ac:dyDescent="0.55000000000000004">
      <c r="A173">
        <v>60361</v>
      </c>
      <c r="B173" s="1">
        <v>46212</v>
      </c>
      <c r="C173" t="s">
        <v>33</v>
      </c>
      <c r="D173" t="s">
        <v>34</v>
      </c>
      <c r="E173">
        <v>1097737</v>
      </c>
      <c r="F173" t="s">
        <v>35</v>
      </c>
      <c r="H173">
        <v>167935</v>
      </c>
      <c r="I173">
        <v>920</v>
      </c>
      <c r="J173">
        <v>8.07</v>
      </c>
      <c r="K173">
        <v>114</v>
      </c>
      <c r="L173">
        <v>0</v>
      </c>
    </row>
    <row r="174" spans="1:12" x14ac:dyDescent="0.55000000000000004">
      <c r="A174">
        <v>60385</v>
      </c>
      <c r="B174" s="1">
        <v>46212</v>
      </c>
      <c r="C174" t="s">
        <v>100</v>
      </c>
      <c r="D174" t="s">
        <v>101</v>
      </c>
      <c r="E174">
        <v>1094977</v>
      </c>
      <c r="F174" t="s">
        <v>100</v>
      </c>
      <c r="G174" t="s">
        <v>14</v>
      </c>
      <c r="H174">
        <v>167837</v>
      </c>
      <c r="I174">
        <v>2423.1</v>
      </c>
      <c r="J174">
        <v>20.16</v>
      </c>
      <c r="K174">
        <v>120.13</v>
      </c>
      <c r="L174">
        <v>0</v>
      </c>
    </row>
    <row r="175" spans="1:12" x14ac:dyDescent="0.55000000000000004">
      <c r="A175">
        <v>60319</v>
      </c>
      <c r="B175" s="1">
        <v>46212</v>
      </c>
      <c r="C175" t="s">
        <v>76</v>
      </c>
      <c r="D175" t="s">
        <v>77</v>
      </c>
      <c r="E175">
        <v>1105309</v>
      </c>
      <c r="F175" t="s">
        <v>78</v>
      </c>
      <c r="G175" t="s">
        <v>18</v>
      </c>
      <c r="H175">
        <v>167676</v>
      </c>
      <c r="I175">
        <v>8225</v>
      </c>
      <c r="J175">
        <v>62.47</v>
      </c>
      <c r="K175">
        <v>131.68</v>
      </c>
      <c r="L175">
        <v>0</v>
      </c>
    </row>
    <row r="176" spans="1:12" x14ac:dyDescent="0.55000000000000004">
      <c r="A176">
        <v>60328</v>
      </c>
      <c r="B176" s="1">
        <v>46212</v>
      </c>
      <c r="C176" t="s">
        <v>39</v>
      </c>
      <c r="D176" t="s">
        <v>40</v>
      </c>
      <c r="E176">
        <v>1098678</v>
      </c>
      <c r="F176" t="s">
        <v>131</v>
      </c>
      <c r="G176" t="s">
        <v>18</v>
      </c>
      <c r="H176">
        <v>167997</v>
      </c>
      <c r="I176">
        <v>1620</v>
      </c>
      <c r="J176">
        <v>12.27</v>
      </c>
      <c r="K176">
        <v>132.03</v>
      </c>
      <c r="L176">
        <v>0</v>
      </c>
    </row>
    <row r="177" spans="1:12" x14ac:dyDescent="0.55000000000000004">
      <c r="A177">
        <v>60321</v>
      </c>
      <c r="B177" s="1">
        <v>46212</v>
      </c>
      <c r="C177" t="s">
        <v>23</v>
      </c>
      <c r="D177" t="s">
        <v>24</v>
      </c>
      <c r="E177">
        <v>1096818</v>
      </c>
      <c r="F177" t="s">
        <v>149</v>
      </c>
      <c r="G177" t="s">
        <v>18</v>
      </c>
      <c r="H177">
        <v>149976</v>
      </c>
      <c r="I177">
        <v>2685</v>
      </c>
      <c r="J177">
        <v>20.51</v>
      </c>
      <c r="K177">
        <v>130.91</v>
      </c>
      <c r="L177">
        <v>0</v>
      </c>
    </row>
    <row r="178" spans="1:12" x14ac:dyDescent="0.55000000000000004">
      <c r="A178">
        <v>60383</v>
      </c>
      <c r="B178" s="1">
        <v>46211</v>
      </c>
      <c r="C178" t="s">
        <v>100</v>
      </c>
      <c r="D178" t="s">
        <v>101</v>
      </c>
      <c r="E178">
        <v>1094977</v>
      </c>
      <c r="F178" t="s">
        <v>100</v>
      </c>
      <c r="G178" t="s">
        <v>14</v>
      </c>
      <c r="H178">
        <v>167842</v>
      </c>
      <c r="I178">
        <v>1359.3</v>
      </c>
      <c r="J178">
        <v>12.22</v>
      </c>
      <c r="K178">
        <v>111.33</v>
      </c>
      <c r="L178">
        <v>0</v>
      </c>
    </row>
    <row r="179" spans="1:12" x14ac:dyDescent="0.55000000000000004">
      <c r="A179">
        <v>60384</v>
      </c>
      <c r="B179" s="1">
        <v>46211</v>
      </c>
      <c r="C179" t="s">
        <v>100</v>
      </c>
      <c r="D179" t="s">
        <v>101</v>
      </c>
      <c r="E179">
        <v>1094977</v>
      </c>
      <c r="F179" t="s">
        <v>100</v>
      </c>
      <c r="G179" t="s">
        <v>14</v>
      </c>
      <c r="H179">
        <v>167840</v>
      </c>
      <c r="I179">
        <v>1832.1</v>
      </c>
      <c r="J179">
        <v>15.05</v>
      </c>
      <c r="K179">
        <v>121.73</v>
      </c>
      <c r="L179">
        <v>0</v>
      </c>
    </row>
    <row r="180" spans="1:12" x14ac:dyDescent="0.55000000000000004">
      <c r="A180">
        <v>60386</v>
      </c>
      <c r="B180" s="1">
        <v>46211</v>
      </c>
      <c r="C180" t="s">
        <v>100</v>
      </c>
      <c r="D180" t="s">
        <v>101</v>
      </c>
      <c r="E180">
        <v>1094977</v>
      </c>
      <c r="F180" t="s">
        <v>100</v>
      </c>
      <c r="G180" t="s">
        <v>14</v>
      </c>
      <c r="H180">
        <v>167920</v>
      </c>
      <c r="I180">
        <v>488.43</v>
      </c>
      <c r="J180">
        <v>3</v>
      </c>
      <c r="K180">
        <v>162.81</v>
      </c>
      <c r="L180">
        <v>0</v>
      </c>
    </row>
    <row r="181" spans="1:12" x14ac:dyDescent="0.55000000000000004">
      <c r="A181">
        <v>60412</v>
      </c>
      <c r="B181" s="1">
        <v>46211</v>
      </c>
      <c r="C181" t="s">
        <v>73</v>
      </c>
      <c r="D181" t="s">
        <v>74</v>
      </c>
      <c r="E181">
        <v>1101097</v>
      </c>
      <c r="F181" t="s">
        <v>164</v>
      </c>
      <c r="G181" t="s">
        <v>14</v>
      </c>
      <c r="H181">
        <v>167922</v>
      </c>
      <c r="I181">
        <v>2046.54</v>
      </c>
      <c r="J181">
        <v>15.7</v>
      </c>
      <c r="K181">
        <v>130.35</v>
      </c>
      <c r="L181">
        <v>0</v>
      </c>
    </row>
    <row r="182" spans="1:12" x14ac:dyDescent="0.55000000000000004">
      <c r="A182">
        <v>60378</v>
      </c>
      <c r="B182" s="1">
        <v>46211</v>
      </c>
      <c r="C182" t="s">
        <v>45</v>
      </c>
      <c r="D182" t="s">
        <v>46</v>
      </c>
      <c r="E182">
        <v>1097860</v>
      </c>
      <c r="F182" t="s">
        <v>47</v>
      </c>
      <c r="G182" t="s">
        <v>14</v>
      </c>
      <c r="H182">
        <v>167921</v>
      </c>
      <c r="I182">
        <v>416.79</v>
      </c>
      <c r="J182">
        <v>4.72</v>
      </c>
      <c r="K182">
        <v>88.3</v>
      </c>
      <c r="L182">
        <v>0</v>
      </c>
    </row>
    <row r="183" spans="1:12" x14ac:dyDescent="0.55000000000000004">
      <c r="A183">
        <v>60379</v>
      </c>
      <c r="B183" s="1">
        <v>46211</v>
      </c>
      <c r="C183" t="s">
        <v>45</v>
      </c>
      <c r="D183" t="s">
        <v>46</v>
      </c>
      <c r="E183">
        <v>1097860</v>
      </c>
      <c r="F183" t="s">
        <v>47</v>
      </c>
      <c r="G183" t="s">
        <v>14</v>
      </c>
      <c r="H183">
        <v>167921</v>
      </c>
      <c r="I183">
        <v>416.79</v>
      </c>
      <c r="J183">
        <v>4.72</v>
      </c>
      <c r="K183">
        <v>88.3</v>
      </c>
      <c r="L183">
        <v>0</v>
      </c>
    </row>
    <row r="184" spans="1:12" x14ac:dyDescent="0.55000000000000004">
      <c r="A184">
        <v>60380</v>
      </c>
      <c r="B184" s="1">
        <v>46211</v>
      </c>
      <c r="C184" t="s">
        <v>45</v>
      </c>
      <c r="D184" t="s">
        <v>46</v>
      </c>
      <c r="E184">
        <v>1097860</v>
      </c>
      <c r="F184" t="s">
        <v>47</v>
      </c>
      <c r="G184" t="s">
        <v>14</v>
      </c>
      <c r="H184">
        <v>167931</v>
      </c>
      <c r="I184">
        <v>293.79000000000002</v>
      </c>
      <c r="J184">
        <v>3.32</v>
      </c>
      <c r="K184">
        <v>88.49</v>
      </c>
      <c r="L184">
        <v>0</v>
      </c>
    </row>
    <row r="185" spans="1:12" x14ac:dyDescent="0.55000000000000004">
      <c r="A185">
        <v>60318</v>
      </c>
      <c r="B185" s="1">
        <v>46211</v>
      </c>
      <c r="C185" t="s">
        <v>139</v>
      </c>
      <c r="D185" t="s">
        <v>140</v>
      </c>
      <c r="E185">
        <v>1100665</v>
      </c>
      <c r="F185" t="s">
        <v>141</v>
      </c>
      <c r="G185" t="s">
        <v>18</v>
      </c>
      <c r="H185">
        <v>167465</v>
      </c>
      <c r="I185">
        <v>390</v>
      </c>
      <c r="J185">
        <v>3</v>
      </c>
      <c r="K185">
        <v>130</v>
      </c>
      <c r="L185">
        <v>0</v>
      </c>
    </row>
    <row r="186" spans="1:12" x14ac:dyDescent="0.55000000000000004">
      <c r="A186">
        <v>60327</v>
      </c>
      <c r="B186" s="1">
        <v>46211</v>
      </c>
      <c r="C186" t="s">
        <v>76</v>
      </c>
      <c r="D186" t="s">
        <v>77</v>
      </c>
      <c r="E186">
        <v>1105309</v>
      </c>
      <c r="F186" t="s">
        <v>78</v>
      </c>
      <c r="G186" t="s">
        <v>18</v>
      </c>
      <c r="H186">
        <v>167999</v>
      </c>
      <c r="I186">
        <v>7425</v>
      </c>
      <c r="J186">
        <v>54.52</v>
      </c>
      <c r="K186">
        <v>136.19</v>
      </c>
      <c r="L186">
        <v>0</v>
      </c>
    </row>
    <row r="187" spans="1:12" x14ac:dyDescent="0.55000000000000004">
      <c r="A187">
        <v>60314</v>
      </c>
      <c r="B187" s="1">
        <v>46211</v>
      </c>
      <c r="C187" t="s">
        <v>39</v>
      </c>
      <c r="D187" t="s">
        <v>40</v>
      </c>
      <c r="E187">
        <v>1103761</v>
      </c>
      <c r="F187" t="s">
        <v>165</v>
      </c>
      <c r="G187" t="s">
        <v>18</v>
      </c>
      <c r="H187">
        <v>167852</v>
      </c>
      <c r="I187">
        <v>6020</v>
      </c>
      <c r="J187">
        <v>48.26</v>
      </c>
      <c r="K187">
        <v>124.74</v>
      </c>
      <c r="L187">
        <v>0</v>
      </c>
    </row>
    <row r="188" spans="1:12" x14ac:dyDescent="0.55000000000000004">
      <c r="A188">
        <v>60320</v>
      </c>
      <c r="B188" s="1">
        <v>46211</v>
      </c>
      <c r="C188" t="s">
        <v>42</v>
      </c>
      <c r="D188" t="s">
        <v>43</v>
      </c>
      <c r="E188">
        <v>1101185</v>
      </c>
      <c r="F188" t="s">
        <v>166</v>
      </c>
      <c r="G188" t="s">
        <v>18</v>
      </c>
      <c r="H188">
        <v>167466</v>
      </c>
      <c r="I188">
        <v>5070</v>
      </c>
      <c r="J188">
        <v>36</v>
      </c>
      <c r="K188">
        <v>140.83000000000001</v>
      </c>
      <c r="L188">
        <v>0</v>
      </c>
    </row>
    <row r="189" spans="1:12" x14ac:dyDescent="0.55000000000000004">
      <c r="A189">
        <v>60357</v>
      </c>
      <c r="B189" s="1">
        <v>46210</v>
      </c>
      <c r="C189" t="s">
        <v>33</v>
      </c>
      <c r="D189" t="s">
        <v>34</v>
      </c>
      <c r="E189">
        <v>1097737</v>
      </c>
      <c r="F189" t="s">
        <v>35</v>
      </c>
      <c r="H189">
        <v>167782</v>
      </c>
      <c r="I189">
        <v>7954</v>
      </c>
      <c r="J189">
        <v>57.78</v>
      </c>
      <c r="K189">
        <v>137.66</v>
      </c>
      <c r="L189">
        <v>0</v>
      </c>
    </row>
    <row r="190" spans="1:12" x14ac:dyDescent="0.55000000000000004">
      <c r="A190">
        <v>60367</v>
      </c>
      <c r="B190" s="1">
        <v>46210</v>
      </c>
      <c r="C190" t="s">
        <v>150</v>
      </c>
      <c r="D190" t="s">
        <v>151</v>
      </c>
      <c r="E190" t="s">
        <v>167</v>
      </c>
      <c r="F190" t="s">
        <v>168</v>
      </c>
      <c r="G190" t="s">
        <v>18</v>
      </c>
      <c r="H190">
        <v>168004</v>
      </c>
      <c r="I190">
        <v>19201.05</v>
      </c>
      <c r="J190">
        <v>142.24</v>
      </c>
      <c r="K190">
        <v>134.99</v>
      </c>
      <c r="L190">
        <v>0</v>
      </c>
    </row>
    <row r="191" spans="1:12" x14ac:dyDescent="0.55000000000000004">
      <c r="A191">
        <v>60322</v>
      </c>
      <c r="B191" s="1">
        <v>46210</v>
      </c>
      <c r="C191" t="s">
        <v>27</v>
      </c>
      <c r="D191" t="s">
        <v>28</v>
      </c>
      <c r="E191">
        <v>1105389</v>
      </c>
      <c r="F191" t="s">
        <v>169</v>
      </c>
      <c r="G191" t="s">
        <v>26</v>
      </c>
      <c r="H191">
        <v>167601</v>
      </c>
      <c r="I191">
        <v>1595</v>
      </c>
      <c r="J191">
        <v>12.12</v>
      </c>
      <c r="K191">
        <v>131.6</v>
      </c>
      <c r="L191">
        <v>0</v>
      </c>
    </row>
    <row r="192" spans="1:12" x14ac:dyDescent="0.55000000000000004">
      <c r="A192">
        <v>60358</v>
      </c>
      <c r="B192" s="1">
        <v>46209</v>
      </c>
      <c r="C192" t="s">
        <v>33</v>
      </c>
      <c r="D192" t="s">
        <v>34</v>
      </c>
      <c r="E192">
        <v>1097737</v>
      </c>
      <c r="F192" t="s">
        <v>35</v>
      </c>
      <c r="H192">
        <v>167778</v>
      </c>
      <c r="I192">
        <v>7131</v>
      </c>
      <c r="J192">
        <v>52.8</v>
      </c>
      <c r="K192">
        <v>135.03</v>
      </c>
      <c r="L192">
        <v>0</v>
      </c>
    </row>
    <row r="193" spans="1:12" x14ac:dyDescent="0.55000000000000004">
      <c r="A193">
        <v>60382</v>
      </c>
      <c r="B193" s="1">
        <v>46209</v>
      </c>
      <c r="C193" t="s">
        <v>100</v>
      </c>
      <c r="D193" t="s">
        <v>101</v>
      </c>
      <c r="E193">
        <v>1094977</v>
      </c>
      <c r="F193" t="s">
        <v>100</v>
      </c>
      <c r="G193" t="s">
        <v>14</v>
      </c>
      <c r="H193">
        <v>167734</v>
      </c>
      <c r="I193">
        <v>1773</v>
      </c>
      <c r="J193">
        <v>14.1</v>
      </c>
      <c r="K193">
        <v>125.74</v>
      </c>
      <c r="L193">
        <v>0</v>
      </c>
    </row>
    <row r="194" spans="1:12" x14ac:dyDescent="0.55000000000000004">
      <c r="A194">
        <v>60372</v>
      </c>
      <c r="B194" s="1">
        <v>46209</v>
      </c>
      <c r="C194" t="s">
        <v>45</v>
      </c>
      <c r="D194" t="s">
        <v>46</v>
      </c>
      <c r="E194">
        <v>1097860</v>
      </c>
      <c r="F194" t="s">
        <v>47</v>
      </c>
      <c r="G194" t="s">
        <v>14</v>
      </c>
      <c r="H194">
        <v>167811</v>
      </c>
      <c r="I194">
        <v>2215.5</v>
      </c>
      <c r="J194">
        <v>14.99</v>
      </c>
      <c r="K194">
        <v>147.80000000000001</v>
      </c>
      <c r="L194">
        <v>0</v>
      </c>
    </row>
    <row r="195" spans="1:12" x14ac:dyDescent="0.55000000000000004">
      <c r="A195">
        <v>60373</v>
      </c>
      <c r="B195" s="1">
        <v>46209</v>
      </c>
      <c r="C195" t="s">
        <v>45</v>
      </c>
      <c r="D195" t="s">
        <v>46</v>
      </c>
      <c r="E195">
        <v>1097860</v>
      </c>
      <c r="F195" t="s">
        <v>47</v>
      </c>
      <c r="G195" t="s">
        <v>14</v>
      </c>
      <c r="H195">
        <v>167879</v>
      </c>
      <c r="I195">
        <v>583.91999999999996</v>
      </c>
      <c r="J195">
        <v>3</v>
      </c>
      <c r="K195">
        <v>194.64</v>
      </c>
      <c r="L195">
        <v>0</v>
      </c>
    </row>
    <row r="196" spans="1:12" x14ac:dyDescent="0.55000000000000004">
      <c r="A196">
        <v>60306</v>
      </c>
      <c r="B196" s="1">
        <v>46206</v>
      </c>
      <c r="C196" t="s">
        <v>15</v>
      </c>
      <c r="D196" t="s">
        <v>16</v>
      </c>
      <c r="E196">
        <v>1105308</v>
      </c>
      <c r="F196" t="s">
        <v>17</v>
      </c>
      <c r="G196" t="s">
        <v>18</v>
      </c>
      <c r="H196">
        <v>167541</v>
      </c>
      <c r="I196">
        <v>35041.5</v>
      </c>
      <c r="J196">
        <v>189.45</v>
      </c>
      <c r="K196">
        <v>184.96</v>
      </c>
      <c r="L196">
        <v>0</v>
      </c>
    </row>
    <row r="197" spans="1:12" x14ac:dyDescent="0.55000000000000004">
      <c r="A197">
        <v>60307</v>
      </c>
      <c r="B197" s="1">
        <v>46206</v>
      </c>
      <c r="C197" t="s">
        <v>76</v>
      </c>
      <c r="D197" t="s">
        <v>77</v>
      </c>
      <c r="E197">
        <v>1105309</v>
      </c>
      <c r="F197" t="s">
        <v>78</v>
      </c>
      <c r="G197" t="s">
        <v>18</v>
      </c>
      <c r="H197">
        <v>167674</v>
      </c>
      <c r="I197">
        <v>3285</v>
      </c>
      <c r="J197">
        <v>32.44</v>
      </c>
      <c r="K197">
        <v>101.26</v>
      </c>
      <c r="L197">
        <v>0</v>
      </c>
    </row>
    <row r="198" spans="1:12" x14ac:dyDescent="0.55000000000000004">
      <c r="A198">
        <v>60308</v>
      </c>
      <c r="B198" s="1">
        <v>46206</v>
      </c>
      <c r="C198" t="s">
        <v>76</v>
      </c>
      <c r="D198" t="s">
        <v>77</v>
      </c>
      <c r="E198">
        <v>1105309</v>
      </c>
      <c r="F198" t="s">
        <v>78</v>
      </c>
      <c r="G198" t="s">
        <v>18</v>
      </c>
      <c r="H198">
        <v>167686</v>
      </c>
      <c r="I198">
        <v>2535</v>
      </c>
      <c r="J198">
        <v>25.13</v>
      </c>
      <c r="K198">
        <v>100.88</v>
      </c>
      <c r="L198">
        <v>0</v>
      </c>
    </row>
    <row r="199" spans="1:12" x14ac:dyDescent="0.55000000000000004">
      <c r="A199">
        <v>60309</v>
      </c>
      <c r="B199" s="1">
        <v>46206</v>
      </c>
      <c r="C199" t="s">
        <v>42</v>
      </c>
      <c r="D199" t="s">
        <v>43</v>
      </c>
      <c r="E199">
        <v>1098453</v>
      </c>
      <c r="F199" t="s">
        <v>170</v>
      </c>
      <c r="G199" t="s">
        <v>18</v>
      </c>
      <c r="H199">
        <v>167806</v>
      </c>
      <c r="I199">
        <v>34905</v>
      </c>
      <c r="J199">
        <v>265.72000000000003</v>
      </c>
      <c r="K199">
        <v>131.36000000000001</v>
      </c>
      <c r="L199">
        <v>0</v>
      </c>
    </row>
    <row r="200" spans="1:12" x14ac:dyDescent="0.55000000000000004">
      <c r="A200">
        <v>60310</v>
      </c>
      <c r="B200" s="1">
        <v>46206</v>
      </c>
      <c r="C200" t="s">
        <v>23</v>
      </c>
      <c r="D200" t="s">
        <v>24</v>
      </c>
      <c r="E200">
        <v>1096764</v>
      </c>
      <c r="F200" t="s">
        <v>171</v>
      </c>
      <c r="G200" t="s">
        <v>18</v>
      </c>
      <c r="H200">
        <v>166794</v>
      </c>
      <c r="I200">
        <v>4907.9799999999996</v>
      </c>
      <c r="J200">
        <v>36.229999999999997</v>
      </c>
      <c r="K200">
        <v>135.47</v>
      </c>
      <c r="L200">
        <v>0</v>
      </c>
    </row>
    <row r="201" spans="1:12" x14ac:dyDescent="0.55000000000000004">
      <c r="A201">
        <v>60311</v>
      </c>
      <c r="B201" s="1">
        <v>46206</v>
      </c>
      <c r="C201" t="s">
        <v>172</v>
      </c>
      <c r="D201" t="s">
        <v>173</v>
      </c>
      <c r="E201">
        <v>1105160</v>
      </c>
      <c r="F201" t="s">
        <v>174</v>
      </c>
      <c r="G201" t="s">
        <v>26</v>
      </c>
      <c r="H201">
        <v>167766</v>
      </c>
      <c r="I201">
        <v>25905</v>
      </c>
      <c r="J201">
        <v>199.06</v>
      </c>
      <c r="K201">
        <v>130.13999999999999</v>
      </c>
      <c r="L201">
        <v>0</v>
      </c>
    </row>
    <row r="202" spans="1:12" x14ac:dyDescent="0.55000000000000004">
      <c r="A202">
        <v>60312</v>
      </c>
      <c r="B202" s="1">
        <v>46206</v>
      </c>
      <c r="C202" t="s">
        <v>175</v>
      </c>
      <c r="D202" t="s">
        <v>176</v>
      </c>
      <c r="E202">
        <v>1103733</v>
      </c>
      <c r="F202" t="s">
        <v>177</v>
      </c>
      <c r="G202" t="s">
        <v>18</v>
      </c>
      <c r="H202">
        <v>167557</v>
      </c>
      <c r="I202">
        <v>6156</v>
      </c>
      <c r="J202">
        <v>45.43</v>
      </c>
      <c r="K202">
        <v>135.51</v>
      </c>
      <c r="L202">
        <v>0</v>
      </c>
    </row>
    <row r="203" spans="1:12" x14ac:dyDescent="0.55000000000000004">
      <c r="A203">
        <v>60295</v>
      </c>
      <c r="B203" s="1">
        <v>46205</v>
      </c>
      <c r="C203" t="s">
        <v>178</v>
      </c>
      <c r="D203" t="s">
        <v>179</v>
      </c>
      <c r="E203">
        <v>1093699</v>
      </c>
      <c r="F203" t="s">
        <v>180</v>
      </c>
      <c r="G203" t="s">
        <v>18</v>
      </c>
      <c r="H203">
        <v>167877</v>
      </c>
      <c r="I203">
        <v>585</v>
      </c>
      <c r="J203">
        <v>3.1</v>
      </c>
      <c r="K203">
        <v>188.71</v>
      </c>
      <c r="L203">
        <v>0</v>
      </c>
    </row>
    <row r="204" spans="1:12" x14ac:dyDescent="0.55000000000000004">
      <c r="A204">
        <v>60381</v>
      </c>
      <c r="B204" s="1">
        <v>46205</v>
      </c>
      <c r="C204" t="s">
        <v>100</v>
      </c>
      <c r="D204" t="s">
        <v>101</v>
      </c>
      <c r="E204">
        <v>1094977</v>
      </c>
      <c r="F204" t="s">
        <v>100</v>
      </c>
      <c r="G204" t="s">
        <v>14</v>
      </c>
      <c r="H204">
        <v>167843</v>
      </c>
      <c r="I204">
        <v>2304.9</v>
      </c>
      <c r="J204">
        <v>18.100000000000001</v>
      </c>
      <c r="K204">
        <v>127.34</v>
      </c>
      <c r="L204">
        <v>0</v>
      </c>
    </row>
    <row r="205" spans="1:12" x14ac:dyDescent="0.55000000000000004">
      <c r="A205">
        <v>60336</v>
      </c>
      <c r="B205" s="1">
        <v>46205</v>
      </c>
      <c r="C205" t="s">
        <v>36</v>
      </c>
      <c r="D205" t="s">
        <v>37</v>
      </c>
      <c r="E205">
        <v>1105030</v>
      </c>
      <c r="F205" t="s">
        <v>38</v>
      </c>
      <c r="G205" t="s">
        <v>14</v>
      </c>
      <c r="H205">
        <v>167822</v>
      </c>
      <c r="I205">
        <v>4700.05</v>
      </c>
      <c r="J205">
        <v>36.17</v>
      </c>
      <c r="K205">
        <v>132.04</v>
      </c>
      <c r="L205">
        <v>0</v>
      </c>
    </row>
    <row r="206" spans="1:12" x14ac:dyDescent="0.55000000000000004">
      <c r="A206">
        <v>60399</v>
      </c>
      <c r="B206" s="1">
        <v>46205</v>
      </c>
      <c r="C206" t="s">
        <v>36</v>
      </c>
      <c r="D206" t="s">
        <v>37</v>
      </c>
      <c r="E206">
        <v>1105030</v>
      </c>
      <c r="F206" t="s">
        <v>38</v>
      </c>
      <c r="G206" t="s">
        <v>14</v>
      </c>
      <c r="H206">
        <v>167623</v>
      </c>
      <c r="I206">
        <v>2298</v>
      </c>
      <c r="J206">
        <v>14.05</v>
      </c>
      <c r="K206">
        <v>104.76</v>
      </c>
      <c r="L206">
        <v>0</v>
      </c>
    </row>
    <row r="207" spans="1:12" x14ac:dyDescent="0.55000000000000004">
      <c r="A207">
        <v>60369</v>
      </c>
      <c r="B207" s="1">
        <v>46205</v>
      </c>
      <c r="C207" t="s">
        <v>45</v>
      </c>
      <c r="D207" t="s">
        <v>46</v>
      </c>
      <c r="E207">
        <v>1097860</v>
      </c>
      <c r="F207" t="s">
        <v>47</v>
      </c>
      <c r="G207" t="s">
        <v>14</v>
      </c>
      <c r="H207">
        <v>167772</v>
      </c>
      <c r="I207">
        <v>759.6</v>
      </c>
      <c r="J207">
        <v>10.68</v>
      </c>
      <c r="K207">
        <v>71.12</v>
      </c>
      <c r="L207">
        <v>0</v>
      </c>
    </row>
    <row r="208" spans="1:12" x14ac:dyDescent="0.55000000000000004">
      <c r="A208">
        <v>60370</v>
      </c>
      <c r="B208" s="1">
        <v>46205</v>
      </c>
      <c r="C208" t="s">
        <v>45</v>
      </c>
      <c r="D208" t="s">
        <v>46</v>
      </c>
      <c r="E208">
        <v>1097860</v>
      </c>
      <c r="F208" t="s">
        <v>47</v>
      </c>
      <c r="G208" t="s">
        <v>14</v>
      </c>
      <c r="H208">
        <v>167804</v>
      </c>
      <c r="I208">
        <v>83.44</v>
      </c>
      <c r="J208">
        <v>1.68</v>
      </c>
      <c r="K208">
        <v>49.67</v>
      </c>
      <c r="L208">
        <v>0</v>
      </c>
    </row>
    <row r="209" spans="1:12" x14ac:dyDescent="0.55000000000000004">
      <c r="A209">
        <v>60371</v>
      </c>
      <c r="B209" s="1">
        <v>46205</v>
      </c>
      <c r="C209" t="s">
        <v>45</v>
      </c>
      <c r="D209" t="s">
        <v>46</v>
      </c>
      <c r="E209">
        <v>1097860</v>
      </c>
      <c r="F209" t="s">
        <v>47</v>
      </c>
      <c r="G209" t="s">
        <v>14</v>
      </c>
      <c r="H209">
        <v>167673</v>
      </c>
      <c r="I209">
        <v>9183.24</v>
      </c>
      <c r="J209">
        <v>44.07</v>
      </c>
      <c r="K209">
        <v>187.48</v>
      </c>
      <c r="L209">
        <v>0</v>
      </c>
    </row>
    <row r="210" spans="1:12" x14ac:dyDescent="0.55000000000000004">
      <c r="A210">
        <v>60296</v>
      </c>
      <c r="B210" s="1">
        <v>46205</v>
      </c>
      <c r="C210" t="s">
        <v>139</v>
      </c>
      <c r="D210" t="s">
        <v>140</v>
      </c>
      <c r="E210">
        <v>1105410</v>
      </c>
      <c r="F210" t="s">
        <v>181</v>
      </c>
      <c r="G210" t="s">
        <v>18</v>
      </c>
      <c r="H210">
        <v>167847</v>
      </c>
      <c r="I210">
        <v>360</v>
      </c>
      <c r="J210">
        <v>2.5</v>
      </c>
      <c r="K210">
        <v>144</v>
      </c>
      <c r="L210">
        <v>0</v>
      </c>
    </row>
    <row r="211" spans="1:12" x14ac:dyDescent="0.55000000000000004">
      <c r="A211">
        <v>60297</v>
      </c>
      <c r="B211" s="1">
        <v>46205</v>
      </c>
      <c r="C211" t="s">
        <v>139</v>
      </c>
      <c r="D211" t="s">
        <v>140</v>
      </c>
      <c r="E211">
        <v>1105410</v>
      </c>
      <c r="F211" t="s">
        <v>181</v>
      </c>
      <c r="G211" t="s">
        <v>18</v>
      </c>
      <c r="H211">
        <v>167775</v>
      </c>
      <c r="I211">
        <v>4680</v>
      </c>
      <c r="J211">
        <v>35.71</v>
      </c>
      <c r="K211">
        <v>131.06</v>
      </c>
      <c r="L211">
        <v>0</v>
      </c>
    </row>
    <row r="212" spans="1:12" x14ac:dyDescent="0.55000000000000004">
      <c r="A212">
        <v>60298</v>
      </c>
      <c r="B212" s="1">
        <v>46205</v>
      </c>
      <c r="C212" t="s">
        <v>15</v>
      </c>
      <c r="D212" t="s">
        <v>16</v>
      </c>
      <c r="E212">
        <v>1105308</v>
      </c>
      <c r="F212" t="s">
        <v>17</v>
      </c>
      <c r="G212" t="s">
        <v>18</v>
      </c>
      <c r="H212">
        <v>167876</v>
      </c>
      <c r="I212">
        <v>270</v>
      </c>
      <c r="J212">
        <v>2</v>
      </c>
      <c r="K212">
        <v>135</v>
      </c>
      <c r="L212">
        <v>0</v>
      </c>
    </row>
    <row r="213" spans="1:12" x14ac:dyDescent="0.55000000000000004">
      <c r="A213">
        <v>60299</v>
      </c>
      <c r="B213" s="1">
        <v>46205</v>
      </c>
      <c r="C213" t="s">
        <v>76</v>
      </c>
      <c r="D213" t="s">
        <v>77</v>
      </c>
      <c r="E213">
        <v>1105309</v>
      </c>
      <c r="F213" t="s">
        <v>78</v>
      </c>
      <c r="G213" t="s">
        <v>18</v>
      </c>
      <c r="H213">
        <v>167679</v>
      </c>
      <c r="I213">
        <v>2565</v>
      </c>
      <c r="J213">
        <v>32.04</v>
      </c>
      <c r="K213">
        <v>80.06</v>
      </c>
      <c r="L213">
        <v>0</v>
      </c>
    </row>
    <row r="214" spans="1:12" x14ac:dyDescent="0.55000000000000004">
      <c r="A214">
        <v>60300</v>
      </c>
      <c r="B214" s="1">
        <v>46205</v>
      </c>
      <c r="C214" t="s">
        <v>76</v>
      </c>
      <c r="D214" t="s">
        <v>77</v>
      </c>
      <c r="E214">
        <v>1105309</v>
      </c>
      <c r="F214" t="s">
        <v>78</v>
      </c>
      <c r="G214" t="s">
        <v>18</v>
      </c>
      <c r="H214">
        <v>167870</v>
      </c>
      <c r="I214">
        <v>260</v>
      </c>
      <c r="J214">
        <v>2</v>
      </c>
      <c r="K214">
        <v>130</v>
      </c>
      <c r="L214">
        <v>0</v>
      </c>
    </row>
    <row r="215" spans="1:12" x14ac:dyDescent="0.55000000000000004">
      <c r="A215">
        <v>60301</v>
      </c>
      <c r="B215" s="1">
        <v>46205</v>
      </c>
      <c r="C215" t="s">
        <v>51</v>
      </c>
      <c r="D215" t="s">
        <v>52</v>
      </c>
      <c r="E215">
        <v>1096187</v>
      </c>
      <c r="F215" t="s">
        <v>182</v>
      </c>
      <c r="G215" t="s">
        <v>18</v>
      </c>
      <c r="H215">
        <v>167660</v>
      </c>
      <c r="I215">
        <v>5850</v>
      </c>
      <c r="J215">
        <v>45.23</v>
      </c>
      <c r="K215">
        <v>129.34</v>
      </c>
      <c r="L215">
        <v>0</v>
      </c>
    </row>
    <row r="216" spans="1:12" x14ac:dyDescent="0.55000000000000004">
      <c r="A216">
        <v>60302</v>
      </c>
      <c r="B216" s="1">
        <v>46205</v>
      </c>
      <c r="C216" t="s">
        <v>51</v>
      </c>
      <c r="D216" t="s">
        <v>52</v>
      </c>
      <c r="E216">
        <v>1096187</v>
      </c>
      <c r="F216" t="s">
        <v>182</v>
      </c>
      <c r="G216" t="s">
        <v>18</v>
      </c>
      <c r="H216">
        <v>167725</v>
      </c>
      <c r="I216">
        <v>880</v>
      </c>
      <c r="J216">
        <v>6.57</v>
      </c>
      <c r="K216">
        <v>133.94</v>
      </c>
      <c r="L216">
        <v>0</v>
      </c>
    </row>
    <row r="217" spans="1:12" x14ac:dyDescent="0.55000000000000004">
      <c r="A217">
        <v>60279</v>
      </c>
      <c r="B217" s="1">
        <v>46204</v>
      </c>
      <c r="C217" t="s">
        <v>76</v>
      </c>
      <c r="D217" t="s">
        <v>77</v>
      </c>
      <c r="E217">
        <v>1105309</v>
      </c>
      <c r="F217" t="s">
        <v>78</v>
      </c>
      <c r="G217" t="s">
        <v>18</v>
      </c>
      <c r="H217">
        <v>167675</v>
      </c>
      <c r="I217">
        <v>3780</v>
      </c>
      <c r="J217">
        <v>39.229999999999997</v>
      </c>
      <c r="K217">
        <v>96.35</v>
      </c>
      <c r="L217">
        <v>0</v>
      </c>
    </row>
    <row r="218" spans="1:12" x14ac:dyDescent="0.55000000000000004">
      <c r="A218">
        <v>60286</v>
      </c>
      <c r="B218" s="1">
        <v>46204</v>
      </c>
      <c r="C218" t="s">
        <v>183</v>
      </c>
      <c r="D218" t="s">
        <v>184</v>
      </c>
      <c r="E218" t="s">
        <v>185</v>
      </c>
      <c r="F218" t="s">
        <v>186</v>
      </c>
      <c r="H218">
        <v>167862</v>
      </c>
      <c r="I218">
        <v>2156.6999999999998</v>
      </c>
      <c r="J218">
        <v>11.06</v>
      </c>
      <c r="K218">
        <v>195</v>
      </c>
      <c r="L218">
        <v>0</v>
      </c>
    </row>
    <row r="219" spans="1:12" x14ac:dyDescent="0.55000000000000004">
      <c r="A219">
        <v>60277</v>
      </c>
      <c r="B219" s="1">
        <v>46204</v>
      </c>
      <c r="C219" t="s">
        <v>42</v>
      </c>
      <c r="D219" t="s">
        <v>43</v>
      </c>
      <c r="E219">
        <v>1098957</v>
      </c>
      <c r="F219" t="s">
        <v>187</v>
      </c>
      <c r="G219" t="s">
        <v>18</v>
      </c>
      <c r="H219">
        <v>167809</v>
      </c>
      <c r="I219">
        <v>16055</v>
      </c>
      <c r="J219">
        <v>118.74</v>
      </c>
      <c r="K219">
        <v>135.21</v>
      </c>
      <c r="L219">
        <v>0</v>
      </c>
    </row>
    <row r="220" spans="1:12" x14ac:dyDescent="0.55000000000000004">
      <c r="A220">
        <v>60283</v>
      </c>
      <c r="B220" s="1">
        <v>46204</v>
      </c>
      <c r="C220" t="s">
        <v>42</v>
      </c>
      <c r="D220" t="s">
        <v>43</v>
      </c>
      <c r="E220">
        <v>1101312</v>
      </c>
      <c r="F220" t="s">
        <v>145</v>
      </c>
      <c r="G220" t="s">
        <v>18</v>
      </c>
      <c r="H220">
        <v>167661</v>
      </c>
      <c r="I220">
        <v>38000</v>
      </c>
      <c r="J220">
        <v>309.72000000000003</v>
      </c>
      <c r="K220">
        <v>122.7</v>
      </c>
      <c r="L220">
        <v>0</v>
      </c>
    </row>
    <row r="221" spans="1:12" x14ac:dyDescent="0.55000000000000004">
      <c r="A221">
        <v>60284</v>
      </c>
      <c r="B221" s="1">
        <v>46204</v>
      </c>
      <c r="C221" t="s">
        <v>42</v>
      </c>
      <c r="D221" t="s">
        <v>43</v>
      </c>
      <c r="E221">
        <v>1096817</v>
      </c>
      <c r="F221" t="s">
        <v>103</v>
      </c>
      <c r="G221" t="s">
        <v>18</v>
      </c>
      <c r="H221">
        <v>167614</v>
      </c>
      <c r="I221">
        <v>610</v>
      </c>
      <c r="J221">
        <v>5.57</v>
      </c>
      <c r="K221">
        <v>109.52</v>
      </c>
      <c r="L221">
        <v>0</v>
      </c>
    </row>
    <row r="222" spans="1:12" x14ac:dyDescent="0.55000000000000004">
      <c r="A222">
        <v>60285</v>
      </c>
      <c r="B222" s="1">
        <v>46204</v>
      </c>
      <c r="C222" t="s">
        <v>23</v>
      </c>
      <c r="D222" t="s">
        <v>24</v>
      </c>
      <c r="E222">
        <v>1105342</v>
      </c>
      <c r="F222" t="s">
        <v>188</v>
      </c>
      <c r="G222" t="s">
        <v>18</v>
      </c>
      <c r="H222">
        <v>167767</v>
      </c>
      <c r="I222">
        <v>2830</v>
      </c>
      <c r="J222">
        <v>21.62</v>
      </c>
      <c r="K222">
        <v>130.9</v>
      </c>
      <c r="L222">
        <v>0</v>
      </c>
    </row>
    <row r="224" spans="1:12" x14ac:dyDescent="0.55000000000000004">
      <c r="I224">
        <f>SUM(I2:I222)</f>
        <v>1738143.2200000007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87AB-9E53-4AA3-A4C4-6274848E55BC}">
  <dimension ref="A1:R42"/>
  <sheetViews>
    <sheetView topLeftCell="J36" workbookViewId="0">
      <selection activeCell="Q43" sqref="Q43"/>
    </sheetView>
  </sheetViews>
  <sheetFormatPr defaultRowHeight="14.4" x14ac:dyDescent="0.55000000000000004"/>
  <sheetData>
    <row r="1" spans="1:17" x14ac:dyDescent="0.55000000000000004">
      <c r="A1" t="s">
        <v>250</v>
      </c>
      <c r="B1" t="s">
        <v>249</v>
      </c>
      <c r="C1" t="s">
        <v>248</v>
      </c>
      <c r="D1" t="s">
        <v>247</v>
      </c>
      <c r="E1" t="s">
        <v>246</v>
      </c>
      <c r="F1" t="s">
        <v>245</v>
      </c>
      <c r="G1" t="s">
        <v>244</v>
      </c>
      <c r="H1" t="s">
        <v>243</v>
      </c>
      <c r="I1" t="s">
        <v>242</v>
      </c>
      <c r="J1" t="s">
        <v>241</v>
      </c>
      <c r="K1" t="s">
        <v>240</v>
      </c>
      <c r="L1" t="s">
        <v>239</v>
      </c>
      <c r="M1" t="s">
        <v>238</v>
      </c>
      <c r="N1" t="s">
        <v>237</v>
      </c>
      <c r="O1" t="s">
        <v>10</v>
      </c>
      <c r="P1" t="s">
        <v>236</v>
      </c>
      <c r="Q1" t="s">
        <v>235</v>
      </c>
    </row>
    <row r="2" spans="1:17" x14ac:dyDescent="0.55000000000000004">
      <c r="A2" t="s">
        <v>192</v>
      </c>
      <c r="B2" t="s">
        <v>258</v>
      </c>
      <c r="C2" t="s">
        <v>271</v>
      </c>
      <c r="E2" t="s">
        <v>202</v>
      </c>
      <c r="F2" t="s">
        <v>273</v>
      </c>
      <c r="G2" s="1">
        <v>46232</v>
      </c>
      <c r="H2" t="s">
        <v>189</v>
      </c>
      <c r="I2">
        <v>4088.25</v>
      </c>
      <c r="J2">
        <v>0</v>
      </c>
      <c r="L2">
        <v>30.38</v>
      </c>
      <c r="M2">
        <v>30.38</v>
      </c>
      <c r="N2">
        <v>0</v>
      </c>
      <c r="O2">
        <v>134.57</v>
      </c>
      <c r="P2">
        <v>4088.25</v>
      </c>
    </row>
    <row r="3" spans="1:17" x14ac:dyDescent="0.55000000000000004">
      <c r="A3" t="s">
        <v>192</v>
      </c>
      <c r="B3" t="s">
        <v>258</v>
      </c>
      <c r="C3" t="s">
        <v>271</v>
      </c>
      <c r="E3" t="s">
        <v>202</v>
      </c>
      <c r="F3" t="s">
        <v>272</v>
      </c>
      <c r="G3" s="1">
        <v>46234</v>
      </c>
      <c r="H3" t="s">
        <v>189</v>
      </c>
      <c r="I3">
        <v>6008</v>
      </c>
      <c r="J3">
        <v>0</v>
      </c>
      <c r="L3">
        <v>49.37</v>
      </c>
      <c r="M3">
        <v>49.37</v>
      </c>
      <c r="N3">
        <v>0</v>
      </c>
      <c r="O3">
        <v>121.69</v>
      </c>
      <c r="P3">
        <v>6008</v>
      </c>
    </row>
    <row r="4" spans="1:17" x14ac:dyDescent="0.55000000000000004">
      <c r="A4" t="s">
        <v>192</v>
      </c>
      <c r="B4" t="s">
        <v>258</v>
      </c>
      <c r="C4" t="s">
        <v>271</v>
      </c>
      <c r="E4" t="s">
        <v>202</v>
      </c>
      <c r="F4" t="s">
        <v>270</v>
      </c>
      <c r="G4" s="1">
        <v>46234</v>
      </c>
      <c r="H4" t="s">
        <v>189</v>
      </c>
      <c r="I4">
        <v>4691.5</v>
      </c>
      <c r="J4">
        <v>0</v>
      </c>
      <c r="L4">
        <v>34.99</v>
      </c>
      <c r="M4">
        <v>34.99</v>
      </c>
      <c r="N4">
        <v>0</v>
      </c>
      <c r="O4">
        <v>134.08000000000001</v>
      </c>
      <c r="P4">
        <v>4691.5</v>
      </c>
    </row>
    <row r="5" spans="1:17" x14ac:dyDescent="0.55000000000000004">
      <c r="A5" t="s">
        <v>192</v>
      </c>
      <c r="B5" t="s">
        <v>258</v>
      </c>
      <c r="C5" t="s">
        <v>264</v>
      </c>
      <c r="D5" t="s">
        <v>14</v>
      </c>
      <c r="E5" t="s">
        <v>202</v>
      </c>
      <c r="F5" t="s">
        <v>269</v>
      </c>
      <c r="G5" s="1">
        <v>46232</v>
      </c>
      <c r="H5" t="s">
        <v>189</v>
      </c>
      <c r="I5">
        <v>2364</v>
      </c>
      <c r="J5">
        <v>0</v>
      </c>
      <c r="L5">
        <v>16.23</v>
      </c>
      <c r="M5">
        <v>16.23</v>
      </c>
      <c r="N5">
        <v>0</v>
      </c>
      <c r="O5">
        <v>145.66</v>
      </c>
      <c r="P5">
        <v>2364</v>
      </c>
    </row>
    <row r="6" spans="1:17" x14ac:dyDescent="0.55000000000000004">
      <c r="A6" t="s">
        <v>192</v>
      </c>
      <c r="B6" t="s">
        <v>258</v>
      </c>
      <c r="C6" t="s">
        <v>264</v>
      </c>
      <c r="D6" t="s">
        <v>14</v>
      </c>
      <c r="E6" t="s">
        <v>202</v>
      </c>
      <c r="F6" t="s">
        <v>268</v>
      </c>
      <c r="G6" s="1">
        <v>46232</v>
      </c>
      <c r="H6" t="s">
        <v>189</v>
      </c>
      <c r="I6">
        <v>886.5</v>
      </c>
      <c r="J6">
        <v>0</v>
      </c>
      <c r="L6">
        <v>5.97</v>
      </c>
      <c r="M6">
        <v>5.97</v>
      </c>
      <c r="N6">
        <v>0</v>
      </c>
      <c r="O6">
        <v>148.49</v>
      </c>
      <c r="P6">
        <v>886.5</v>
      </c>
    </row>
    <row r="7" spans="1:17" x14ac:dyDescent="0.55000000000000004">
      <c r="A7" t="s">
        <v>192</v>
      </c>
      <c r="B7" t="s">
        <v>258</v>
      </c>
      <c r="C7" t="s">
        <v>264</v>
      </c>
      <c r="D7" t="s">
        <v>14</v>
      </c>
      <c r="E7" t="s">
        <v>202</v>
      </c>
      <c r="F7" t="s">
        <v>267</v>
      </c>
      <c r="G7" s="1">
        <v>46234</v>
      </c>
      <c r="H7" t="s">
        <v>189</v>
      </c>
      <c r="I7">
        <v>1536.6</v>
      </c>
      <c r="J7">
        <v>0</v>
      </c>
      <c r="L7">
        <v>9.9499999999999993</v>
      </c>
      <c r="M7">
        <v>9.9499999999999993</v>
      </c>
      <c r="N7">
        <v>0</v>
      </c>
      <c r="O7">
        <v>154.43</v>
      </c>
      <c r="P7">
        <v>1536.6</v>
      </c>
    </row>
    <row r="8" spans="1:17" x14ac:dyDescent="0.55000000000000004">
      <c r="A8" t="s">
        <v>192</v>
      </c>
      <c r="B8" t="s">
        <v>258</v>
      </c>
      <c r="C8" t="s">
        <v>264</v>
      </c>
      <c r="D8" t="s">
        <v>14</v>
      </c>
      <c r="E8" t="s">
        <v>202</v>
      </c>
      <c r="F8" t="s">
        <v>266</v>
      </c>
      <c r="G8" s="1">
        <v>46237</v>
      </c>
      <c r="H8" t="s">
        <v>189</v>
      </c>
      <c r="I8">
        <v>2955</v>
      </c>
      <c r="J8">
        <v>0</v>
      </c>
      <c r="L8">
        <v>6.08</v>
      </c>
      <c r="M8">
        <v>6.08</v>
      </c>
      <c r="N8">
        <v>0</v>
      </c>
      <c r="O8">
        <v>486.02</v>
      </c>
      <c r="P8">
        <v>2955</v>
      </c>
    </row>
    <row r="9" spans="1:17" x14ac:dyDescent="0.55000000000000004">
      <c r="A9" t="s">
        <v>192</v>
      </c>
      <c r="B9" t="s">
        <v>258</v>
      </c>
      <c r="C9" t="s">
        <v>264</v>
      </c>
      <c r="D9" t="s">
        <v>14</v>
      </c>
      <c r="E9" t="s">
        <v>202</v>
      </c>
      <c r="F9" t="s">
        <v>265</v>
      </c>
      <c r="G9" s="1">
        <v>46238</v>
      </c>
      <c r="H9" t="s">
        <v>189</v>
      </c>
      <c r="I9">
        <v>5437.2</v>
      </c>
      <c r="J9">
        <v>0</v>
      </c>
      <c r="L9">
        <v>34.270000000000003</v>
      </c>
      <c r="M9">
        <v>34.270000000000003</v>
      </c>
      <c r="N9">
        <v>0</v>
      </c>
      <c r="O9">
        <v>158.66</v>
      </c>
      <c r="P9">
        <v>5437.2</v>
      </c>
    </row>
    <row r="10" spans="1:17" x14ac:dyDescent="0.55000000000000004">
      <c r="A10" t="s">
        <v>192</v>
      </c>
      <c r="B10" t="s">
        <v>258</v>
      </c>
      <c r="C10" t="s">
        <v>264</v>
      </c>
      <c r="D10" t="s">
        <v>14</v>
      </c>
      <c r="E10" t="s">
        <v>202</v>
      </c>
      <c r="F10" t="s">
        <v>263</v>
      </c>
      <c r="G10" s="1">
        <v>46241</v>
      </c>
      <c r="H10" t="s">
        <v>189</v>
      </c>
      <c r="I10">
        <v>4846.2</v>
      </c>
      <c r="J10">
        <v>0</v>
      </c>
      <c r="L10">
        <v>22.67</v>
      </c>
      <c r="M10">
        <v>22.67</v>
      </c>
      <c r="N10">
        <v>0</v>
      </c>
      <c r="O10">
        <v>213.77</v>
      </c>
      <c r="P10">
        <v>4846.2</v>
      </c>
    </row>
    <row r="11" spans="1:17" x14ac:dyDescent="0.55000000000000004">
      <c r="A11" t="s">
        <v>192</v>
      </c>
      <c r="B11" t="s">
        <v>258</v>
      </c>
      <c r="C11" t="s">
        <v>260</v>
      </c>
      <c r="D11" t="s">
        <v>14</v>
      </c>
      <c r="E11" t="s">
        <v>194</v>
      </c>
      <c r="F11" t="s">
        <v>262</v>
      </c>
      <c r="G11" s="1">
        <v>46225</v>
      </c>
      <c r="H11" t="s">
        <v>189</v>
      </c>
      <c r="I11">
        <v>11590.16</v>
      </c>
      <c r="J11">
        <v>0</v>
      </c>
      <c r="L11">
        <v>89.01</v>
      </c>
      <c r="M11">
        <v>89.01</v>
      </c>
      <c r="N11">
        <v>0</v>
      </c>
      <c r="O11">
        <v>130.21</v>
      </c>
      <c r="P11">
        <v>11590.16</v>
      </c>
    </row>
    <row r="12" spans="1:17" x14ac:dyDescent="0.55000000000000004">
      <c r="A12" t="s">
        <v>192</v>
      </c>
      <c r="B12" t="s">
        <v>258</v>
      </c>
      <c r="C12" t="s">
        <v>260</v>
      </c>
      <c r="D12" t="s">
        <v>14</v>
      </c>
      <c r="E12" t="s">
        <v>194</v>
      </c>
      <c r="F12" t="s">
        <v>261</v>
      </c>
      <c r="G12" s="1">
        <v>46237</v>
      </c>
      <c r="H12" t="s">
        <v>189</v>
      </c>
      <c r="I12">
        <v>6258.88</v>
      </c>
      <c r="J12">
        <v>0</v>
      </c>
      <c r="L12">
        <v>13.61</v>
      </c>
      <c r="M12">
        <v>13.61</v>
      </c>
      <c r="N12">
        <v>0</v>
      </c>
      <c r="O12">
        <v>459.87</v>
      </c>
      <c r="P12">
        <v>6258.88</v>
      </c>
    </row>
    <row r="13" spans="1:17" x14ac:dyDescent="0.55000000000000004">
      <c r="A13" t="s">
        <v>192</v>
      </c>
      <c r="B13" t="s">
        <v>258</v>
      </c>
      <c r="C13" t="s">
        <v>260</v>
      </c>
      <c r="D13" t="s">
        <v>14</v>
      </c>
      <c r="E13" t="s">
        <v>194</v>
      </c>
      <c r="F13" t="s">
        <v>259</v>
      </c>
      <c r="G13" s="1">
        <v>46237</v>
      </c>
      <c r="H13" t="s">
        <v>189</v>
      </c>
      <c r="I13">
        <v>7764</v>
      </c>
      <c r="J13">
        <v>0</v>
      </c>
      <c r="L13">
        <v>17.07</v>
      </c>
      <c r="M13">
        <v>17.07</v>
      </c>
      <c r="N13">
        <v>0</v>
      </c>
      <c r="O13">
        <v>454.83</v>
      </c>
      <c r="P13">
        <v>7764</v>
      </c>
    </row>
    <row r="14" spans="1:17" x14ac:dyDescent="0.55000000000000004">
      <c r="A14" t="s">
        <v>192</v>
      </c>
      <c r="B14" t="s">
        <v>258</v>
      </c>
      <c r="C14" t="s">
        <v>257</v>
      </c>
      <c r="E14" t="s">
        <v>202</v>
      </c>
      <c r="F14" t="s">
        <v>256</v>
      </c>
      <c r="G14" s="1">
        <v>46239</v>
      </c>
      <c r="H14" t="s">
        <v>189</v>
      </c>
      <c r="I14">
        <v>32946.68</v>
      </c>
      <c r="J14">
        <v>0</v>
      </c>
      <c r="L14">
        <v>193.29</v>
      </c>
      <c r="M14">
        <v>193.29</v>
      </c>
      <c r="N14">
        <v>0</v>
      </c>
      <c r="O14">
        <v>170.45</v>
      </c>
      <c r="P14">
        <v>32946.68</v>
      </c>
      <c r="Q14">
        <f>SUM(P2:P14)</f>
        <v>91372.97</v>
      </c>
    </row>
    <row r="15" spans="1:17" x14ac:dyDescent="0.55000000000000004">
      <c r="A15" t="s">
        <v>192</v>
      </c>
      <c r="B15" t="s">
        <v>191</v>
      </c>
      <c r="C15" t="s">
        <v>234</v>
      </c>
      <c r="D15" t="s">
        <v>18</v>
      </c>
      <c r="E15" t="s">
        <v>194</v>
      </c>
      <c r="F15" t="s">
        <v>233</v>
      </c>
      <c r="G15" s="1">
        <v>46234</v>
      </c>
      <c r="H15" t="s">
        <v>189</v>
      </c>
      <c r="I15">
        <v>1500</v>
      </c>
      <c r="J15">
        <v>0</v>
      </c>
      <c r="L15">
        <v>11.3</v>
      </c>
      <c r="M15">
        <v>11.3</v>
      </c>
      <c r="N15">
        <v>0</v>
      </c>
      <c r="O15">
        <v>132.74</v>
      </c>
      <c r="P15">
        <v>1500</v>
      </c>
    </row>
    <row r="16" spans="1:17" x14ac:dyDescent="0.55000000000000004">
      <c r="A16" t="s">
        <v>192</v>
      </c>
      <c r="B16" t="s">
        <v>191</v>
      </c>
      <c r="C16" t="s">
        <v>231</v>
      </c>
      <c r="D16" t="s">
        <v>22</v>
      </c>
      <c r="E16" t="s">
        <v>194</v>
      </c>
      <c r="F16" t="s">
        <v>232</v>
      </c>
      <c r="G16" s="1">
        <v>46234</v>
      </c>
      <c r="H16" t="s">
        <v>189</v>
      </c>
      <c r="I16">
        <v>18353.12</v>
      </c>
      <c r="J16">
        <v>0</v>
      </c>
      <c r="L16">
        <v>124.33</v>
      </c>
      <c r="M16">
        <v>124.33</v>
      </c>
      <c r="N16">
        <v>0</v>
      </c>
      <c r="O16">
        <v>147.62</v>
      </c>
      <c r="P16">
        <v>18353.12</v>
      </c>
    </row>
    <row r="17" spans="1:16" x14ac:dyDescent="0.55000000000000004">
      <c r="A17" t="s">
        <v>192</v>
      </c>
      <c r="B17" t="s">
        <v>191</v>
      </c>
      <c r="C17" t="s">
        <v>231</v>
      </c>
      <c r="D17" t="s">
        <v>22</v>
      </c>
      <c r="E17" t="s">
        <v>194</v>
      </c>
      <c r="F17" t="s">
        <v>230</v>
      </c>
      <c r="G17" s="1">
        <v>46234</v>
      </c>
      <c r="H17" t="s">
        <v>189</v>
      </c>
      <c r="I17">
        <v>24532.67</v>
      </c>
      <c r="J17">
        <v>0</v>
      </c>
      <c r="L17">
        <v>164.97</v>
      </c>
      <c r="M17">
        <v>164.97</v>
      </c>
      <c r="N17">
        <v>0</v>
      </c>
      <c r="O17">
        <v>148.71</v>
      </c>
      <c r="P17">
        <v>24532.67</v>
      </c>
    </row>
    <row r="18" spans="1:16" x14ac:dyDescent="0.55000000000000004">
      <c r="A18" t="s">
        <v>192</v>
      </c>
      <c r="B18" t="s">
        <v>191</v>
      </c>
      <c r="C18" t="s">
        <v>228</v>
      </c>
      <c r="D18" t="s">
        <v>18</v>
      </c>
      <c r="E18" t="s">
        <v>202</v>
      </c>
      <c r="F18" t="s">
        <v>229</v>
      </c>
      <c r="G18" s="1">
        <v>46233</v>
      </c>
      <c r="H18" t="s">
        <v>189</v>
      </c>
      <c r="I18">
        <v>7090</v>
      </c>
      <c r="J18">
        <v>0</v>
      </c>
      <c r="L18">
        <v>54.77</v>
      </c>
      <c r="M18">
        <v>54.77</v>
      </c>
      <c r="N18">
        <v>0</v>
      </c>
      <c r="O18">
        <v>129.44999999999999</v>
      </c>
      <c r="P18">
        <v>7090</v>
      </c>
    </row>
    <row r="19" spans="1:16" x14ac:dyDescent="0.55000000000000004">
      <c r="A19" t="s">
        <v>192</v>
      </c>
      <c r="B19" t="s">
        <v>191</v>
      </c>
      <c r="C19" t="s">
        <v>228</v>
      </c>
      <c r="D19" t="s">
        <v>18</v>
      </c>
      <c r="E19" t="s">
        <v>202</v>
      </c>
      <c r="F19" t="s">
        <v>227</v>
      </c>
      <c r="G19" s="1">
        <v>46238</v>
      </c>
      <c r="H19" t="s">
        <v>189</v>
      </c>
      <c r="I19">
        <v>8997.75</v>
      </c>
      <c r="J19">
        <v>0</v>
      </c>
      <c r="L19">
        <v>35.130000000000003</v>
      </c>
      <c r="M19">
        <v>35.130000000000003</v>
      </c>
      <c r="N19">
        <v>0</v>
      </c>
      <c r="O19">
        <v>256.13</v>
      </c>
      <c r="P19">
        <v>8997.75</v>
      </c>
    </row>
    <row r="20" spans="1:16" x14ac:dyDescent="0.55000000000000004">
      <c r="A20" t="s">
        <v>192</v>
      </c>
      <c r="B20" t="s">
        <v>191</v>
      </c>
      <c r="C20" t="s">
        <v>223</v>
      </c>
      <c r="D20" t="s">
        <v>26</v>
      </c>
      <c r="E20" t="s">
        <v>202</v>
      </c>
      <c r="F20" t="s">
        <v>226</v>
      </c>
      <c r="G20" s="1">
        <v>46232</v>
      </c>
      <c r="H20" t="s">
        <v>189</v>
      </c>
      <c r="I20">
        <v>28610</v>
      </c>
      <c r="J20">
        <v>0</v>
      </c>
      <c r="L20">
        <v>219.26</v>
      </c>
      <c r="M20">
        <v>219.26</v>
      </c>
      <c r="N20">
        <v>0</v>
      </c>
      <c r="O20">
        <v>130.47999999999999</v>
      </c>
      <c r="P20">
        <v>28610</v>
      </c>
    </row>
    <row r="21" spans="1:16" x14ac:dyDescent="0.55000000000000004">
      <c r="A21" t="s">
        <v>192</v>
      </c>
      <c r="B21" t="s">
        <v>191</v>
      </c>
      <c r="C21" t="s">
        <v>223</v>
      </c>
      <c r="D21" t="s">
        <v>26</v>
      </c>
      <c r="E21" t="s">
        <v>202</v>
      </c>
      <c r="F21" t="s">
        <v>225</v>
      </c>
      <c r="G21" s="1">
        <v>46233</v>
      </c>
      <c r="H21" t="s">
        <v>189</v>
      </c>
      <c r="I21">
        <v>5045</v>
      </c>
      <c r="J21">
        <v>0</v>
      </c>
      <c r="L21">
        <v>37.14</v>
      </c>
      <c r="M21">
        <v>37.14</v>
      </c>
      <c r="N21">
        <v>0</v>
      </c>
      <c r="O21">
        <v>135.84</v>
      </c>
      <c r="P21">
        <v>5045</v>
      </c>
    </row>
    <row r="22" spans="1:16" x14ac:dyDescent="0.55000000000000004">
      <c r="A22" t="s">
        <v>192</v>
      </c>
      <c r="B22" t="s">
        <v>191</v>
      </c>
      <c r="C22" t="s">
        <v>223</v>
      </c>
      <c r="D22" t="s">
        <v>26</v>
      </c>
      <c r="E22" t="s">
        <v>202</v>
      </c>
      <c r="F22" t="s">
        <v>224</v>
      </c>
      <c r="G22" s="1">
        <v>46233</v>
      </c>
      <c r="H22" t="s">
        <v>189</v>
      </c>
      <c r="I22">
        <v>5370</v>
      </c>
      <c r="J22">
        <v>0</v>
      </c>
      <c r="L22">
        <v>41.44</v>
      </c>
      <c r="M22">
        <v>41.44</v>
      </c>
      <c r="N22">
        <v>0</v>
      </c>
      <c r="O22">
        <v>129.58000000000001</v>
      </c>
      <c r="P22">
        <v>5370</v>
      </c>
    </row>
    <row r="23" spans="1:16" x14ac:dyDescent="0.55000000000000004">
      <c r="A23" t="s">
        <v>192</v>
      </c>
      <c r="B23" t="s">
        <v>191</v>
      </c>
      <c r="C23" t="s">
        <v>223</v>
      </c>
      <c r="D23" t="s">
        <v>26</v>
      </c>
      <c r="E23" t="s">
        <v>202</v>
      </c>
      <c r="F23" t="s">
        <v>222</v>
      </c>
      <c r="G23" s="1">
        <v>46234</v>
      </c>
      <c r="H23" t="s">
        <v>189</v>
      </c>
      <c r="I23">
        <v>3275</v>
      </c>
      <c r="J23">
        <v>0</v>
      </c>
      <c r="L23">
        <v>27.62</v>
      </c>
      <c r="M23">
        <v>27.62</v>
      </c>
      <c r="N23">
        <v>0</v>
      </c>
      <c r="O23">
        <v>118.57</v>
      </c>
      <c r="P23">
        <v>3275</v>
      </c>
    </row>
    <row r="24" spans="1:16" x14ac:dyDescent="0.55000000000000004">
      <c r="A24" t="s">
        <v>192</v>
      </c>
      <c r="B24" t="s">
        <v>191</v>
      </c>
      <c r="C24" t="s">
        <v>221</v>
      </c>
      <c r="D24" t="s">
        <v>26</v>
      </c>
      <c r="E24" t="s">
        <v>194</v>
      </c>
      <c r="F24" t="s">
        <v>220</v>
      </c>
      <c r="G24" s="1">
        <v>46249</v>
      </c>
      <c r="H24" t="s">
        <v>189</v>
      </c>
      <c r="I24">
        <v>35750</v>
      </c>
      <c r="J24">
        <v>0</v>
      </c>
      <c r="L24">
        <v>229.95</v>
      </c>
      <c r="M24">
        <v>229.95</v>
      </c>
      <c r="N24">
        <v>0</v>
      </c>
      <c r="O24">
        <v>155.47</v>
      </c>
      <c r="P24">
        <v>35750</v>
      </c>
    </row>
    <row r="25" spans="1:16" x14ac:dyDescent="0.55000000000000004">
      <c r="A25" t="s">
        <v>192</v>
      </c>
      <c r="B25" t="s">
        <v>191</v>
      </c>
      <c r="C25" t="s">
        <v>219</v>
      </c>
      <c r="D25" t="s">
        <v>18</v>
      </c>
      <c r="E25" t="s">
        <v>194</v>
      </c>
      <c r="F25" t="s">
        <v>218</v>
      </c>
      <c r="G25" s="1">
        <v>46238</v>
      </c>
      <c r="H25" t="s">
        <v>189</v>
      </c>
      <c r="I25">
        <v>22293.06</v>
      </c>
      <c r="J25">
        <v>0</v>
      </c>
      <c r="L25">
        <v>104.44</v>
      </c>
      <c r="M25">
        <v>104.44</v>
      </c>
      <c r="N25">
        <v>0</v>
      </c>
      <c r="O25">
        <v>213.45</v>
      </c>
      <c r="P25">
        <v>22293.06</v>
      </c>
    </row>
    <row r="26" spans="1:16" x14ac:dyDescent="0.55000000000000004">
      <c r="A26" t="s">
        <v>192</v>
      </c>
      <c r="B26" t="s">
        <v>191</v>
      </c>
      <c r="C26" t="s">
        <v>72</v>
      </c>
      <c r="D26" t="s">
        <v>18</v>
      </c>
      <c r="E26" t="s">
        <v>202</v>
      </c>
      <c r="F26" t="s">
        <v>217</v>
      </c>
      <c r="G26" s="1">
        <v>46227</v>
      </c>
      <c r="H26" t="s">
        <v>189</v>
      </c>
      <c r="I26">
        <v>4592</v>
      </c>
      <c r="J26">
        <v>0</v>
      </c>
      <c r="L26">
        <v>55.05</v>
      </c>
      <c r="M26">
        <v>55.05</v>
      </c>
      <c r="N26">
        <v>0</v>
      </c>
      <c r="O26">
        <v>83.42</v>
      </c>
      <c r="P26">
        <v>4592</v>
      </c>
    </row>
    <row r="27" spans="1:16" x14ac:dyDescent="0.55000000000000004">
      <c r="A27" t="s">
        <v>192</v>
      </c>
      <c r="B27" t="s">
        <v>191</v>
      </c>
      <c r="C27" t="s">
        <v>216</v>
      </c>
      <c r="D27" t="s">
        <v>26</v>
      </c>
      <c r="E27" t="s">
        <v>194</v>
      </c>
      <c r="F27" t="s">
        <v>215</v>
      </c>
      <c r="G27" s="1">
        <v>46249</v>
      </c>
      <c r="H27" t="s">
        <v>189</v>
      </c>
      <c r="I27">
        <v>20245</v>
      </c>
      <c r="J27">
        <v>0</v>
      </c>
      <c r="L27">
        <v>106.12</v>
      </c>
      <c r="M27">
        <v>106.12</v>
      </c>
      <c r="N27">
        <v>0</v>
      </c>
      <c r="O27">
        <v>190.77</v>
      </c>
      <c r="P27">
        <v>20245</v>
      </c>
    </row>
    <row r="28" spans="1:16" x14ac:dyDescent="0.55000000000000004">
      <c r="A28" t="s">
        <v>192</v>
      </c>
      <c r="B28" t="s">
        <v>191</v>
      </c>
      <c r="C28" t="s">
        <v>214</v>
      </c>
      <c r="D28" t="s">
        <v>18</v>
      </c>
      <c r="E28" t="s">
        <v>194</v>
      </c>
      <c r="F28" t="s">
        <v>213</v>
      </c>
      <c r="G28" s="1">
        <v>46234</v>
      </c>
      <c r="H28" t="s">
        <v>189</v>
      </c>
      <c r="I28">
        <v>1880</v>
      </c>
      <c r="J28">
        <v>0</v>
      </c>
      <c r="L28">
        <v>14.32</v>
      </c>
      <c r="M28">
        <v>14.32</v>
      </c>
      <c r="N28">
        <v>0</v>
      </c>
      <c r="O28">
        <v>131.28</v>
      </c>
      <c r="P28">
        <v>1880</v>
      </c>
    </row>
    <row r="29" spans="1:16" x14ac:dyDescent="0.55000000000000004">
      <c r="A29" t="s">
        <v>192</v>
      </c>
      <c r="B29" t="s">
        <v>191</v>
      </c>
      <c r="C29" t="s">
        <v>211</v>
      </c>
      <c r="D29" t="s">
        <v>18</v>
      </c>
      <c r="E29" t="s">
        <v>194</v>
      </c>
      <c r="F29" t="s">
        <v>212</v>
      </c>
      <c r="G29" s="1">
        <v>46234</v>
      </c>
      <c r="H29" t="s">
        <v>189</v>
      </c>
      <c r="I29">
        <v>1995</v>
      </c>
      <c r="J29">
        <v>0</v>
      </c>
      <c r="L29">
        <v>12.9</v>
      </c>
      <c r="M29">
        <v>12.9</v>
      </c>
      <c r="N29">
        <v>0</v>
      </c>
      <c r="O29">
        <v>154.65</v>
      </c>
      <c r="P29">
        <v>1995</v>
      </c>
    </row>
    <row r="30" spans="1:16" x14ac:dyDescent="0.55000000000000004">
      <c r="A30" t="s">
        <v>192</v>
      </c>
      <c r="B30" t="s">
        <v>191</v>
      </c>
      <c r="C30" t="s">
        <v>211</v>
      </c>
      <c r="D30" t="s">
        <v>18</v>
      </c>
      <c r="E30" t="s">
        <v>194</v>
      </c>
      <c r="F30" t="s">
        <v>210</v>
      </c>
      <c r="G30" s="1">
        <v>46234</v>
      </c>
      <c r="H30" t="s">
        <v>189</v>
      </c>
      <c r="I30">
        <v>495</v>
      </c>
      <c r="J30">
        <v>0</v>
      </c>
      <c r="L30">
        <v>3.08</v>
      </c>
      <c r="M30">
        <v>3.08</v>
      </c>
      <c r="N30">
        <v>0</v>
      </c>
      <c r="O30">
        <v>160.71</v>
      </c>
      <c r="P30">
        <v>495</v>
      </c>
    </row>
    <row r="31" spans="1:16" x14ac:dyDescent="0.55000000000000004">
      <c r="A31" t="s">
        <v>192</v>
      </c>
      <c r="B31" t="s">
        <v>191</v>
      </c>
      <c r="C31" t="s">
        <v>209</v>
      </c>
      <c r="D31" t="s">
        <v>18</v>
      </c>
      <c r="E31" t="s">
        <v>202</v>
      </c>
      <c r="F31" t="s">
        <v>208</v>
      </c>
      <c r="G31" s="1">
        <v>46237</v>
      </c>
      <c r="H31" t="s">
        <v>189</v>
      </c>
      <c r="I31">
        <v>23746</v>
      </c>
      <c r="J31">
        <v>0</v>
      </c>
      <c r="L31">
        <v>169.25</v>
      </c>
      <c r="M31">
        <v>169.25</v>
      </c>
      <c r="N31">
        <v>0</v>
      </c>
      <c r="O31">
        <v>140.30000000000001</v>
      </c>
      <c r="P31">
        <v>23746</v>
      </c>
    </row>
    <row r="32" spans="1:16" x14ac:dyDescent="0.55000000000000004">
      <c r="A32" t="s">
        <v>192</v>
      </c>
      <c r="B32" t="s">
        <v>191</v>
      </c>
      <c r="C32" t="s">
        <v>207</v>
      </c>
      <c r="D32" t="s">
        <v>18</v>
      </c>
      <c r="E32" t="s">
        <v>202</v>
      </c>
      <c r="F32" t="s">
        <v>206</v>
      </c>
      <c r="G32" s="1">
        <v>46244</v>
      </c>
      <c r="H32" t="s">
        <v>189</v>
      </c>
      <c r="I32">
        <v>32761.38</v>
      </c>
      <c r="J32">
        <v>0</v>
      </c>
      <c r="L32">
        <v>78.31</v>
      </c>
      <c r="M32">
        <v>78.31</v>
      </c>
      <c r="N32">
        <v>0</v>
      </c>
      <c r="O32">
        <v>418.35</v>
      </c>
      <c r="P32">
        <v>32761.38</v>
      </c>
    </row>
    <row r="33" spans="1:18" x14ac:dyDescent="0.55000000000000004">
      <c r="A33" t="s">
        <v>192</v>
      </c>
      <c r="B33" t="s">
        <v>191</v>
      </c>
      <c r="C33" t="s">
        <v>205</v>
      </c>
      <c r="D33" t="s">
        <v>18</v>
      </c>
      <c r="E33" t="s">
        <v>202</v>
      </c>
      <c r="F33" t="s">
        <v>204</v>
      </c>
      <c r="G33" s="1">
        <v>46237</v>
      </c>
      <c r="H33" t="s">
        <v>189</v>
      </c>
      <c r="I33">
        <v>33598.800000000003</v>
      </c>
      <c r="J33">
        <v>0</v>
      </c>
      <c r="L33">
        <v>257.92</v>
      </c>
      <c r="M33">
        <v>257.92</v>
      </c>
      <c r="N33">
        <v>0</v>
      </c>
      <c r="O33">
        <v>130.27000000000001</v>
      </c>
      <c r="P33">
        <v>33598.800000000003</v>
      </c>
    </row>
    <row r="34" spans="1:18" x14ac:dyDescent="0.55000000000000004">
      <c r="A34" t="s">
        <v>192</v>
      </c>
      <c r="B34" t="s">
        <v>191</v>
      </c>
      <c r="C34" t="s">
        <v>203</v>
      </c>
      <c r="D34" t="s">
        <v>18</v>
      </c>
      <c r="E34" t="s">
        <v>202</v>
      </c>
      <c r="F34" t="s">
        <v>201</v>
      </c>
      <c r="G34" s="1">
        <v>46233</v>
      </c>
      <c r="H34" t="s">
        <v>189</v>
      </c>
      <c r="I34">
        <v>6077.04</v>
      </c>
      <c r="J34">
        <v>0</v>
      </c>
      <c r="L34">
        <v>46.81</v>
      </c>
      <c r="M34">
        <v>46.81</v>
      </c>
      <c r="N34">
        <v>0</v>
      </c>
      <c r="O34">
        <v>129.82</v>
      </c>
      <c r="P34">
        <v>6077.04</v>
      </c>
    </row>
    <row r="35" spans="1:18" x14ac:dyDescent="0.55000000000000004">
      <c r="A35" t="s">
        <v>192</v>
      </c>
      <c r="B35" t="s">
        <v>191</v>
      </c>
      <c r="C35" t="s">
        <v>200</v>
      </c>
      <c r="D35" t="s">
        <v>18</v>
      </c>
      <c r="E35" t="s">
        <v>194</v>
      </c>
      <c r="F35" t="s">
        <v>199</v>
      </c>
      <c r="G35" s="1">
        <v>46234</v>
      </c>
      <c r="H35" t="s">
        <v>189</v>
      </c>
      <c r="I35">
        <v>2795</v>
      </c>
      <c r="J35">
        <v>0</v>
      </c>
      <c r="L35">
        <v>20.39</v>
      </c>
      <c r="M35">
        <v>20.39</v>
      </c>
      <c r="N35">
        <v>0</v>
      </c>
      <c r="O35">
        <v>137.08000000000001</v>
      </c>
      <c r="P35">
        <v>2795</v>
      </c>
    </row>
    <row r="36" spans="1:18" x14ac:dyDescent="0.55000000000000004">
      <c r="A36" t="s">
        <v>192</v>
      </c>
      <c r="B36" t="s">
        <v>191</v>
      </c>
      <c r="C36" t="s">
        <v>198</v>
      </c>
      <c r="D36" t="s">
        <v>18</v>
      </c>
      <c r="E36" t="s">
        <v>194</v>
      </c>
      <c r="F36" t="s">
        <v>197</v>
      </c>
      <c r="G36" s="1">
        <v>46231</v>
      </c>
      <c r="H36" t="s">
        <v>189</v>
      </c>
      <c r="I36">
        <v>10800</v>
      </c>
      <c r="J36">
        <v>0</v>
      </c>
      <c r="L36">
        <v>61.9</v>
      </c>
      <c r="M36">
        <v>61.9</v>
      </c>
      <c r="N36">
        <v>0</v>
      </c>
      <c r="O36">
        <v>174.47</v>
      </c>
      <c r="P36">
        <v>10800</v>
      </c>
    </row>
    <row r="37" spans="1:18" x14ac:dyDescent="0.55000000000000004">
      <c r="A37" t="s">
        <v>192</v>
      </c>
      <c r="B37" t="s">
        <v>191</v>
      </c>
      <c r="C37" t="s">
        <v>111</v>
      </c>
      <c r="D37" t="s">
        <v>18</v>
      </c>
      <c r="E37" t="s">
        <v>194</v>
      </c>
      <c r="F37" t="s">
        <v>196</v>
      </c>
      <c r="G37" s="1">
        <v>46331</v>
      </c>
      <c r="H37" t="s">
        <v>189</v>
      </c>
      <c r="I37">
        <v>44310</v>
      </c>
      <c r="J37">
        <v>0</v>
      </c>
      <c r="L37">
        <v>27.26</v>
      </c>
      <c r="M37">
        <v>27.26</v>
      </c>
      <c r="N37">
        <v>0</v>
      </c>
      <c r="O37">
        <v>1625.46</v>
      </c>
      <c r="P37">
        <v>44310</v>
      </c>
    </row>
    <row r="38" spans="1:18" x14ac:dyDescent="0.55000000000000004">
      <c r="A38" t="s">
        <v>192</v>
      </c>
      <c r="B38" t="s">
        <v>191</v>
      </c>
      <c r="C38" t="s">
        <v>103</v>
      </c>
      <c r="D38" t="s">
        <v>18</v>
      </c>
      <c r="E38" t="s">
        <v>194</v>
      </c>
      <c r="F38" t="s">
        <v>195</v>
      </c>
      <c r="G38" s="1">
        <v>46234</v>
      </c>
      <c r="H38" t="s">
        <v>189</v>
      </c>
      <c r="I38">
        <v>2385</v>
      </c>
      <c r="J38">
        <v>0</v>
      </c>
      <c r="L38">
        <v>14.36</v>
      </c>
      <c r="M38">
        <v>14.36</v>
      </c>
      <c r="N38">
        <v>0</v>
      </c>
      <c r="O38">
        <v>166.09</v>
      </c>
      <c r="P38">
        <v>2385</v>
      </c>
    </row>
    <row r="39" spans="1:18" x14ac:dyDescent="0.55000000000000004">
      <c r="A39" t="s">
        <v>192</v>
      </c>
      <c r="B39" t="s">
        <v>191</v>
      </c>
      <c r="C39" t="s">
        <v>103</v>
      </c>
      <c r="D39" t="s">
        <v>18</v>
      </c>
      <c r="E39" t="s">
        <v>194</v>
      </c>
      <c r="F39" t="s">
        <v>193</v>
      </c>
      <c r="G39" s="1">
        <v>46234</v>
      </c>
      <c r="H39" t="s">
        <v>189</v>
      </c>
      <c r="I39">
        <v>850</v>
      </c>
      <c r="J39">
        <v>0</v>
      </c>
      <c r="L39">
        <v>6</v>
      </c>
      <c r="M39">
        <v>6</v>
      </c>
      <c r="N39">
        <v>0</v>
      </c>
      <c r="O39">
        <v>141.66999999999999</v>
      </c>
      <c r="P39">
        <v>850</v>
      </c>
    </row>
    <row r="40" spans="1:18" x14ac:dyDescent="0.55000000000000004">
      <c r="A40" t="s">
        <v>192</v>
      </c>
      <c r="B40" t="s">
        <v>191</v>
      </c>
      <c r="C40" t="s">
        <v>89</v>
      </c>
      <c r="D40" t="s">
        <v>22</v>
      </c>
      <c r="F40" t="s">
        <v>190</v>
      </c>
      <c r="G40" s="1">
        <v>46226</v>
      </c>
      <c r="H40" t="s">
        <v>189</v>
      </c>
      <c r="I40">
        <v>2280</v>
      </c>
      <c r="J40">
        <v>0</v>
      </c>
      <c r="L40">
        <v>21.16</v>
      </c>
      <c r="M40">
        <v>21.16</v>
      </c>
      <c r="N40">
        <v>0</v>
      </c>
      <c r="O40">
        <v>107.75</v>
      </c>
      <c r="P40">
        <v>2280</v>
      </c>
      <c r="Q40">
        <f>SUM(P15:P40)</f>
        <v>349626.81999999995</v>
      </c>
    </row>
    <row r="42" spans="1:18" x14ac:dyDescent="0.55000000000000004">
      <c r="Q42">
        <f>Q40+Q14</f>
        <v>440999.78999999992</v>
      </c>
      <c r="R42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3DE4-5FD1-46C2-835E-17F47EE8454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invoices July 2026 08-02-26</vt:lpstr>
      <vt:lpstr>Accrual July 2026 08-02-26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Guzowski</dc:creator>
  <cp:lastModifiedBy>Steven Guzowski</cp:lastModifiedBy>
  <dcterms:created xsi:type="dcterms:W3CDTF">2026-08-02T20:20:47Z</dcterms:created>
  <dcterms:modified xsi:type="dcterms:W3CDTF">2026-08-02T20:20:47Z</dcterms:modified>
</cp:coreProperties>
</file>